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hidePivotFieldList="1"/>
  <mc:AlternateContent xmlns:mc="http://schemas.openxmlformats.org/markup-compatibility/2006">
    <mc:Choice Requires="x15">
      <x15ac:absPath xmlns:x15ac="http://schemas.microsoft.com/office/spreadsheetml/2010/11/ac" url="K:\myCloud\QGIS_Projekte_github\covid_19_excel\privious versions\"/>
    </mc:Choice>
  </mc:AlternateContent>
  <xr:revisionPtr revIDLastSave="0" documentId="13_ncr:1_{66B98EA6-94A5-424F-A020-7795AD354772}" xr6:coauthVersionLast="45" xr6:coauthVersionMax="45" xr10:uidLastSave="{00000000-0000-0000-0000-000000000000}"/>
  <bookViews>
    <workbookView xWindow="-110" yWindow="-110" windowWidth="38620" windowHeight="21220" xr2:uid="{B7984E8D-725D-425C-9EA3-75DA3EFF58B2}"/>
  </bookViews>
  <sheets>
    <sheet name="Graphs" sheetId="4" r:id="rId1"/>
    <sheet name="Readme" sheetId="29" r:id="rId2"/>
    <sheet name="ch_latest" sheetId="20" r:id="rId3"/>
    <sheet name="Fallzahlen_CH" sheetId="31" r:id="rId4"/>
    <sheet name="pivot_ch_days" sheetId="32" r:id="rId5"/>
    <sheet name="pivot_icu" sheetId="33" r:id="rId6"/>
    <sheet name="kt_latest" sheetId="37" r:id="rId7"/>
    <sheet name="Map death" sheetId="15" r:id="rId8"/>
    <sheet name="analyse" sheetId="24" r:id="rId9"/>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2" hidden="1">ch_latest!$A$1:$R$67</definedName>
    <definedName name="ExterneDaten_1" localSheetId="6" hidden="1">kt_latest!$A$1:$AF$28</definedName>
    <definedName name="ExterneDaten_3" localSheetId="3" hidden="1">Fallzahlen_CH!$A$1:$K$1403</definedName>
    <definedName name="ExterneDaten_5" localSheetId="2" hidden="1">ch_latest!#REF!</definedName>
  </definedNames>
  <calcPr calcId="191029"/>
  <pivotCaches>
    <pivotCache cacheId="32"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 i="4" l="1"/>
  <c r="D4" i="4"/>
  <c r="B21" i="24"/>
  <c r="B20" i="24"/>
  <c r="C3" i="4"/>
  <c r="B3" i="4"/>
  <c r="B22" i="24" l="1"/>
  <c r="E3" i="4"/>
  <c r="B15" i="24" l="1"/>
  <c r="B16" i="24"/>
  <c r="B17" i="24" l="1"/>
  <c r="B4" i="4" s="1"/>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<sst xmlns="http://schemas.openxmlformats.org/spreadsheetml/2006/main" count="3300" uniqueCount="437">
  <si>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</si>
  <si>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</si>
  <si>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</si>
  <si>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</si>
  <si>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</si>
  <si>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</si>
  <si>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</si>
  <si>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</si>
  <si>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</si>
  <si>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</si>
  <si>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</si>
  <si>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</si>
  <si>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</si>
  <si>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</si>
  <si>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</si>
  <si>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</si>
  <si>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</si>
  <si>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</si>
  <si>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</si>
  <si>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</si>
  <si>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</si>
  <si>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</si>
  <si>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</si>
  <si>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</si>
  <si>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</si>
  <si>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</si>
  <si>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</si>
  <si>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</si>
  <si>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</si>
  <si>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</si>
  <si>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</si>
  <si>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</si>
  <si>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</si>
  <si>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</si>
  <si>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</si>
  <si>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</si>
  <si>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</si>
  <si>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</si>
  <si>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</si>
  <si>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</si>
  <si>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</si>
  <si>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</si>
  <si>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</si>
  <si>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</si>
  <si>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</si>
  <si>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</si>
  <si>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</si>
  <si>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</si>
  <si>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</si>
  <si>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</si>
  <si>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</si>
  <si>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</si>
  <si>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</si>
  <si>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</si>
  <si>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</si>
  <si>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</si>
  <si>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</si>
  <si>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</si>
  <si>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</si>
  <si>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</si>
  <si>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</si>
  <si>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</si>
  <si>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</si>
  <si>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</si>
  <si>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</si>
  <si>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</si>
  <si>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</si>
  <si>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</si>
  <si>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</si>
  <si>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</si>
  <si>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</si>
  <si>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</si>
  <si>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</si>
  <si>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</si>
  <si>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</si>
  <si>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</si>
  <si>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</si>
  <si>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</si>
  <si>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</si>
  <si>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</si>
  <si>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</si>
  <si>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</si>
  <si>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</si>
  <si>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</si>
  <si>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</si>
  <si>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</si>
  <si>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</si>
  <si>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</si>
  <si>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</si>
  <si>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</si>
  <si>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</si>
  <si>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</si>
  <si>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</si>
  <si>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</si>
  <si>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</si>
  <si>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</si>
  <si>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</si>
  <si>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</si>
  <si>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</si>
  <si>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</si>
  <si>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</si>
  <si>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</si>
  <si>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</si>
  <si>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</si>
  <si>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</si>
  <si>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</si>
  <si>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</si>
  <si>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</si>
  <si>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</si>
  <si>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</si>
  <si>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</si>
  <si>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</si>
  <si>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</si>
  <si>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</si>
  <si>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</si>
  <si>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</si>
  <si>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</si>
  <si>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</si>
  <si>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</si>
  <si>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</si>
  <si>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</si>
  <si>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</si>
  <si>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</si>
  <si>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</si>
  <si>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</si>
  <si>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</si>
  <si>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</si>
  <si>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</si>
  <si>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</si>
  <si>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</si>
  <si>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</si>
  <si>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</si>
  <si>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</si>
  <si>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</si>
  <si>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</si>
  <si>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</si>
  <si>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</si>
  <si>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</si>
  <si>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</si>
  <si>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</si>
  <si>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</si>
  <si>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</si>
  <si>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</si>
  <si>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</si>
  <si>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</si>
  <si>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</si>
  <si>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</si>
  <si>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</si>
  <si>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</si>
  <si>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</si>
  <si>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</si>
  <si>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</si>
  <si>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</si>
  <si>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</si>
  <si>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</si>
  <si>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</si>
  <si>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</si>
  <si>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</si>
  <si>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</si>
  <si>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</si>
  <si>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</si>
  <si>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</si>
  <si>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</si>
  <si>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</si>
  <si>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</si>
  <si>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</si>
  <si>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</si>
  <si>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</si>
  <si>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</si>
  <si>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</si>
  <si>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</si>
  <si>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</si>
  <si>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</si>
  <si>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</si>
  <si>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</si>
  <si>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</si>
  <si>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</si>
  <si>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</si>
  <si>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</si>
  <si>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</si>
  <si>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</si>
  <si>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</si>
  <si>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</si>
  <si>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</si>
  <si>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</si>
  <si>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</si>
  <si>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</si>
  <si>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</si>
  <si>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</si>
  <si>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</si>
  <si>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</si>
  <si>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</si>
  <si>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</si>
  <si>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</si>
  <si>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</si>
  <si>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</si>
  <si>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</si>
  <si>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</si>
  <si>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</si>
  <si>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</si>
  <si>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</si>
  <si>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</si>
  <si>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</si>
  <si>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</si>
  <si>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</si>
  <si>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</si>
  <si>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</si>
  <si>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</si>
  <si>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</si>
  <si>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</si>
  <si>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</si>
  <si>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</si>
  <si>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</si>
  <si>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</si>
  <si>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</si>
  <si>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</si>
  <si>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</si>
  <si>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</si>
  <si>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</si>
  <si>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</si>
  <si>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</si>
  <si>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</si>
  <si>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</si>
  <si>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</si>
  <si>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</si>
  <si>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</si>
  <si>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</si>
  <si>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</si>
  <si>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</si>
  <si>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</si>
  <si>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</si>
  <si>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</si>
  <si>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</si>
  <si>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</si>
  <si>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</si>
  <si>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</si>
  <si>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</si>
  <si>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https://web.archive.org/web/20200322153528/https://www4.ti.ch/dss/dsp/covid19/home/</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</si>
  <si>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</si>
  <si>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</si>
  <si>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</si>
  <si>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</si>
  <si>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</si>
  <si>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</si>
  <si>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</si>
  <si>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</si>
  <si>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</si>
  <si>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</si>
  <si>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</si>
  <si>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</si>
  <si>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</si>
  <si>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https://www4.ti.ch/area-media/comunicati/dettaglio-comunicato/?NEWS_ID=187523&amp;tx_tichareamedia_comunicazioni%5Baction%5D=show&amp;tx_tichareamedia_comunicazioni%5Bcontroller%5D=Comunicazioni&amp;cHash=982795a2c13394282accc3a8506c9ba0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</si>
  <si>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</si>
  <si>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</si>
  <si>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</si>
  <si>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</si>
  <si>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</si>
  <si>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</si>
  <si>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</si>
  <si>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</si>
  <si>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</si>
  <si>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</si>
  <si>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</si>
  <si>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</si>
  <si>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https://www.coronavirus.bs.ch/nm/2020-tagesbulletin-coronavirus-609-bestaetigte-faelle-im-kanton-basel-stadt-gd.html</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</si>
  <si>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</si>
  <si>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</si>
  <si>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</si>
  <si>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</si>
  <si>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</si>
  <si>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</si>
  <si>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</si>
  <si>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</si>
  <si>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</si>
  <si>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</si>
  <si>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</si>
  <si>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</si>
  <si>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</si>
  <si>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</si>
  <si>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</si>
  <si>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</si>
  <si>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</si>
  <si>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</si>
  <si>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</si>
  <si>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</si>
  <si>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</si>
  <si>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</si>
  <si>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</si>
  <si>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</si>
  <si>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</si>
  <si>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</si>
  <si>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</si>
  <si>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</si>
  <si>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</si>
  <si>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https://www.ag.ch/media/kanton_aargau/themen_1/coronavirus_1/lagebulletins/200407_KFS_Coronavirus_Lagebulletin_28.pdf</t>
  </si>
  <si>
    <t>https://www.gd.bs.ch//nm/2020-tagesbulletin-coronavirus-813-bestaetigte-faelle-im-kanton-basel-stadt-gd.html</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</si>
  <si>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</si>
  <si>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</si>
  <si>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</si>
  <si>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https://www4.ti.ch/area-media/comunicati/dettaglio-comunicato/?NEWS_ID=187593&amp;cHash=04877af9adec32de4f5ef43a5916f801</t>
  </si>
  <si>
    <t>new_hosp</t>
  </si>
  <si>
    <t>TotalPosTests1</t>
  </si>
  <si>
    <t>https://www.gd.bs.ch//nm/2020-tagesbulletin-coronavirus-866-bestaetigte-faelle-im-kanton-basel-stadt-gd.html</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</si>
  <si>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</si>
  <si>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</si>
  <si>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</si>
  <si>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</si>
  <si>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</si>
  <si>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</si>
  <si>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</si>
  <si>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</si>
  <si>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</si>
  <si>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</si>
  <si>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</si>
  <si>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</si>
  <si>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</si>
  <si>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</si>
  <si>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</si>
  <si>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</si>
  <si>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</si>
  <si>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</si>
  <si>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</si>
  <si>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</si>
  <si>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</si>
  <si>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</si>
  <si>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</si>
  <si>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</si>
  <si>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</si>
  <si>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</si>
  <si>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</si>
  <si>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</si>
  <si>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</si>
  <si>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</si>
  <si>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</si>
  <si>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</si>
  <si>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</si>
  <si>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</si>
  <si>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</si>
  <si>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</si>
  <si>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</si>
  <si>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</si>
  <si>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</si>
  <si>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</si>
  <si>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</si>
  <si>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</si>
  <si>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</si>
  <si>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</si>
  <si>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</si>
  <si>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</si>
  <si>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</si>
  <si>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</si>
  <si>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</si>
  <si>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</si>
  <si>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</si>
  <si>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</si>
  <si>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</si>
  <si>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</si>
  <si>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</si>
  <si>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</si>
  <si>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</si>
  <si>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</si>
  <si>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</si>
  <si>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</si>
  <si>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</si>
  <si>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</si>
  <si>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</si>
  <si>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</si>
  <si>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</si>
  <si>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</si>
  <si>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</si>
  <si>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</si>
  <si>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</si>
  <si>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</si>
  <si>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</si>
  <si>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</si>
  <si>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</si>
  <si>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</si>
  <si>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</si>
  <si>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</si>
  <si>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</si>
  <si>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Bez</t>
  </si>
  <si>
    <t>https://www.zg.ch/behoerden/gesundheitsdirektion/statistikfachstelle/themen/gesundheit/corona</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</si>
  <si>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</si>
  <si>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</si>
  <si>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</si>
  <si>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https://www.gd.bs.ch//nm/2020-tagesbulletin-coronavirus-936-bestaetigte-faelle-im-kanton-basel-stadt-gd.html</t>
  </si>
  <si>
    <t>https://www.gd.bs.ch//nm/2020-tagesbulletin-coronavirus-931-bestaetigte-faelle-im-kanton-basel-stadt-gd.html</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</si>
  <si>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</si>
  <si>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</si>
  <si>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</si>
  <si>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</si>
  <si>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https://www4.ti.ch/area-media/comunicati/dettaglio-comunicato/?NEWS_ID=187683&amp;tx_tichareamedia_comunicazioni%5Baction%5D=show&amp;tx_tichareamedia_comunicazioni%5Bcontroller%5D=Comunicazioni&amp;cHash=96a9e3da92c22f69b3a6ed9000584d1b</t>
  </si>
  <si>
    <t>abbreviation_canton_and_fl</t>
  </si>
  <si>
    <t>ncumul_tested</t>
  </si>
  <si>
    <t>ncumul_conf</t>
  </si>
  <si>
    <t>ncumul_released</t>
  </si>
  <si>
    <t>ncumul_deceased</t>
  </si>
  <si>
    <t>https://www.regierung.li/de/mitteilungen/223427/?typ=news</t>
  </si>
  <si>
    <t>https://www4.ti.ch/area-media/comunicati/dettaglio-comunicato/?NEWS_ID=187687&amp;tx_tichareamedia_comunicazioni%5Baction%5D=show&amp;tx_tichareamedia_comunicazioni%5Bcontroller%5D=Comunicazioni&amp;cHash=4113a890fda2606d774861e2b936b052</t>
  </si>
  <si>
    <t>https://www.regierung.li/de/mitteilungen/223428/?typ=news</t>
  </si>
  <si>
    <t>https://www4.ti.ch/area-media/comunicati/dettaglio-comunicato/?NEWS_ID=187688&amp;tx_tichareamedia_comunicazioni%5Baction%5D=show&amp;tx_tichareamedia_comunicazioni%5Bcontroller%5D=Comunicazioni&amp;cHash=88b9dbc8a11bbaf69e33668cf73a2501</t>
  </si>
  <si>
    <t>ncumul_hosp</t>
  </si>
  <si>
    <t>ncumul_ICU</t>
  </si>
  <si>
    <t>(Leer)</t>
  </si>
  <si>
    <t>Summe von ncumul_released</t>
  </si>
  <si>
    <t>Summe von ncumul_deceased</t>
  </si>
  <si>
    <t>Summe von ncumul_conf</t>
  </si>
  <si>
    <t>Column1</t>
  </si>
  <si>
    <t>https://www.ag.ch/media/kanton_aargau/themen_1/coronavirus_1/lagebulletins/200427_KFS_Coronavirus_Lagebulletin_41.pdf</t>
  </si>
  <si>
    <t>https://www.gd.bs.ch//nm/2020-tagesbulletin-coronavirus-941-bestaetigte-faelle-im-kanton-basel-stadt-gd.html</t>
  </si>
  <si>
    <t>https://www4.ti.ch/area-media/comunicati/dettaglio-comunicato/?NEWS_ID=187690&amp;tx_tichareamedia_comunicazioni%5Baction%5D=show&amp;tx_tichareamedia_comunicazioni%5Bcontroller%5D=Comunicazioni&amp;cHash=b776cbdac6ff3c231bf4c3da4ce22b7f</t>
  </si>
  <si>
    <t>_1</t>
  </si>
  <si>
    <t>https://www.regierung.li/de/mitteilungen/223429/?typ=content&amp;nid=11076</t>
  </si>
  <si>
    <t>https://www.gd.bs.ch//nm/2020-tagesbulletin-coronavirus-943-bestaetigte-faelle-im-kanton-basel-stadt-gd.html</t>
  </si>
  <si>
    <t>New Hospitalized</t>
  </si>
  <si>
    <t>new hospitalized</t>
  </si>
  <si>
    <t>https://www.ag.ch/media/kanton_aargau/themen_1/coronavirus_1/lagebulletins/200429_KFS_Coronavirus_Lagebulletin_43.pdf</t>
  </si>
  <si>
    <t>https://www.gd.bs.ch//nm/2020-tagesbulletin-coronavirus-946-bestaetigte-faelle-im-kanton-basel-stadt-gd.html</t>
  </si>
  <si>
    <t>https://www.regierung.li/de/mitteilungen/223435/?typ=content&amp;nid=11076</t>
  </si>
  <si>
    <t>https://www.vs.ch/documents/6756452/7008787/2020%2004%2029%20Sit%20Epid%20-%20%C3%89tat%20Stand</t>
  </si>
  <si>
    <t>https://www4.ti.ch/area-media/comunicati/dettaglio-comunicato/?NEWS_ID=187695&amp;cHash=3d4572a26df56761bd6605aea6d65b84</t>
  </si>
  <si>
    <t>https://www.ag.ch/media/kanton_aargau/themen_1/coronavirus_1/lagebulletins/200428_KFS_Coronavirus_Lagebulletin_42.pdf</t>
  </si>
  <si>
    <t>https://www.regierung.li/media/attachments/228-corona-information-lockerungen-0429.pdf?t=637237803125206694</t>
  </si>
  <si>
    <t>https://www4.ti.ch/area-media/comunicati/dettaglio-comunicato/?NEWS_ID=187697&amp;tx_tichareamedia_comunicazioni%5Baction%5D=show&amp;tx_tichareamedia_comunicazioni%5Bcontroller%5D=Comunicazioni&amp;cHash=b8bc11fad760b3058475d2ff66e64b4b</t>
  </si>
  <si>
    <t>https://www.jura.ch/Htdocs/Files/v/34283.xlsx/Departements/CHA/SIC/Carrousel/Coronavirus/Cornavirus/Chiffres/donnees_29_04.xlsx?download=1</t>
  </si>
  <si>
    <t>https://www.gd.bs.ch//nm/2020-tagesbulletin-coronavirus-951-bestaetigte-faelle-im-kanton-basel-stadt-gd.html</t>
  </si>
  <si>
    <t>https://sh.ch/CMS/get/file/52b47430-c025-40dd-bc29-c70ed9b9899e</t>
  </si>
  <si>
    <t>https://www.sz.ch/public/upload/assets/46383/COVID-19_Fallzahlen_Kanton_Schwyz.xlsx</t>
  </si>
  <si>
    <t>Summe von ncumul_ICU</t>
  </si>
  <si>
    <t>Intensive care</t>
  </si>
  <si>
    <t>https://www.gl.ch/public/upload/assets/27992/COVID-19_Fallzahlen_Kanton_Glarus.xlsx</t>
  </si>
  <si>
    <t>ICU</t>
  </si>
  <si>
    <t>icu</t>
  </si>
  <si>
    <t>7.0</t>
  </si>
  <si>
    <t>https://www.fr.ch/sites/default/files/2020-04/statistiques_situation_FR_3004.xlsx</t>
  </si>
  <si>
    <t>https://www.ag.ch/media/kanton_aargau/themen_1/coronavirus_1/lagebulletins/200430_KFS_Coronavirus_Lagebulletin_44.pdf</t>
  </si>
  <si>
    <t>https://www.vs.ch/documents/6756452/7008787/2020%2004%2030%20Sit%20Epid%20-%20%C3%89tat%20Stand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</si>
</sst>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F400]h:mm:ss\ AM/PM"/>
    <numFmt numFmtId="165" formatCode="&quot;+&quot;\ #,##0\ &quot; today&quot;"/>
    <numFmt numFmtId="166" formatCode="&quot;+&quot;0"/>
    <numFmt numFmtId="167" formatCode="0\ &quot;days&quot;"/>
    <numFmt numFmtId="168" formatCode="&quot;+&quot;\ #,##0\ &quot; new released&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0">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6" fontId="9" fillId="2" borderId="2" xfId="0" applyNumberFormat="1" applyFont="1" applyFill="1" applyBorder="1" applyAlignment="1">
      <alignment horizontal="center"/>
    </xf>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 fontId="6" fillId="2" borderId="2" xfId="0" applyNumberFormat="1" applyFont="1" applyFill="1" applyBorder="1" applyAlignment="1">
      <alignment horizontal="center"/>
    </xf>
    <xf numFmtId="14" fontId="0" fillId="0" borderId="0" xfId="0" applyNumberFormat="1" applyAlignment="1">
      <alignment horizontal="left"/>
    </xf>
    <xf numFmtId="2" fontId="0" fillId="0" borderId="0" xfId="0" applyNumberFormat="1"/>
    <xf numFmtId="168" fontId="12" fillId="2" borderId="2" xfId="0" applyNumberFormat="1" applyFont="1" applyFill="1" applyBorder="1" applyAlignment="1">
      <alignment horizontal="center"/>
    </xf>
    <xf numFmtId="0" fontId="22" fillId="2" borderId="0" xfId="0" applyFont="1" applyFill="1" applyBorder="1" applyAlignment="1">
      <alignment horizontal="center" vertical="center"/>
    </xf>
  </cellXfs>
  <cellStyles count="2">
    <cellStyle name="Link" xfId="1" builtinId="8"/>
    <cellStyle name="Standard" xfId="0" builtinId="0"/>
  </cellStyles>
  <dxfs count="2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0" formatCode="General"/>
    </dxf>
    <dxf>
      <numFmt numFmtId="27" formatCode="dd/mm/yyyy\ hh:mm"/>
    </dxf>
    <dxf>
      <numFmt numFmtId="19" formatCode="dd/mm/yyyy"/>
    </dxf>
    <dxf>
      <numFmt numFmtId="2" formatCode="0.00"/>
    </dxf>
    <dxf>
      <numFmt numFmtId="2" formatCode="0.00"/>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ch_latest!$A$2:$A$67</c:f>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f>ch_latest!$I$2:$I$67</c:f>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4808</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ch_latest!$A$2:$A$67</c:f>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f>ch_latest!$G$2:$G$67</c:f>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ch_latest!$A$2:$A$67</c:f>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f>ch_latest!$J$2:$J$67</c:f>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1678</c:v>
                </c:pt>
                <c:pt idx="62">
                  <c:v>1699</c:v>
                </c:pt>
                <c:pt idx="63">
                  <c:v>1724</c:v>
                </c:pt>
                <c:pt idx="64">
                  <c:v>1730</c:v>
                </c:pt>
                <c:pt idx="65">
                  <c:v>1739</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c:ext uri="{02D57815-91ED-43cb-92C2-25804820EDAC}">
                        <c15:formulaRef>
                          <c15:sqref>ch_latest!$D$2:$D$67</c15:sqref>
                        </c15:formulaRef>
                      </c:ext>
                    </c:extLst>
                    <c:numCache>
                      <c:formatCode>General</c:formatCode>
                      <c:ptCount val="6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438</c:v>
                      </c:pt>
                      <c:pt idx="37">
                        <c:v>443</c:v>
                      </c:pt>
                      <c:pt idx="38">
                        <c:v>453</c:v>
                      </c:pt>
                      <c:pt idx="39">
                        <c:v>455</c:v>
                      </c:pt>
                      <c:pt idx="40">
                        <c:v>445</c:v>
                      </c:pt>
                      <c:pt idx="41">
                        <c:v>444</c:v>
                      </c:pt>
                      <c:pt idx="42">
                        <c:v>438</c:v>
                      </c:pt>
                      <c:pt idx="43">
                        <c:v>435</c:v>
                      </c:pt>
                      <c:pt idx="44">
                        <c:v>427</c:v>
                      </c:pt>
                      <c:pt idx="45">
                        <c:v>415</c:v>
                      </c:pt>
                      <c:pt idx="46">
                        <c:v>415</c:v>
                      </c:pt>
                      <c:pt idx="47">
                        <c:v>404</c:v>
                      </c:pt>
                      <c:pt idx="48">
                        <c:v>400</c:v>
                      </c:pt>
                      <c:pt idx="49">
                        <c:v>387</c:v>
                      </c:pt>
                      <c:pt idx="50">
                        <c:v>365</c:v>
                      </c:pt>
                      <c:pt idx="51">
                        <c:v>345</c:v>
                      </c:pt>
                      <c:pt idx="52">
                        <c:v>333</c:v>
                      </c:pt>
                      <c:pt idx="53">
                        <c:v>319</c:v>
                      </c:pt>
                      <c:pt idx="54">
                        <c:v>311</c:v>
                      </c:pt>
                      <c:pt idx="55">
                        <c:v>297</c:v>
                      </c:pt>
                      <c:pt idx="56">
                        <c:v>283</c:v>
                      </c:pt>
                      <c:pt idx="57">
                        <c:v>251</c:v>
                      </c:pt>
                      <c:pt idx="58">
                        <c:v>243</c:v>
                      </c:pt>
                      <c:pt idx="59">
                        <c:v>238</c:v>
                      </c:pt>
                      <c:pt idx="60">
                        <c:v>229</c:v>
                      </c:pt>
                      <c:pt idx="61">
                        <c:v>207</c:v>
                      </c:pt>
                      <c:pt idx="62">
                        <c:v>202</c:v>
                      </c:pt>
                      <c:pt idx="63">
                        <c:v>183</c:v>
                      </c:pt>
                      <c:pt idx="64">
                        <c:v>189</c:v>
                      </c:pt>
                      <c:pt idx="65">
                        <c:v>176</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ch_latest!$E$2:$E$67</c15:sqref>
                        </c15:formulaRef>
                      </c:ext>
                    </c:extLst>
                    <c:numCache>
                      <c:formatCode>General</c:formatCode>
                      <c:ptCount val="6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903</c:v>
                      </c:pt>
                      <c:pt idx="26">
                        <c:v>1089</c:v>
                      </c:pt>
                      <c:pt idx="27">
                        <c:v>1206</c:v>
                      </c:pt>
                      <c:pt idx="28">
                        <c:v>1363</c:v>
                      </c:pt>
                      <c:pt idx="29">
                        <c:v>1462</c:v>
                      </c:pt>
                      <c:pt idx="30">
                        <c:v>1608</c:v>
                      </c:pt>
                      <c:pt idx="31">
                        <c:v>1789</c:v>
                      </c:pt>
                      <c:pt idx="32">
                        <c:v>1876</c:v>
                      </c:pt>
                      <c:pt idx="33">
                        <c:v>1991</c:v>
                      </c:pt>
                      <c:pt idx="34">
                        <c:v>2176</c:v>
                      </c:pt>
                      <c:pt idx="35">
                        <c:v>2204</c:v>
                      </c:pt>
                      <c:pt idx="36">
                        <c:v>2283</c:v>
                      </c:pt>
                      <c:pt idx="37">
                        <c:v>2347</c:v>
                      </c:pt>
                      <c:pt idx="38">
                        <c:v>2328</c:v>
                      </c:pt>
                      <c:pt idx="39">
                        <c:v>2316</c:v>
                      </c:pt>
                      <c:pt idx="40">
                        <c:v>2301</c:v>
                      </c:pt>
                      <c:pt idx="41">
                        <c:v>2306</c:v>
                      </c:pt>
                      <c:pt idx="42">
                        <c:v>2224</c:v>
                      </c:pt>
                      <c:pt idx="43">
                        <c:v>2134</c:v>
                      </c:pt>
                      <c:pt idx="44">
                        <c:v>2066</c:v>
                      </c:pt>
                      <c:pt idx="45">
                        <c:v>2006</c:v>
                      </c:pt>
                      <c:pt idx="46">
                        <c:v>1931</c:v>
                      </c:pt>
                      <c:pt idx="47">
                        <c:v>1908</c:v>
                      </c:pt>
                      <c:pt idx="48">
                        <c:v>1891</c:v>
                      </c:pt>
                      <c:pt idx="49">
                        <c:v>1851</c:v>
                      </c:pt>
                      <c:pt idx="50">
                        <c:v>1729</c:v>
                      </c:pt>
                      <c:pt idx="51">
                        <c:v>1673</c:v>
                      </c:pt>
                      <c:pt idx="52">
                        <c:v>1574</c:v>
                      </c:pt>
                      <c:pt idx="53">
                        <c:v>1523</c:v>
                      </c:pt>
                      <c:pt idx="54">
                        <c:v>1516</c:v>
                      </c:pt>
                      <c:pt idx="55">
                        <c:v>1492</c:v>
                      </c:pt>
                      <c:pt idx="56">
                        <c:v>1414</c:v>
                      </c:pt>
                      <c:pt idx="57">
                        <c:v>1348</c:v>
                      </c:pt>
                      <c:pt idx="58">
                        <c:v>1295</c:v>
                      </c:pt>
                      <c:pt idx="59">
                        <c:v>1249</c:v>
                      </c:pt>
                      <c:pt idx="60">
                        <c:v>1220</c:v>
                      </c:pt>
                      <c:pt idx="61">
                        <c:v>1199</c:v>
                      </c:pt>
                      <c:pt idx="62">
                        <c:v>1177</c:v>
                      </c:pt>
                      <c:pt idx="63">
                        <c:v>1148</c:v>
                      </c:pt>
                      <c:pt idx="64">
                        <c:v>1081</c:v>
                      </c:pt>
                      <c:pt idx="65">
                        <c:v>1026</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ch_latest!$F$2:$F$67</c15:sqref>
                        </c15:formulaRef>
                      </c:ext>
                    </c:extLst>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ch_latest!$H$2:$H$67</c15:sqref>
                        </c15:formulaRef>
                      </c:ext>
                    </c:extLst>
                    <c:numCache>
                      <c:formatCode>General</c:formatCode>
                      <c:ptCount val="66"/>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ch_latest!$K$2:$K$67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ch_latest!$L$2:$L$67</c15:sqref>
                        </c15:formulaRef>
                      </c:ext>
                    </c:extLst>
                    <c:numCache>
                      <c:formatCode>General</c:formatCode>
                      <c:ptCount val="66"/>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670</c:v>
                      </c:pt>
                      <c:pt idx="44">
                        <c:v>668</c:v>
                      </c:pt>
                      <c:pt idx="45">
                        <c:v>450</c:v>
                      </c:pt>
                      <c:pt idx="46">
                        <c:v>463</c:v>
                      </c:pt>
                      <c:pt idx="47">
                        <c:v>273</c:v>
                      </c:pt>
                      <c:pt idx="48">
                        <c:v>251</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108</c:v>
                      </c:pt>
                      <c:pt idx="64">
                        <c:v>98</c:v>
                      </c:pt>
                      <c:pt idx="65">
                        <c:v>118</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ch_latest!$M$2:$M$67</c15:sqref>
                        </c15:formulaRef>
                      </c:ext>
                    </c:extLst>
                    <c:numCache>
                      <c:formatCode>General</c:formatCode>
                      <c:ptCount val="66"/>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27258</c:v>
                      </c:pt>
                      <c:pt idx="54">
                        <c:v>27541</c:v>
                      </c:pt>
                      <c:pt idx="55">
                        <c:v>27718</c:v>
                      </c:pt>
                      <c:pt idx="56">
                        <c:v>27920</c:v>
                      </c:pt>
                      <c:pt idx="57">
                        <c:v>28079</c:v>
                      </c:pt>
                      <c:pt idx="58">
                        <c:v>28276</c:v>
                      </c:pt>
                      <c:pt idx="59">
                        <c:v>28493</c:v>
                      </c:pt>
                      <c:pt idx="60">
                        <c:v>28684</c:v>
                      </c:pt>
                      <c:pt idx="61">
                        <c:v>28823</c:v>
                      </c:pt>
                      <c:pt idx="62">
                        <c:v>28904</c:v>
                      </c:pt>
                      <c:pt idx="63">
                        <c:v>29069</c:v>
                      </c:pt>
                      <c:pt idx="64">
                        <c:v>29177</c:v>
                      </c:pt>
                      <c:pt idx="65">
                        <c:v>29275</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ch_latest!$N$2:$N$67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ch_latest!$O$2:$O$67</c15:sqref>
                        </c15:formulaRef>
                      </c:ext>
                    </c:extLst>
                    <c:numCache>
                      <c:formatCode>General</c:formatCode>
                      <c:ptCount val="66"/>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17</c:v>
                      </c:pt>
                      <c:pt idx="62">
                        <c:v>21</c:v>
                      </c:pt>
                      <c:pt idx="63">
                        <c:v>25</c:v>
                      </c:pt>
                      <c:pt idx="64">
                        <c:v>6</c:v>
                      </c:pt>
                      <c:pt idx="65">
                        <c:v>9</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ch_latest!$P$2:$P$67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1678</c:v>
                      </c:pt>
                      <c:pt idx="63">
                        <c:v>1699</c:v>
                      </c:pt>
                      <c:pt idx="64">
                        <c:v>1724</c:v>
                      </c:pt>
                      <c:pt idx="65">
                        <c:v>1730</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ch_latest!$Q$2:$Q$67</c15:sqref>
                        </c15:formulaRef>
                      </c:ext>
                    </c:extLst>
                    <c:numCache>
                      <c:formatCode>General</c:formatCode>
                      <c:ptCount val="66"/>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25.709091999999998</c:v>
                      </c:pt>
                      <c:pt idx="44">
                        <c:v>25.561</c:v>
                      </c:pt>
                      <c:pt idx="45">
                        <c:v>25.466868999999999</c:v>
                      </c:pt>
                      <c:pt idx="46">
                        <c:v>28.641846999999999</c:v>
                      </c:pt>
                      <c:pt idx="47">
                        <c:v>33.588118000000001</c:v>
                      </c:pt>
                      <c:pt idx="48">
                        <c:v>41.043351000000001</c:v>
                      </c:pt>
                      <c:pt idx="49">
                        <c:v>50.101184000000003</c:v>
                      </c:pt>
                      <c:pt idx="50">
                        <c:v>54.987307999999999</c:v>
                      </c:pt>
                      <c:pt idx="51">
                        <c:v>62.057972999999997</c:v>
                      </c:pt>
                      <c:pt idx="52">
                        <c:v>60.688861000000003</c:v>
                      </c:pt>
                      <c:pt idx="53">
                        <c:v>60.030285999999997</c:v>
                      </c:pt>
                      <c:pt idx="54">
                        <c:v>66.868784000000005</c:v>
                      </c:pt>
                      <c:pt idx="55">
                        <c:v>73.614396999999997</c:v>
                      </c:pt>
                      <c:pt idx="56">
                        <c:v>83.320153000000005</c:v>
                      </c:pt>
                      <c:pt idx="57">
                        <c:v>94.520932000000002</c:v>
                      </c:pt>
                      <c:pt idx="58">
                        <c:v>101.985483</c:v>
                      </c:pt>
                      <c:pt idx="59">
                        <c:v>101.167351</c:v>
                      </c:pt>
                      <c:pt idx="60">
                        <c:v>108.88131199999999</c:v>
                      </c:pt>
                      <c:pt idx="61">
                        <c:v>119.68135100000001</c:v>
                      </c:pt>
                      <c:pt idx="62">
                        <c:v>125.302621</c:v>
                      </c:pt>
                      <c:pt idx="63">
                        <c:v>146.09621100000001</c:v>
                      </c:pt>
                      <c:pt idx="64">
                        <c:v>169.935385</c:v>
                      </c:pt>
                      <c:pt idx="65">
                        <c:v>176.977924</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ch_latest!$R$2:$R$67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44.035781</c:v>
                      </c:pt>
                      <c:pt idx="62">
                        <c:v>46.909311000000002</c:v>
                      </c:pt>
                      <c:pt idx="63">
                        <c:v>49.755021999999997</c:v>
                      </c:pt>
                      <c:pt idx="64">
                        <c:v>62.721314999999997</c:v>
                      </c:pt>
                      <c:pt idx="65">
                        <c:v>75.522015999999994</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ch_latest!$A$2:$A$67</c:f>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f>ch_latest!$E$2:$E$67</c:f>
              <c:numCache>
                <c:formatCode>General</c:formatCode>
                <c:ptCount val="6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903</c:v>
                </c:pt>
                <c:pt idx="26">
                  <c:v>1089</c:v>
                </c:pt>
                <c:pt idx="27">
                  <c:v>1206</c:v>
                </c:pt>
                <c:pt idx="28">
                  <c:v>1363</c:v>
                </c:pt>
                <c:pt idx="29">
                  <c:v>1462</c:v>
                </c:pt>
                <c:pt idx="30">
                  <c:v>1608</c:v>
                </c:pt>
                <c:pt idx="31">
                  <c:v>1789</c:v>
                </c:pt>
                <c:pt idx="32">
                  <c:v>1876</c:v>
                </c:pt>
                <c:pt idx="33">
                  <c:v>1991</c:v>
                </c:pt>
                <c:pt idx="34">
                  <c:v>2176</c:v>
                </c:pt>
                <c:pt idx="35">
                  <c:v>2204</c:v>
                </c:pt>
                <c:pt idx="36">
                  <c:v>2283</c:v>
                </c:pt>
                <c:pt idx="37">
                  <c:v>2347</c:v>
                </c:pt>
                <c:pt idx="38">
                  <c:v>2328</c:v>
                </c:pt>
                <c:pt idx="39">
                  <c:v>2316</c:v>
                </c:pt>
                <c:pt idx="40">
                  <c:v>2301</c:v>
                </c:pt>
                <c:pt idx="41">
                  <c:v>2306</c:v>
                </c:pt>
                <c:pt idx="42">
                  <c:v>2224</c:v>
                </c:pt>
                <c:pt idx="43">
                  <c:v>2134</c:v>
                </c:pt>
                <c:pt idx="44">
                  <c:v>2066</c:v>
                </c:pt>
                <c:pt idx="45">
                  <c:v>2006</c:v>
                </c:pt>
                <c:pt idx="46">
                  <c:v>1931</c:v>
                </c:pt>
                <c:pt idx="47">
                  <c:v>1908</c:v>
                </c:pt>
                <c:pt idx="48">
                  <c:v>1891</c:v>
                </c:pt>
                <c:pt idx="49">
                  <c:v>1851</c:v>
                </c:pt>
                <c:pt idx="50">
                  <c:v>1729</c:v>
                </c:pt>
                <c:pt idx="51">
                  <c:v>1673</c:v>
                </c:pt>
                <c:pt idx="52">
                  <c:v>1574</c:v>
                </c:pt>
                <c:pt idx="53">
                  <c:v>1523</c:v>
                </c:pt>
                <c:pt idx="54">
                  <c:v>1516</c:v>
                </c:pt>
                <c:pt idx="55">
                  <c:v>1492</c:v>
                </c:pt>
                <c:pt idx="56">
                  <c:v>1414</c:v>
                </c:pt>
                <c:pt idx="57">
                  <c:v>1348</c:v>
                </c:pt>
                <c:pt idx="58">
                  <c:v>1295</c:v>
                </c:pt>
                <c:pt idx="59">
                  <c:v>1249</c:v>
                </c:pt>
                <c:pt idx="60">
                  <c:v>1220</c:v>
                </c:pt>
                <c:pt idx="61">
                  <c:v>1199</c:v>
                </c:pt>
                <c:pt idx="62">
                  <c:v>1177</c:v>
                </c:pt>
                <c:pt idx="63">
                  <c:v>1148</c:v>
                </c:pt>
                <c:pt idx="64">
                  <c:v>1081</c:v>
                </c:pt>
                <c:pt idx="65">
                  <c:v>1026</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ch_latest!$A$2:$C$67</c:f>
              <c:multiLvlStrCache>
                <c:ptCount val="66"/>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lvl>
                <c:lvl>
                  <c:pt idx="0">
                    <c:v>30.04.2020 15:03</c:v>
                  </c:pt>
                  <c:pt idx="1">
                    <c:v>30.04.2020 15:03</c:v>
                  </c:pt>
                  <c:pt idx="2">
                    <c:v>30.04.2020 15:03</c:v>
                  </c:pt>
                  <c:pt idx="3">
                    <c:v>30.04.2020 15:03</c:v>
                  </c:pt>
                  <c:pt idx="4">
                    <c:v>30.04.2020 15:03</c:v>
                  </c:pt>
                  <c:pt idx="5">
                    <c:v>30.04.2020 15:03</c:v>
                  </c:pt>
                  <c:pt idx="6">
                    <c:v>30.04.2020 15:03</c:v>
                  </c:pt>
                  <c:pt idx="7">
                    <c:v>30.04.2020 15:03</c:v>
                  </c:pt>
                  <c:pt idx="8">
                    <c:v>30.04.2020 15:03</c:v>
                  </c:pt>
                  <c:pt idx="9">
                    <c:v>30.04.2020 15:03</c:v>
                  </c:pt>
                  <c:pt idx="10">
                    <c:v>30.04.2020 15:03</c:v>
                  </c:pt>
                  <c:pt idx="11">
                    <c:v>30.04.2020 15:03</c:v>
                  </c:pt>
                  <c:pt idx="12">
                    <c:v>30.04.2020 15:03</c:v>
                  </c:pt>
                  <c:pt idx="13">
                    <c:v>30.04.2020 15:03</c:v>
                  </c:pt>
                  <c:pt idx="14">
                    <c:v>30.04.2020 15:03</c:v>
                  </c:pt>
                  <c:pt idx="15">
                    <c:v>30.04.2020 15:03</c:v>
                  </c:pt>
                  <c:pt idx="16">
                    <c:v>30.04.2020 15:03</c:v>
                  </c:pt>
                  <c:pt idx="17">
                    <c:v>30.04.2020 15:03</c:v>
                  </c:pt>
                  <c:pt idx="18">
                    <c:v>30.04.2020 15:03</c:v>
                  </c:pt>
                  <c:pt idx="19">
                    <c:v>30.04.2020 15:03</c:v>
                  </c:pt>
                  <c:pt idx="20">
                    <c:v>30.04.2020 15:03</c:v>
                  </c:pt>
                  <c:pt idx="21">
                    <c:v>30.04.2020 15:03</c:v>
                  </c:pt>
                  <c:pt idx="22">
                    <c:v>30.04.2020 15:03</c:v>
                  </c:pt>
                  <c:pt idx="23">
                    <c:v>30.04.2020 15:03</c:v>
                  </c:pt>
                  <c:pt idx="24">
                    <c:v>30.04.2020 15:03</c:v>
                  </c:pt>
                  <c:pt idx="25">
                    <c:v>30.04.2020 15:03</c:v>
                  </c:pt>
                  <c:pt idx="26">
                    <c:v>30.04.2020 15:03</c:v>
                  </c:pt>
                  <c:pt idx="27">
                    <c:v>30.04.2020 15:03</c:v>
                  </c:pt>
                  <c:pt idx="28">
                    <c:v>30.04.2020 15:03</c:v>
                  </c:pt>
                  <c:pt idx="29">
                    <c:v>30.04.2020 15:03</c:v>
                  </c:pt>
                  <c:pt idx="30">
                    <c:v>30.04.2020 15:03</c:v>
                  </c:pt>
                  <c:pt idx="31">
                    <c:v>30.04.2020 15:03</c:v>
                  </c:pt>
                  <c:pt idx="32">
                    <c:v>30.04.2020 15:03</c:v>
                  </c:pt>
                  <c:pt idx="33">
                    <c:v>30.04.2020 15:03</c:v>
                  </c:pt>
                  <c:pt idx="34">
                    <c:v>30.04.2020 15:03</c:v>
                  </c:pt>
                  <c:pt idx="35">
                    <c:v>30.04.2020 15:03</c:v>
                  </c:pt>
                  <c:pt idx="36">
                    <c:v>30.04.2020 15:03</c:v>
                  </c:pt>
                  <c:pt idx="37">
                    <c:v>30.04.2020 15:03</c:v>
                  </c:pt>
                  <c:pt idx="38">
                    <c:v>30.04.2020 15:03</c:v>
                  </c:pt>
                  <c:pt idx="39">
                    <c:v>30.04.2020 15:03</c:v>
                  </c:pt>
                  <c:pt idx="40">
                    <c:v>30.04.2020 15:03</c:v>
                  </c:pt>
                  <c:pt idx="41">
                    <c:v>30.04.2020 15:03</c:v>
                  </c:pt>
                  <c:pt idx="42">
                    <c:v>30.04.2020 15:03</c:v>
                  </c:pt>
                  <c:pt idx="43">
                    <c:v>30.04.2020 15:03</c:v>
                  </c:pt>
                  <c:pt idx="44">
                    <c:v>30.04.2020 15:03</c:v>
                  </c:pt>
                  <c:pt idx="45">
                    <c:v>30.04.2020 15:03</c:v>
                  </c:pt>
                  <c:pt idx="46">
                    <c:v>30.04.2020 15:03</c:v>
                  </c:pt>
                  <c:pt idx="47">
                    <c:v>30.04.2020 15:03</c:v>
                  </c:pt>
                  <c:pt idx="48">
                    <c:v>30.04.2020 15:03</c:v>
                  </c:pt>
                  <c:pt idx="49">
                    <c:v>30.04.2020 15:03</c:v>
                  </c:pt>
                  <c:pt idx="50">
                    <c:v>30.04.2020 15:03</c:v>
                  </c:pt>
                  <c:pt idx="51">
                    <c:v>30.04.2020 15:03</c:v>
                  </c:pt>
                  <c:pt idx="52">
                    <c:v>30.04.2020 15:03</c:v>
                  </c:pt>
                  <c:pt idx="53">
                    <c:v>30.04.2020 15:03</c:v>
                  </c:pt>
                  <c:pt idx="54">
                    <c:v>30.04.2020 15:03</c:v>
                  </c:pt>
                  <c:pt idx="55">
                    <c:v>30.04.2020 15:03</c:v>
                  </c:pt>
                  <c:pt idx="56">
                    <c:v>30.04.2020 15:03</c:v>
                  </c:pt>
                  <c:pt idx="57">
                    <c:v>30.04.2020 15:03</c:v>
                  </c:pt>
                  <c:pt idx="58">
                    <c:v>30.04.2020 15:03</c:v>
                  </c:pt>
                  <c:pt idx="59">
                    <c:v>30.04.2020 15:03</c:v>
                  </c:pt>
                  <c:pt idx="60">
                    <c:v>30.04.2020 15:03</c:v>
                  </c:pt>
                  <c:pt idx="61">
                    <c:v>30.04.2020 15:03</c:v>
                  </c:pt>
                  <c:pt idx="62">
                    <c:v>30.04.2020 15:03</c:v>
                  </c:pt>
                  <c:pt idx="63">
                    <c:v>30.04.2020 15:03</c:v>
                  </c:pt>
                  <c:pt idx="64">
                    <c:v>30.04.2020 15:03</c:v>
                  </c:pt>
                  <c:pt idx="65">
                    <c:v>30.04.2020 15:03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lvl>
              </c:multiLvlStrCache>
            </c:multiLvlStrRef>
          </c:cat>
          <c:val>
            <c:numRef>
              <c:f>ch_latest!$D$2:$D$67</c:f>
              <c:numCache>
                <c:formatCode>General</c:formatCode>
                <c:ptCount val="6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438</c:v>
                </c:pt>
                <c:pt idx="37">
                  <c:v>443</c:v>
                </c:pt>
                <c:pt idx="38">
                  <c:v>453</c:v>
                </c:pt>
                <c:pt idx="39">
                  <c:v>455</c:v>
                </c:pt>
                <c:pt idx="40">
                  <c:v>445</c:v>
                </c:pt>
                <c:pt idx="41">
                  <c:v>444</c:v>
                </c:pt>
                <c:pt idx="42">
                  <c:v>438</c:v>
                </c:pt>
                <c:pt idx="43">
                  <c:v>435</c:v>
                </c:pt>
                <c:pt idx="44">
                  <c:v>427</c:v>
                </c:pt>
                <c:pt idx="45">
                  <c:v>415</c:v>
                </c:pt>
                <c:pt idx="46">
                  <c:v>415</c:v>
                </c:pt>
                <c:pt idx="47">
                  <c:v>404</c:v>
                </c:pt>
                <c:pt idx="48">
                  <c:v>400</c:v>
                </c:pt>
                <c:pt idx="49">
                  <c:v>387</c:v>
                </c:pt>
                <c:pt idx="50">
                  <c:v>365</c:v>
                </c:pt>
                <c:pt idx="51">
                  <c:v>345</c:v>
                </c:pt>
                <c:pt idx="52">
                  <c:v>333</c:v>
                </c:pt>
                <c:pt idx="53">
                  <c:v>319</c:v>
                </c:pt>
                <c:pt idx="54">
                  <c:v>311</c:v>
                </c:pt>
                <c:pt idx="55">
                  <c:v>297</c:v>
                </c:pt>
                <c:pt idx="56">
                  <c:v>283</c:v>
                </c:pt>
                <c:pt idx="57">
                  <c:v>251</c:v>
                </c:pt>
                <c:pt idx="58">
                  <c:v>243</c:v>
                </c:pt>
                <c:pt idx="59">
                  <c:v>238</c:v>
                </c:pt>
                <c:pt idx="60">
                  <c:v>229</c:v>
                </c:pt>
                <c:pt idx="61">
                  <c:v>207</c:v>
                </c:pt>
                <c:pt idx="62">
                  <c:v>202</c:v>
                </c:pt>
                <c:pt idx="63">
                  <c:v>183</c:v>
                </c:pt>
                <c:pt idx="64">
                  <c:v>189</c:v>
                </c:pt>
                <c:pt idx="65">
                  <c:v>176</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c:ext uri="{02D57815-91ED-43cb-92C2-25804820EDAC}">
                        <c15:formulaRef>
                          <c15:sqref>ch_latest!$F$2:$F$67</c15:sqref>
                        </c15:formulaRef>
                      </c:ext>
                    </c:extLst>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ch_latest!$G$2:$G$67</c15:sqref>
                        </c15:formulaRef>
                      </c:ext>
                    </c:extLst>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ch_latest!$H$2:$H$67</c15:sqref>
                        </c15:formulaRef>
                      </c:ext>
                    </c:extLst>
                    <c:numCache>
                      <c:formatCode>General</c:formatCode>
                      <c:ptCount val="66"/>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ch_latest!$I$2:$I$67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4808</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ch_latest!$K$2:$K$67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ch_latest!$L$2:$L$67</c15:sqref>
                        </c15:formulaRef>
                      </c:ext>
                    </c:extLst>
                    <c:numCache>
                      <c:formatCode>General</c:formatCode>
                      <c:ptCount val="66"/>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670</c:v>
                      </c:pt>
                      <c:pt idx="44">
                        <c:v>668</c:v>
                      </c:pt>
                      <c:pt idx="45">
                        <c:v>450</c:v>
                      </c:pt>
                      <c:pt idx="46">
                        <c:v>463</c:v>
                      </c:pt>
                      <c:pt idx="47">
                        <c:v>273</c:v>
                      </c:pt>
                      <c:pt idx="48">
                        <c:v>251</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108</c:v>
                      </c:pt>
                      <c:pt idx="64">
                        <c:v>98</c:v>
                      </c:pt>
                      <c:pt idx="65">
                        <c:v>118</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ch_latest!$M$2:$M$67</c15:sqref>
                        </c15:formulaRef>
                      </c:ext>
                    </c:extLst>
                    <c:numCache>
                      <c:formatCode>General</c:formatCode>
                      <c:ptCount val="66"/>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27258</c:v>
                      </c:pt>
                      <c:pt idx="54">
                        <c:v>27541</c:v>
                      </c:pt>
                      <c:pt idx="55">
                        <c:v>27718</c:v>
                      </c:pt>
                      <c:pt idx="56">
                        <c:v>27920</c:v>
                      </c:pt>
                      <c:pt idx="57">
                        <c:v>28079</c:v>
                      </c:pt>
                      <c:pt idx="58">
                        <c:v>28276</c:v>
                      </c:pt>
                      <c:pt idx="59">
                        <c:v>28493</c:v>
                      </c:pt>
                      <c:pt idx="60">
                        <c:v>28684</c:v>
                      </c:pt>
                      <c:pt idx="61">
                        <c:v>28823</c:v>
                      </c:pt>
                      <c:pt idx="62">
                        <c:v>28904</c:v>
                      </c:pt>
                      <c:pt idx="63">
                        <c:v>29069</c:v>
                      </c:pt>
                      <c:pt idx="64">
                        <c:v>29177</c:v>
                      </c:pt>
                      <c:pt idx="65">
                        <c:v>29275</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ch_latest!$N$2:$N$67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ch_latest!$O$2:$O$67</c15:sqref>
                        </c15:formulaRef>
                      </c:ext>
                    </c:extLst>
                    <c:numCache>
                      <c:formatCode>General</c:formatCode>
                      <c:ptCount val="66"/>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17</c:v>
                      </c:pt>
                      <c:pt idx="62">
                        <c:v>21</c:v>
                      </c:pt>
                      <c:pt idx="63">
                        <c:v>25</c:v>
                      </c:pt>
                      <c:pt idx="64">
                        <c:v>6</c:v>
                      </c:pt>
                      <c:pt idx="65">
                        <c:v>9</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ch_latest!$P$2:$P$67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1678</c:v>
                      </c:pt>
                      <c:pt idx="63">
                        <c:v>1699</c:v>
                      </c:pt>
                      <c:pt idx="64">
                        <c:v>1724</c:v>
                      </c:pt>
                      <c:pt idx="65">
                        <c:v>1730</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ch_latest!$Q$2:$Q$67</c15:sqref>
                        </c15:formulaRef>
                      </c:ext>
                    </c:extLst>
                    <c:numCache>
                      <c:formatCode>General</c:formatCode>
                      <c:ptCount val="66"/>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25.709091999999998</c:v>
                      </c:pt>
                      <c:pt idx="44">
                        <c:v>25.561</c:v>
                      </c:pt>
                      <c:pt idx="45">
                        <c:v>25.466868999999999</c:v>
                      </c:pt>
                      <c:pt idx="46">
                        <c:v>28.641846999999999</c:v>
                      </c:pt>
                      <c:pt idx="47">
                        <c:v>33.588118000000001</c:v>
                      </c:pt>
                      <c:pt idx="48">
                        <c:v>41.043351000000001</c:v>
                      </c:pt>
                      <c:pt idx="49">
                        <c:v>50.101184000000003</c:v>
                      </c:pt>
                      <c:pt idx="50">
                        <c:v>54.987307999999999</c:v>
                      </c:pt>
                      <c:pt idx="51">
                        <c:v>62.057972999999997</c:v>
                      </c:pt>
                      <c:pt idx="52">
                        <c:v>60.688861000000003</c:v>
                      </c:pt>
                      <c:pt idx="53">
                        <c:v>60.030285999999997</c:v>
                      </c:pt>
                      <c:pt idx="54">
                        <c:v>66.868784000000005</c:v>
                      </c:pt>
                      <c:pt idx="55">
                        <c:v>73.614396999999997</c:v>
                      </c:pt>
                      <c:pt idx="56">
                        <c:v>83.320153000000005</c:v>
                      </c:pt>
                      <c:pt idx="57">
                        <c:v>94.520932000000002</c:v>
                      </c:pt>
                      <c:pt idx="58">
                        <c:v>101.985483</c:v>
                      </c:pt>
                      <c:pt idx="59">
                        <c:v>101.167351</c:v>
                      </c:pt>
                      <c:pt idx="60">
                        <c:v>108.88131199999999</c:v>
                      </c:pt>
                      <c:pt idx="61">
                        <c:v>119.68135100000001</c:v>
                      </c:pt>
                      <c:pt idx="62">
                        <c:v>125.302621</c:v>
                      </c:pt>
                      <c:pt idx="63">
                        <c:v>146.09621100000001</c:v>
                      </c:pt>
                      <c:pt idx="64">
                        <c:v>169.935385</c:v>
                      </c:pt>
                      <c:pt idx="65">
                        <c:v>176.977924</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ch_latest!$R$2:$R$67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44.035781</c:v>
                      </c:pt>
                      <c:pt idx="62">
                        <c:v>46.909311000000002</c:v>
                      </c:pt>
                      <c:pt idx="63">
                        <c:v>49.755021999999997</c:v>
                      </c:pt>
                      <c:pt idx="64">
                        <c:v>62.721314999999997</c:v>
                      </c:pt>
                      <c:pt idx="65">
                        <c:v>75.522015999999994</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ch_latest!$A$2:$A$67</c:f>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f>ch_latest!$J$2:$J$67</c:f>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1678</c:v>
                </c:pt>
                <c:pt idx="62">
                  <c:v>1699</c:v>
                </c:pt>
                <c:pt idx="63">
                  <c:v>1724</c:v>
                </c:pt>
                <c:pt idx="64">
                  <c:v>1730</c:v>
                </c:pt>
                <c:pt idx="65">
                  <c:v>1739</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c:ext uri="{02D57815-91ED-43cb-92C2-25804820EDAC}">
                        <c15:formulaRef>
                          <c15:sqref>ch_latest!$D$2:$D$67</c15:sqref>
                        </c15:formulaRef>
                      </c:ext>
                    </c:extLst>
                    <c:numCache>
                      <c:formatCode>General</c:formatCode>
                      <c:ptCount val="6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438</c:v>
                      </c:pt>
                      <c:pt idx="37">
                        <c:v>443</c:v>
                      </c:pt>
                      <c:pt idx="38">
                        <c:v>453</c:v>
                      </c:pt>
                      <c:pt idx="39">
                        <c:v>455</c:v>
                      </c:pt>
                      <c:pt idx="40">
                        <c:v>445</c:v>
                      </c:pt>
                      <c:pt idx="41">
                        <c:v>444</c:v>
                      </c:pt>
                      <c:pt idx="42">
                        <c:v>438</c:v>
                      </c:pt>
                      <c:pt idx="43">
                        <c:v>435</c:v>
                      </c:pt>
                      <c:pt idx="44">
                        <c:v>427</c:v>
                      </c:pt>
                      <c:pt idx="45">
                        <c:v>415</c:v>
                      </c:pt>
                      <c:pt idx="46">
                        <c:v>415</c:v>
                      </c:pt>
                      <c:pt idx="47">
                        <c:v>404</c:v>
                      </c:pt>
                      <c:pt idx="48">
                        <c:v>400</c:v>
                      </c:pt>
                      <c:pt idx="49">
                        <c:v>387</c:v>
                      </c:pt>
                      <c:pt idx="50">
                        <c:v>365</c:v>
                      </c:pt>
                      <c:pt idx="51">
                        <c:v>345</c:v>
                      </c:pt>
                      <c:pt idx="52">
                        <c:v>333</c:v>
                      </c:pt>
                      <c:pt idx="53">
                        <c:v>319</c:v>
                      </c:pt>
                      <c:pt idx="54">
                        <c:v>311</c:v>
                      </c:pt>
                      <c:pt idx="55">
                        <c:v>297</c:v>
                      </c:pt>
                      <c:pt idx="56">
                        <c:v>283</c:v>
                      </c:pt>
                      <c:pt idx="57">
                        <c:v>251</c:v>
                      </c:pt>
                      <c:pt idx="58">
                        <c:v>243</c:v>
                      </c:pt>
                      <c:pt idx="59">
                        <c:v>238</c:v>
                      </c:pt>
                      <c:pt idx="60">
                        <c:v>229</c:v>
                      </c:pt>
                      <c:pt idx="61">
                        <c:v>207</c:v>
                      </c:pt>
                      <c:pt idx="62">
                        <c:v>202</c:v>
                      </c:pt>
                      <c:pt idx="63">
                        <c:v>183</c:v>
                      </c:pt>
                      <c:pt idx="64">
                        <c:v>189</c:v>
                      </c:pt>
                      <c:pt idx="65">
                        <c:v>176</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ch_latest!$E$2:$E$67</c15:sqref>
                        </c15:formulaRef>
                      </c:ext>
                    </c:extLst>
                    <c:numCache>
                      <c:formatCode>General</c:formatCode>
                      <c:ptCount val="6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903</c:v>
                      </c:pt>
                      <c:pt idx="26">
                        <c:v>1089</c:v>
                      </c:pt>
                      <c:pt idx="27">
                        <c:v>1206</c:v>
                      </c:pt>
                      <c:pt idx="28">
                        <c:v>1363</c:v>
                      </c:pt>
                      <c:pt idx="29">
                        <c:v>1462</c:v>
                      </c:pt>
                      <c:pt idx="30">
                        <c:v>1608</c:v>
                      </c:pt>
                      <c:pt idx="31">
                        <c:v>1789</c:v>
                      </c:pt>
                      <c:pt idx="32">
                        <c:v>1876</c:v>
                      </c:pt>
                      <c:pt idx="33">
                        <c:v>1991</c:v>
                      </c:pt>
                      <c:pt idx="34">
                        <c:v>2176</c:v>
                      </c:pt>
                      <c:pt idx="35">
                        <c:v>2204</c:v>
                      </c:pt>
                      <c:pt idx="36">
                        <c:v>2283</c:v>
                      </c:pt>
                      <c:pt idx="37">
                        <c:v>2347</c:v>
                      </c:pt>
                      <c:pt idx="38">
                        <c:v>2328</c:v>
                      </c:pt>
                      <c:pt idx="39">
                        <c:v>2316</c:v>
                      </c:pt>
                      <c:pt idx="40">
                        <c:v>2301</c:v>
                      </c:pt>
                      <c:pt idx="41">
                        <c:v>2306</c:v>
                      </c:pt>
                      <c:pt idx="42">
                        <c:v>2224</c:v>
                      </c:pt>
                      <c:pt idx="43">
                        <c:v>2134</c:v>
                      </c:pt>
                      <c:pt idx="44">
                        <c:v>2066</c:v>
                      </c:pt>
                      <c:pt idx="45">
                        <c:v>2006</c:v>
                      </c:pt>
                      <c:pt idx="46">
                        <c:v>1931</c:v>
                      </c:pt>
                      <c:pt idx="47">
                        <c:v>1908</c:v>
                      </c:pt>
                      <c:pt idx="48">
                        <c:v>1891</c:v>
                      </c:pt>
                      <c:pt idx="49">
                        <c:v>1851</c:v>
                      </c:pt>
                      <c:pt idx="50">
                        <c:v>1729</c:v>
                      </c:pt>
                      <c:pt idx="51">
                        <c:v>1673</c:v>
                      </c:pt>
                      <c:pt idx="52">
                        <c:v>1574</c:v>
                      </c:pt>
                      <c:pt idx="53">
                        <c:v>1523</c:v>
                      </c:pt>
                      <c:pt idx="54">
                        <c:v>1516</c:v>
                      </c:pt>
                      <c:pt idx="55">
                        <c:v>1492</c:v>
                      </c:pt>
                      <c:pt idx="56">
                        <c:v>1414</c:v>
                      </c:pt>
                      <c:pt idx="57">
                        <c:v>1348</c:v>
                      </c:pt>
                      <c:pt idx="58">
                        <c:v>1295</c:v>
                      </c:pt>
                      <c:pt idx="59">
                        <c:v>1249</c:v>
                      </c:pt>
                      <c:pt idx="60">
                        <c:v>1220</c:v>
                      </c:pt>
                      <c:pt idx="61">
                        <c:v>1199</c:v>
                      </c:pt>
                      <c:pt idx="62">
                        <c:v>1177</c:v>
                      </c:pt>
                      <c:pt idx="63">
                        <c:v>1148</c:v>
                      </c:pt>
                      <c:pt idx="64">
                        <c:v>1081</c:v>
                      </c:pt>
                      <c:pt idx="65">
                        <c:v>1026</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ch_latest!$F$2:$F$67</c15:sqref>
                        </c15:formulaRef>
                      </c:ext>
                    </c:extLst>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ch_latest!$G$2:$G$67</c15:sqref>
                        </c15:formulaRef>
                      </c:ext>
                    </c:extLst>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ch_latest!$H$2:$H$67</c15:sqref>
                        </c15:formulaRef>
                      </c:ext>
                    </c:extLst>
                    <c:numCache>
                      <c:formatCode>General</c:formatCode>
                      <c:ptCount val="66"/>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ch_latest!$I$2:$I$67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4808</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ch_latest!$J$2:$J$67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1678</c:v>
                      </c:pt>
                      <c:pt idx="62">
                        <c:v>1699</c:v>
                      </c:pt>
                      <c:pt idx="63">
                        <c:v>1724</c:v>
                      </c:pt>
                      <c:pt idx="64">
                        <c:v>1730</c:v>
                      </c:pt>
                      <c:pt idx="65">
                        <c:v>1739</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ch_latest!$K$2:$K$67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ch_latest!$L$2:$L$67</c15:sqref>
                        </c15:formulaRef>
                      </c:ext>
                    </c:extLst>
                    <c:numCache>
                      <c:formatCode>General</c:formatCode>
                      <c:ptCount val="66"/>
                      <c:pt idx="1">
                        <c:v>1</c:v>
                      </c:pt>
                      <c:pt idx="2">
                        <c:v>4</c:v>
                      </c:pt>
                      <c:pt idx="3">
                        <c:v>7</c:v>
                      </c:pt>
                      <c:pt idx="4">
                        <c:v>7</c:v>
                      </c:pt>
                      <c:pt idx="5">
                        <c:v>7</c:v>
                      </c:pt>
                      <c:pt idx="6">
                        <c:v>10</c:v>
                      </c:pt>
                      <c:pt idx="7">
                        <c:v>17</c:v>
                      </c:pt>
                      <c:pt idx="8">
                        <c:v>20</c:v>
                      </c:pt>
                      <c:pt idx="9">
                        <c:v>44</c:v>
                      </c:pt>
                      <c:pt idx="10">
                        <c:v>65</c:v>
                      </c:pt>
                      <c:pt idx="11">
                        <c:v>72</c:v>
                      </c:pt>
                      <c:pt idx="12">
                        <c:v>57</c:v>
                      </c:pt>
                      <c:pt idx="13">
                        <c:v>84</c:v>
                      </c:pt>
                      <c:pt idx="14">
                        <c:v>138</c:v>
                      </c:pt>
                      <c:pt idx="15">
                        <c:v>171</c:v>
                      </c:pt>
                      <c:pt idx="16">
                        <c:v>352</c:v>
                      </c:pt>
                      <c:pt idx="17">
                        <c:v>352</c:v>
                      </c:pt>
                      <c:pt idx="18">
                        <c:v>333</c:v>
                      </c:pt>
                      <c:pt idx="19">
                        <c:v>286</c:v>
                      </c:pt>
                      <c:pt idx="20">
                        <c:v>721</c:v>
                      </c:pt>
                      <c:pt idx="21">
                        <c:v>871</c:v>
                      </c:pt>
                      <c:pt idx="22">
                        <c:v>1172</c:v>
                      </c:pt>
                      <c:pt idx="23">
                        <c:v>1027</c:v>
                      </c:pt>
                      <c:pt idx="24">
                        <c:v>1135</c:v>
                      </c:pt>
                      <c:pt idx="25">
                        <c:v>697</c:v>
                      </c:pt>
                      <c:pt idx="26">
                        <c:v>569</c:v>
                      </c:pt>
                      <c:pt idx="27">
                        <c:v>1517</c:v>
                      </c:pt>
                      <c:pt idx="28">
                        <c:v>1086</c:v>
                      </c:pt>
                      <c:pt idx="29">
                        <c:v>1122</c:v>
                      </c:pt>
                      <c:pt idx="30">
                        <c:v>1113</c:v>
                      </c:pt>
                      <c:pt idx="31">
                        <c:v>1334</c:v>
                      </c:pt>
                      <c:pt idx="32">
                        <c:v>833</c:v>
                      </c:pt>
                      <c:pt idx="33">
                        <c:v>598</c:v>
                      </c:pt>
                      <c:pt idx="34">
                        <c:v>1115</c:v>
                      </c:pt>
                      <c:pt idx="35">
                        <c:v>918</c:v>
                      </c:pt>
                      <c:pt idx="36">
                        <c:v>1048</c:v>
                      </c:pt>
                      <c:pt idx="37">
                        <c:v>1020</c:v>
                      </c:pt>
                      <c:pt idx="38">
                        <c:v>954</c:v>
                      </c:pt>
                      <c:pt idx="39">
                        <c:v>567</c:v>
                      </c:pt>
                      <c:pt idx="40">
                        <c:v>382</c:v>
                      </c:pt>
                      <c:pt idx="41">
                        <c:v>742</c:v>
                      </c:pt>
                      <c:pt idx="42">
                        <c:v>652</c:v>
                      </c:pt>
                      <c:pt idx="43">
                        <c:v>670</c:v>
                      </c:pt>
                      <c:pt idx="44">
                        <c:v>668</c:v>
                      </c:pt>
                      <c:pt idx="45">
                        <c:v>450</c:v>
                      </c:pt>
                      <c:pt idx="46">
                        <c:v>463</c:v>
                      </c:pt>
                      <c:pt idx="47">
                        <c:v>273</c:v>
                      </c:pt>
                      <c:pt idx="48">
                        <c:v>251</c:v>
                      </c:pt>
                      <c:pt idx="49">
                        <c:v>322</c:v>
                      </c:pt>
                      <c:pt idx="50">
                        <c:v>318</c:v>
                      </c:pt>
                      <c:pt idx="51">
                        <c:v>299</c:v>
                      </c:pt>
                      <c:pt idx="52">
                        <c:v>323</c:v>
                      </c:pt>
                      <c:pt idx="53">
                        <c:v>283</c:v>
                      </c:pt>
                      <c:pt idx="54">
                        <c:v>177</c:v>
                      </c:pt>
                      <c:pt idx="55">
                        <c:v>202</c:v>
                      </c:pt>
                      <c:pt idx="56">
                        <c:v>159</c:v>
                      </c:pt>
                      <c:pt idx="57">
                        <c:v>197</c:v>
                      </c:pt>
                      <c:pt idx="58">
                        <c:v>217</c:v>
                      </c:pt>
                      <c:pt idx="59">
                        <c:v>191</c:v>
                      </c:pt>
                      <c:pt idx="60">
                        <c:v>139</c:v>
                      </c:pt>
                      <c:pt idx="61">
                        <c:v>81</c:v>
                      </c:pt>
                      <c:pt idx="62">
                        <c:v>165</c:v>
                      </c:pt>
                      <c:pt idx="63">
                        <c:v>108</c:v>
                      </c:pt>
                      <c:pt idx="64">
                        <c:v>98</c:v>
                      </c:pt>
                      <c:pt idx="65">
                        <c:v>118</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ch_latest!$M$2:$M$67</c15:sqref>
                        </c15:formulaRef>
                      </c:ext>
                    </c:extLst>
                    <c:numCache>
                      <c:formatCode>General</c:formatCode>
                      <c:ptCount val="66"/>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27258</c:v>
                      </c:pt>
                      <c:pt idx="54">
                        <c:v>27541</c:v>
                      </c:pt>
                      <c:pt idx="55">
                        <c:v>27718</c:v>
                      </c:pt>
                      <c:pt idx="56">
                        <c:v>27920</c:v>
                      </c:pt>
                      <c:pt idx="57">
                        <c:v>28079</c:v>
                      </c:pt>
                      <c:pt idx="58">
                        <c:v>28276</c:v>
                      </c:pt>
                      <c:pt idx="59">
                        <c:v>28493</c:v>
                      </c:pt>
                      <c:pt idx="60">
                        <c:v>28684</c:v>
                      </c:pt>
                      <c:pt idx="61">
                        <c:v>28823</c:v>
                      </c:pt>
                      <c:pt idx="62">
                        <c:v>28904</c:v>
                      </c:pt>
                      <c:pt idx="63">
                        <c:v>29069</c:v>
                      </c:pt>
                      <c:pt idx="64">
                        <c:v>29177</c:v>
                      </c:pt>
                      <c:pt idx="65">
                        <c:v>29275</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ch_latest!$N$2:$N$67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ch_latest!$O$2:$O$67</c15:sqref>
                        </c15:formulaRef>
                      </c:ext>
                    </c:extLst>
                    <c:numCache>
                      <c:formatCode>General</c:formatCode>
                      <c:ptCount val="66"/>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45</c:v>
                      </c:pt>
                      <c:pt idx="31">
                        <c:v>37</c:v>
                      </c:pt>
                      <c:pt idx="32">
                        <c:v>52</c:v>
                      </c:pt>
                      <c:pt idx="33">
                        <c:v>44</c:v>
                      </c:pt>
                      <c:pt idx="34">
                        <c:v>61</c:v>
                      </c:pt>
                      <c:pt idx="35">
                        <c:v>65</c:v>
                      </c:pt>
                      <c:pt idx="36">
                        <c:v>63</c:v>
                      </c:pt>
                      <c:pt idx="37">
                        <c:v>61</c:v>
                      </c:pt>
                      <c:pt idx="38">
                        <c:v>61</c:v>
                      </c:pt>
                      <c:pt idx="39">
                        <c:v>67</c:v>
                      </c:pt>
                      <c:pt idx="40">
                        <c:v>52</c:v>
                      </c:pt>
                      <c:pt idx="41">
                        <c:v>59</c:v>
                      </c:pt>
                      <c:pt idx="42">
                        <c:v>60</c:v>
                      </c:pt>
                      <c:pt idx="43">
                        <c:v>68</c:v>
                      </c:pt>
                      <c:pt idx="44">
                        <c:v>51</c:v>
                      </c:pt>
                      <c:pt idx="45">
                        <c:v>50</c:v>
                      </c:pt>
                      <c:pt idx="46">
                        <c:v>38</c:v>
                      </c:pt>
                      <c:pt idx="47">
                        <c:v>56</c:v>
                      </c:pt>
                      <c:pt idx="48">
                        <c:v>30</c:v>
                      </c:pt>
                      <c:pt idx="49">
                        <c:v>38</c:v>
                      </c:pt>
                      <c:pt idx="50">
                        <c:v>53</c:v>
                      </c:pt>
                      <c:pt idx="51">
                        <c:v>45</c:v>
                      </c:pt>
                      <c:pt idx="52">
                        <c:v>46</c:v>
                      </c:pt>
                      <c:pt idx="53">
                        <c:v>42</c:v>
                      </c:pt>
                      <c:pt idx="54">
                        <c:v>24</c:v>
                      </c:pt>
                      <c:pt idx="55">
                        <c:v>42</c:v>
                      </c:pt>
                      <c:pt idx="56">
                        <c:v>41</c:v>
                      </c:pt>
                      <c:pt idx="57">
                        <c:v>27</c:v>
                      </c:pt>
                      <c:pt idx="58">
                        <c:v>30</c:v>
                      </c:pt>
                      <c:pt idx="59">
                        <c:v>29</c:v>
                      </c:pt>
                      <c:pt idx="60">
                        <c:v>24</c:v>
                      </c:pt>
                      <c:pt idx="61">
                        <c:v>17</c:v>
                      </c:pt>
                      <c:pt idx="62">
                        <c:v>21</c:v>
                      </c:pt>
                      <c:pt idx="63">
                        <c:v>25</c:v>
                      </c:pt>
                      <c:pt idx="64">
                        <c:v>6</c:v>
                      </c:pt>
                      <c:pt idx="65">
                        <c:v>9</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ch_latest!$P$2:$P$67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1678</c:v>
                      </c:pt>
                      <c:pt idx="63">
                        <c:v>1699</c:v>
                      </c:pt>
                      <c:pt idx="64">
                        <c:v>1724</c:v>
                      </c:pt>
                      <c:pt idx="65">
                        <c:v>1730</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ch_latest!$R$2:$R$67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44.035781</c:v>
                      </c:pt>
                      <c:pt idx="62">
                        <c:v>46.909311000000002</c:v>
                      </c:pt>
                      <c:pt idx="63">
                        <c:v>49.755021999999997</c:v>
                      </c:pt>
                      <c:pt idx="64">
                        <c:v>62.721314999999997</c:v>
                      </c:pt>
                      <c:pt idx="65">
                        <c:v>75.522015999999994</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[covid-19-ch-dashboard-excel_0.13.xlsm]pivot_icu!PivotTable1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pivot_icu!$B$5:$B$71</c:f>
              <c:numCache>
                <c:formatCode>General</c:formatCode>
                <c:ptCount val="6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numCache>
            </c:numRef>
          </c:val>
          <c:smooth val="0"/>
          <c:extLst>
            <c:ext xmlns:c16="http://schemas.microsoft.com/office/drawing/2014/chart" uri="{C3380CC4-5D6E-409C-BE32-E72D297353CC}">
              <c16:uniqueId val="{00000000-4B82-49B1-997F-1F2B1D37BA73}"/>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pivot_icu!$C$5:$C$71</c:f>
              <c:numCache>
                <c:formatCode>General</c:formatCode>
                <c:ptCount val="66"/>
              </c:numCache>
            </c:numRef>
          </c:val>
          <c:smooth val="0"/>
          <c:extLst>
            <c:ext xmlns:c16="http://schemas.microsoft.com/office/drawing/2014/chart" uri="{C3380CC4-5D6E-409C-BE32-E72D297353CC}">
              <c16:uniqueId val="{00000001-4B82-49B1-997F-1F2B1D37BA73}"/>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pivot_icu!$D$5:$D$71</c:f>
              <c:numCache>
                <c:formatCode>General</c:formatCode>
                <c:ptCount val="6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numCache>
            </c:numRef>
          </c:val>
          <c:smooth val="0"/>
          <c:extLst>
            <c:ext xmlns:c16="http://schemas.microsoft.com/office/drawing/2014/chart" uri="{C3380CC4-5D6E-409C-BE32-E72D297353CC}">
              <c16:uniqueId val="{00000002-4B82-49B1-997F-1F2B1D37BA73}"/>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pivot_icu!$E$5:$E$71</c:f>
              <c:numCache>
                <c:formatCode>General</c:formatCode>
                <c:ptCount val="66"/>
              </c:numCache>
            </c:numRef>
          </c:val>
          <c:smooth val="0"/>
          <c:extLst>
            <c:ext xmlns:c16="http://schemas.microsoft.com/office/drawing/2014/chart" uri="{C3380CC4-5D6E-409C-BE32-E72D297353CC}">
              <c16:uniqueId val="{00000003-4B82-49B1-997F-1F2B1D37BA73}"/>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pivot_icu!$F$5:$F$71</c:f>
              <c:numCache>
                <c:formatCode>General</c:formatCode>
                <c:ptCount val="66"/>
                <c:pt idx="58">
                  <c:v>2</c:v>
                </c:pt>
                <c:pt idx="59">
                  <c:v>2</c:v>
                </c:pt>
                <c:pt idx="62">
                  <c:v>2</c:v>
                </c:pt>
                <c:pt idx="63">
                  <c:v>2</c:v>
                </c:pt>
                <c:pt idx="64">
                  <c:v>2</c:v>
                </c:pt>
                <c:pt idx="65">
                  <c:v>2</c:v>
                </c:pt>
              </c:numCache>
            </c:numRef>
          </c:val>
          <c:smooth val="0"/>
          <c:extLst>
            <c:ext xmlns:c16="http://schemas.microsoft.com/office/drawing/2014/chart" uri="{C3380CC4-5D6E-409C-BE32-E72D297353CC}">
              <c16:uniqueId val="{00000004-4B82-49B1-997F-1F2B1D37BA73}"/>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pivot_icu!$G$5:$G$71</c:f>
              <c:numCache>
                <c:formatCode>General</c:formatCode>
                <c:ptCount val="6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numCache>
            </c:numRef>
          </c:val>
          <c:smooth val="0"/>
          <c:extLst>
            <c:ext xmlns:c16="http://schemas.microsoft.com/office/drawing/2014/chart" uri="{C3380CC4-5D6E-409C-BE32-E72D297353CC}">
              <c16:uniqueId val="{00000005-4B82-49B1-997F-1F2B1D37BA73}"/>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pivot_icu!$H$5:$H$71</c:f>
              <c:numCache>
                <c:formatCode>General</c:formatCode>
                <c:ptCount val="6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numCache>
            </c:numRef>
          </c:val>
          <c:smooth val="0"/>
          <c:extLst>
            <c:ext xmlns:c16="http://schemas.microsoft.com/office/drawing/2014/chart" uri="{C3380CC4-5D6E-409C-BE32-E72D297353CC}">
              <c16:uniqueId val="{00000006-4B82-49B1-997F-1F2B1D37BA73}"/>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pivot_icu!$I$5:$I$71</c:f>
              <c:numCache>
                <c:formatCode>General</c:formatCode>
                <c:ptCount val="6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numCache>
            </c:numRef>
          </c:val>
          <c:smooth val="0"/>
          <c:extLst>
            <c:ext xmlns:c16="http://schemas.microsoft.com/office/drawing/2014/chart" uri="{C3380CC4-5D6E-409C-BE32-E72D297353CC}">
              <c16:uniqueId val="{00000007-4B82-49B1-997F-1F2B1D37BA73}"/>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pivot_icu!$J$5:$J$71</c:f>
              <c:numCache>
                <c:formatCode>General</c:formatCode>
                <c:ptCount val="66"/>
              </c:numCache>
            </c:numRef>
          </c:val>
          <c:smooth val="0"/>
          <c:extLst>
            <c:ext xmlns:c16="http://schemas.microsoft.com/office/drawing/2014/chart" uri="{C3380CC4-5D6E-409C-BE32-E72D297353CC}">
              <c16:uniqueId val="{00000008-4B82-49B1-997F-1F2B1D37BA73}"/>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pivot_icu!$K$5:$K$71</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numCache>
            </c:numRef>
          </c:val>
          <c:smooth val="0"/>
          <c:extLst>
            <c:ext xmlns:c16="http://schemas.microsoft.com/office/drawing/2014/chart" uri="{C3380CC4-5D6E-409C-BE32-E72D297353CC}">
              <c16:uniqueId val="{00000009-4B82-49B1-997F-1F2B1D37BA73}"/>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pivot_icu!$L$5:$L$71</c:f>
              <c:numCache>
                <c:formatCode>General</c:formatCode>
                <c:ptCount val="66"/>
              </c:numCache>
            </c:numRef>
          </c:val>
          <c:smooth val="0"/>
          <c:extLst>
            <c:ext xmlns:c16="http://schemas.microsoft.com/office/drawing/2014/chart" uri="{C3380CC4-5D6E-409C-BE32-E72D297353CC}">
              <c16:uniqueId val="{0000000A-4B82-49B1-997F-1F2B1D37BA73}"/>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pivot_icu!$M$5:$M$71</c:f>
              <c:numCache>
                <c:formatCode>General</c:formatCode>
                <c:ptCount val="66"/>
              </c:numCache>
            </c:numRef>
          </c:val>
          <c:smooth val="0"/>
          <c:extLst>
            <c:ext xmlns:c16="http://schemas.microsoft.com/office/drawing/2014/chart" uri="{C3380CC4-5D6E-409C-BE32-E72D297353CC}">
              <c16:uniqueId val="{0000000B-4B82-49B1-997F-1F2B1D37BA73}"/>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pivot_icu!$N$5:$N$71</c:f>
              <c:numCache>
                <c:formatCode>General</c:formatCode>
                <c:ptCount val="6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numCache>
            </c:numRef>
          </c:val>
          <c:smooth val="0"/>
          <c:extLst>
            <c:ext xmlns:c16="http://schemas.microsoft.com/office/drawing/2014/chart" uri="{C3380CC4-5D6E-409C-BE32-E72D297353CC}">
              <c16:uniqueId val="{0000000C-4B82-49B1-997F-1F2B1D37BA73}"/>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pivot_icu!$O$5:$O$71</c:f>
              <c:numCache>
                <c:formatCode>General</c:formatCode>
                <c:ptCount val="6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numCache>
            </c:numRef>
          </c:val>
          <c:smooth val="0"/>
          <c:extLst>
            <c:ext xmlns:c16="http://schemas.microsoft.com/office/drawing/2014/chart" uri="{C3380CC4-5D6E-409C-BE32-E72D297353CC}">
              <c16:uniqueId val="{0000000D-4B82-49B1-997F-1F2B1D37BA73}"/>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pivot_icu!$P$5:$P$71</c:f>
              <c:numCache>
                <c:formatCode>General</c:formatCode>
                <c:ptCount val="6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numCache>
            </c:numRef>
          </c:val>
          <c:smooth val="0"/>
          <c:extLst>
            <c:ext xmlns:c16="http://schemas.microsoft.com/office/drawing/2014/chart" uri="{C3380CC4-5D6E-409C-BE32-E72D297353CC}">
              <c16:uniqueId val="{0000000E-4B82-49B1-997F-1F2B1D37BA73}"/>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pivot_icu!$Q$5:$Q$71</c:f>
              <c:numCache>
                <c:formatCode>General</c:formatCode>
                <c:ptCount val="6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F-4B82-49B1-997F-1F2B1D37BA73}"/>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pivot_icu!$R$5:$R$71</c:f>
              <c:numCache>
                <c:formatCode>General</c:formatCode>
                <c:ptCount val="66"/>
              </c:numCache>
            </c:numRef>
          </c:val>
          <c:smooth val="0"/>
          <c:extLst>
            <c:ext xmlns:c16="http://schemas.microsoft.com/office/drawing/2014/chart" uri="{C3380CC4-5D6E-409C-BE32-E72D297353CC}">
              <c16:uniqueId val="{00000010-4B82-49B1-997F-1F2B1D37BA73}"/>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pivot_icu!$S$5:$S$71</c:f>
              <c:numCache>
                <c:formatCode>General</c:formatCode>
                <c:ptCount val="6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numCache>
            </c:numRef>
          </c:val>
          <c:smooth val="0"/>
          <c:extLst>
            <c:ext xmlns:c16="http://schemas.microsoft.com/office/drawing/2014/chart" uri="{C3380CC4-5D6E-409C-BE32-E72D297353CC}">
              <c16:uniqueId val="{00000011-4B82-49B1-997F-1F2B1D37BA73}"/>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pivot_icu!$T$5:$T$71</c:f>
              <c:numCache>
                <c:formatCode>General</c:formatCode>
                <c:ptCount val="6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numCache>
            </c:numRef>
          </c:val>
          <c:smooth val="0"/>
          <c:extLst>
            <c:ext xmlns:c16="http://schemas.microsoft.com/office/drawing/2014/chart" uri="{C3380CC4-5D6E-409C-BE32-E72D297353CC}">
              <c16:uniqueId val="{00000012-4B82-49B1-997F-1F2B1D37BA73}"/>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pivot_icu!$U$5:$U$71</c:f>
              <c:numCache>
                <c:formatCode>General</c:formatCode>
                <c:ptCount val="66"/>
              </c:numCache>
            </c:numRef>
          </c:val>
          <c:smooth val="0"/>
          <c:extLst>
            <c:ext xmlns:c16="http://schemas.microsoft.com/office/drawing/2014/chart" uri="{C3380CC4-5D6E-409C-BE32-E72D297353CC}">
              <c16:uniqueId val="{00000013-4B82-49B1-997F-1F2B1D37BA73}"/>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pivot_icu!$V$5:$V$71</c:f>
              <c:numCache>
                <c:formatCode>General</c:formatCode>
                <c:ptCount val="6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numCache>
            </c:numRef>
          </c:val>
          <c:smooth val="0"/>
          <c:extLst>
            <c:ext xmlns:c16="http://schemas.microsoft.com/office/drawing/2014/chart" uri="{C3380CC4-5D6E-409C-BE32-E72D297353CC}">
              <c16:uniqueId val="{00000014-4B82-49B1-997F-1F2B1D37BA73}"/>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pivot_icu!$W$5:$W$71</c:f>
              <c:numCache>
                <c:formatCode>General</c:formatCode>
                <c:ptCount val="66"/>
                <c:pt idx="17">
                  <c:v>13</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29</c:v>
                </c:pt>
              </c:numCache>
            </c:numRef>
          </c:val>
          <c:smooth val="0"/>
          <c:extLst>
            <c:ext xmlns:c16="http://schemas.microsoft.com/office/drawing/2014/chart" uri="{C3380CC4-5D6E-409C-BE32-E72D297353CC}">
              <c16:uniqueId val="{00000015-4B82-49B1-997F-1F2B1D37BA73}"/>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pivot_icu!$X$5:$X$71</c:f>
              <c:numCache>
                <c:formatCode>General</c:formatCode>
                <c:ptCount val="66"/>
              </c:numCache>
            </c:numRef>
          </c:val>
          <c:smooth val="0"/>
          <c:extLst>
            <c:ext xmlns:c16="http://schemas.microsoft.com/office/drawing/2014/chart" uri="{C3380CC4-5D6E-409C-BE32-E72D297353CC}">
              <c16:uniqueId val="{00000016-4B82-49B1-997F-1F2B1D37BA73}"/>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pivot_icu!$Y$5:$Y$71</c:f>
              <c:numCache>
                <c:formatCode>General</c:formatCode>
                <c:ptCount val="6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39</c:v>
                </c:pt>
                <c:pt idx="28">
                  <c:v>40</c:v>
                </c:pt>
                <c:pt idx="29">
                  <c:v>51</c:v>
                </c:pt>
                <c:pt idx="30">
                  <c:v>55</c:v>
                </c:pt>
                <c:pt idx="31">
                  <c:v>59</c:v>
                </c:pt>
                <c:pt idx="32">
                  <c:v>60</c:v>
                </c:pt>
                <c:pt idx="33">
                  <c:v>61</c:v>
                </c:pt>
                <c:pt idx="34">
                  <c:v>63</c:v>
                </c:pt>
                <c:pt idx="35">
                  <c:v>66</c:v>
                </c:pt>
                <c:pt idx="36">
                  <c:v>68</c:v>
                </c:pt>
                <c:pt idx="37">
                  <c:v>69</c:v>
                </c:pt>
                <c:pt idx="38">
                  <c:v>67</c:v>
                </c:pt>
                <c:pt idx="39">
                  <c:v>67</c:v>
                </c:pt>
                <c:pt idx="40">
                  <c:v>66</c:v>
                </c:pt>
                <c:pt idx="41">
                  <c:v>64</c:v>
                </c:pt>
                <c:pt idx="42">
                  <c:v>63</c:v>
                </c:pt>
                <c:pt idx="43">
                  <c:v>62</c:v>
                </c:pt>
                <c:pt idx="44">
                  <c:v>62</c:v>
                </c:pt>
                <c:pt idx="45">
                  <c:v>64</c:v>
                </c:pt>
                <c:pt idx="46">
                  <c:v>64</c:v>
                </c:pt>
                <c:pt idx="47">
                  <c:v>63</c:v>
                </c:pt>
                <c:pt idx="48">
                  <c:v>59</c:v>
                </c:pt>
                <c:pt idx="49">
                  <c:v>58</c:v>
                </c:pt>
                <c:pt idx="50">
                  <c:v>55</c:v>
                </c:pt>
                <c:pt idx="51">
                  <c:v>54</c:v>
                </c:pt>
                <c:pt idx="52">
                  <c:v>53</c:v>
                </c:pt>
                <c:pt idx="53">
                  <c:v>50</c:v>
                </c:pt>
                <c:pt idx="54">
                  <c:v>50</c:v>
                </c:pt>
                <c:pt idx="55">
                  <c:v>44</c:v>
                </c:pt>
                <c:pt idx="56">
                  <c:v>44</c:v>
                </c:pt>
                <c:pt idx="57">
                  <c:v>42</c:v>
                </c:pt>
                <c:pt idx="58">
                  <c:v>40</c:v>
                </c:pt>
                <c:pt idx="59">
                  <c:v>36</c:v>
                </c:pt>
                <c:pt idx="60">
                  <c:v>36</c:v>
                </c:pt>
                <c:pt idx="61">
                  <c:v>36</c:v>
                </c:pt>
                <c:pt idx="62">
                  <c:v>34</c:v>
                </c:pt>
                <c:pt idx="63">
                  <c:v>33</c:v>
                </c:pt>
                <c:pt idx="64">
                  <c:v>33</c:v>
                </c:pt>
              </c:numCache>
            </c:numRef>
          </c:val>
          <c:smooth val="0"/>
          <c:extLst>
            <c:ext xmlns:c16="http://schemas.microsoft.com/office/drawing/2014/chart" uri="{C3380CC4-5D6E-409C-BE32-E72D297353CC}">
              <c16:uniqueId val="{00000017-4B82-49B1-997F-1F2B1D37BA73}"/>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pivot_icu!$Z$5:$Z$71</c:f>
              <c:numCache>
                <c:formatCode>General</c:formatCode>
                <c:ptCount val="6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numCache>
            </c:numRef>
          </c:val>
          <c:smooth val="0"/>
          <c:extLst>
            <c:ext xmlns:c16="http://schemas.microsoft.com/office/drawing/2014/chart" uri="{C3380CC4-5D6E-409C-BE32-E72D297353CC}">
              <c16:uniqueId val="{00000018-4B82-49B1-997F-1F2B1D37BA73}"/>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pivot_icu!$AA$5:$AA$71</c:f>
              <c:numCache>
                <c:formatCode>General</c:formatCode>
                <c:ptCount val="6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numCache>
            </c:numRef>
          </c:val>
          <c:smooth val="0"/>
          <c:extLst>
            <c:ext xmlns:c16="http://schemas.microsoft.com/office/drawing/2014/chart" uri="{C3380CC4-5D6E-409C-BE32-E72D297353CC}">
              <c16:uniqueId val="{00000019-4B82-49B1-997F-1F2B1D37BA73}"/>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pivot_icu!$A$5:$A$71</c:f>
              <c:strCache>
                <c:ptCount val="66"/>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strCache>
            </c:strRef>
          </c:cat>
          <c:val>
            <c:numRef>
              <c:f>pivot_icu!$AB$5:$AB$71</c:f>
              <c:numCache>
                <c:formatCode>General</c:formatCode>
                <c:ptCount val="66"/>
              </c:numCache>
            </c:numRef>
          </c:val>
          <c:smooth val="0"/>
          <c:extLst>
            <c:ext xmlns:c16="http://schemas.microsoft.com/office/drawing/2014/chart" uri="{C3380CC4-5D6E-409C-BE32-E72D297353CC}">
              <c16:uniqueId val="{0000001A-4B82-49B1-997F-1F2B1D37BA73}"/>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c:ext uri="{02D57815-91ED-43cb-92C2-25804820EDAC}">
                        <c15:formulaRef>
                          <c15:sqref>ch_latest!$D$2:$D$67</c15:sqref>
                        </c15:formulaRef>
                      </c:ext>
                    </c:extLst>
                    <c:numCache>
                      <c:formatCode>General</c:formatCode>
                      <c:ptCount val="6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322</c:v>
                      </c:pt>
                      <c:pt idx="33">
                        <c:v>336</c:v>
                      </c:pt>
                      <c:pt idx="34">
                        <c:v>382</c:v>
                      </c:pt>
                      <c:pt idx="35">
                        <c:v>408</c:v>
                      </c:pt>
                      <c:pt idx="36">
                        <c:v>438</c:v>
                      </c:pt>
                      <c:pt idx="37">
                        <c:v>443</c:v>
                      </c:pt>
                      <c:pt idx="38">
                        <c:v>453</c:v>
                      </c:pt>
                      <c:pt idx="39">
                        <c:v>455</c:v>
                      </c:pt>
                      <c:pt idx="40">
                        <c:v>445</c:v>
                      </c:pt>
                      <c:pt idx="41">
                        <c:v>444</c:v>
                      </c:pt>
                      <c:pt idx="42">
                        <c:v>438</c:v>
                      </c:pt>
                      <c:pt idx="43">
                        <c:v>435</c:v>
                      </c:pt>
                      <c:pt idx="44">
                        <c:v>427</c:v>
                      </c:pt>
                      <c:pt idx="45">
                        <c:v>415</c:v>
                      </c:pt>
                      <c:pt idx="46">
                        <c:v>415</c:v>
                      </c:pt>
                      <c:pt idx="47">
                        <c:v>404</c:v>
                      </c:pt>
                      <c:pt idx="48">
                        <c:v>400</c:v>
                      </c:pt>
                      <c:pt idx="49">
                        <c:v>387</c:v>
                      </c:pt>
                      <c:pt idx="50">
                        <c:v>365</c:v>
                      </c:pt>
                      <c:pt idx="51">
                        <c:v>345</c:v>
                      </c:pt>
                      <c:pt idx="52">
                        <c:v>333</c:v>
                      </c:pt>
                      <c:pt idx="53">
                        <c:v>319</c:v>
                      </c:pt>
                      <c:pt idx="54">
                        <c:v>311</c:v>
                      </c:pt>
                      <c:pt idx="55">
                        <c:v>297</c:v>
                      </c:pt>
                      <c:pt idx="56">
                        <c:v>283</c:v>
                      </c:pt>
                      <c:pt idx="57">
                        <c:v>251</c:v>
                      </c:pt>
                      <c:pt idx="58">
                        <c:v>243</c:v>
                      </c:pt>
                      <c:pt idx="59">
                        <c:v>238</c:v>
                      </c:pt>
                      <c:pt idx="60">
                        <c:v>229</c:v>
                      </c:pt>
                      <c:pt idx="61">
                        <c:v>207</c:v>
                      </c:pt>
                      <c:pt idx="62">
                        <c:v>202</c:v>
                      </c:pt>
                      <c:pt idx="63">
                        <c:v>183</c:v>
                      </c:pt>
                      <c:pt idx="64">
                        <c:v>189</c:v>
                      </c:pt>
                      <c:pt idx="65">
                        <c:v>176</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ch_latest!$E$2:$E$67</c15:sqref>
                        </c15:formulaRef>
                      </c:ext>
                    </c:extLst>
                    <c:numCache>
                      <c:formatCode>General</c:formatCode>
                      <c:ptCount val="6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903</c:v>
                      </c:pt>
                      <c:pt idx="26">
                        <c:v>1089</c:v>
                      </c:pt>
                      <c:pt idx="27">
                        <c:v>1206</c:v>
                      </c:pt>
                      <c:pt idx="28">
                        <c:v>1363</c:v>
                      </c:pt>
                      <c:pt idx="29">
                        <c:v>1462</c:v>
                      </c:pt>
                      <c:pt idx="30">
                        <c:v>1608</c:v>
                      </c:pt>
                      <c:pt idx="31">
                        <c:v>1789</c:v>
                      </c:pt>
                      <c:pt idx="32">
                        <c:v>1876</c:v>
                      </c:pt>
                      <c:pt idx="33">
                        <c:v>1991</c:v>
                      </c:pt>
                      <c:pt idx="34">
                        <c:v>2176</c:v>
                      </c:pt>
                      <c:pt idx="35">
                        <c:v>2204</c:v>
                      </c:pt>
                      <c:pt idx="36">
                        <c:v>2283</c:v>
                      </c:pt>
                      <c:pt idx="37">
                        <c:v>2347</c:v>
                      </c:pt>
                      <c:pt idx="38">
                        <c:v>2328</c:v>
                      </c:pt>
                      <c:pt idx="39">
                        <c:v>2316</c:v>
                      </c:pt>
                      <c:pt idx="40">
                        <c:v>2301</c:v>
                      </c:pt>
                      <c:pt idx="41">
                        <c:v>2306</c:v>
                      </c:pt>
                      <c:pt idx="42">
                        <c:v>2224</c:v>
                      </c:pt>
                      <c:pt idx="43">
                        <c:v>2134</c:v>
                      </c:pt>
                      <c:pt idx="44">
                        <c:v>2066</c:v>
                      </c:pt>
                      <c:pt idx="45">
                        <c:v>2006</c:v>
                      </c:pt>
                      <c:pt idx="46">
                        <c:v>1931</c:v>
                      </c:pt>
                      <c:pt idx="47">
                        <c:v>1908</c:v>
                      </c:pt>
                      <c:pt idx="48">
                        <c:v>1891</c:v>
                      </c:pt>
                      <c:pt idx="49">
                        <c:v>1851</c:v>
                      </c:pt>
                      <c:pt idx="50">
                        <c:v>1729</c:v>
                      </c:pt>
                      <c:pt idx="51">
                        <c:v>1673</c:v>
                      </c:pt>
                      <c:pt idx="52">
                        <c:v>1574</c:v>
                      </c:pt>
                      <c:pt idx="53">
                        <c:v>1523</c:v>
                      </c:pt>
                      <c:pt idx="54">
                        <c:v>1516</c:v>
                      </c:pt>
                      <c:pt idx="55">
                        <c:v>1492</c:v>
                      </c:pt>
                      <c:pt idx="56">
                        <c:v>1414</c:v>
                      </c:pt>
                      <c:pt idx="57">
                        <c:v>1348</c:v>
                      </c:pt>
                      <c:pt idx="58">
                        <c:v>1295</c:v>
                      </c:pt>
                      <c:pt idx="59">
                        <c:v>1249</c:v>
                      </c:pt>
                      <c:pt idx="60">
                        <c:v>1220</c:v>
                      </c:pt>
                      <c:pt idx="61">
                        <c:v>1199</c:v>
                      </c:pt>
                      <c:pt idx="62">
                        <c:v>1177</c:v>
                      </c:pt>
                      <c:pt idx="63">
                        <c:v>1148</c:v>
                      </c:pt>
                      <c:pt idx="64">
                        <c:v>1081</c:v>
                      </c:pt>
                      <c:pt idx="65">
                        <c:v>1026</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ch_latest!$F$2:$F$67</c15:sqref>
                        </c15:formulaRef>
                      </c:ext>
                    </c:extLst>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ch_latest!$G$2:$G$67</c15:sqref>
                        </c15:formulaRef>
                      </c:ext>
                    </c:extLst>
                    <c:numCache>
                      <c:formatCode>General</c:formatCode>
                      <c:ptCount val="66"/>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534</c:v>
                      </c:pt>
                      <c:pt idx="15">
                        <c:v>705</c:v>
                      </c:pt>
                      <c:pt idx="16">
                        <c:v>1057</c:v>
                      </c:pt>
                      <c:pt idx="17">
                        <c:v>1409</c:v>
                      </c:pt>
                      <c:pt idx="18">
                        <c:v>1742</c:v>
                      </c:pt>
                      <c:pt idx="19">
                        <c:v>2028</c:v>
                      </c:pt>
                      <c:pt idx="20">
                        <c:v>2749</c:v>
                      </c:pt>
                      <c:pt idx="21">
                        <c:v>3620</c:v>
                      </c:pt>
                      <c:pt idx="22">
                        <c:v>4792</c:v>
                      </c:pt>
                      <c:pt idx="23">
                        <c:v>5819</c:v>
                      </c:pt>
                      <c:pt idx="24">
                        <c:v>6954</c:v>
                      </c:pt>
                      <c:pt idx="25">
                        <c:v>7651</c:v>
                      </c:pt>
                      <c:pt idx="26">
                        <c:v>8220</c:v>
                      </c:pt>
                      <c:pt idx="27">
                        <c:v>9737</c:v>
                      </c:pt>
                      <c:pt idx="28">
                        <c:v>10823</c:v>
                      </c:pt>
                      <c:pt idx="29">
                        <c:v>11945</c:v>
                      </c:pt>
                      <c:pt idx="30">
                        <c:v>13058</c:v>
                      </c:pt>
                      <c:pt idx="31">
                        <c:v>14392</c:v>
                      </c:pt>
                      <c:pt idx="32">
                        <c:v>15225</c:v>
                      </c:pt>
                      <c:pt idx="33">
                        <c:v>15823</c:v>
                      </c:pt>
                      <c:pt idx="34">
                        <c:v>16938</c:v>
                      </c:pt>
                      <c:pt idx="35">
                        <c:v>17856</c:v>
                      </c:pt>
                      <c:pt idx="36">
                        <c:v>18904</c:v>
                      </c:pt>
                      <c:pt idx="37">
                        <c:v>19924</c:v>
                      </c:pt>
                      <c:pt idx="38">
                        <c:v>20878</c:v>
                      </c:pt>
                      <c:pt idx="39">
                        <c:v>21445</c:v>
                      </c:pt>
                      <c:pt idx="40">
                        <c:v>21827</c:v>
                      </c:pt>
                      <c:pt idx="41">
                        <c:v>22569</c:v>
                      </c:pt>
                      <c:pt idx="42">
                        <c:v>23221</c:v>
                      </c:pt>
                      <c:pt idx="43">
                        <c:v>23891</c:v>
                      </c:pt>
                      <c:pt idx="44">
                        <c:v>24559</c:v>
                      </c:pt>
                      <c:pt idx="45">
                        <c:v>25009</c:v>
                      </c:pt>
                      <c:pt idx="46">
                        <c:v>25472</c:v>
                      </c:pt>
                      <c:pt idx="47">
                        <c:v>25745</c:v>
                      </c:pt>
                      <c:pt idx="48">
                        <c:v>25996</c:v>
                      </c:pt>
                      <c:pt idx="49">
                        <c:v>26318</c:v>
                      </c:pt>
                      <c:pt idx="50">
                        <c:v>26636</c:v>
                      </c:pt>
                      <c:pt idx="51">
                        <c:v>26935</c:v>
                      </c:pt>
                      <c:pt idx="52">
                        <c:v>27258</c:v>
                      </c:pt>
                      <c:pt idx="53">
                        <c:v>27541</c:v>
                      </c:pt>
                      <c:pt idx="54">
                        <c:v>27718</c:v>
                      </c:pt>
                      <c:pt idx="55">
                        <c:v>27920</c:v>
                      </c:pt>
                      <c:pt idx="56">
                        <c:v>28079</c:v>
                      </c:pt>
                      <c:pt idx="57">
                        <c:v>28276</c:v>
                      </c:pt>
                      <c:pt idx="58">
                        <c:v>28493</c:v>
                      </c:pt>
                      <c:pt idx="59">
                        <c:v>28684</c:v>
                      </c:pt>
                      <c:pt idx="60">
                        <c:v>28823</c:v>
                      </c:pt>
                      <c:pt idx="61">
                        <c:v>28904</c:v>
                      </c:pt>
                      <c:pt idx="62">
                        <c:v>29069</c:v>
                      </c:pt>
                      <c:pt idx="63">
                        <c:v>29177</c:v>
                      </c:pt>
                      <c:pt idx="64">
                        <c:v>29275</c:v>
                      </c:pt>
                      <c:pt idx="65">
                        <c:v>29393</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ch_latest!$H$2:$H$67</c15:sqref>
                        </c15:formulaRef>
                      </c:ext>
                    </c:extLst>
                    <c:numCache>
                      <c:formatCode>General</c:formatCode>
                      <c:ptCount val="66"/>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10908</c:v>
                      </c:pt>
                      <c:pt idx="32">
                        <c:v>11501</c:v>
                      </c:pt>
                      <c:pt idx="33">
                        <c:v>11810</c:v>
                      </c:pt>
                      <c:pt idx="34">
                        <c:v>12476</c:v>
                      </c:pt>
                      <c:pt idx="35">
                        <c:v>13236</c:v>
                      </c:pt>
                      <c:pt idx="36">
                        <c:v>13892</c:v>
                      </c:pt>
                      <c:pt idx="37">
                        <c:v>14839</c:v>
                      </c:pt>
                      <c:pt idx="38">
                        <c:v>15668</c:v>
                      </c:pt>
                      <c:pt idx="39">
                        <c:v>16259</c:v>
                      </c:pt>
                      <c:pt idx="40">
                        <c:v>16558</c:v>
                      </c:pt>
                      <c:pt idx="41">
                        <c:v>17197</c:v>
                      </c:pt>
                      <c:pt idx="42">
                        <c:v>18038</c:v>
                      </c:pt>
                      <c:pt idx="43">
                        <c:v>18843</c:v>
                      </c:pt>
                      <c:pt idx="44">
                        <c:v>19357</c:v>
                      </c:pt>
                      <c:pt idx="45">
                        <c:v>19769</c:v>
                      </c:pt>
                      <c:pt idx="46">
                        <c:v>20129</c:v>
                      </c:pt>
                      <c:pt idx="47">
                        <c:v>20304</c:v>
                      </c:pt>
                      <c:pt idx="48">
                        <c:v>20609</c:v>
                      </c:pt>
                      <c:pt idx="49">
                        <c:v>21153</c:v>
                      </c:pt>
                      <c:pt idx="50">
                        <c:v>21611</c:v>
                      </c:pt>
                      <c:pt idx="51">
                        <c:v>22288</c:v>
                      </c:pt>
                      <c:pt idx="52">
                        <c:v>22727</c:v>
                      </c:pt>
                      <c:pt idx="53">
                        <c:v>23168</c:v>
                      </c:pt>
                      <c:pt idx="54">
                        <c:v>23350</c:v>
                      </c:pt>
                      <c:pt idx="55">
                        <c:v>23724</c:v>
                      </c:pt>
                      <c:pt idx="56">
                        <c:v>24135</c:v>
                      </c:pt>
                      <c:pt idx="57">
                        <c:v>24483</c:v>
                      </c:pt>
                      <c:pt idx="58">
                        <c:v>24945</c:v>
                      </c:pt>
                      <c:pt idx="59">
                        <c:v>25337</c:v>
                      </c:pt>
                      <c:pt idx="60">
                        <c:v>25695</c:v>
                      </c:pt>
                      <c:pt idx="61">
                        <c:v>25889</c:v>
                      </c:pt>
                      <c:pt idx="62">
                        <c:v>26162</c:v>
                      </c:pt>
                      <c:pt idx="63">
                        <c:v>26542</c:v>
                      </c:pt>
                      <c:pt idx="64">
                        <c:v>26542</c:v>
                      </c:pt>
                      <c:pt idx="65">
                        <c:v>26542</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ch_latest!$I$2:$I$67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4624</c:v>
                      </c:pt>
                      <c:pt idx="63">
                        <c:v>4676</c:v>
                      </c:pt>
                      <c:pt idx="64">
                        <c:v>4742</c:v>
                      </c:pt>
                      <c:pt idx="65">
                        <c:v>4808</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ch_latest!$J$2:$J$67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245</c:v>
                      </c:pt>
                      <c:pt idx="31">
                        <c:v>282</c:v>
                      </c:pt>
                      <c:pt idx="32">
                        <c:v>334</c:v>
                      </c:pt>
                      <c:pt idx="33">
                        <c:v>378</c:v>
                      </c:pt>
                      <c:pt idx="34">
                        <c:v>439</c:v>
                      </c:pt>
                      <c:pt idx="35">
                        <c:v>504</c:v>
                      </c:pt>
                      <c:pt idx="36">
                        <c:v>567</c:v>
                      </c:pt>
                      <c:pt idx="37">
                        <c:v>628</c:v>
                      </c:pt>
                      <c:pt idx="38">
                        <c:v>689</c:v>
                      </c:pt>
                      <c:pt idx="39">
                        <c:v>756</c:v>
                      </c:pt>
                      <c:pt idx="40">
                        <c:v>808</c:v>
                      </c:pt>
                      <c:pt idx="41">
                        <c:v>867</c:v>
                      </c:pt>
                      <c:pt idx="42">
                        <c:v>927</c:v>
                      </c:pt>
                      <c:pt idx="43">
                        <c:v>995</c:v>
                      </c:pt>
                      <c:pt idx="44">
                        <c:v>1046</c:v>
                      </c:pt>
                      <c:pt idx="45">
                        <c:v>1096</c:v>
                      </c:pt>
                      <c:pt idx="46">
                        <c:v>1134</c:v>
                      </c:pt>
                      <c:pt idx="47">
                        <c:v>1190</c:v>
                      </c:pt>
                      <c:pt idx="48">
                        <c:v>1220</c:v>
                      </c:pt>
                      <c:pt idx="49">
                        <c:v>1258</c:v>
                      </c:pt>
                      <c:pt idx="50">
                        <c:v>1311</c:v>
                      </c:pt>
                      <c:pt idx="51">
                        <c:v>1356</c:v>
                      </c:pt>
                      <c:pt idx="52">
                        <c:v>1402</c:v>
                      </c:pt>
                      <c:pt idx="53">
                        <c:v>1444</c:v>
                      </c:pt>
                      <c:pt idx="54">
                        <c:v>1468</c:v>
                      </c:pt>
                      <c:pt idx="55">
                        <c:v>1510</c:v>
                      </c:pt>
                      <c:pt idx="56">
                        <c:v>1551</c:v>
                      </c:pt>
                      <c:pt idx="57">
                        <c:v>1578</c:v>
                      </c:pt>
                      <c:pt idx="58">
                        <c:v>1608</c:v>
                      </c:pt>
                      <c:pt idx="59">
                        <c:v>1637</c:v>
                      </c:pt>
                      <c:pt idx="60">
                        <c:v>1661</c:v>
                      </c:pt>
                      <c:pt idx="61">
                        <c:v>1678</c:v>
                      </c:pt>
                      <c:pt idx="62">
                        <c:v>1699</c:v>
                      </c:pt>
                      <c:pt idx="63">
                        <c:v>1724</c:v>
                      </c:pt>
                      <c:pt idx="64">
                        <c:v>1730</c:v>
                      </c:pt>
                      <c:pt idx="65">
                        <c:v>1739</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ch_latest!$K$2:$K$67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ch_latest!$M$2:$M$67</c15:sqref>
                        </c15:formulaRef>
                      </c:ext>
                    </c:extLst>
                    <c:numCache>
                      <c:formatCode>General</c:formatCode>
                      <c:ptCount val="66"/>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534</c:v>
                      </c:pt>
                      <c:pt idx="16">
                        <c:v>705</c:v>
                      </c:pt>
                      <c:pt idx="17">
                        <c:v>1057</c:v>
                      </c:pt>
                      <c:pt idx="18">
                        <c:v>1409</c:v>
                      </c:pt>
                      <c:pt idx="19">
                        <c:v>1742</c:v>
                      </c:pt>
                      <c:pt idx="20">
                        <c:v>2028</c:v>
                      </c:pt>
                      <c:pt idx="21">
                        <c:v>2749</c:v>
                      </c:pt>
                      <c:pt idx="22">
                        <c:v>3620</c:v>
                      </c:pt>
                      <c:pt idx="23">
                        <c:v>4792</c:v>
                      </c:pt>
                      <c:pt idx="24">
                        <c:v>5819</c:v>
                      </c:pt>
                      <c:pt idx="25">
                        <c:v>6954</c:v>
                      </c:pt>
                      <c:pt idx="26">
                        <c:v>7651</c:v>
                      </c:pt>
                      <c:pt idx="27">
                        <c:v>8220</c:v>
                      </c:pt>
                      <c:pt idx="28">
                        <c:v>9737</c:v>
                      </c:pt>
                      <c:pt idx="29">
                        <c:v>10823</c:v>
                      </c:pt>
                      <c:pt idx="30">
                        <c:v>11945</c:v>
                      </c:pt>
                      <c:pt idx="31">
                        <c:v>13058</c:v>
                      </c:pt>
                      <c:pt idx="32">
                        <c:v>14392</c:v>
                      </c:pt>
                      <c:pt idx="33">
                        <c:v>15225</c:v>
                      </c:pt>
                      <c:pt idx="34">
                        <c:v>15823</c:v>
                      </c:pt>
                      <c:pt idx="35">
                        <c:v>16938</c:v>
                      </c:pt>
                      <c:pt idx="36">
                        <c:v>17856</c:v>
                      </c:pt>
                      <c:pt idx="37">
                        <c:v>18904</c:v>
                      </c:pt>
                      <c:pt idx="38">
                        <c:v>19924</c:v>
                      </c:pt>
                      <c:pt idx="39">
                        <c:v>20878</c:v>
                      </c:pt>
                      <c:pt idx="40">
                        <c:v>21445</c:v>
                      </c:pt>
                      <c:pt idx="41">
                        <c:v>21827</c:v>
                      </c:pt>
                      <c:pt idx="42">
                        <c:v>22569</c:v>
                      </c:pt>
                      <c:pt idx="43">
                        <c:v>23221</c:v>
                      </c:pt>
                      <c:pt idx="44">
                        <c:v>23891</c:v>
                      </c:pt>
                      <c:pt idx="45">
                        <c:v>24559</c:v>
                      </c:pt>
                      <c:pt idx="46">
                        <c:v>25009</c:v>
                      </c:pt>
                      <c:pt idx="47">
                        <c:v>25472</c:v>
                      </c:pt>
                      <c:pt idx="48">
                        <c:v>25745</c:v>
                      </c:pt>
                      <c:pt idx="49">
                        <c:v>25996</c:v>
                      </c:pt>
                      <c:pt idx="50">
                        <c:v>26318</c:v>
                      </c:pt>
                      <c:pt idx="51">
                        <c:v>26636</c:v>
                      </c:pt>
                      <c:pt idx="52">
                        <c:v>26935</c:v>
                      </c:pt>
                      <c:pt idx="53">
                        <c:v>27258</c:v>
                      </c:pt>
                      <c:pt idx="54">
                        <c:v>27541</c:v>
                      </c:pt>
                      <c:pt idx="55">
                        <c:v>27718</c:v>
                      </c:pt>
                      <c:pt idx="56">
                        <c:v>27920</c:v>
                      </c:pt>
                      <c:pt idx="57">
                        <c:v>28079</c:v>
                      </c:pt>
                      <c:pt idx="58">
                        <c:v>28276</c:v>
                      </c:pt>
                      <c:pt idx="59">
                        <c:v>28493</c:v>
                      </c:pt>
                      <c:pt idx="60">
                        <c:v>28684</c:v>
                      </c:pt>
                      <c:pt idx="61">
                        <c:v>28823</c:v>
                      </c:pt>
                      <c:pt idx="62">
                        <c:v>28904</c:v>
                      </c:pt>
                      <c:pt idx="63">
                        <c:v>29069</c:v>
                      </c:pt>
                      <c:pt idx="64">
                        <c:v>29177</c:v>
                      </c:pt>
                      <c:pt idx="65">
                        <c:v>29275</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ch_latest!$N$2:$N$67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ch_latest!$P$2:$P$67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245</c:v>
                      </c:pt>
                      <c:pt idx="32">
                        <c:v>282</c:v>
                      </c:pt>
                      <c:pt idx="33">
                        <c:v>334</c:v>
                      </c:pt>
                      <c:pt idx="34">
                        <c:v>378</c:v>
                      </c:pt>
                      <c:pt idx="35">
                        <c:v>439</c:v>
                      </c:pt>
                      <c:pt idx="36">
                        <c:v>504</c:v>
                      </c:pt>
                      <c:pt idx="37">
                        <c:v>567</c:v>
                      </c:pt>
                      <c:pt idx="38">
                        <c:v>628</c:v>
                      </c:pt>
                      <c:pt idx="39">
                        <c:v>689</c:v>
                      </c:pt>
                      <c:pt idx="40">
                        <c:v>756</c:v>
                      </c:pt>
                      <c:pt idx="41">
                        <c:v>808</c:v>
                      </c:pt>
                      <c:pt idx="42">
                        <c:v>867</c:v>
                      </c:pt>
                      <c:pt idx="43">
                        <c:v>927</c:v>
                      </c:pt>
                      <c:pt idx="44">
                        <c:v>995</c:v>
                      </c:pt>
                      <c:pt idx="45">
                        <c:v>1046</c:v>
                      </c:pt>
                      <c:pt idx="46">
                        <c:v>1096</c:v>
                      </c:pt>
                      <c:pt idx="47">
                        <c:v>1134</c:v>
                      </c:pt>
                      <c:pt idx="48">
                        <c:v>1190</c:v>
                      </c:pt>
                      <c:pt idx="49">
                        <c:v>1220</c:v>
                      </c:pt>
                      <c:pt idx="50">
                        <c:v>1258</c:v>
                      </c:pt>
                      <c:pt idx="51">
                        <c:v>1311</c:v>
                      </c:pt>
                      <c:pt idx="52">
                        <c:v>1356</c:v>
                      </c:pt>
                      <c:pt idx="53">
                        <c:v>1402</c:v>
                      </c:pt>
                      <c:pt idx="54">
                        <c:v>1444</c:v>
                      </c:pt>
                      <c:pt idx="55">
                        <c:v>1468</c:v>
                      </c:pt>
                      <c:pt idx="56">
                        <c:v>1510</c:v>
                      </c:pt>
                      <c:pt idx="57">
                        <c:v>1551</c:v>
                      </c:pt>
                      <c:pt idx="58">
                        <c:v>1578</c:v>
                      </c:pt>
                      <c:pt idx="59">
                        <c:v>1608</c:v>
                      </c:pt>
                      <c:pt idx="60">
                        <c:v>1637</c:v>
                      </c:pt>
                      <c:pt idx="61">
                        <c:v>1661</c:v>
                      </c:pt>
                      <c:pt idx="62">
                        <c:v>1678</c:v>
                      </c:pt>
                      <c:pt idx="63">
                        <c:v>1699</c:v>
                      </c:pt>
                      <c:pt idx="64">
                        <c:v>1724</c:v>
                      </c:pt>
                      <c:pt idx="65">
                        <c:v>1730</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ch_latest!$Q$2:$Q$67</c15:sqref>
                        </c15:formulaRef>
                      </c:ext>
                    </c:extLst>
                    <c:numCache>
                      <c:formatCode>General</c:formatCode>
                      <c:ptCount val="66"/>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2.2956279999999998</c:v>
                      </c:pt>
                      <c:pt idx="15">
                        <c:v>2.5696639999999999</c:v>
                      </c:pt>
                      <c:pt idx="16">
                        <c:v>2.4373520000000002</c:v>
                      </c:pt>
                      <c:pt idx="17">
                        <c:v>2.298794</c:v>
                      </c:pt>
                      <c:pt idx="18">
                        <c:v>2.33954</c:v>
                      </c:pt>
                      <c:pt idx="19">
                        <c:v>2.5972059999999999</c:v>
                      </c:pt>
                      <c:pt idx="20">
                        <c:v>2.5468470000000001</c:v>
                      </c:pt>
                      <c:pt idx="21">
                        <c:v>2.815293</c:v>
                      </c:pt>
                      <c:pt idx="22">
                        <c:v>2.8313269999999999</c:v>
                      </c:pt>
                      <c:pt idx="23">
                        <c:v>2.8735189999999999</c:v>
                      </c:pt>
                      <c:pt idx="24">
                        <c:v>2.8124880000000001</c:v>
                      </c:pt>
                      <c:pt idx="25">
                        <c:v>3.3858329999999999</c:v>
                      </c:pt>
                      <c:pt idx="26">
                        <c:v>4.2260119999999999</c:v>
                      </c:pt>
                      <c:pt idx="27">
                        <c:v>4.8883049999999999</c:v>
                      </c:pt>
                      <c:pt idx="28">
                        <c:v>5.5849869999999999</c:v>
                      </c:pt>
                      <c:pt idx="29">
                        <c:v>6.4062169999999998</c:v>
                      </c:pt>
                      <c:pt idx="30">
                        <c:v>6.4832869999999998</c:v>
                      </c:pt>
                      <c:pt idx="31">
                        <c:v>6.187684</c:v>
                      </c:pt>
                      <c:pt idx="32">
                        <c:v>7.7532240000000003</c:v>
                      </c:pt>
                      <c:pt idx="33">
                        <c:v>9.125375</c:v>
                      </c:pt>
                      <c:pt idx="34">
                        <c:v>9.9234570000000009</c:v>
                      </c:pt>
                      <c:pt idx="35">
                        <c:v>11.074811</c:v>
                      </c:pt>
                      <c:pt idx="36">
                        <c:v>12.708921</c:v>
                      </c:pt>
                      <c:pt idx="37">
                        <c:v>12.884437</c:v>
                      </c:pt>
                      <c:pt idx="38">
                        <c:v>12.501239</c:v>
                      </c:pt>
                      <c:pt idx="39">
                        <c:v>14.68956</c:v>
                      </c:pt>
                      <c:pt idx="40">
                        <c:v>17.258941</c:v>
                      </c:pt>
                      <c:pt idx="41">
                        <c:v>19.557915999999999</c:v>
                      </c:pt>
                      <c:pt idx="42">
                        <c:v>22.632342000000001</c:v>
                      </c:pt>
                      <c:pt idx="43">
                        <c:v>25.709091999999998</c:v>
                      </c:pt>
                      <c:pt idx="44">
                        <c:v>25.561</c:v>
                      </c:pt>
                      <c:pt idx="45">
                        <c:v>25.466868999999999</c:v>
                      </c:pt>
                      <c:pt idx="46">
                        <c:v>28.641846999999999</c:v>
                      </c:pt>
                      <c:pt idx="47">
                        <c:v>33.588118000000001</c:v>
                      </c:pt>
                      <c:pt idx="48">
                        <c:v>41.043351000000001</c:v>
                      </c:pt>
                      <c:pt idx="49">
                        <c:v>50.101184000000003</c:v>
                      </c:pt>
                      <c:pt idx="50">
                        <c:v>54.987307999999999</c:v>
                      </c:pt>
                      <c:pt idx="51">
                        <c:v>62.057972999999997</c:v>
                      </c:pt>
                      <c:pt idx="52">
                        <c:v>60.688861000000003</c:v>
                      </c:pt>
                      <c:pt idx="53">
                        <c:v>60.030285999999997</c:v>
                      </c:pt>
                      <c:pt idx="54">
                        <c:v>66.868784000000005</c:v>
                      </c:pt>
                      <c:pt idx="55">
                        <c:v>73.614396999999997</c:v>
                      </c:pt>
                      <c:pt idx="56">
                        <c:v>83.320153000000005</c:v>
                      </c:pt>
                      <c:pt idx="57">
                        <c:v>94.520932000000002</c:v>
                      </c:pt>
                      <c:pt idx="58">
                        <c:v>101.985483</c:v>
                      </c:pt>
                      <c:pt idx="59">
                        <c:v>101.167351</c:v>
                      </c:pt>
                      <c:pt idx="60">
                        <c:v>108.88131199999999</c:v>
                      </c:pt>
                      <c:pt idx="61">
                        <c:v>119.68135100000001</c:v>
                      </c:pt>
                      <c:pt idx="62">
                        <c:v>125.302621</c:v>
                      </c:pt>
                      <c:pt idx="63">
                        <c:v>146.09621100000001</c:v>
                      </c:pt>
                      <c:pt idx="64">
                        <c:v>169.935385</c:v>
                      </c:pt>
                      <c:pt idx="65">
                        <c:v>176.977924</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ch_latest!$A$2:$A$67</c15:sqref>
                        </c15:formulaRef>
                      </c:ext>
                    </c:extLst>
                    <c:numCache>
                      <c:formatCode>m/d/yyyy</c:formatCode>
                      <c:ptCount val="6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numCache>
                  </c:numRef>
                </c:cat>
                <c:val>
                  <c:numRef>
                    <c:extLst xmlns:c15="http://schemas.microsoft.com/office/drawing/2012/chart">
                      <c:ext xmlns:c15="http://schemas.microsoft.com/office/drawing/2012/chart" uri="{02D57815-91ED-43cb-92C2-25804820EDAC}">
                        <c15:formulaRef>
                          <c15:sqref>ch_latest!$R$2:$R$67</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3.7823540000000002</c:v>
                      </c:pt>
                      <c:pt idx="31">
                        <c:v>3.7896809999999999</c:v>
                      </c:pt>
                      <c:pt idx="32">
                        <c:v>4.0855249999999996</c:v>
                      </c:pt>
                      <c:pt idx="33">
                        <c:v>4.1808810000000003</c:v>
                      </c:pt>
                      <c:pt idx="34">
                        <c:v>4.4083119999999996</c:v>
                      </c:pt>
                      <c:pt idx="35">
                        <c:v>4.8047259999999996</c:v>
                      </c:pt>
                      <c:pt idx="36">
                        <c:v>4.9620230000000003</c:v>
                      </c:pt>
                      <c:pt idx="37">
                        <c:v>5.4889780000000004</c:v>
                      </c:pt>
                      <c:pt idx="38">
                        <c:v>5.7728869999999999</c:v>
                      </c:pt>
                      <c:pt idx="39">
                        <c:v>6.376207</c:v>
                      </c:pt>
                      <c:pt idx="40">
                        <c:v>7.3428820000000004</c:v>
                      </c:pt>
                      <c:pt idx="41">
                        <c:v>8.1608239999999999</c:v>
                      </c:pt>
                      <c:pt idx="42">
                        <c:v>8.8998889999999999</c:v>
                      </c:pt>
                      <c:pt idx="43">
                        <c:v>9.430536</c:v>
                      </c:pt>
                      <c:pt idx="44">
                        <c:v>10.674073999999999</c:v>
                      </c:pt>
                      <c:pt idx="45">
                        <c:v>11.368271999999999</c:v>
                      </c:pt>
                      <c:pt idx="46">
                        <c:v>12.909331</c:v>
                      </c:pt>
                      <c:pt idx="47">
                        <c:v>13.876541</c:v>
                      </c:pt>
                      <c:pt idx="48">
                        <c:v>17.000285000000002</c:v>
                      </c:pt>
                      <c:pt idx="49">
                        <c:v>18.779408</c:v>
                      </c:pt>
                      <c:pt idx="50">
                        <c:v>19.348355999999999</c:v>
                      </c:pt>
                      <c:pt idx="51">
                        <c:v>19.384613000000002</c:v>
                      </c:pt>
                      <c:pt idx="52">
                        <c:v>21.139434000000001</c:v>
                      </c:pt>
                      <c:pt idx="53">
                        <c:v>20.560089999999999</c:v>
                      </c:pt>
                      <c:pt idx="54">
                        <c:v>22.449708000000001</c:v>
                      </c:pt>
                      <c:pt idx="55">
                        <c:v>24.524125999999999</c:v>
                      </c:pt>
                      <c:pt idx="56">
                        <c:v>25.794269</c:v>
                      </c:pt>
                      <c:pt idx="57">
                        <c:v>29.306459</c:v>
                      </c:pt>
                      <c:pt idx="58">
                        <c:v>32.217187000000003</c:v>
                      </c:pt>
                      <c:pt idx="59">
                        <c:v>31.806139999999999</c:v>
                      </c:pt>
                      <c:pt idx="60">
                        <c:v>36.362704000000001</c:v>
                      </c:pt>
                      <c:pt idx="61">
                        <c:v>44.035781</c:v>
                      </c:pt>
                      <c:pt idx="62">
                        <c:v>46.909311000000002</c:v>
                      </c:pt>
                      <c:pt idx="63">
                        <c:v>49.755021999999997</c:v>
                      </c:pt>
                      <c:pt idx="64">
                        <c:v>62.721314999999997</c:v>
                      </c:pt>
                      <c:pt idx="65">
                        <c:v>75.522015999999994</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_xlchart.v5.2</cx:f>
              <cx:v>death</cx:v>
            </cx:txData>
          </cx:tx>
          <cx:dataLabels/>
          <cx:dataId val="0"/>
          <cx:layoutPr>
            <cx:geography cultureLanguage="de-DE" cultureRegion="CH" attribution="Unterstützt von Bing">
              <cx:geoCache provider="{E9337A44-BEBE-4D9F-B70C-5C5E7DAFC167}">
                <cx:binary>3HzZctw4tu2vOPx8KQMgxo6ujmiQTOak1OzphZEazHkE58+5T/cjzlv/2N1pWS5JJZerTvg8HFVU
2FYykQliYe+91sKm/nkz/uMmu9s3b8Y8K8w/bsbf3kZtW/3j3TtzE93le3OUxzdNacov7dFNmb8r
v3yJb+7e3Tb7IS7CdwRh+u4m2jft3fj2X/+ETwvvym15s2/jsjjr7prp/M50WWv+5NqLl97clF3R
HoaH8Em/vb24iYa7eH77Zn+bx4Ubm7aJb1r829t/75tw3719c1e0cTtdTtXdb2+fvOftm3fPv+EP
s3mTwYTb7hbGUnFEkZJUEKYYwVTSt2+ysgi/XZZHmHHJkc3gb8Ievne3z2Hsz+fydSb729vmzhi4
la9//z7uybzhZf/tD5chNqVzv0JOeZi2s/x6n++eIvCvfz57Ae782SuPQHq+TD+79MPJPbkPwOj9
PtvH5t2HfZbF5mHJfgFU/IggRQmXQklJJLafQCWOOGKKYiEI5UjZ4hla97P6s+m8jNbDuCd3CTd5
8UrQ+ndV3RXzXZa9WRXFXdNEsMGKP1umvx1gNpII2wpz9C2IHgWYgvCzbcYZBB+hiNgQf/ex/S3G
HmZn/cXZvQzi95t8+jHPMP336pVgumji67Jrwoe1/CXBJ5BkSDBbSAgyJZ4FH1KcY4wIUVQRLOXD
V9/DuGju4uufTOhl5H4f+QysxfkrAUvfNcW7wx93D2v2S+CShPBDYCFuU8H5M7g4oQzSJAPEmK0Q
XH4cdYfZPLzy0mRehup+1DOYtPdKYAJKsv/yJdp35henR0GwgtDiCvKgsiFwHqVHecQ4hYgTtjzk
SYKg5j0G6q9O6mXAno5+BtwFUIwfsbL/VXTke+5/8+/OmP+ZCkc5JkRQzBUkP/UEQnVk0wPAEG9S
MYTVM17yfXrWX53ey2D+6HOewfrv15I2t938kyz1t4kK4kJBDFL7K+F/mjJBCWBkY4mlLZVUhD2r
cD+fzsuwPYx7BtP26pVEn96bu8za7otbc0ig7UP+eqms/G3AKMMCEQx0BEPgkSdxJ47gElBKgBOi
jyv8jFn+nYm9DN0fP+EZiHr7SkD074r//L/+1/ITgoH0c0YVEsBUngYbP8I2EjZEHJOIUvpcFcB8
vvzZRnoZr/tRzzDyXws/ud+NF+3+9tfGGBAQqRSAAFAg8ZSegObGDAQ5sRG14U/yYoz9dE4vw/Xk
hp6hpl+L+vazfdOZP9vLfzMp8iMlMaYCKD/GNrgkT5KiOkKcCUYQyDQsFWXP+OTPp/MyVg/jnsHk
v5oE2Oy76//8VwHWyDu/iQ8mZfxLQeMMxBijDOLoHpVHIkAdcSJBy1HEKcAGfz189b249n+f3MOF
l6rrD5B7PPg5fK+FK+7i22Gf/VpfCwINMh84w1JKLr46Ho8wk+BrMRuDtgbf65soeCzc/tKMXkbs
0dBneO0+vBK+se6a/Z9t5b+ZE8WRDc4VlCfOv3qQkPQeQSUOHj8YxpggJqhiGHjkY6h+NpmXUbof
9Qyg9Wth9eAcDBMcz9yv00vZ5m9DhDhIK0IJWIuS4ad8UB4JxiFFcsoFgavsWQb8+XReBulh3DOY
Lj6/kji6aI/e+HAM84sdqwPdYzZVmGCIm6eUUB0RgRW8gzMsoaJxcEMeR9PFvkjbvzCpHwD2ZPRz
2F7LAdrurruJ/vN/27vsYe1+QYRBvVKAhyTwv8LoWYTxIyHBCgYpxpDNOWjqh6++5xgwpbviv+fg
Pxr6DLDda9FeJ9f/A/RCMjCbqMSgvKA2sSc1S8JRqJQCkiU4+FRJBJcfR9lfmdDLEfb7yGdgnbwW
cnFRZmUbdX9+wvG3yxdRTAENREAiQCU/VV0gk6kSYONDzoTUCV7VU7T+0oxehuvR0Gd4XZy8kiJ2
CVj96p6PQ1MHB4eJI2lD98eT2AKNDA4vo+AdwkEn/UNs/YX5vIzV94HPkLp8LXXrMr6Ji/Jhb/+S
mkUUUHOipECgj6l4ApQ8kocjaa6AGdqCILj6OAdeQtNN/N84xnwY9xyl1SuJp6vm11oXAvgetAQg
BOdcz/sC5FfrQkHWI1zYNsTaU4x+MpeX4+jroGfoXL0Wq+L9vrt9WKNfEkEMGtvATVcEstkfWR8o
Kg6CCvpu7k+9Hr76nvV92P/ETX4ZoG/DnkH03n0lAfS5Cx+W6RcgdLAfBDhJjNwfHz89xYIGAEht
YCIxkMdSgRf/8NX3CP1kLi/j83XQM3Q+v5Yi9Pk//wW9otHDMv0ShCgGv5zC4bBAcNj4HCE4xwIO
Dt4FmIEc2PrDV39D6Ofz+QFKDwOfI7X8XxpHj82iJ50lf7dnl0PhB6KtwIU45LQDnX7k54E2AoEL
JYmBgAJTHT07lDqYPl97i388n5cB+T7wyeQfNSv/z7TF/LiD93tjs7tv997XjuhHTbx/fvXrLUL3
9rOh3xjUi1Fzv16r29/eCtjlcFjxCLfDxzxlX0+44JNBd3vT/vZWHUFDKBUIgZBlCCkB9G24O1yR
R3CWCCqJSch5mH897yjKpo2gXZsfcZvAuTEkRAJ24aEfypTd10vsSGIhFdQ4sHrhXfJ7h/ppmU1h
WXxfkG8/vym6/LSMi9b89pYfbKzq/n1fJwsfYzMQ1wqDCMfQ9wjTq27259AGD2/H/6cIKzWojhCd
m1YnYnRlUm0Ss4oxh1bV/DrIkts8MbbOu9wL6tmzEdsZPY+2UzT22WxHTsRbz7YCL4/CxdyWn8Oe
l7qNwgtF21WNqlNeO0lEtnisUz1gE+pgmHdZG13wul3kDck0j61LMgfbNKVLRGKvL/tFXXSdrqW6
mAxbKzU7dVE6EQqPq8leJrjb1GLKdMjmXRGs8wZFuizH0EEy/VKU6aZj5bGgfJ0Ueei20bbkudqs
qk80EufQIHNGm1G6ddhfqLac4O6kcVoTeVYam+OhEKu6N0aLKjALlMfLcQgSV6bJNlTlrrRgKAfr
YjHJbCumyPZRNd12eb5iQXYdiPhmKEfhkaD2y1ZxZw6swcvQ7GYjFk4ei63sisIzlUG6FpLoSQ7U
iWi0xSyMtAQ2o6thNv5YNFg3VlrrYVaeKpJgg+0VR1m/g1PszYBR7XRd1BwrFR9zq75C8RbM5w89
VZcjHxxJ0tazonrQKG9CnVuATDLN1GEy0lNGV6WyyKqPqBdi4paJzbSxs3zLg37UfZDqePg0plmh
VTAJt68IdbKGNbqamqu5yStNYrahKYoXqsGZL2blDmH6RdIk0XEwhYvBLq6bzCqWSg2tk6mzgPWF
NoXd6KGNIk82Qjkiyq5lWtuusaPSqU5JEg5uk5bRqgxGXQWkd3ncXrJB4kUd9+uwH5S2zXDeNGZy
w2LybdYN2pZdqgWg6RQRapypZ+mSJANxElE68CQEcaqgxn6bBa0emUx1OgjhzhnAryxnREGpOxnY
rkrpSdLGu5ZOpV+klzH0BDuBjDZxW7RubFGi09A+CzISOTzotmwaGHxCrwfaacJT6aTxGLnZdEua
uXdY1l2SaTpLutBtCK1cDFuti/tyM7fSLUKauA0fsC6autb2HFwVLEGwVEGmu8Zkq7Gxt4i2m5zW
2Q511BPT3LuoErXDLJT4fZAYp4qUrjOLapln/abKcemZPp/cgNjdppjVaZqoxp9yiMBojnaNjImf
5MFtAn0pGvW48tqeG23C2CuzbF7N03Gch4m2bYt5PZad7mcnrUu8iml/ljBrx1tDPZVYox6iudZ9
TJeEzOMqCryUl8ZtojzXis16Svn7TNU+D8ObzC6vVE1XVkxSp5pFoNOSNZ6IAGY8LWls7gYapg5p
VO3mJt0UrI+WKM0+8TE+UzF1MGaBHuvYqyJSbdls6bGz7vooTVbElNuUtJ1TihWf01FHaZ0vuWXf
BaZ4Hzal5cUJWbQGFiNO1vmwLtpA5y5v7NQpSaALtEz7GtJckX9o2z7XYsKVrms7diJZTzpthl7D
aYAzJCrXjMZraGit3ZqVpzlmjim6YJWN5YJye9atUK2TK7ZMyqR1is4srwIbbdrR+pJU842V5J/D
hnhlFF5naPB4AfsHEkE2f6kRus4Faha47Lg2qvVGo5DXF3axtMLxyrKsT3leSIezNNCYO5Sl0qv6
gHm8zfc54bNmotJTga6QqEJtTxlybGLBK2XljcReSqMWVdvY7lRHV41MPoxSNjru03XGrHCFqsYz
cW88lsexY1HUu9Wc+U1JjkPIbn4hm9OKttUiDOQAaaw4GWd1VyRZuJhojL08n1sdduaiSUapWcil
bqIvNOSBVxMRwicmA2zu8FPdwYaFdFQXme10Q6jlZOUewlf9AD+YPPg4qeqa5/RkjJtVYFDkWokQ
K8Tb5RRRsSkb2rsNaj0zSrXBCcBhjyTUXYwKNx+Nrhoxel3ect1VTj4g6WacNM48TtvIUpdlsBuq
8INKy+0sA69S6tK2s082TIlyv4iZU8/diQyo0cqYfVtftukEwRDmuklxqLM4PC4E3MYwqhUJMp/P
k6uq4bpNINRwF/pl0p10tT/z5Ay1s1sK+9jOhkxHyrJ1P2EnGPGJCbMzHBTbOBsWuT35UxcuwrRz
ZmJOeBJ/dPuQOQp1C5zNroC82UmqrZmvx2xyCeJb1pduGEFp5WH+OZtmt2r6UA9VsGXVZdWqrcUi
j8NAjiAPx2RYJEXogc8LE8nIArF+DZ005/QjjZGTz6FO8zsuyzsoY7diGJ0oheQwmBPoAtg2Y+hX
ua1TkTkm+xwWlkc6fNO18nwQo29Hgx8UiRPXZ31ujgkxmsn8Iq1GqGwKlkqg6Ji1+Qmxk892Jy5N
EJ9ZBlYYp5FP5no11XIra8urCgAyCD8xuKewKPa5IMtpKpwehW6t0i1qutghhkyuyPcVk7cKHVLe
lMU6rebRmRn7NEf4kidNoel8nRNyUpu8WmQE0rw1xvVKWbcJHs7Dpg0XZi5sJ83SwhkNT1yMmwWi
vNFzDstiwS4Yi/OR9BcytRXEysdaGeq0lDAn7tvPKTXRWg7dbhxqqF4BDl2ap2sgMW4XzZvWTGiJ
jXGiuriuRHEsZDg5E5eLNEqwFymxFiYul5bFvpQzdS1FNKrSfQY7sxNi2+VmMVpKT/yWW5CKks6N
UbMuONZt0azqmi8wu66TcBFY5aqx8lPbllsAGUhC74+icRLTuVNUneKE+RFiPi1nDwqUp0b7LI7r
JevKiy5TfmRsh1bVaTv1TlFDsjNiVwXlshzsq5BSh458kaiPFZ51w+xd29W95tbopd2HyWqPJRqQ
FmPnjWLQM7AZwaibjOWKwd3lvIOSIhblzHZ9Bc/SlCmkJ8lXosomzfJiQRPhdpg6k6F+M9Z+FOYX
xu4/pHPrhmaT4XHziK+/QIG/dqY/p8CHfgl1+I+B1Qpk+zEFFpaohhH2ho6bWWrw/ho94tYpk+rU
ruWuDdLS60ihcSI+ZgmNXKGmypvjcCdC2yESYigubemUmN7gtI3cJmfvTcCRTpA8T3n0mckiWZS0
OgnS1GM1bPWI2r5kF81ghZqE4ft0JtvUtItgDD51BvJoU08XHexvzRUsRMzXsiNYjyaxnCjYNCqc
3DqPlMO7IvWQnNyYyUoXtWTuxNKPJEksP5/WxiKDgwRwP6SCRneccI1a9tHmsAmjXI9Qq3WOLW0a
+UlEzbXdB8C6u/CahGwLAbEF4rjO1M7O2lQHGduOoj3vWfa57Uu/JJCNTOwURlyGVhJqphI3SLMt
rnJPRfm2iys/HKsLK/5IhA0LZ++yWO6ioPThTk7jsjnr6WUf8YXpzaJJdrMVAdUluotqfwh3xTl0
qK1EWrlluao7sTI5c4HcrfreXmZi3HCVe50KvJLwhSrTXTJezkN4WhLq5xZZNlO7KIrAwzLfpsW4
ESbatWXlp3HuREnmNZQtZ/wBqsjZWAmYgKUTxpZQmtwyOw2t6iNPylPLQYie8LK+qDlkMyJh5vWQ
6i6leqrJosHyNIbommt8Bqx4a8eDM2C6KMLh+FCiyyZxhzS+iuVVxcdV28gQgrbKdVfbp4hOH+e4
RbB9otzt4nzZA6HUEof70RIfZzTBjilBktle0ufCkT3UhTasIneioKSSYfbbqj63y+q4auCLS8Ei
bceBwy3SuGHTZDpDPHULbpCjIum1Fr4ssSNi+7oT4eeBjk7IEj/ts30tp5t6SjRoyaso5zuFLVie
fvDC2pq1AIdP50kn9OOndr+F4L0qvSlBGcRh9O3R6e8//mvpnXtfH+L9/aXDc9e//+TflQejyfzp
m44vFpfP33DwFb5/DMzim89wUPJPfviDsfAD6+D+0e8fXHziKzzxTx7csoPqJgRSzPfnt//gKXwz
YN68e3PRxfAoz+EffTzDcyDfu8W+f8q9yYDREbSpQBOKDWaBrUDWPpgM7EhBtxfkNmgKQwweFIAr
DyaDAH+JHQ4roIH20JIEht8jk4GA+wCWxf1zc/bfMRnA1EB/dBk4gueWYWrQjwuHXE9TrB2bsMYx
pNi5Tx0WxpmWbRm5bIZ/ZV0HYX/dtg3RrQzwOpM92A00OuhmMuke7WJ6GYblvKsDMuoYNLGDR0a0
4sOxIOdJmwEbL3K3gecovJpGiU6RvJXJ+H4WaaRpfDH1PFiO5Q0oFeQVvQ1VqCUfTT9Dqaw6fwCO
rq1xarSpROmDUk9clA0F6MEQJF3DlU+hbmicd0tGu/m4C2cotzJ1WUaFj5vCt5p8dPpyYk5egGSK
RzIuiEVqpwcZXhXWaRUHh1zTAcetp2UNgnZj6tzvsvi4DnG66K3UctkUgHyp29odrDLSmORXRW/6
dW0SqQsQB04ljLbqfnSjKGz0hoDAd+Kk7RZzmF8Trk6GMBj9kI+FO870fAzIXVUHmRd1HfMmetnx
nDh2CiW7QsglI281z5K7nvY3eTq065h+stIt5i2OtBFIk1aue87jiwFLYGT9QF0azo5oB1tHJA/X
lZVed3WFl7IfPo7cqvwmmFYyLC1gzM1JCwljMWdEOazJFnVn3o9J/SkK7UlzWHRTT+F6SFt3Gnjk
tFW8RhHCLqix3ZgmjYfoAHyvnVcjS80i6rUddmLLxD4mvb2Z5vgirEngjqk6hnPw1pUx8FduIN/i
rFgALWm9qKm4p+Rw1YHqBWYT1BoNFlhY9qj5kJpzCCyHMKmHks0nKemXHS83YZ5PelJcelN0TZt8
8lJMz2uWjU4NBTgHIaly24sHvMgxyJIsLOxFVNmZpnZ0FeA6Xmb5AIDHeNe27WVjYuIVDl2wMJy8
8GPNGNOdbVZ9nMuFbJpeg791Ic34WeZmdlXUC4+SdG1lZanDCYVOkCNzavXgrWV4g4ilHKuMmd+P
dPRrERLQS2pTjQVYTcG0s1G0rGkQg5FkR4t0JAnUIRn59lBQrx8+VJ3AGgUgC1ogNmAITfVaGXKB
7arY1RXaGajKOKHMK3kFMxhorykUszhLc43SIXZJYQWLuuk/xJOdOTEQJ6A14c6wj4KOFzP0+2za
Ul2leTaesVDc5CDW2y7q/IkSJ7Jz7NYtYZrYReOEc5Eu7I7Om1HYZ8iKPtfWGZnZ5LUGvSd9Hmxj
NFxYU78AuTlsorkdwIriu6GY2iU7iHVYusrhHxH8RhCnH1TqFELOLuusCWpmK5fDapwHUPI53sQ5
kBbTj9Gi7criGB55XOI8XQhhU08KVnpBFIKGqaazvDAK7grrgAHXiZpzC3YONiBf81FhUOCB7aCa
68KS3C/j+VOA7MS3qvpTP3Nwxky/BJ18JhJzN+ZtAYV0tLcVm6sFblPwJSkU5MYCKJtpiy1anMJO
a+Gew81sivI4k9pOJ6ZBzbgd4aFTMNsNeEf8APtA8IEnFoq62L6tKpICnFG5MYYD8bZiDoYQ5JA2
JIMekYSkGDYgZwcr9aTpVqMIrm2euaoHl1ZJfpXQcpcza1q2eN6xIIkc2pYrkNxAlXKPWUzHzB1r
NO6rDhSfrENHkCHwGKSscG7jZTsZ3dDCa5q21rJqhZ5ju1pQ3H3Ik+o6giHgDhldhieR1dcQ9kr6
nOUnM4qVG+H2cxny0oXUYwP9z5xI9ZBgZcCAFTnR1JwzU0P2T22njsdCW32yRB15X6frfMyGtSUD
7iYhqHg1jWbBx0nqjiA98oR5OJ8qYEWQGwaADbckWYrOvhU4TiD/gdckZ08EQ7SGHRbprPBIWQKT
phlyxVh+oF1wFqZicIgwx7ge12COLVIBN9Mo8NViiU/jGNRLVAJ1M1nfuGpmOhvFadPgyI/UXXXw
30bMak3EvIenxXovU81a5lHvWSFNddOPH4pgGU1t7tZVMLtTLNeFEPFJz61TAb/NxgmqLNNz2635
ALaMIHG8EFkaeBTHOrLa3mdQHoOs2jB4QcFm8EBFhTppwPAUHKx7eLlk4+yUVu1mdgzOa5sE68za
tAVK/akYB21lwIFL1BM3ELTxoiCAzR1nlbZE6yqeOTZrGo9loXCsvGE+MlPn5KLzorAC2S1GYNA1
V594fTNZ03oK++NcFdZ5UAyfG0swp7JB1MSN3V6kJfgVhZLg4inwTwWDswezpnNQ+MHkS2jAdYYg
bN2xwgf12n6UDOzFXhgXBVB/TWad93i4PcQ7geKy7NveCewg8tM0dq0YhSDj6GUuTbaYwvhYWOng
0knRRdKbSIcgk2Ma93oyWOigtN+XQQEhNBmwtfCQeHwuMnCk5Sop3Xayj8HMyNysbmFX5XTS4DNj
bTBEczkhh6TSJUllHMrBGbCb2QfF3aXiAyhs5IwJiKemapy6seVuAt+IjYcbM0g5dOqKlTWzFHYd
28/NsChoMfvRgO7SLHdEyt0WXDa3TDOvCMCPhCc1iI/i0A2Ammuwct5HpSTriYyplqS5Y7UYlkOe
6CBmX5KmPWNiWvbws6qKwj1cKBkYUfBw1ey0o507cCifOAqKlBOFXeXCW6+ThC6bcraWpLGDXSnD
Dcps4CN2HbrhWJyNOGlc+N00SuO29Sur6C4n2s4azVa9gGMZhwrYr924bqs8OCbAyKABNPfSIeR+
p/IlsYZ+AbnGaI7ZKi+t3h/i+WIKx089LFdtUs+e6EGvllv45sTJBgLgBWBHjAPCPomAE6UtgxOr
/QC5x7WBHQyWFpm1zuXQeLNEV6YXoJSGeB0Z0nlWUmZQ97jt8GSI/DzDpzM7RlZyKOz1tma4d2RF
jmUuT9UUMY3VxjZS+oNRE3xPGUCKorbXT2LZzZHU/FAg81Z5MWSmJB82tYr32JpLB+4XTAKyZDm6
zmQwOs0MdThrSmAIYs8KsNeGKs0P9X8Xj2hcEzltORnHpZyqJYqmemUPOURz7PTCXhBSmQ0eosbN
wxE7c245STGOcN5TbmsQaD04DUEFRtU4j/DJPeR76PeLfJm3PaSBIdFhWPV63MI3n0IsQoqt+kQD
taInczv6Jm9dOPWqnAna1HSWl7nOCFjooo3Pmwxd9r113QV0WLWzNTtTngUOK7Ja096cVjN4YSbj
sPj1F5CG8lxUFpyLzSFxi0nBe6LsDDherBt7AoUfQShF6TGYdxGW0Souy4MhNNxG8XyaCXw7idk4
0yg/dEFW+KjoFmk1XJi4MitSBjoIsw+0mosPsdVf0AK8Rh8fojSLrDXqJ58H3AI82xvMDJys5etK
sU+1lJnuE9vNbbJLwCdxjLSggHO799LC1qGa8ZaL2psgGnRCisblAZgEgq/LcvAKGl6xoSjdgcMo
m/ehFxf2sspiOJqDUkmDz3C4C0WYmNEF6eNNaM6cFM4odB2RxLXaznYGCq/14HSnfEo3kuYd8Da2
QmFoHLsCRKfEq+As2gcymvtlUfYavPW9KaMKjjxQsVG4gMMC6KJeVEyVugKRvaVxOTthPvAlh3Om
WTSTy5SMvBky63ldsXNTZd0m72CFeC+RNzYsPLYHMCNRJs+sXcvyVVWzdEPBhu6HsvNHNpxFGM7U
MiE2Y9VCkc2RF9jztEwT+wYBUexF8VFy606JzGd5U0EqKve4r+t1Y4oTg7JpQ4NpW0fFtah55ydI
nTahyZfzWO9lx/sFpqz1x266bJmVumXnRMOMvLbr5nUdW8sil+s5D8PTuq6JB6zkDH7vxOc5hRNJ
cBegLg01VMJkV2X4os9Kl4qIOUEIBzD5wKb1DBRcJtis1MjhVKkLwyVUtFjQ24Nc7JpyU1NXTsVw
RkWOQCR1oGhwYC0Rno6tqjUQlfZtXVjZjmPgQAE5xe0sNkkWC3eIWzgBHAagRAR/ymGbaxGVyJO9
Bee6cJBbYwVZuIObzZaRVYltiIwLNmEIAgfmPsTpQmY10t2QnjYlWpaqATOwbAonwCO49tl81cA2
CnvEQfii9xHOMjcAHzweoDh1IJrBLs2VNwuHqP/P3pk1R45jWfoPFca4L6/cfNceUkgvNCkkgSRA
AiAJgOSvn+OZVda59FRb27zMmPVLZKZFuuROB4F7z/nOZWyOhtqcrUrtFa/f4Mx6sP3mDK7ZB3SY
qCJyRI8zGLR/zVYw30NFwPFzTI1lH6R5q62/c83WFDQsw2kyuR6672bGL+lOvmFnEyuBOiaZs9nA
oUJqqewiX2QNRVvXxqpo1nXajaM9alRyx/Un7fomW1o4L5DnXrRjj/F273Fse2NQOEuaZrhFJfrm
onVpnPnChfDei9s+ivtD7c+nMHbwLnDVQ63rSnvtnPVDNJ6bNX4WWMmtnSzuJKJyyayCXId1AXTg
VQVUnWcdQTDARqHVCPekxi4+y1t/cZrDUocVonMPidO8tL1FExXElRx1UohlPjrJgPLwkfLG3YXJ
QnLOu2OU2DgzJPm1EIfgJOFbtg1YCZJ/EmquVqDq8nmcD+uIhT7yZA/G4oST+weNUSEYnKhmnCRU
W7/OrF2bnOHiyAQ2ZjKHquhwy5ZCYJtUhOLwHNmvaWygFHeHNfxySZd33nw70JyRIYMUsuzC0DaF
TwikWLotOO66kx6DW6FCOL+t83Ps9dPYTix3mxg1lY6+SYKtJOWRKnnU/CR1mI+DcKooXI6W0zu4
KXpxoks0pE2h1ZIHxg1RqhQpX7u9tI6PJX3iPp9OqYjfWP8wweiLsmac7CGaNHa8Fp2GnLeuHMT2
2U1cHDgSAkUI0iXTiNuj6TcH7fxIjf85Jf43RjbC5RmbbHTYd8BWf9f5OJ4b3ecTSiPsBksuR3tO
pFMN1mxAC6BZk6Wq1yjN7Zw+4XJvGYLhJHMTNRUm5pfAa5dS1B1sx8WPC3frbpN42QtJH+yy69Jw
vngqOA6GfK6B++qT5EmH25q50G4zC70nm9b6COmykv38a3X699ST+YhbqZtd3NnyjYfBnXC7dpfA
fAq9OyFJIRtSedN4WnWCN0QciFPpNzrpNptnGuVD3abZtvZloOUj7svveYqazGmNKUgCYboXW0bj
qM/rFsqnE/3CdMouH9gLB/IBb9C/idFmDNRTFRmvtSkOaz/c5spu9bdbr7+mvntTVheJiJ6GcKrR
gXoHGA4H1ImyMnZcs7FDtURgcFNau+V2M0l8VobEb6k1v21WvucttuA2mlAJk4bvPducWZAboCpZ
PbQ/0qQdsriFz+/3/Nk0aVMu1nxGdOPFFsAsiKY3f/JtwT11XnrNipWG1TiBxYBOSMqOnJWOojP0
MAHJEX8Ld5eotzFI7ug8XFLSybzz4y735tgrunqCkY6bBjZtWLHgFx8SCU9UnwFQ3RnhiMs6YE+g
qTdWQQbVOrhV3idf5dNCPAY3TcAFX4PzKtdiExOEFpqWEbaEoXeHvG3001Q6/XYcrxiIT0lpabBb
V+gvAW9wnI7dwVqHw9eB85eop433U8aYGape8jsexW84dr84TFDoTMGU25DeytnbMtGA7YlGXWeh
4ll/aCDGg3hCy03IGWWXU7QizDX1eRWb6bBQUSxOTqLazTuHP+tgRJOlt/ewtpnpffcMPWpHJpb5
Mk53IjQefBhzXJ1aHllIeClpd4pDNR9nG5Bs2PpSxPNbE4zrLm43PwNks2axz9ACe/XH1tR3et0F
m9SPY2/QyC1BDz1BLNnMeLRnre/npkOlVLs239o4I14A4IrS7wXHf9vzY8zah2bSyW4BNMITtAfB
uB0anPlFw1rsQAaSkueMD2qp72pX12VsIDuBj/j2cVrvug/Fve0I2U/MfuEwXRfMXYfMUyI9U2xT
A0lv+82cU65f4zVgVUti7Lmxu4uGp07N2zHFZh8Pw4V1p2iG89Ww2ubI+v3cgEplduE8x2Ea56u1
3zOJ37YhemicBAKffhygtxbQddx2e+nrBh4xa7NA9RUgCY63lDykALYwucDeXbWhbFz8sPCSZef2
jrmwAYePdaa4IAas1tKAMPI23DS43SQQzRxWfFoMiyqx0YGQSgkvfE6fOJn6HBI8PQ7WeWySBKol
KvQ6aeuibkWHZnMMM9J57n4mwX1rXxofdtcseQUJ3OSv6PpFnsTC/rau3ImpYmYA8hBwzCnvIQSs
zY3Lo+48qBgqcQfsC7JWLvwOizIRJ502yy1laLaDOQiB68gh6zdHlG43SPR0sSnCWgI5ikmfbZ4e
9jNGDpXmKhB6gS1HS9uqZzN4JAnYo+aVdMK6ShcyZyJu87CeHjbZPLlpe/LUPECjIQB1qOiLTrYF
ZcOd65sJG6dFn9mNu8kylDpUPie1+tU30cvm2mq5UlRTgx59Ff0eVsIlVhDvvTbAzW6Ci+irdkx+
Qv6BZaAedA1DdgA8ppRcof01rxEEtcwz20Prjugcr8VOcotapUVBF1SNdd8iF1LVNngS5Jcq4g2I
AO3BNfWN/5Ope3S4l2Hz2VMcgsURVyDH+Dgu4+9lSWXu0eSnduvHdYKTyUEPZJvTZ6JOqnGMSykX
pyA6QcXpVFs6HQf3QqfIu92W/kxFi2/P9PTUT+FNDVFUzq7Yz138zVa3cBQ2tCgBjOQE5GWjU1WH
bp2hTW33/fiz35K3YBre5WoyY9RYOMSAnEkrL+27arEJjmNXzegO4+MyRF9iDjW4FxOigmxs1bY/
YrmhPgOa4HYCUkdzhOLZ5zIEhkK2uSu2bTpurprKDedxFoRNX/kOlG1rJc+5sFBssfMAA1ty1EmS
B0NOm9TLCecP0wLgjBoY3SIeC6tRqtigxl6z4L0Fm4OvUz661Du6svnpzvHZV8GSpeLoDyclDBas
TU5k9defgHpKA9xUjUn86MREZ3qwNhuhHjGaRgW+W8hfnZeH7Ww/IKDpgJeYk1uAUVVnEzSwQ8kI
LWDo2C628XNrFH4EcDKaYEsbtrduGVtoS/aWKunlzNXPSM45OGmXFgcHbnmfRiOMfyhKDtE8Q7O4
3Rr5rLi0O+s1z1PXY3nHE3sIGf0xDePH8u00MI4lp3un/SFTvz8P8Yi14UqKXjkR1YoN0XW76X5M
o6YKHSNxeM2nVOuXcfbbI0EzWHpbV/WRJS9ru5zoModlQAUcZNI0uT8FFt4udjY/NEUd2n4fL1tY
MuNBfyGQ0AOql599GMHqat/FQPY24F/bBA4Kq2O6NTUptla99cItIH31Zzm5VWvkXjp9uFNuPV/4
jYvus2BqMvd1b0XJaU0unM65L3BJOlaDavRtlI2QsTIJH21vuP88GlutobpMW31oevHF0qVGY4Z1
ZdM6KfrRddC5wLqeUwMfv7up45nCv7LRcRjheS8tK3mjasj0gFGnod/y4T12luBW2hYS0PsialtF
ifsRXtlUa0jhXtm7SfkaOCJz83FcHLQk0z6yU8XQYQVQayRw+kK46ze0G5LZUBxrtOK510EXdhy1
5jGHxty6Oqoij+whnqiLNvMjbyDzxSgc/LVZcujlz4EYfzE5BIUWws/CDgKLStotUwx1ClskyBjs
uUvEnmu+PvpmCA9hB4kxstiD2lrGcG3uZWBuYzk8gVG2IGkFWkwxyKMPavs2cIa1kp6LEmz2fjC+
H42pi7Xf3DyUQG4nnMFD4zeAyupXQ6DEE1MPuTC9KkP4SQNupgVVWusC0HKCz/Z6B/udD77OH4o0
6bZC98rF5n5odN3vVOc/ef0a5f2yvfixVLn6Zr58aEJ1M/S9wNYY0txl8YeVn91V+APYOjUtK2Jn
eIhNBL1/uHE6lDbe2RP8QS79l4mmapgF/B9dv7oicOEGwfr02yRzrmjr6ssnnXKbtZuec7jY52SG
epJS8zxFYamAQ0WvaEA8Zz/WyZd2oSqgUV6HB6PCXyoSKNbrykmXQxqthzhi+7kBGTyMwS+/L1s/
CjMg6BuKgyno31sd/MSSXleBCztCXgpvZsfVJZDb9zpJ52IUyQ2I1yAlBe73Gz1vH+7aFNLpbsTg
6qzv7TfflhBn+92yDXdTtGFDTbH9+gM7JIS6NzZGuwx3ZmKmqThQpj0LR3JXXz/knOgdsFkcHZiU
id1Ibs9xfVwMSEy3NyEkbLjei3TWI2Xzq5Gq2DrTHeca4hqkysuVDd45fXeAgXhY+7i5BMn06qQj
PzZoMSa7phWJmrSY4Q2hs29FZRtT0MCOWSDotDdpjTJ+CiGN4Co50MtO45gMp4nRAJJ/LXLiy+jo
GyGB70wuWpd4OkZdJICSBmMxKUWgfj02VLwjvL9VyldPXdyUTrQFN+HqTFUQtGg/IctlzGPTDpwc
Fn6tT4IFF5SrUdZ1PtkBLmtREDWhozOasOO4Lrcr9+8DB7Wxg1r8oFJ9ZyPzuiV5M0ddFjZTBJln
QQXk48aYwr3ZYKnwEJjbLNpcWDDDIglY4YUWRj29CZatXAXZysZ34fSFvqlGB63n2IubAWHBs+gU
hQIa6+NKpgGlAqot6Ad7KZwodxoc81P0INyBFbM7uyWlML3Tbj52/vzDaeojiimncsjAcjCmpKjH
Zd+bmABj4B5qxIblZtUngA8rNiPcT8Cv6AnFoACZPHgFd/y8s1jhQBJJVjd1nMWd90MvAs4BGzMU
sLRIPTSQalmKFsT+mXoG/gJb8FqYrsrOcGwSVvboq9HFCAf+9dblhgp6k2rs+otHKgHEsnX4mI0R
enw5uqA7o6QGFuZ8LOEgSn+4As2zjfdYFHufExx5pL7UxKNHgo0EVfY+WHsQ9oAL4q2RpStUnU1a
PfM1fmwA4G8k1kUYNh/ti+pnuKx+YiDWLlNBHfTcnH0EHsyhWLYgvxvvNZzGw4Z9qkY2A5bvJI/A
IqJPl3wzARDXjO2Km/wTzyx4gV/A4AFtb3pKaIlEu85WuWs0haXTbFXjiiJkJrwPlnnn62UsvBkk
nLBL2bZUvUUdykHNfRd2pv1c+2+h2FfElx8uDvUtMCyb63eJ+mJjsBojFaHB1V2FcnPccTM9ODUu
9OR23QEe0HMfyfdw6/ujP4GCjcxR6HDNPA3QtCH+hs+DT+MAZUcyAfJ1BxW2VS+QZdDl+vR5dIZn
FsZPhMXYQpgbZfWyHOIRURmPdk3WQXnKgKqAs+4IDvQxKWZO+9vBm/Gd4fiqXaBZSXxkLPpKgy0o
2QwgtJmSPfJ7kH4mKIwBKYKr3L/iug0LL51QBhm6FqQXwg6NUODst9CB2bqxqhMErSXEzjlhkCiN
hyW4RU8hC3Tub3FXuqTNVkrbPSSoMmgW+CKq92BqT2jaup1YYZcrwF/BAO7ZUTODalUfUDYne1z0
N+PjFiWdC3c2hS0awIS3U5erHqyC731aWPrHDmGReVm/Sao+BBTbbNSofA113Iu1IQhK/dUL703V
qC2Hq+aaBgPMwUz5XXvVXz70UN9DKLqQmvW7VU7Q6mD8yxqimqd1tum8c3m7jx0Kgy6tK4omKcOq
6nd11H3aXi5Fj2AOjbkDHxbwcxd0WeMM/PzbH6i7+HkyI8sXRO0gJfWQdpG/OHVz8+U18G+2UXZo
lIKlnFv95oX04Hqdf25Tr/Ba9wsTk3nl1EOYhRr/Y2Bg+RHrsjOb4co6Fjo6fLK5tBvsmo15h/qt
RbF8Vj2SQGP9jmoGMSBTn6gI3x3tZ7GqHxsRCBxzCyoTeiMRsrq0S2FD9tzNHvaPVb+qKK42A33J
rM867nXOE/s4eEF3P+ELR/dzN3fu9mCluKnxDJIq4IpU3AfqbQTOHE95GV+xG/sx/UiiUKNzHin0
V9UAZ7SsUBZhk0XDxNRDfBMaQ0+pxYsYJADBovbOo1CnTdgCx7oSxW0C5GFU7OQRhhgSzrVFTbqU
0QZzPkYzlm6MZV0QQyca061wRr8t0HeDeuT387ZB7Iz8T6sjKKY91dVsuwoeNQT25SJA3sPbx0an
eD62scEmj6tmNNqhaH1xcRRl9cboPlpzr/WXSrkam3IavrC4x2ESOI/cd+DAo8Y6qAnCR2iqLhzW
gsNPyhGc6DPijh7kE7p/50PX3Y79C1nuBfRiUztj0fTrZ+1AR+ITrHSMfi216n91K7lRRF2csdEI
yzS8hDFzZ4bWzWk8oKeG56pXyDuuDvOmaW9xk/O3kfnZlIi6kty5V/4wZ9J3yn4k5iAMtBisUdzR
jg32tabvXTuSPPAeVO9H1+jJBGHaDOUmgzqv+biPHGVewquVzxD9SB3qogpe2GlVsqSrukN7+q1E
0+4Qoqkz6NyQqEDIYn9oXpJp9io7bKd+0QlosnoGGA6VqtvNA/Y0fH/PRq1OoQHZ5Y1ePnofTaON
+RsYOH9fb+LHvNz07jreM6XbnQ4cB1XQ8K7n1UFjub5vyczPXb36uXRk1spCKqKPrddNMMEhGOfk
2ta7q9rHxr7BUmGVngdodul28XCmOt4C/lTCMm1q3WT13O87GXgVuNlnvSZfyzgHRzycwyttEXcp
PhsBk9W7Gk50HxzCsWsuk9hegz6EHFDH9mgskXvAxaQw5im4KsjtcCYAR/Ia0PBumbGDMDXAKlU5
nQQ2uhFuWQ2Z4RqH4OkJuG77hiYNAm/41tG2BpkR6QpsvnI4eJ6mu51S9J6zCb/xVJAL4TMoo5Gf
t3hAjxY6J9PeBB2XqEGSpEgVL5Q730+pwffL172uZ7BbVxv9HyLs1TansJdmBSyHBOnnALPT1/YR
9i44p+ilYcmOCwP1zhKR+06lYv+pS4fzRjeo5waLfbkaqGx8JQq4xT903G3dFkEPohEojoWjDUY/
i2Xe5hrlX2ehpROHvmpIOKGFqRSR9mNyusc+4XdeEq8Z5jVdmZr+GHMKUAcdooarnnVJjK6noRCE
l3vP4fORDa8OW3j+38eGL/96jNNfqd8/Qr//NVz8/xY3/Kcg/B+5YeSRYxwj/44drv7ySJR/JpJ/
f9nvsDDGRGL0YIohC8j5Y7ZWiOD474lkTEcDIgxIN8EYhgAPs0EY+D9gYceJA7wqvc5W867T//8F
C0f/C5qoD7zXj6+D8vBEon/R0X9iv5HC/s/iGM7fEskYU3l9lAeGZicYGeH9hRVmI5zOpUUydvDQ
s6d1CN+3d3exnpesZ2Dg+iH8qrttgKP10DSOBAiDCr/G2Y1aGaVVLwGETKtUu4WH2LACuwMHVhoC
nXVJQOjyWJw9vUAkQpAjG6f9xNI0p2ZCaYe7s/TsetnsVQEIbN4hzZw7xikiuANNH5ocLYNbEEUR
xlnNnjYC6EmYPi8OtvABc1Jz17fn0Uv3ix8d0r4uN/yzDd0zWbodnUEebP4p8mS5UqdCs1ABfnw4
t6F/qyL3XBP6Gg9tEYlLM6W3LrNveu6/Ggc/oyH7KZJQAJyq3vyCrsl58J7G9CaE+YKgDbvXJr7d
mhGkL2oG7x4JwS1LKC6KgtKfkbWV8INPjvIOYkouQtZpFq4N3H+j07OAxs96RCNYg2ISnfApRfdf
1iZEKhN2mCIttP/uNEUn1tu3JcAVF9PJgsdslboF6uqdeM9OqKqhFhGJ74talGYEiZo/LOr/bJVc
Mzl/iq1fVyhmiSQeRh/4sf+XzE5Qp6nqarRqxPYwDlaUbI4wP5mADKpGMLpQp7IIJ1zlOhKG14oY
XDriEkEtGtzU/S/ez3VS+9/eDyaiBWEc+VEc/XXRoocLBiUHvB8DFQ2pxwLuy0OrnXTPNDZSdxQZ
DGKoaYWvBD8kmOmE+Aw6a+Q4+dgjKzhq1LNOghKluVuM88imiBZ+RNxihICGKGiE/rKedqi2T8CS
RsHxr1Kf/bTJ2hXuKcxnFIt6lhna2xHCtYO+EmDKv7/0+Eh//6zYJQKMgsPxgMdEIDfwx7xUIEFE
rmuK+JerxGVmlkAOT58NPN51k30Fu6R04z7NWLIcqCvmQyBwstcRxAh4jQHCcRyCFKF7GfSm6MYe
zCCzz4NazwP0uMdBeocmROcWBZt46ocaQTRQpLkbyCijsD5YsPLzzDwO8TD9nDRKgnWr+5Ol8p7F
DRqGAeZDRGBkBncw8PWrcOYfvkvUgXLkH/tonop1XaNK0Ykf2xVvQ1v3lOjt0ZPbWi16QREl+8uK
4BqA6DYfzRHUIdDRdO0zwDS/WDsnZUT9h6kzD5aEH8uMkLGCDebbBSUrr4Cj0FxI3y/ATSFCH0lo
vE3wolKgIzR9Vw4ClIui5SjhyKBhQD4Sd3/hRgpK9EfgYsObYbmNW7qVqKsAy9mgyfD7YG+oHnFp
cKYtuucbyJnnaYZd6jvgiiCBwJryz5v+2enxLNZb68XPI0W93HsyQRW6yQyMA8tkctgUgZ4AY2CX
DPRp8UmVQt4Z15Nd/dJzt5/a4w+8RRULcWO/zAEy6jxJ4exHr5xF905vAlxFYKZjKAEhoStDpWDh
zNYhLPgcXfFQQF9V5UzvgiU8JgHiXaSJQEmrkrbxNZXbHlARAxTgII6GcQNlFaqxDJLtR4v0LgKV
M8YKhA+eK5681D50HAx/HIHCoWEImno0SGu5gIyTNvO64TOGEUQ34BNJD56g1gP4Xgx66OfOwGGB
RZ6gK7Q0fliV9wTUtJ/8IFMB9gl4MBwwc3qheCjLeMsd0C+OFz50AeSf0XNvpBkGXJoRmq+IakQh
Blu00k4ZdeYKwb6zY8FbKIz0yPw1OtB6NOc2IBeAuP0976JrQxvRqg+5f/7tj4iiaREjVAXPBzZN
VoLGwBOljGu36B1UkxwNs7FTPnDyTK5Na9Qhjj+5T6pWgNzkFuWxhdpkxv1v/7HFpEqUu09JvXeN
BzP16pq0eVt7uYrUQ7gEx7HbHmPK7qmAldV6x35yX2bYojIOq6jrczTDEFbWRzQdt366nX2b3s46
vR1D7xJq/+Ja7+SCZzJJcFyYd7z+PUIi9/791CYHT8fhXeridKgbGDh0dodqte2nF6kPdrV0Ig6P
e117TAmIhqS0E8pTFtkfmD0Z5GhdYEs1SJTCpud7cBifPjFfU4foIg4VNOnNVAQNrGxlW4ghoDhU
PB6Rh3B2Dj5QNi0vk3M9nbmECDEbEIHQb0XMWJVKZG0dD8ENXzUHOoHer5lpz2kEqxFh7AMDIwfs
AWK6HSfoA658gMGA0SLXk1KIYUfj5bGr2XzV8c+aL2uJ+zYukmV5AxY/5GtN2H4jg79jS43ABBi1
JXwd8J2oBF8ITsalCDTEFeFHCc4lLS/6yqGscd5wBIfrWMUns13ZmdRnxbQ8YGFC247zGZ7L2HsX
BFy7PJzFkCPA/qtf2+0mGjFXAx11ROsnw8b1MDXro16shE8A1DkJ0mc7re8dbokary6J74HsZyIB
5bCD8DAj6oMRAmh/2YDsiTfpHxByAadck0iLxOSMeQrdElgXxBnR4A0iGeTQNqwoQSx39D5VI+b7
1sMID7hn+dQRkQXxAmMySCAvgTBDY2GLJhwt4q4LDNvGewxSegoGbABCIxU2o8CBcjyixpvoIZqh
IWo+oJsTQb7MZ6ugk0P9AzA9cG/X9FAdFsGxB7p2j8h2dDUeDXjxfaOPCQXEP4xYab6zQl2dEYlJ
I3CEzdHUt7A8R0AJy1BNng8D1KRFz6AIePgeIuZ5ew26Io/YBcBLRiKJPQzNKeQ/KJlC8CplDTyC
RH2oBvNwGllnHAYKmKAzJc+xSW4wiYEd5XBXwy5E7jaZSpmMlfHq87rh6sMHLxhH+RZJAMENKzvd
tmXctUW8+pgzwH1zIAxZh8GGQHGx59+RZKVln9WBRlyHds9tOrM84NelNsjxBgdBVbfBx4xGvpR9
CxSYe0+Atl43MzuXTXpFk44XaAXDbkEMGMg76BzFHoNZk+wftVBT68dwZLY4RUtH5J3U4CqmGz6t
OfwTjXUooBw2ZxANOls6m5b/vqpA+/CX+uk6IilA4YRHU0GYxtClP9YUtcsDPTPlZiFIiGrxMIah
bm9iFH+4ADpPjYSU3awJdkHz/duv/mfO85/F5P9t/PSlZa38+mzf/22j+f9PH5li4tMfvqG/ZVD/
/NDff3aRv7/o9y4ST37A4DF8Z9ciMA5/S9X/3kXiiVTXQYt4epiLCdvhbxOv/qOLRMAcjxaL8Jw/
lO4+3sO/ukgMCPTRXOInesHvT//4b3SRsKX+tqCuTxp0AxfPonNCrKo/L6hE9pg0snRQ0FLcSXju
yFrWLsxmI6/2DqBbN0ZVGKTnnoFvTlUO+w3ZPSaDvPaQ/OzjZNp7q/uwiV4VBIO3slC0x6F11hzK
1DP6r4qkwKgGn5erwiCIGfNzXMamkqz8B6VRwXBGpZ2oZjZ3F0z/+VRprw7Wp3U1KAqrE/5P3tXu
DbTnNeMpttK46xGOWTpgeJHBKKRw+Dkk7Q1PmhxP5nusA3Ur1p/WhWaPCBDQ0LYt4M32yJ5QFxNt
AuhuJG+HFNkDgVMp6OfMcRD8ToLmse/m99WwNzVEiGZdOZV0QF8LRH6PLFEICyF6QKv56JA2vUta
pFXIWhBw/P4Ul5gJ+DNGrVcouHCpTehl2Z7ruNblmJIzR3wvx7G5FtF2O83yq7ce9m8R/uzQx935
QfSIJ4y0FY3VrdHex/8gnf+DdP6fkE6EoxNr9nEHbnMBrHReU79K2xtXJZTmgR/sEezAZCrR7Mym
PSQNo9upmarJgraNBxSP49CcKFRI2GAz1J418QpZhzfOlWJAhnrnqVFUQqFbl20Kiw5hcrAarnMx
Jj1r3Xk7MndtqRR/Zsbu5wD50GaYDzpJXyiICiQ+ocCIMO4xFw4JLP8SpOILiIGTI1VbInAL56ll
Lz6CU8VkHZIlW/CkBfYQcdV8khhuCR6GBDs7HIvQRObRd6stSrcTH/kOb5GDcDEvvaQOysiuGBQS
qGk6e5euUVmjJg9ZFt9BYoz9CFf2DajocRpiihtaEZyI3Q5Tfp4WWFAlUgUn+OEYcMU6eVkYjvER
w9FiEewtbT7TEDuE1/JH4OX3ScfWA0qhap3JLXIbHuZm5H3PvAdL+aELMQ8H49UOmDiASSPzhJD6
gsJd+eiVabicO3C71eyil04IJsphDkyTgZXg8B9QHjXzHvNt8JsR+85l6l5m0pkKyXGRTyj4Fpgf
qMWSL+9/s3emS3IbaZZ9oYYMcMf6swOxR2ZE7knyD4xkkth3x/pE8x7zYnOQbLZIqiSNykw21TUs
s6JJFDOYGQHA3e9377lO+bYvRx5kU63Q6kd7HznqPOvDPkyn6aqqzVUoCp2xn42Mn4nNCP/CN03+
SpPN3lxE+X3m8pSK5ha3uwivu7GzrnKMrmHWRbsidz5Y5SXkB++cqPc9oU5g4syLlnEe0dDjZiYy
+6QH6KGZEQCnOl9VvY2lRrPmvRQp44Uhf0zy8mUkc+YO7HgLneBMrbn7qgkINMjEwodaMxmUxC05
eHqYXIPrSTF8JCixNWSx9Vq1RLpvwoKzWMkb0DxkVnBZ/rVt5EctGN+1BiG6yN7ZeXo7OvrzaBj3
xaw/k8xcRfEHrQgeqjmHmBgSuOebaPStM4gr1oEzUdpjGI/32OS3mcOh3eITRAySMiGPsh8LcS1J
ZEwwwIJAnBpNPJuRtw0qEEvZeB8Y5hWh/TedtK+HFHdzEW1SC9XFyAShuiI4Z1I8N2V3wNiV7PCC
3ozx0B9HowWgV1cnFYAPysawxuQq8nUupL2zhkZnZAcAsLKYbUWDGa+HQIkn/Bj45LwtyYp5h0ej
HMJkY81Z46ekDq64bELfGt/8Dfu+/zk7Ohu66B/t6H5tvPgOcPrly77u6XBK04IIMUS89hOh7H3Z
07m/6FR88T+bthupC4ft1Nc9HY0rjufp2I3ZafGVfNHXPd0yUKBW0dXZES7Yj7+EEaHz9Dd7Ovik
wiYlQL2E60pYJt8dEmShVVGbcMJfPICybvST0VbOswOtCYkKd1bnnggQtOcyJjHpkXAz7ejeSvqX
Jpd3tpZ01/og91FaviPBz7bvEIQdOXksBSsn1E0Gqxl33NQkftrB53EDrB1QMfp9H95YlRYCuepG
rA7NrRSF2HVx3W0dwiTY5DPl68oZ1hAZx1LVWy/qbkyu41PQ22vTzOINxNNDFkdPXTnuPQJQGswJ
E89TnrIupDjJgTwmIRzVDncdvureyPbg6kAo1kGwiZ1HY8dpkVv2ItPPY34qAtCNgfKdeKunH2XP
88kGghL1REbghiV+a0w7vcShSYrEqFno3GxtRCWuCKQxOIkx8D6jwdblwBYlcIbpx9emZlXWmCsD
c12p5hbt4B22xf7K0fFAkDbm1cv8wW043Gu11HxN2WoX0sW4whKUXBvzWhsIPDoaZ1I+iytkJXlj
aeWjqeRdJUKfoG98qgK+qnKAYKVQyXo9fZNlReAXQAoM92BnWuCDlZxXomggYLDcVDPKgAXnZMrR
+NMep4NdNB+VwM0a6H5rejy0IvUumF3E04HUtFXgZeqszD870hLHArSnr54GnpQYxvsgOsFEsK9G
T5/36Sw53RY84fnY7/NuWA0Ygw+cE2a/b1V5bDF52LUKdqGJJBeQWSNcK8nKkr3MzaR56IyNFTnm
Bf9ysNZxMwMagZLQ2+nACAvVNkmbaEd+jzhxFp5Elp8Hfhy/iqvPTO1D/prW/+b2/q9j7bds39/e
LrR1G5YhuZe5WzipfX+7xLXt5jlq3UrJKfel3XzqCepte5ghXuRoeyc03hrW8JCmqTpUGLZWvTQP
rslFjBUoHstTmvTOOg/KQx5CsZnqsuRNb4/CLLzPQrspwCQ6Xfu5W/L/YBkJ7RDD2JQDNo9xNLNT
IYC6epNJ5tPqnmILZxLnxvcyHm8DrbN9BdB49arcxC56j5kHZI4GWH8Q0kQ7FBt3tlFe3BKBqiHs
bg66czDZN3WvDJCivTXG6eg18X1EBMdPPJZjr9USwvL69SCq6lDE/buCfIIlmmszFfe2zLF3ZNBL
LIvZXccK7cXV0WYptMpIHKsYmts48GJ/w2Lz7yYy4L3/Q3j2P2j0/Dqvfv3KL6uS8btwK2o3aLih
tZepNQXYzLJ/XZUcKmAZb7+O4wyYLd8uSrDtESwWHYJJODrIXxAaeNz9uCgx8EPnAJ9tcQZmufv+
LjNGz6kr8j2rn0Am+RPI9BPI9BPI9BPI9BPI9BPI9BPI9BPI9BPI9DtAptFxjq1BENdJvb1I4Nwl
cVwcmL4SQFIl3i8n3zVzEV9Qr8HxdNiUMyiMBGKcLTBTezum0V3rjGdtkNAe0E5VRZbUMXCm5G0x
7vJhgIsUEggqJVJAoGXdleOBiGacDLVubK87TqN+mY3pwhhTuPQQ1z0tPgwaSWYQam+7uEOolUyH
3NK4nkCfJhV8luUXYY3OMTEvMoHoJJvMhjdP0j+KvWRfTBcnU93OIPJ/CPU3ncY4K57GbZfhxnFq
ddvP7TWEguQWl2IEudXQt2kGhDMwtIOXVi6wq5mgMdP6wW02dZDsRa4+W0WQPJCHjfelVZMxAH44
lnqwcjXmbszsTr0lCHUyMt5EcABWDdC0IRt0BgO89usvFFoQYSmhmhW3tbWErCCvbsiYrl2ZA8Iz
E+PaqiXIzAxWeRa+gGV/m0a9hkk0/TiG2QajyEdrwhMJL/IqZ/6HNgPqJ/XiegtRxlghhX2QXUvs
dTRBOvXBmxmVA6xb59MB0+QA55I0VJsQzJdP9BX9PnwPHCJbNyZNIB3Mw63bA4LQ38xlpJ3DsIDZ
ZaVgpGzJVLC7DYGCbAjAgvqpqLnRG8wyDUJCIXF9TvTBTA1MIPyxq7rlDc91gDJoWNiUtHZTxjTH
lJq7mlTlbXIZY+PwriYrIuXTwrfRp8AFaFaRrdIcnBKGu0ffWgnronf2bZY5b7UQCgu1IEAlZbnN
eyCtjyiK545umDQi4FqbEkmfRFAeT+FBOlcVkDUQiJWLy3+xysyVhz+NGg8CSOaWFMPT6LXghmrN
XMeJZcMiAv0t9HBfx1m5mmLHOMfleYycJStIDiSuk8XSf07brr2ZBhw1xE3POCoJe2hkVuYs4Fqc
QoCLhbsLNbFUZSD/9zb2fsu6mcNlDGAi6ZnTRpcoX40S71UGWFsnWTLEiHVNhlNuLK6WuLU/kzM5
5VOd7ADW4/GxUioaEJl4X2hZGNPQvWSBC+69s45wPRX2nDndtC241CixkgfALesA+tg2kcmzxF27
grzZ7Zh7YCkBR+e7C5cuHaLnWnHnLEYvm9IQRzc/0mNxMjDf3ixsesNCjnegehRJk5GHt7QDnINh
Baoe6Fz0UnN1b6bObjesPbxzFVlHVPzpBL209PFk+rCn1qAHSWyPY3+GcbJOw/5tQFj00BgJiSIS
HmIsjWOr5h3GnzPGn4i31yoOppE/QBomYqfachdW0DBNPf9nXP3/vA7yp7b//3c08D9y9ZMDxr/w
+0Tw/6yqT8X8Kcs0Orc+NU1Uvnz678rX/5JMvrzGF8nE+8U2cD+gjAgK+xbt/auQ7/0iDXIwSCYe
8odLh9i3kokpXexIHio+0omOxv9VyHd+EXgp6Kc1XGEbNKH+Fc3EWoTH78zb9mLJQHqxbCFoP+Mv
+lbHH6wEz/yEl9eRdxI7wDEa64Pqu3zrdJO9cXUjemQCOwC/II0dR9Ut8mPw6OZAS0ng8phVm0b1
WwWkaK3bXNIiAbvo6uABwrYt940BMIEI30aH9rfzZpp+wspkfmvGfgXMChi+NW7jtK7p5nhCpc7W
ytT9eMCVZRasj56RH6Mmqtdt0l1ByDgYHnNKM8a2CDlCY0gnvOsOmbHnCZ2PLzxb5b4ojDe2JCpp
zXp9DDFwngbpUNmTe9dJCBBsjrIQMEeWb7+5GP6B0iuWwcePbyjNwEDesc8wgvlBg6olrsK8dum4
maBOCHuxq82YZi1seaRDjTVatHN08/gCnouoPilGHwF/4+QN8NrGuMH/e4ktZ9iZcHF6NbhX/WBf
12Q0AKF4FC5N0YMkQeonXX7RjLjGcq8czPfJ/R//KMZv0h9cG9ApTcInEO1x9n9/bZBzZvlKUodg
K/ROoHs76IPwzMxuyaEW1/C/KGJzUrECn8N7eYC1emImrJ/madoVYfDCzKdaQdtVdzaZT12axeFv
0HL/5wwOXcf+w4fPCqvzDymkL1/ydWiI+YoBoM2Ih1/RYb8+a+iv5HokTuSR08Db5/JZfx0aOr9g
8uKrDBoJDVdaPKC+PmvsXyRPLf6T7i4PqL/2rHkNXnx3a+BPw2/GcFSn+9d7TRt902+YDq6bth6W
c31cp8SCUXHT0x/zqaoGjFhXPxbThC21gR6dLFMB09Otoz13T1a8rkCE/clNbPzmqYh6vPTfwopa
lGnzh9zT5DStpZeUy2Hin3cg7nYqI8hU29mhLD+42KKvh46sS42Fw9EyjF/5aGxpKoJbTjbT7nwC
I2r1J/cjjrzvHy1MW+kbFLYwSXfhFvj+fvzVGqpa4W3Mxf7ZRFdqsYM2vd6tx2n09SvFNskX+Ean
xUD6x98Cfae/+R5Ykuimlct741nLUOHb9SI0ZVeYItfJyLCD79Pe8MvSZOvq9RrFSEmxSpjfWbTI
Qe+dwVI2n915fh/3Rn8kKtpjiLvtq1PseIVPH1Tqw7jNwA/MmIS1cDrxBhCthEG3oSOpOg29Q3rB
jdY8a9iftqmxNjHdXopq3JmYeeLQfDZCl+R+Bf9T6DEcLsVgtgRmpZPDCYPyUTrzOxr8NtGA126y
jWfYiptcKfzmygUqSeyLEHganQptx0B+Wo9SnkIaxn07dJdUiJDbKjDlvp4JhuYchghRUErG3gyO
WHxrO223bcL+XE3BUzFPxJ4ccuVtS+q063y3gToga/0ua4JT7GEainsPovpE2KAPpaLLCNc7iANQ
RKW6GYzwyZzoURiM+oGimGcgg8auzrX3fC57lef6tUGEZ60vf+vUva/xAjwCaKZ0ong/qdQ6V3HS
PNlSPxSikQfXUQ+xV7jHziQyo4f0x0UwbDjIlPF+sk5dXUNkm0bTn5No2leRRdWAm+xnyNorvevr
/dj2V5EZ7EhnZ9uisoKjF7DDjhsnWdE5CI8nBO5pyukos1QtVW7bsfAKCrjCY6o3FSEOQ22zoAsu
GKOhosdlegiThkH+0QuxzBuQWFPdiI+x9ww0HhRqOzt7O5fM0iGoNyJi6jyPDXhEUm2jAffGefQo
ebgBLbGarDa8hNH8lCeQ6NsK63SWd9aOc8RE0RUcLjDB/CmJibqIwfbjXduq2PLtLD5pygPJN2yr
IblJUsLkNKPNNyW4uwaYpG9TBeOz8tZXkL3A1AvoQ73aVIlO/4AMXi39hKJ3OMkWanZyhTmMmgRP
I5wERaSsvWzXed5dO2jdVdwzkt6mYx6vjRF2VacIrk/LfLNenmn2MvO0seyAQCqPJblGp20JwdsN
AXqa2Myuhs0Vt+fES93TOPCfKK+MWB+eiZTowIGsfDUwumZiH/KSFb4EptpUiJ7LztWOOPh36TL5
DpYZ+LBMw02Nvrg0moEwQYOFM4rzqjegLDNFB7xj771lsq4xYo+WWTt6QbBTjN+HZQ4vl4n80BL5
i/P0rCveDnZdYi0BFoG3LzoAON1SY9FvCJywjzP1l1Kle6vVcghyEyZyuzuZZU3oYCqmYwmg0tA0
99CMMbixznJuZXuirjU6B+PRJsEAGyW/sZOzqmmYcnuyZXZWPcVcSguyHkIkBV5lRN+jacKoDptP
k6RlQTS161MJCK805PFUUhKwSq3tZEygEHRy+7Fi+5KbH0FYZRz6B+62MqfNZV7FKSkRQ00HfSbw
Mq6lqTwIwPg8TGsqfRDg60510zbQaYMT8Kl11AN/9JQNnxxMSaiF1SqXOIpzL3pTjovXT4ybZnwq
6F+89mpCWTkcZ3dqrymc4CnSJ+VdXYzYXUKj22ETvBMEwDvFU4MuwtKfYgI3OJM/RglBuLSl+G1g
4rkzI/2dKOr5OlgC/W1mbkY3hnNvkZanFW08wlWnfyLBZ4nzO+HM34SwgMar5tUxGA/jytQ6DGKL
n7ARZOD00qPjRT4HiUMIfgg+FIlxa/AIPVCTQ5J3arauQbEkdgPXSCBhSFo+p5RQpSG0B8cozyB+
7iwwwU9W17/0fHop1mn6KJqN6gMaUoS7FAx385obvNgmoMDBiZ+6uXlbNIGzy7q5xAzYORdu5rjp
Ck4QXuSTAPHeZTVH9ipMBXGUooROEbxk7cCxgxY0PwDtXdXoahJyGn1h4NFLg+oQnUcGgI3e2ZdN
dKixtY1l8kQQTWxk2dBi6yQfXC/EiVCAn9c8c0+y41FHseMIt61woGbuQz3PcGbFc62lDZfP0pQi
NFARXpn5aDx3YoBh21Prx7yb4s6g/RRXY7yDWX4BQALyrGlgwIN71jDecx7BW9TFaUOqORm3hFIT
r+7PY2gd2wrO3aTVd5TvPrbSU5eo6Q7pfZbOx0K6JxYjmwemtyXV/15VJWGTKdjnAr9UN4/d2p4U
b0zRxAfXIBwUSUXLRapHfjjo7+OWTGNBNWVO3RKwgT6E3AtMxe3uy2yBe3tLz29ar/TMjG9KmZ3o
icrIqgxnbmPCijPGDzM0105W3DZ1CTihq9gP6UHjw5PXqD5w4vaiQKOQEsGe5KjsBSBddZ7Gvtvo
EcRmXdXvBI2e68od9hGxSuk2zRr8J94p7x7Tz4DCN82+0ZI4Us2LU4KdzDz1Uo/Oe0MrXWjWIKQ1
Y+vgSdHr8B37tL1ReJAwUVtYzrDbGEbcA9TP0qMdn0H3VD5M/A9z4NkQ7vo3loBJh3F2F40DqLYY
eEMOEsVtErXBihyBOBbaWQTO0o2akgGEGdzigaZTgcU0yJ2HWsp6HWrPUYc85mWBvS5b1vvQZu3L
ouGcdldpRharNsv01lW2uZlyNgcdBE9qBHKKiaBs1ipkO9ebm8Tib0LBc2lViB+l2XSXXlOKW7j5
qE1pfFXAQl+R/uezGtr45JAEB4xrH8jx0/Ro5s12hnzidyl8icrkUuu5s91ueHQ5uOVlD/NDzE8Z
BTq7wKsBBgf5uUZsuHDDepfKwpFqBDWULKOizrPOZ3iUHQ+Z2SPFpad8JsXQHgDdUmViDMV2tEbI
L2kqNirYDHWypWfzYoKZg4B4n/fNIyfWD0MUPaY82VejabOvaNrrJmcDhddKrXGL04YR1zzoCzh5
NbtsfXjWUzx5ZkPo1qq1T858SFK5bT1Jxx6ofXfnNjjODXOK9oo9biUIeEBwx33GsTM25N7CW7SP
BCutZ5H6zsb3IwGIPeiR6Ra9GpiTed9aJWhEQItlVAAZtKzbbE7snSCztdXLDnRmSyCvAlKfjTBx
ppRWxAFNcx/mNMmCQUCKow9HOYiBSXxN1zaMn4mr0IPygRVKASygleWNN1C+hPnrhEyaPTTadIs7
HNUxgVRKyd9zFcSUtfRNDzz2RuXKoTjRJFhdBSkaC2sHbDRwsTH4z6LyXqLUuESxhXvR4/XLbtx3
k/ZiaYwYauRmMtk5fjuabMZUq68gL320O4qKzMFjHbHS8T7FyzVQJCnYafpAkggKEyBH8SzeN5Eo
TwqvOgQHwCrGOIBTEvsxJ5Mbly4ri5o2rjVgVVwCspTOzxTZUpeS0wF59fpLHUcRQToSmrGVFLf2
GJ25HPqrhiwqrHBwS0sotyKdS/SPki7iunIJ7ipdD9alKNyVp0iPF8581uYkpXXXukuX6G9NBlh7
0SbvOi2pvqktcgfZEhb2ph1b9IfQM+9SL91xjxmHToNYmoX9fTBjjdcLwt+h5NWAqLDdLl6yJZ48
jPIZ0z8AcNO6spcIc7yEmQ1SzQbpZmp+7zzZq3XtTZshE49iCULDGyBmMLaKfk1i0rjXDlpEbjJA
PV6C1M4SqTY1ifsaHTqtaT+xC2j/7LzNy1Qo9tTYU1etRUDbXlqL2UqZWy7IW7SSt2KJcw9LsHsZ
jVQUU6+YGfDtzG9MlqmCOiGsnGoItg4JcXdEiCkE+U9vPugDLeoUjmH8E8jlcpR49BrraSguhVld
aeEb8AVXXAq9nyzR9IaMuk1WvU577zxwoFBLjL1ZAu0Wc6lVtYTcwdPMm5bcu1wC8OIDAh8PwMgB
hrBE5KXCIG7UEQsh8fmMHD1hAmq3jGe+swQwIuGt0h7luuu51qQF/gzTYzkFkpkHowaS+iy/d3Qy
EGsnwt+R5deXUD/RXFqy8+NcEJYeyf2TIePETbiBD3RCmpzvFYyAaIEF1F0CNsBs7G2xoASiBSrQ
DBK8QNs8OlrXvdVNcRMLEsIJqmVJwxmnPKoG8mSTkQNhSDPWfqHEUenWLblozMOSi2tOBocqHu/C
/kmtBo9sdEDNX2X3zfKnG6rHWDUrmju8GDxZjaYYu+tZzzm5rjo7RS0Ng4JnTX/uBj7tjjpjApQw
SOgZC0PXN5umXg3u5G5yQFj2HGODTuz5lEpONW5akH6zQgLpdHkD8gHrE9MEtokKXj73tmVr3zZ5
fpBMy5Y9brxpQ6WhjNDikjbpsP2PX4OcrOmfGcu4PvbrYF0tl96S5hTEOrPeefAgpWz/w05txxWN
QNGQ85M7jXdFCepPa+TR4havNPoAlbihmavwZTgdZMku8W9Q8/75icS/5sDBevUp/v7A4SGi4vZ9
94Ps9+Wrvo4Y8FvihsT2iEon5OIu/poVsPktXTcwWeLLfJ0j/Cr72R6aP2ECPMmgjL6R/cASIeyT
/rS+BED/ki3zt2IaF9Pi7kR1xOmJMfN7ySgIpjAQlAKvGudQwpLtdCaYX4tqzKiGtuCsmxGErSmO
Y2MezWA4u8skt+rZEUWbP9aw4NL8qGHZC2uJ1CtTF0kJ6g86WliPnYyksGAViPoQmPpt4BFPXyZ0
MrVaBO4SBD6hfsec5pU3pBc91e7qPgTsKhmQW82cc3CXhznuPEjQLVuyLKCzY5imdauDmjPJTNFO
xlHP1M9VG1A+OZeLSd/lUEj3aRVVHdB298oIp3GPTa9ct4TGEBUsj9jQvZGj+eRDtwA55niVkARz
8o1BEr4NS3ZuabhDm4rWbuQMZOOoZw2jN2HarIKOzGmkwjfjcBBh1gMw0e3NaNKuWHYImBwdVyDO
AIKlJ+VeOQGyU2GZAwwlsnAl3IFIswnbt495XcmjEcjWb+rhg9EbT2lHlClIgpUt0a+s7LHR3f2Y
kAyge0yGV73uQk3vects5gYr2aWXrqsiv4KTkZv0LrV1tkkKSQ+RM15qp0dScm+j0tLWYgHw2Vwf
9mB8GlzlHXmYXeWTfrArvdyHXvo5n1hci4UbscCNG3r/HHt6j4P/yAn1FAUZpA2Vj1d94kq/za/K
sLpMA2DSvF243bOQu7YKY+A98+cxdT/ohf5BZM1rGoPT6wLv3YUTR+Dc5aerqAhZyyDY1xzaVpoE
wMZe67mpby0KCVvJNqpI95We7UtH22RANSGFbNlRHWYSW4WZfnBFuzNpIKehrlgXHboXxFbYDUtM
2XU/D1F7EwYxDCrz6LrzO2fS3sReezfGUHIn+IORtZ7HYMOJCpKnQN1rN40Lu5PAQkcpVv9O4edv
BGGU5qBDgAsr/gDfAyVWAGE3uq52VlEcOhgh41VKBDoPzHduTBYvrvilCN96VUrh1QxJdc7Leync
z20EcxIxz+f0ZfnL9ztX8R2iAUA9tD26upq3aN77tk7Pc1gF8Alb0pO0HRqJ+2gmvK4NsBSp7NaD
A5TX1l0vqRKoe++uh7oUeZwf1Sf0jR3+f8IXb9xUXeZO/9hU0ZGC4P009LswzPzODJ6msYMiVN4k
bntyKkhZQXPrQDLPlsK7f1SBBbh278HhAb+zGqg9cEasARqIIcwzHvDtOo6PPYQVvSbxayEpOsux
K7xz4ubC8+ZKpyeyp56u6bL93KRv81HbjF69DwG8tsR+WltdU8XtpxmV5LZz6nXjQLXE8yzDx9xK
L4Oprolpz0vgQaNAeOChkbtqXSjtsYcPY4KznIV+FbrzwanQX/Tq2Hs3kebeVvW4ngznZATJLoi6
ay67HUzLU8CPBCzwXPThIUujmyHgR5z6a0C5q+kmESiXCL0WwOQCbJDFkXA2vX1iI/4Co3UBNA/g
Tfv0OBUtcfHVUmIDcYSWSHFwc23jAPwH/w3RzTjkhthJ6qukXe8Z122XV2dqDNMQw4cCGsX3RavC
idahynlIQt4M/o0j6JHg6luSSBezKA/Egjyl3Tl29SJaGn/SDL6aQwA9Snd00Nw0idzZ1rCdrebI
HMvPwMOPPb4GmCRtOa5b8oj+b8rFTCFvskxt2OLRFJPiCBJoHEmX9X6fa0SlsG9sjXjgdhv1Hc2m
2rqxMHxdTY1zaeaGboo/bwML7V4d0kn9GTsxhNIIuIzMc3maDY4zkUk8cqhr85C88s5SEsKLbwri
SrduOuNxKkNnp5NA2nsgj7yhZ6BLVWo0GocynOEe0ZVS44EK3Bb5eITeG+nqoeHatMLSO0xpxTE1
oPC3p0xkjKpyO6P5pUWCpDcfnVHWO2AIYq1HKY9RmJsmWOkuzI8UnjSUGXBHiXYTB+9dky2ssVT0
0vORrwHuPLRJ+RaadbK6rTmVHEcxPBrhSN9LpIONt90XaUznpk+D3dy7l3RkEaDlaYNi/GL1gmRa
ygbUqREJMokW1yYZ7KYEhsuYecaakJ4PX6/ethNc9BYT2U3UvW3vxZg/Z1VL6m6aKbuc4+laqGjr
DtT4BI3K7xQOrMmo3lq9SWUVx9ggdNa1NsLbogePuLB8lxnmDb8Rr/rYMtejVa3rAAZna/HOh4u/
jMcafSv9rQHmIbZ3BQc0ospQeP54R/FqkvhusEkCzcPYZzIplBbGjB92OEPD1WVoMJEUrE0Jdq/G
JKXLiBIyinms5DYL9edUcS4TrryUCWUlrqZu9Mqu/o6B+L/bFpq9JW/572+hd5+K//2/+k8/bKG/
fNWXLTSDbuM1b+tZJG49dstft9DWL+htWHQwdLDoCWGyff26hear2F97JIqEZHP67RbaBqHisrla
sDg2nZP2X3HpLC/0w+TXWXCgJrYSw6aq64d5NIq2qwyZTzwWpmmvDfpLXXobUQmq0zP3ncGYErpr
yiaAArguunt98E/WFbnDrV1RN+Eg0zttMoGCBAclCu+Uu/JPNtZS/0ffJkRSh3cQZinOke/vg17O
roO9kqpH8bNE41+9RMPkeTVbBUOqaTWiBhgV271y2i/bAuK5MctNhFuYpCmx6vCgkYZ2An2LRrzL
PEp5JnVwXLmLmYtW4LiSvD1EJkUo3V3QrPvJXSe0s1oxcge/y7RkVxF5Luel60P5c1ptPbbk1ImC
6qOjpOzZuSLlDuEm1MxrVaIyy2ME1buvxCmtcr9kDBQgRxV1sy1cXtIGJVK0B7rYpqDfFKl+FbvG
VRLJ67Apzr2cqBzUNyanuqk5BNwqHf+oUfxAH+oqFeg18m1YtnjS+O4JnBuRB02nZmizEuOE9I9e
AoECpOuSEDd0f9LRTAxeGvaJJMPttNHGLI1Nrx0HdC2vAzGk70faqJBHV+R227LcuKipQ3HfO3dm
6fk5jJNIev4MfAGDmzazqwR+kXWhr/BXt7dzBfkrU4dRYReOtbsioJbyTBPDtkKy1JnuNfqHFL9e
ytEzkk9ieje2+d5tQcI1gmowYzsiuA1eeV1iX9Sfan4ijZpgQSx6rLVNJ9Su1YUfi3gz8xHm1cZO
PNp/680w3BXIVkBoN2qONkVDcr4MFrAjqzoHIL53A3FNaWG2Sr3Opp9t1h9zB2ib6+Yf/7+qCfob
hK/dp/L8nvLJfxPsmesuStHvL9qr9+2nTLtX71/UDwv3l6/8snA7v9iLHQk3DtYyfJfEjr+izywW
YB3kGbEI/Is6K/rXdZsvMgSoNIDb2NDsxcT01fHm/EIcmfCFcNDNQHObf2Xddn67IOKpQ5mTEiOo
zgt/vyC6PEBn1yXFoGjtXagPAIsqmowF8J0o1jcpasqA2lsAio/EpxgokoLdApp4+DgVFWZ0HiaD
+c4TFMqAs43/JSozR1qzWmz9afwBUyi43095zbwdlownYVqnb+0QrzrP09s6fNKHN2N8T1vrSmOD
YoAyG9F6LGaPVHD4YECwysWQvUu4RUu7iMANMvN7UJupRPjmArr5siP/DsPAB/vDPgptynb4/yKK
6mL5vL5xIE4z+J3come8HKicqcr2fdRHmw7q7WNHwQ76+r5y7Ys+jR+5uqCWJusoVPsS71DfQgWt
qWR50OlTWbwYNI3Br16a6Rhc0qoe1UwH8PaHzDrSgSPK8nt04UyA/UeaXjFHrHqm21MPkAjKdLPU
SM6fcNStGm/PamAx5wvSF0V6R6Vvyw74wlPbv2PcshqsB0qkV5b1ZIj/i7pS0MZPi3Fl74U5Mia+
mD5umNhqBlBqqMadeeMUztHC37YaOqrOA83+ZOaW51cBZKxB+LYxJl/e/Z9wxz+JE/Dg+f2n3K9x
gv/s2vb38wS8yFexHwMollyeeC4IXtf8b4+v9wuHTH7flJb56vL9DsFgLpc9027HsOn84sL/9YnH
o5D/ZDqgGR0oDn/liQe+4cdbDNO4CcUF/VzgwtV/ENenxKrrfMztlcjQUc0ON0nQ2XgqHdhh2PDt
xZDvLNb8xJBv4qwwkXfnF1NY2rkDPxwGFGBH8Kmp/aN8A72jcNKDwvsfN4QAxrw8hhOarI1NAccr
W8fXyED0FC0RgnwJE5RLrEAtAYN8iRq483Ccl/ABRUn5piaPQK9YudcrgwaxrE03cG8eqZnWtk0D
w9HKW5qGjOy+6kbKmTzsQ31dXuap0X1EiYehiPCd6lgencq97haDvsSpH1lY9ge8+3Yz30gsPbui
szYUv2PvX4z+Do7/OSnWfZ1dRBF4R4DWZ6+I5l2RGQ9FWbJpxB7v4JNPF8M8UO+KSVz4CfvqrlxM
9QJ3vWjn7OCtHQfT/aBYLgp8+FTNn20Eexqm6qRaTXq5HeM8uijdxRIl03qnFZ3DRHfcVFVDw44d
790CmbxMaMazdvhNcgqRb/OJ0lkBxmYdKGMVlaV6oGyz8Ic3XUSfqB6xCWdjvotVPK26OPlst/jS
Ar201nT6YKLDLO0XvQmbregpI5eJb0eivQA0ztZhzqQHwNjwf9g7jyW5kTRbv8q1WV+0QTuwmE0E
EAiVOrOYzA2MElrDoR5nXuW+2P2cNE5Vsbu6rcymFzPTi2ZbsRjFyBDuvzjnO5ywLcxfFKL3S05W
48zk3pglKqQKULa5Pk4+YqyMvyTIkyW7TIt/n+hsXMjCRGkwthnx6vHFzml1ibrN9l5aPlUFn6XB
IsgsnaM6Lt+qGEGPq1lvY1IWh0khbdaNfNllQVHR+lvk6wRQ9hrk+8Wwbo2hSm+r3MGaN1T8OHOh
cMcC7CcZvpHWwJlbYpItW1KzoTolN5uvPwqrPFdg7mh717Cf37mJ2wVOOTthhj6QRgV837bp/5Qt
6X8fz4P4RkP64xPyKre/dj18f9D3E9GjZHOJQ6Fws2zPsG1u/R81oEcWitrmm7irDI7H39aAHE8m
O1PsWQwr4KH954kIKk2dlTxIZ6nKafZnTkSsFD+fiI5gTMqZSMXhWWBwf190oGGb52RZUMUP3hQy
ZOY06iW2mE6Em0EXuyntLMKz29lFRIfJxyPciJyytX8iT5PERYXEWhUcC2G2e53hZQ3rwMrn4rz2
a27vCUC2zm+ZzoELmPKwpZ1Lawl8S4PCNcTt+jTSY6dDQ0La+ClXwC7O0ZHTD81ppXBeMQpr0x7O
M/KwnZsWGtA1nobYLYDZWfNk5auOko5AO3rcTEaLAod1EMSc0Xr06/5laWPrvtbldVoIg49nsGM6
8sLGzG+aEdmP1jjAtYk8qUiJAJj+rtxceZY1NMFq7HGNtpYXtsAv1TgXzY2jAQVjckUEwXYoWtnt
t4qTJPaOdfJJw37tj+i5CgTGs3McLbWARHjh5kHZUksNCzbrjaEY4dYIhYIUWPrSynNqE2Rokunc
s00luLKEOekYEzjrmCAJc5cgis553VDmhRyqTbGFiTAgpLsBabrhimyRJCUWRLw0PYnwhhPki3uY
QZsOw3jICbEd2+HQ2Fq4dVDkWMwKNmSTbe6t9FmT6uiKpnU8E9y6m9E+CnzMYkBrCeGyX+NwIeEt
S5Brxk20+uPB11ySJBx0vxi/pnrf+dO+A6q1jJKTCukSEap+/WyU8NSwM48baXd5GTZ82qbZ2dcs
Saq8jWa7PZklXFY4+OQfBxvDde29R55vmpzaZD3Ohk0mOB++0d0r+0qSVLck4OHVtUnm2kL1SqDa
DFoiVbxsvdPnl3kgU6Asb9UboHefCw99n+M/6+5wLtP00tXN+2F1QoSEUVtXH7NEPjbWUuxE0T+D
gdb85zGzjtOghd8U/PhmP6aLTAMhmysBBPU5nrNmV4qURULXBJQ3y1GvimdyvqAOov7GZ0MEoov0
BcJZ1pP2ZkbFzJyGrsoK3OU1V6zKUlErXcWvZLaUh0SiF4psufmHZIZ0uSjmZabol53iYCJnr3eu
YmPWJpRM7RsvU5EzpWJotnFHpttqBaT0YWdZCJlVxE0qrROO4nfEIt4izVTO5VZliwXzwjKcvesN
Aoiz3fbHvCbbg7cpQVcpSQVtAZxORjRsWZRiF/bT66AcCqzuBkFAZqeWdfNBa4uI3w+1hR1ihoN4
sw9rEW9RtXg31Yyw0lBo08Ync3lgerbvFPg0UwhUW18ePKsmJK9mZuV1nysb+p/Cpgq6g9GqlGM5
IVFEV3jVgk+hroCrwzf0atMjdi/Jf86Hy6jwrOSm7cr4Viz2x7mq8W0rI7cCuhJvfZMpxCsh29le
V9jXBB7hjN+eZPuyg4tohKUJJDZVuFg2ZYAbAciuiiQLUXZUaFmpILOzws3GQ/U+F86X0WBORjLq
UWI+3wMvmA4dtFpPYWt1BJR0Kf1xnurHJAVt620QDCCRWaFU4NtCIXA5jJLQVIr3QWnfdaWCx1e7
nDuljJ+VRh6vvU02bks2c7LdWAjpJ6Woz5W23k/Qn2ky/4RSnxdDUo2OSotvIMrPEeejApZRVkhi
aCyLSOYylQc0cjelEvV/U/crnX+3/OIq3b9tQwSYtXffVJ1ajAi0rIkYJQPGBZWLc8DAQkDMk0++
Lq6CKgOagG517yvHwVY2fmDsAb8y+xvK9ZSpxM8MIKVBwCNjwyjL0YDiQ/vU4VLolLNhJT0iRC/X
bG6P0ozqbjaRnhvKEbEob8QsPlNnDydEERsnqJ/QxIpdZmmYlLzqF6E8FoNyWzjEhWO+cJQLw18Y
uOLKMPlUSFwanfJr6Mq5UWPhoCDFCKRcHSn2jlrVhbZyfNRYPzwsIIvygvymY/obbT1TnZ+vWNcg
jdXFUsiuxWMX8/srtug1x5ktxbEt9ZfJ/DKXaU4KQxOHRtFUcDGrx1UaUCsrA0+CzZQi1+u7GYDA
zhn9lFV3ObBKbdqjZdJ962P5ydvkeVytSHRWJEVxNez40dr8uz5H6JxychvvszTI3UviPlZJtR9b
Jtpxf7JY0MREjMT1cnQ1NVNAyWjcufq4J6ppt7juyfPULBrjHLBiA0VQb1TqfCH21dkR7XzStS7S
oW4ObrVvUfGL3sZD3F58yvzO3MdzGuWET7A+jeKSABsT5Srx6zQVew33FJnCB7TFCztge9VYB1nB
6DunTdoXpOdXW4pT7CahR/BTqxFUYjbod4E1usuxGxHzxG8kgkTpWZr+3p3sKGM0IeGf+mRDFRqo
UkH/w/86Mjq44KwWDwonNRR7CPoED3bQj3NCE5mSby5T83I51igbm6vzlfQdxOCnaW7N6Ntn4L92
uPDfpyhmxMme8Y+L4u/D0euH+vPwKf3w9W9MSHn4jwkpojuVJMhS0zMEdtZfy2MmpBhxifjwaOss
i17+1xEpVavaNPIL8wLlF/51YEDMiMsgQdg6mYDunxsY/DVImBEpRlLb0k3FgvxpRGrl7pq4DXr3
AoY3cG9ixu1mumCY++wz/CRTZd732/hpdGFt/OYl+xvnhmJS/jwOJFrRQeVoGPz8/k/KxKkdzNk1
sYmgmHtqzGkXt9qL34vPwkyeaqcKHG25RZBMqiHyWkpyE25MudkRmNqJi7EzP5dr+7xoJgbGtMGv
Uj5M1nAtpX0W3LlzeSIZ/L7R0Rz13i//6NkrWcHvZAeOKxjn6GynLYuW5Sd/Pk7Czk4cqqHKIPjG
zonI8T2OIpyJZKubpCbLbeU61sfh0NX2CQn5thutERM1SetmgdHNScY7aSYPldVReDbevc1+rDDR
4kP6JXUZqJHgGjWmVOxz5Dp3szfcT0OsgRQyDzLO0HrgvqkqBtpll9QsnT62zoLnRM+WfWUOpGrA
5F/nXasQ/Xpq6odUYfsn+P2G3Z9ScPzHErJ/j78qkaD+CQM3oxn6P3Ec5OWoQIAuY/XUqpAAS8UF
bNRvegp7gPzcWwe/MWqshplqYgsM2xo21BVo/4ZHdSSLwG/du61dzV0+Z1FH8NvOIbfA/JZggAB6
I9FgVdEGngo5yE27wgHQvCQE5+lzCjR+vMTSOjOcJkDV/2UsvXfmMjKUmm/b3ntOkHfnmK2nkYNS
iyPH1l6N3v/K1wfizXYZmuSxypt7xlwCdVK82Jd+QN+fy/p1EOW5babQJZavxwJU2VjLmueuLI5L
on/ZmEI3TKNLPTtWug+NN89efMpGBP4fENthNldD2gX/qBra2pgu9uSef1nUQFdZl3ceM16TWW/D
zNfqcl4C7kDlkozVWLhUA+KaSfHc0MpQzVtkPkUNop5z6U/nVY/bc0H8UthCzhZ4fs7jbGu7eqvC
RoxvWV+/Fry+RZOZUW72OAgqmlKr1WS45B1Y68Jc9mRSaqLMryJHQ6471RplOEOTtsxu2rLebi39
/ZpZ+AUozPvVDNdRR+hO+KXAdZAOkpBL296V3qYde2ltB7vefqFhiZLCx2RFmIrS8WoGG12Vjtku
GEWEchmReBk0tUoz7KznMh/kcUP+H3ZDzaYiNv1rN9KftVtgzZl4Ub5igRhpHisM4VZCYAFhuly6
JA0u2hCopLRDYSANhLElRSaOtUk1pcfP1VqQgWAMDVvU6pZoZDbltB6lLh9ms/nMDGzam5NN9J1Z
FzStbG4tQ5mYhP7mNgLrB2b6ALEqX8jRoc0xyyMEh6sD1OeSE5QWGrF25xRTSlU/mRFbINDf9nuj
Po027S+K4mIPN+hp4NMUxQ0TKOkb9/qo/Oo+KV2LxrdTEqpR4UdaWhTKCcLXiZKir+IXjqieXbaF
wDO2rLNrFyjwZIEOkjiZgDEqxV0FTcuNoHfd66ve3szENqclOrey/9RZVXMdkKslIMbDotTkIcuS
CdIUTRlaQaLB1zlYTDFTKpY9dqQ5C+0O82DRLWO4mNpEO1ywWaEHTW0tP01jR5ZG79cRLF9t/7+6
SIDbw432x0XCm0x+2px+f8SPsRlDNBRFHqmh32Zj/7lI8P5i4QhwWQnoRAw4ttoW/FoXoIBiTwDK
gxJAXf6/qQt0VqbghBD6/7ngYaZzP19tqqC3FOEIXDqUiZ+uNiOVheYz9UZaaXymNXauNqMZMuR3
yiiXr1UZYqsj933VLtXsGXt3I+lakgVOxAUdPCSBJLftCI9hOKmYQ32sZrZu2WXpINABODr2Pjak
UXh4lGWCssLFRDitVbAUdthrA7iatTnQ5xehW2BrxBHUJKW9Z/NCLGW+nTyWsZHupx8Hr7TCTkvO
GAN/MamS72yygJesCNNs0vd9lpBo5dNqxHC+DuR+JOS77728nS5iapkn+/Fj61cMotpf4HZgJ81u
vafZrxDhcPhcceOzEpGvnWUmLEEYE6Zt4A5lhWt1umm3SifKdJ0iv2JSpQ8vfS+KnRbz6iTxqe4c
Vn1LFjoO2lBkkVjrBQlYJqMoM2vwXtSvDZOJPu4M9oJIVGxRfMFDeeOXqFfInztqq2Cq37YU/88w
oQwc5Bquvc6xmOWQq+lVRDJmZ6xF1yp3w2nj5CQd1dwXAjjRpk2sOWdGX06eNyd4ga+ZgQWf2LLd
QvhfjQce2ebRL8g65rDwCEgxIBKkDQf8yHzkkCz+HfGtQdIkh0EaR0f1xY3cl3ESVBroj2GhP033
xLU/KG0zRcTexmg3zsSwp8qRdRxTB9fCw0KE3uSDssIgjlcYgSqt9LpTwTlVRk46HJWU46rWP7l5
GAsO7iaUbK0LuDM1S4kkzI0iaHsjoLCOkmWKlnQ8YYi8YuWn2dkOJADtVwM/qUnmrMxunPl1lN7e
F5gePPeg9UnUgR9c6QQdvHOrRXTgtrD5VXOxISxjkp29N914cIunyejo0uVDNXMr+zwbCPmSDVas
v/PmN9FEU4/GfsCKsQ2Hym+5Lg4CT9aii0tfQdxoCtxnTAFsjIEVnpJP6j/fLutjUevsm0lmJpds
Qm6wsGvJMHHjF9wNzQOCe0iP4065+zpwKS1fiA1IJXJ3Z31xJ+/YMzxG6xdaHhc8ZK45jmz/42a2
wCrbfd58qvnMMPNgtVdFmMV2fU9Nk5NTL2XoV+ZeiJUBLcDJ4t4kHCre51BDhpFotYGMR+IX8XVH
XYngyOvwQTBMmKpDA4/Pb+3zMCqLHj83FsbB9g4MJQAriDyacvurt/J92Prx81yKD/+E6+N/nLaW
7u/vXTJR+aGXw0/3DKIbHvRjYc1MiWQAD+Eq2gv6lB/9p/cX7glaTMMivZDByu8zAwwhkNaymWER
83OSDfQ7VtU6eLVveQJ/IjQAEe1fXzUoWQ2ApAYyHVuZ536rCcm8lsnlxtbSS6iV/CF+T4H3GZIN
TgsNG7Y7GjeDMcXnscHTYSP6yHomH9XQPsyixpyElrvxXdgT/DKTtHiY3CUwVtzlq6s5oeRvxmdt
zhfBsTkrTKoi0NQKnLqtQHiMrSueZTJ/xeJ9TOIhHEioOeuKu6oArAjLT9ziLtklArGkQZJXLeP8
QfSS2KjpAWt5snet9WAucJ5jmXMsC5FSRKkyGbzmjtYU523bhv3AbiNuM1yyyfjWG/MF7A6IIE1c
imlLghV5Melr8mtTjZJOsXznlNO7oQGS6TqIJ2WcXKRWNg+FYdza3cDCu4FXIkQeDgyn903K0WvF
7gQUY0RhTFaphNBVxcN01AfIFN1qPsuUin3Nx5lmVct2MiecZLX7hAHAfBrbkdgZFDkr6VjYpbbh
RADwaQFE4LUl2//6mprmea4+xFVxBIBz8YrkUYfA2VvOWTV2a8+YSztCcX2YCcjZFvNMSOxZeXr6
Zgv0aTp4QxIlBk8ynm4Ffp6J4VbCRiRLUvT5aahWPdrwbBIjtDF5bTzO1HINGL0Ghr+EWZt9WSUp
RLlhhFYaP2SpGI4MMZ5BwoqQaiu/FHLBd01vJbv8mRpE484O29HK77SJYmGt6lctyy9LhnNLxHYZ
uRATjI92W30ycue8bAvvKdvrkm59N2RtZLbFGV4Co7XWX6LWLUWIeeMhbhnvrlTyGKORXVcNqIaO
8PougZvVpAWWdrkG/UKYCxaZMAfAQ1Svebf19xLF7i72pw9pao7goNbPhlXctangNeuXq+akzIwT
p0UIq6EBxV9TfHStFtHC2o/4qZDgDt3NuDmhPbX12XbGYc/8CSiBp31yyzrfZxbpSUkfS4yU0EXq
/s1D8lTI7GFshiFiP0s5tc12oGKroBDY9R6rdbqfNtQTUH2YoS90+VuzkWO+4TVqqvbJWUxgGvMZ
0KuNIZD0tbIcBgKjdQwoCgIML7K42nCBPfjAhOXR8xWf/nURrO2Xf/+3v6dkwgJBH/DH3cbT+Jf/
E30oyy8/Ewq/P/DHZcAi3mNU73Hcmrqhxn0/rMrYkPmjjCG/NxH8m1+bDn5XXRTfB5iKqfljGAnY
kO06REEd3ZGFEODP7OqF8TcuA7zKus000KMHUkPY314GyEQGq+05oCYzZXsKS8ZugdSZsN4YdMsb
O2NRMJUJOKZ1ktdW8bxRmGBKWoBHmZtconqdPG4N7PJVJ5B5J85pMIGcVfkjTl2BpLoWcBAGBI/M
cirFFB++0cUVZzwFOO4p8nihGOQMD4rAA0s+Kj75Cqg8UYOC5erUG99YjXFBO7GusOF2beMSISUH
dkMFtZq+CwWtIbLaxFQrxuyxL/XnadI+ytjmmN20bU8TFe9hunU7exru240l+lCyzNa6r7mkL4KU
4x3WLSF1dvX5M2n50K1oGntrRTmTBuOaFjfQflLDS9GPwx2wrPlzmm33pTA+r2Ib9uvivZOoDCId
oUHRzk8cZcPJBE4TJ+U7cE/1u0ybnuw6suC51FDSy1Q74yGO3NgFTWaMnwwHDIWozkTjvu88hlpT
bgVsW29zJF04UoFfV641hQWqToRkxtUVXbguVrXLzRqjbNy0kXDPDas1MNMvDiSmAHI1/mSwcCGk
7iOzKIMdzHZrx284eWwAVqr7c/WQM6XcFwuzjC41c8BsyWuatPdjLO5I4oSvZ3JllvDiObhK7ViI
+DjqcJLQd0QQMD7WWQyyOzlNdnpDOr0N043hX4Cb79bXprdqKfFYzG9LQcTXxvOvJxdPBZ+wWB4T
fWS2t1k3AMwPSx/NK96LLT1tpERak/UyTWKvA+LCUqftDWUkI7T4fks3JoHawGdXMN/STyDCIi9d
HrVuPPY6Ov9cBtLr33HfjTsUdRiIFp/mC0KtNAloSwjwDCja5yFMEzid1jeLNF7pFc9005hfPXCX
IZATK6p6P8ETEcd72+vuvOk6f7Nep/NyzZQdm04ZjGJ19vBpa/Z0pjcSjCSxcJtdFqHf+uoyNztW
9NJD119nrfDPAv+3wAce6wlvp7KGZ95DxnwKRvh2V4+xjCZlIy/xk4/YH6uxTLk5sjtHWc71jAG3
VDZ0OmVGxsaswu5rcSyd52zlp2uVfZ3p/K2Jn30yx48s6PEbgmE823jehTK/+7jgE9I7+2nDFq8M
89IjmfqSKdv8alPuSWWlX/HUIyByQ9kyOl/nU4br3lwbtt4LWI/t3bp6qEJSYw4ZcKZBlcS8JMIj
9R0+U2dUoRXVytxfK5s/UH0jsoonQxK9Sd8l6EKBAqRNtwAzcq+dAgYw0v0UK4TAqmACjcIKoAu8
bRVowGJt7iXsGkcFITAUjqBVYAKNemHPp/c0NjOEyYSwXLcSMvAS/9HRM4JWeYkSRVI3oR5stg44
i3kw3u2ZFn19yEwJIoFvSaelex17Kxp0pIpyCMe01/Z93XsRcptnYCjRsslXrOSXKU8nWH0jvAMm
qck2ABVayaD2szHgcuBzCSn1vpqWIuiLaCK6bqeZ7rmHBkTPWcEvSYv17JpfSRh4buNyigbX/7o1
pn2dpqU7GvDkMfIgpXZH9qGNob0vQKbdxekHe8wiMbD2tWZUKK0G0t5lrDtg/K/lm2N4kdZNEcrP
42Q57CG10KzFqWIVmsn4iMQonKBpqYGS7WYPszQjlAAk/WqXuhzvUfPzyVPkliVwQfN8WAvtNu6T
kz71EZnjkUp8jZdP5khPbTfP1XTIRtcJBks8xyx0jYOGuWqU1iW22YYzZOk3PbIRAiS5og/0kZNX
R7SIexPUZqvZIbSsRyk5UpLaBXz0BX9O0I72wXjqNIEIyvG/Gq110XoESQ5KmexK3uWjY6Uf1f9P
HhF96CA3m8E6Ra2FN9yyxb733Gjd0sMGO54TRk/SMSp1ojDLJDYiEtQjw+zda0HgONiXyBATmqeh
bsOlPMi5fFby8lxVuJ6qdQ1V9WpO85yqOthUBTGFcezryX2qSuWpvGkH7c4o7LMbVgOepqF/rKr0
FFcx6o0SGQb6YKCR6ilW0tiXuXnQF6BmiXnAZv3et+KLdpGye6zNljCJof5itVNkjuKYG+sTgQkv
7pz8Mnf1uTSdCELtF9Gtb31v36S9HXYt0tSJ13rJH/JSuzP5sQAEBbVS92c7X89ZfzVfOsPq4Hb1
xxWanbU9pQYTfn9bnzTFuXNhqWn5GG2tfpWtdkT/uWdwCbATqCBLzP2YGrscg3ee6FcTcESvOJmF
e9uU7d3MhnH2ntOVtyaP79pCfK1Sdi7rzMqR42zfiPXByd7FWXK/Gd1j5uUPbqlfEt0iSD5/mL30
fcv7uej910W1SqNqmjzVPnW6+tKolooV1/OAXJWzpJyOw6QjkIrHIEe8s6EGOTRaDH5RtWmtatgm
OjdLtXDDbOEvW5D/IrZ1VJsHXK3dwaN7N9AB1qoVTOkJoc6uu1y1iYJ+UW9G64SW+pLQSZq53wed
ai4zukwgg8VB00BfFKoFZSSQMvehLdW2V9RFBpGiDHJy/86AuntsegQXpootMVWASWbfGSrQxFbR
Jt9+WeTR9Qg9aVT8yQjKIScPZVLBKJaKSPm/vyLsux6cu67A7oVCvCcpsHeCGXDOc2y5GYgqXalx
gcZOh1wpdF2l1RVKtatl78RirrjjNFZK5VlH3jsonW+H4HdVyt+kRTRVym7mAsKt4ymFcK60wrVS
DS/bnCol3O2gFMVO1g+HUoc+odTGvJOAUpUCWSotcra4b6VSJ2+yeeu7hVLH84JqdV6Lqn7SlaLZ
9kt351naJe5AxJr1VuxmiwNUIoXOlCY6VepoqXTSHoLpvGYqmhbwF5WWuhwr5EZNc2+UjFfRg85H
jXCTcFAN9LeF71AJ+jIXjXbD2KOqYdx6SqdTldIJHKXpHhF3p0rlnazTEA2OOpCSIUg+LLNek9IN
nMDMTHp3zaA45HuSNw9cOXUAH5tl9V4odXmBzJzR8hoAqQtjpUAXSos+KFX6rPTpC0J1O+f0kxbz
4GcXxWXqoJCT21TsLT+JVpbzpIazGYxXtuzOGjkOZkjM9ucZGb2OnN5nuXTeVp1IWO4lOZTUMbZO
Kvhaov1TH35t8NNgUfJ+3etfYFAXIdDSBoFrqQdtCcMVdfyBCFK4viifYOoEtsjjlzWp4QItCHVN
wfhCa9IXrR7cME3hUKIXOwnyt89a//iv3vIf9pYoSRi7/XFveZY9s9ov9ZgB2/387/8mbPv7Q35I
XPDyKUsMxhdkmaBqfnSVtIfIOpxv0jA0K5ZFQ/ebrpIJoqOEEwYPVOa8H12l+Au/oyTgsBxUyIb5
Z7pKS5kQfxJqOAhbwFjZCNUxHf7UVSZV29i1yI3donUukbel+wAaLrAtVk6iR6vAOfLUTsdO8Sln
CamSC+hDWmtHQ+9hWI5adURaZR3HWo88jr4rjXXgTGBCWjcFxzOlEcN+jb3yCCSzAJZZeyeE2l8t
xdAE0FEGRfxuVHTNVXE2PYCbekLrSEKODGpSkUHaGcMN6oZj4eX+bgHZ2YLulNb4YsZso0rk66A9
FxCfYPympjNDvyYGuC6s+mArHmgFGLQoXcpdxQpdv2FDDUUQnayRqA99sval4+XBtKGicxVuNOPL
HHeS6yVDzFo6uf6LTOF39DRd2/IiAQk0imE6KprpqrimriKcsp/Uyc+mTqunbu9MRnZh4gDSXbFR
Y0VJNcCl5qYxIrkw5Z1sixeOFT+yKqiQ8I3ACymafw0eKB9q2P6K1T+hep5cI9DjgqLDMg4OV93O
75NjnyE7LYklXxrINIKStjTMu8k14Wn36ZuxbHhFHjPno60j0y8qcZiW/Ivitu5lgsgy84Y7BHbN
cS7WQ0+WTz3mXqR37hAQ63XOlNIA8SKgQ6U+8JAh5MgRbKVL2JRAIRdP3UzGgZsFQkUe4Lo6F4oY
LlUeArcyEH0iEjqiEhqWlKMV6IWMg8JY650JJwKW2Y5hgX9XbdPVL+V7wUbokGmCWSEqFbd+ztH9
IevcmaKub4r84o41y8sinveE1L+SI80kkBivfdPXYr/O89dRE29b7T6mCDLZSz3VQ1cFSRQb2fau
wgxVtEW2sztuY3i+PCXv0Y877OL+fD9MqHRhMzu0AktkVPp0U9R0/rM+iECb7H26EKG1Ir1gfJ6e
WmII9kxffd6uLvQnbooW5hJ9acJclUqZKjoBw68/gTUj8xY6Z4w9KED8mR8Sg4WWxifhOGr2Qza/
S602aMa2PNipO+3fxy2yYk8oH2YHj3co0LAUSNF0C6BayUpQrOmtUbr5te6ER9IThtyRq6OxcuDu
XnOR4GXukmKAzzri8mTIW++qTW8QPdctqmwxBU7c6vtScEdupqyZD5gmEidMBaZNBtmcZHj2gQHL
lgixmKJfd2LIcBoQY0F6DXHZeJyeDT+7mB0SmaxG3m0kTRXkbRYkRX1vWNzQXjJDqc57ijkcD23S
/uLFJCCkoOGN+bCsMLiGFNDw2lRHZnA3oisYdWc2lILJBsZ+yHrvla8yFU73KFGPGbWgbezalc9j
+t4diUgwp+0xM3pGXQV5Z96daxEtLi37kM7Gm2sw5d0oz3fF3PEx3ZZ9UmG3qlLrtegeSiu9qTer
eBaOMrigPps5Dvg0fV0Wn+438V6lET+tg7CCEjfLjqXtrok9HHkCzxq1HmISDGw6zhLgSkWv02WC
590Up9dQxN5/wiX8P8yP74Jn/Ht38O0X+Sn9f/8xfil/uom/P/DHTUxSDMoRBv0u2Bzxqx/f/Qs3
nxKVIMhSySoma8Bfb2IDLYqHnuSbOfW3YlMucKU38T0SvUlkwar/J5Z9yF7/+iamCCCGiwW9bqL7
/P18F0+p2TGb5tvbD0DDG8ZexaiROeh1yWOyeNvejBfc7TO3gSROpRwM7X6qU3nnTMjy9fKTm6RK
F8l8rF0IKNGAbTjGaB1nu9R3SecDoCZugkfwzZVm/+hSrkPJXo6DxdecVIlPxcbQS5bnUcvbQ1tN
X6zMxJftOeQMWG2x67Sa1IKFTs7ewNN2NRk3Nn2Llf/i9HOQ6p9941GfvXObjIfa1/h+5zfqn/vC
D+ERHW1V2XfljY+NEjJL0xvHoSjIqBHhtKZBYhNOkoC4E8PBTeYnsxmviS9Pbl0ene3edgh3mfMb
txqvbe69oly5RVZXOv015k859KVoefcayhVKsTtp5ecSw4HG2LkQ8mS52KuAjfXSoTsfDmt9tiwU
9lJHDko0YSUPlGPHjis9ydaXQej3powPyAtPsUOWFVmEM/lfakCimdadUA1SXt4sTNbdhf88p5gG
WR8z0qmU4cZwaAYI4/f429qJsqfZ68gF1EsAvpGbFMIxQljm8Te1kQYGU3IQgdeSyiElE2D1C1JF
kqDHTZbTQZXz09x/0tXmkiehe8RVLP2VO/mcL1RlGWblYrzOFX7f9FEu8SGPsYTkDEs9Uk/M/EhS
GWzC8VrzF2rZm7IvqVdlpBWD+o0NZ4HCPR7U8zDJBsydo0Vf6g45ZQ7BJgJnqnopiKS89ZL1EacO
0yd50ldMGuaDsoussIutUp60Zgix2+yl2o+m0N3W8mgBOnNslseEkGpIfGTlnU2wivXgI/Tgzwxu
MOVacymy7kNdZnilIFLu5cIKebaGc7E0YaXNyxNSp+QoJODwFPQa64f+auRzmCq4eK8w40zQie2B
PF4rBHm7Ii40VuuED+GugVKeNCOz5BlDybf4C59InmnKuVoXIxO3Vn2vJ4DH/YR1ArXNu95j/ENp
1e7qeH4w0FM/m4t1aZvZulS++Zpq035dz4RHuQDjkjem1FwJ/U0KFAQHWOEGs4EqpxnTaFGI9k3B
2iuFbSeDEqCOP5xr4yYZXDafS3VNGpANzlQll2pwbuPGf2n5EY9jLr4WKyVgl7Fw9EZoprb2DvLm
IXYMPkszeadV/1pt3ps91B/addpNU4cxWpved9I/oP3KDwvTrF1qcLBUCdkztfulGR1gF/3EUklP
ZwSSL6Ldzrjsbol6a3Zoj3mPbKwezsy8loQ7mPvDmTnQEG52se5sJ60Olj4bh3kGAl82c7TaCHQn
w1uIZt21JYvTJPVN/Fnl47CU0yWZvMeiwbI0Sw2joR3H93LhudmbTg3QPhmJeTba9NUYxdXqYJP6
5LnUl65hdVWDhNRWa33V3TGcyvxz13viSRfUzlIp6fpaeywSn3nNtLHqyM29k43zRzGF0sbMKExs
pXl3ZeeBzlijfUG2CjEaMdjxX5f0P1rCkjVEc/nHjfJt9nn+UP51IuX3x32/o/FLC0WQQHNjuPiL
DS7BHztYEz8Ie1ZuaNpm4BK/vaNRi3Kf00LDYhCqVvjRLSu/tM2O/hvwwRTWn2LmuOoK/r2rgTbZ
UH+LT9QYNcHvr2ikwynX78pRAYrcSJyoE+OhtfHyqR6vd6Ph/7N3XruRXOmWfpe5j8YOs8MMMOci
vWEy6cniTYA2vPfxbHM3LzbfLnWpy6g1R41zgHECWlCrSDGZGbHjN2t9K9XXRvFAchR6OX/BGnJh
Q2po7+a2hHTQbErDZGjG4IiwX/RyYaMw5/hpOx+gfLqa9UdHyh019kmY01p5fzHIXZYzVltOkgZd
nQOYDKlGWZ0T/kb4azNvdNzItbIlk9/bf6Z+dGtTMKzzlmVAr3zMEh7/IfSSxxSLc4TV2Vee53lG
JjrnLOngG6DyKLK70ECYYgufMjcc+gvH8p6RvV17yIO+++yvfuXdGBZF1S9vpq1c7A4iLNbrP00e
3ERayPxrglBwYZmJjs4vYqkRVNatbdSngv6CGOLn0SjLfQm3FnBqvEq8AYdXSXaLX0e3sNAOUd6Q
2pYPR4l0m7rc2bvS6lmEUUQ1BrxRvSFVIkB9SlfxDJEefIQaeAItKhYSIM4is2ZEevF8bXruSygl
W2vZQZm3GMWmDOP5FLNj0OH+JtsjX+I5fikcTArVSMp27jCzqA2D0bUBItYpvVcuYZ4fHUsVjfZr
B6wfJyfNRxevSNsGJh2kD7nMNbJMsxamndUw9Egvdbf/UkKJq3lzSegYN5q0wgvTgQaXhazL3LA8
RDI418A3XKJNo0zcD+y4+8nCUfzYUhhkubyTMeQNQztS1y25Wu7MyrkrNO0tCszrQn8AKIIwP3zB
LnQ0zP7GnWOcldHjGFhLt0meo9HZdLW+sMRwFiyGW64T0HpxnhxIMdonkX0xJQUr+fSlSOPL3s2e
K9ZVsm4PnT+ccxzdKBKOQ6Jwu8XWwwCYufUh76mpgAt11VUYbnnDV7oll35Zbc1xXDssKbyKgox1
5Vxo6yx1N2OYE+7Mc7+PP6yyvdeyL9wxl5mkqx2hAegjgUYYjuvXHAe9jEqq2H5ZyAmhDssSZqqW
rt1aw/g4kYJmm9FLguBnfIvsdG14+RXDOrSuFo8/N7APsavfZKZ/iB1GXp44tZO1K+dyT2GwsZtu
5TsS0XV8KXq6VGJTcddbFdVJKKnXiu3gloyi870rwIg701Fmn418G2JIGyVBMmRWZFrKxpVkZQbW
UxKTzYJdiylIxRKgoXEWaOdkey7RRRgR1n1s/QFT4yjDKa9rB0e6VyyPr5Lhdh4MxnPGzuD8kZO9
JxRkHSX9ksnKag70TRKFD8Be90XEZtEY2DGMJmOosLsaWLxt5ng788NX3NZYhabEw51fdZu5CYxt
HZfXcdeNi1TIAADEWbBq2Tl+MZPoWrJV7FXlb6UEuQVQCScn5NVmlTo63H2DdyYpnueBjBvYWacq
M2+suH9vLDu8FZ5Glt7MvtbGGs1Q8bfj5P9Vj6UUNs+3f/4sff4f/72O3sKfut3fvuvbkxSBqque
U8qn4Bny97kzFgpSnX/8k390uzZh0JBKMFjY5EF/9yRVc2ePfFT9t7AG3fwr3S42iZ9PfySyPEIJ
mUbYahIP8eOjtPNnvYaKANYgao5RSVgZ1nDoNOzK0UCOtAdSrpgiRkTzLEZX+qu+DDd1M99bHnqC
oYxeAa7DjzaXhqtdZZKzB7kEGlsgkZi+c3ASWsEZJ+xLIxhv1CHkNtGH4Q03tghutHkVJdNxU+nl
U1SP55EARjg/yWtD/GJm+Vf1rgyaJzGULEjzBJVplpxsxoat5uWLVlYwnFPUN3ECMmm+9XPtIcJL
V1X5l9By9pHOmGxq6QIhyiO75yun0tyKdMB2XRrXiSu2dkbIpNEeNE17adRXkGaYLe3q3kRo2paf
xRx/ZsUkFgZh9xFL70JQosvmFImUUPv+BH39mfXpKSiZRIPyW+m4x/vJvkxke+hJYsDabFKx+yBQ
8l0HYU1j9+Zb+cVU9jfG/CYnMo6y8aqMP2FdpwvZ8ert5K7wmcE1OV7ASVK9lOYbaUXtIdH7RyIi
biMrJTkz096mweGE9D/M2Nsxuz/GBGog+dcf7Nl80KgZ4jG5lKl9mU/+Vdrp96kcbthHAsUoNuhv
9g06C6fx+ELdplsoOhQIzau0kmdLszCyDidYHbeRP16XE7u4gHagzILr2mH9MI53XDFs8KoLg9ce
jOa902ItcIcbETiXPW5dbwRHol1HMwirqEtfbIbrWNbZovG4QhFGbh1u+jA4ppjwpNngSulPeF72
03hnI8iAc6dlDrPwprWZsEzGxYjn3ZvleMWhjDuwBxJfE/kUV5PSe7HjQJx3UU7Bh54QPeDk8R2f
8sK3nfSYT6hCnEQeBqUqSaJiazgBMBBmtJdd7aOdC7oV2/KMFWfoHjSMKRt61cWgJCsC7Qp7iye4
9dsMTUujxC1DB/iiGthJ0JHuqEFIbfVEvaPYmRclkRzTKPCA1HnFpzRuSkqVrUeoBe590SG6pWNy
LLNZYfJHmwripSumjkG3JFVRx+kaVvqLy5JqO8DFIv4PSVhs21g1gmEvw/Tc9SHiAoI6lyYZp8TL
6hvx3geEgWZDuQhnCxqJYDaBEofwVrK3uMWXoV+fdc2xVp5G4lXaNinypfykigoWphQco7fPcFbE
prdF0PLJSEqhfFJ963eTc4m2pAbXqBLu4stpqh/d5CiZv4OtrQm0DRP6/+aV/06mJYiqtEBsGd3t
/cGYV1qJGmn2d0Fg1GvdyzBeEuZoYQglr3Sbjn2xqRQ9UaX3tjlXflxW1b4q9ftItHfIKEHDKAp+
rXD4bZguBzncGUaBbMDZt/bYXqftR0c0+ZFnc7ubsVxPHEwbfaoklpxF54u1Kbkm89EtVrMmL62E
VMmBa6rPcOBaCaN+4kBbXGS1SgQ7BBWPWU0Mz3MVuZTknx2RiitvmJuFmC+xpcvVEODhQgjxBfXg
7UA1RTEyk/GF2h63sLokWK0vgYA+6wmbOapqawabJNuP2dafmmzEsxYBmHQioCaw8xBrlJwkhn5T
aRFz8ILtjiTkdKgftHHayZbByZiRyauHOlev3j9InVJbC2zKue6Ze3hjhG6wJ7ADh1UWwPUGDFUF
BQFQkqlS6j5VIZV8HGDhGTz5FAObXDvJ9JQZ+rmRgXfhaNYFwJD3saIQdQpcrZz4pR9Oa93gwtKN
9LFAlorHLLyeR3nVG5jIBrshlJcSidPQ3rUlpeaT5or+UOhQTQUFs+Q5gHbqPEKCcLzChPjsoYlv
nBc7jrhgAgTdpRivNDs9FWYeYy1v30nye1VxxHlXBkvGXY+YRU5GpmE2zhlPhYG6eAjjXPRlcWk1
j6nw1plJ1gMglL1d9YCIfDkzO7HevChcJhkW8RM6ZLEIq+Ez9yF4WLxbaeftJ5dlZBTGj7hw3xli
j9t2Ym3HOkhfZU1E3CumsFAaD8xnsKzpxKlgB1hWwCwa0crjIMIXmgMGL23LUUzHGY3d1kK8vxoH
RjdG6kigcSRNM316JTyUuAWAfCB/ApRzxDVKBznxCF5ZBvm48i0S5/BN0bSO3aMTIlXoo4gQXhQ6
+fQU28S/TOIWMMwhb7dToSeIuPigePLRvJX2Mi2tG9Aon4lu31ZYN68wf0+rSq9WvRY+taLkamJT
pLVBfQaUuA51bx0U81mI/GJE9cECugAg0AIsyYydPeh35Hu+qxNlUdX4CGl9712MhalyGKZVK+iD
x5NU7sMeG2KIHbFUvkSJQREiz8mmb7wIEKkukwcYMbryM1oYG1OylfMwvLWV49FR3ketxwU5c0Qp
V2Sj/JGVckqmMH+WSJH4RYlH+s1N6d1Xvbavlc9yxnAp0BqjlhN7XXkxdcg+6/+EydL/OTARFDcU
pv+80L1VCJHP8KVr/kC7r771W7VLrYonC1mCSc6FooV8GxtZsClBi+LYMg2mSj+sdlyBeP/3jAS+
6dvYCNQygygdicVfcwuzO/q1zgVvipofwjIKEPXzv1ftDxgHMbaUEstnylI7xzlfpu9aAK7NpYhc
tnVLhWsTeoi+wbUIDhzEfUC6F6i5lga+KQmBxQM/DJM6PULa1YhOnQJ0Fc8sG4oCATwO33kh6uSt
qYELFfHeGBrk70RGg2Za+cUUrZ3B+mzNaBv3fQHjGTxBSlRME5r1Voysh3oqikXvE/mr+FEDCmwe
z1867k85gInHM/DaiPg2c9Mrw8UZxAiPoNAoOzgp8X+SIzXh+UvuLgVHWkEYHpIrck93hVc38Drr
fOmjRkDUNN/XSNgR+9rMnMUDdKwUlBcn0ACEoGsLohvdzFvPmEo9h0lyMOC9JfqnSv3nWtbGuuHl
5LJ/BTqMaxVeJ0C2noiscCbLEjFpgyu263002vCkom4wt3o/s1qSa9mohUKu9GP8kPho9kxPHKKH
0hEGdtsr8ogLgYT1MXbkGGCAU63CaWq2dT0wFZfZYXoKYj6EkZhN+G/jYycGsn6vOVpfZG2tBFne
VHtaCWtzFek4ncyCiPImK86Z7WR7H2SHdASvwjeuZMdyCbczjJLcri/CyXkgknoVDQ1I51mrliUL
60UswdQas/8FoEp10XY2VwYLqq7i7Z59hORteUZhjcDWl3jbiB0W4WOUobxMLWdT1h1xkmN7EEzj
zeg2SEN9yzRQW6ZpfLDdAaaE5r6Nmvg70OBt/K/BB1yYdAqK/Hug9R91eDSkXPZAdzHtf913fge0
NoOxalFHSoqAqsIubp/i2EywWqdnH+oiqxFiunMdmGQd3PdcBUmbZPsgW005Wx9hn5Ac5EELx1Ti
DKxhYsw0U7AQi5Mowk87JTxnmLExF0cvquXqu2PmD16+Smn5cTxpC2kL+mS2xgpB/FOuiWvkEYwy
xI49t5DlhEyrAp3WcJDTgcQxcoRYbnmjTUcCTmoXK/CU9e7Zw6mri2OFc2zKh2vLAaGB+NziSeNr
O6FPJ60EQN6Z5nuFKOjSpjixuBj0duZoSCPIfFEL6nUg8zU09C8ZLpeFExaCtAbNYZZmALdSmVGl
d35iXh7QszTaqh3FVqiMKV+lTXUqd4qGp1+ChOxWhgqlUulUCTFV5MVc/Sc8kv5v8x6jIOCK+JMH
V5Gy0uvqXxxnX7/v21NLKGKFEExa8HOR4/PtsUXKJXB+z7OZgECgYKfx/bYDcjWrEKnrKA0RIHz/
2AK7wbFo6FiTIWF5f2VG8/UK/+2+/qpjZNUCutYWvBBDKCmierR9dwNPYV1ITiZCV1kWz+N8OcR9
dAph5MwSWI6WuMlixuR1UTZH+I7jclJoHR5vnMYWLVJiAN5JFYInhcUTw+QJrXraOtGMncgEmYXm
VrBK8V/nkCXgxFi47G7rjBhCc2TpmEsYji26vV0SmeayJ2u29/VhOUcOG2SLWIIg+BznaTcqMI/Z
g3Fk/MLZbD5+98n9wVmgNJo/ngXqnSDmyHYFGw/oYz++E4mbMpMqdAN0RZGt4TN0u3yUd0NWaQut
7MdVrcA+cH0wzg3rwAD50/iTxNMilmHC8xmtOb64h+YrJqie92Ej0lWYEJvg9kpvJeqbQXbJMTFA
DdCQ+9ZtyYFXKRpQ2cAF+vNfSK3Rfv6F1J5MkiIhDQfI2o+/0D/ydGMMPQvg0/s8owrWW+OKru+g
Q/mMbf0wJ0OxcqbxxiZ2989fAmXWL6/B4fJ30c5wuHLSKr/j95dXK1nZoi8hOW5mAN/4Rwz5h/QW
APG+Nb323CTFPY/BG+YUw1af7ENf6v1lGKIhrMZN1sL1cmLVo/IDIPQoeCRzsCFH4B4k1bkqrGhb
+82HY1InseKXW31AqdXoN12EBCAmYhqnUJfgZkmYBxiP5Txrm8S9Q6BCALS9cdGiSz27h6Iid4ML
3aWhE4RR/BpnSG66mNzrqYgf6iBel3W4x3fpwBGjXSh1BBw69kXpaMtcYPRgdDBbS68wEJ6xSFkG
vfNO0DRMqCAh87BK6dQ075mgQA+cUirydY9dBLPjuRxQ881W6m7buf5S40w8agEOkSLfiAiQMZQl
iafC58HQkgLuJy4mLvsA3v7dop7gN2lu8qG6pIG+J9+Ch5lioyYBFCqtJXuL5KDUbFj6ZOz5fbLQ
58S8tgb/1Ysdpl6OfBS9v0E7A7hN04t97kMR7qhlosG4GcOVacXmeqrDK6Mc8K830z5TsbUYBoDj
YlI14vdeqWoEOYRJYSDLjctTJdoENcx8pLhkETm0d1hetnJE0kQaX7jR5XibNvknbI37rsarmlqY
q/uZzU5gGadZ465p2gRvArLjtuofAa+hrK/TLSfjfLT0jd3b/W0p6xXNNqC5MQOhXOZiY8DSZIRn
3bUDYx6rwDkHavWxQmOyqHALiagSSyvNPvyxSMAcoDQtFDUuz18TRZHrHOCurs42UcPjMsb6JvYM
bWt51ZXmd8Y5NNGdBi673j6/jGumf0lEsnXh4acEYodjqsfO6F99xc93APTNmR3UmONVd0Hy1sDw
dAEVD041KCrIbwsshrz1ip5XRJyBvsEczlcEKlyO+XZoqbYjxaeKFCxZEasmxa5KFcVKKp5Vgadx
PXpOdeEN03BsINkgwiAAQZGwYsXEShUdS/PhZNXMuKJ8KC5KG2lNDySN+UYy+CUwX3HVAduaNDSZ
1MUx6eGrJqe+i2ISQoVidFmK1pUpblcDwMtUJK8Qe6Yie1W46Zepon0RIastaoCxrWXueoBgmiKD
NbVIt3HAR6aoYY3ih4l8H1VfGjbDythnbFtMOEsZ+GeOethjhmaz8xUXDlgyhKzFKlcG5Fgxy6pe
WCi/p+e4tOn/Z6o4w0iIeOmhndkFoFAg0u/l3FxTVj51IzY5zJSXoWKlsRIjb8u/qyfgQb5n27u+
D7BBk1s7cYFnSiCNJnnbo5hOlXQ6REPNCEMu64Z8zrrMPiatcTYWi4OoeLNvuMpzRhmwO77KstFn
50qojZB2MUUs0DS33bhouS0l6u79CsBMxW3Sdz0TjkA/5cUrTIU9MgpUzoRGrKsW2Ifr96vQl+ku
4ykMuwIYccE5YzdefJ0YbK1FciEso78MKm0Pas1ejMJi61qw9WYnGk1TtTI0664o4BvUE8aYDC3c
QlTxiuEeqzyn1i4Ze4b0ml6z9lIQTagWHqMRexB6Kza7ko8x758m3qS9XWqvlDnMkCLcz2lyEDpM
9ikGYJlPpfJ1Sbq2btoBjn7WHErRzNz0pnvDSNY9VIn/EorhnQBmUDpJ9y6j/qJszXkZOKj26+pO
s1BCz9FYrzBSrwt32OkVjPK5rZ7nkF6aQU23Tua8JFwtenfoPDieUQnkWXVmf/kxOsexZPUokP4u
+hASEB3HNVhehoDcIrBeSCcdu0tEz4jCE57EWRtdOUmFpNvoV5bAptW5VCeSl9NXwcpnorkw82le
hY35OnjjS4K5bBmYbb8WfSk3VjFHMImY7bYzNbg/sTotJn/XlIWBNrB9CT3vX5AG/+t1Np3dG+G1
ML/C9t9265v1z2Feahn7+1c0//b1j+kFVy/tyw//B10JXpjr7qOebj4aVirfZLHqK/+9f/h3R83d
/9KfIxmKfFd6qJ/x9+9ViWT/7b8wQRqm+edN6ddv+q0K9/6mEA2WAA6n1Ldfl57fhkdsJ9lQ0v8p
i4ytKKb/2JQyzKEmNFShbjs/5mu6ngB7I8HQUjZbf0lz9IsqWO1JQfc4vBBh/EJ9KFsNA7qEvpxK
oOqadQB7A/kAaHjjXiTYvwXe7RyYyXfv0R+UvL/YgvixNtN+qkOB0+grjOK74oyRtbChD0kmLdlK
S5gmOEDiUIj6XMZI+o9//uPYMP9cDdpEpQlqa0Oq9bPSWX9fDRpJ3dqTO1gL4cbx3mpLbdEpPeaU
hWwqDRwaufaRlKW7EYnbLDNScEgLh9vTTdE7h8mwNNKpWcKgV7wXB3oCIdVVv265fZeOYsN8hAoU
MypiTIWwP7CByAiFkzFSuU1S/eTDmWEO3l7lWfIGE7xamMaVB0s3FwI9VMnoScFqqmGeVr2F59yr
aVL4hp3RqE6FRGu7ZJNiaNO08dPxOjKJPqziXG6FbpcA08p9Cy8nMwHnKKulTvgh8l/7aPnFW9da
r2hXFHDHzWCnB3F8hBeWP3mThCAUdWe8fiMwv4j5TbY2lAtaC5It5n19mwkc0mWdhJtsJjzMackr
iOG3Jdp14tivEYWK52MpRAsURdq1Ig1Fs/+g2EVJ+9zyBFUw2Tb1L1K32g7Ic+vUeRilfujC6EDF
gM3W2s2BtSNLYj+TJBbByau69AIp1c4X4UGvVXzDLuFAFKMJDyjZdVho9bHZV608lfjdC/9mZuEZ
2cgxa/OgJxpBBMmOicXW788TkBKGIGxAYSjFrzUJErzmC871TZHZu6JLdq3P64S7V5FoWUUhgeXa
xonFliSPZeXEh9K/F0htNATpCJ9itHnEyl5W5bBGAov3S1Up2O5hH7gBwuOKMgCa1dDtdHt+1DzI
vGHKb4gZPCFenT/f4HcjM63ffJU5lfZtGuYX+RQcYCbuhjhe1j0gZgOLjcFSlXfPRAym1cSMl9mF
E/rrdKjOvDMX1kBx5IcHp7iadH2pd9pNibsrGcrzRCgIU1EPdjrMCs3TgN06CHJREOSLsOmjlWBO
Oyfv/ZTmy35C/1Y5lCgQwZaiRmwIibghVIB9ruZsk5ClRulkgKNoXqYmibaRjq69zPVljKP3qJlx
yct2FoW0qAPn4V3MeH1Rh49RfHqlRHnXlS7J8AW+AOO9acbwZJTuTVzIta9ZbEKGBeEZRMUd0sYi
8X3CZjugEQsPWfMoY3uVO/0mI8F7LMKtClkl7gqdb7zLQJI48c4ilKPEWm8Ceu8SBd01cWfxgdq8
Lx2ifFRQsGUKEAYivaCE2aQ1MuQuAGDc7CnoNlaHxIh/Vv9LiFMJsaJZ4bQd3WCdAy3OQUb4+Sbn
XyNx20id/2ohVg3gxQA/VKOF66IKFnFGKYQTWsWAEPy6qaV9kMTgYA0nOgJ2S34E67N0bSI0iLmH
eVEKiFy40MXBbON1nb402rQyOkleGKI2z9+N9U2Jli3mfcqtbi3Ds3rdUeqdcFSDvUiIrEoJjFjZ
odx7aZUtkrzIDyhlLu2Z6xL53KudRcEZvMueNMD1XNxEhFelD4WdqJi+8iqLw6161Ui8Nyl329QZ
S5IEDtoZCsJVZ2QXZeA/GGOPD747J4U8uGm4LbkJbFdbSLRxsEsWEwwhWu+SjWMXIMsDkjmxLygq
0GPk21olB2tM+N/0Ymf5HhjusjPxygsUo7uBTHc4cYDFh4RJR0RcQa7xDwS8GjdJY2K0MpCp+XG2
9FTOQdqKaCNB+U9DfqfGVts+9ffYKE/+OG/YZZ56YACFipFBCGfXHA+pi8VTe+z4QDUI15Y/rBML
xlquvxFgc6e13TEY0x3X5qGtvbuxD7Zt0C2zHpBEMj/JFsJdoBU+7rP5bdKnFVkq+C9H3JXy4Hin
FNpmxkUWF+G6zjMUCtkuGkA8MF0wvxQ64T7JhiZzYZTiFAzORYzBDR/ZJgXLIdJ5pffYauznodc2
ZUAQ7wTJwAKlHSwQRmzCFkap6C/9drxs4mpjkztQch0t+mFPpvw+KaaLeloPZrvk5lzyfN8GmDXY
6VgQnqGusX6hNXfZHhT4SR3OQILlOG5CngVpZTQ7lrcFNnzkvnI+VdOIyrRLFhzKVO8mtCMc9Pww
8okcna0BWcQxZwk3rm2ScFfEz2XosiCi/8tdqAtDnt4bdXTqgk5bTj2zt8IyRzoTg47BG3e4A22F
fZpXo3Fsoup9zq1m6VQM+fJAO6DLsPZiqH4bEf3Havr+9Xr3f9Nyll3Dd7XTL+XsfR39XMt+/Y5v
E2UVKGaSFE/p5qrC9NtEWYGTHR39HuJ5Jh6KRvZ7LWv/TUErTccj5UANlJnEfVuE2n+jAnSob/Gq
/qa6/1bM/72IpA/4pysh2/q1rMRY6jl4fEilR+P409xxKKopwgqO5juPPtsq4LFNiDQxMYwwqmA9
CqYko2ctoym51pP0C8T3cId09sjWHceIm6DhdbqPNhQ7k81Rk2psQGcKL9DKDGsqa19q1f2kR29j
2mzHxH5wEV9UYQYGgiQHLLSbTnPGfdzLXVBxFrqxhpMb4zm0XfxtEUmPzK6vBZaWPellMRMJCA+p
DWgZG9QYooSOVjrqwwW88s8inHZRIa7TKnyNYN4gxaxZExVIiDjzFsIJQli9a5bD+wEgbO/js8eR
ddO4xYMs8usk8BkfzIu91YEfnnoKvhI6JhpFFZlgbjTbP6chg09sgOihMVMX8XXQKSCMsYLY+ByD
ais6etdIiGk1+E5HSmvOc58AMWrthmiD/Dj47eNEPGyriXAT6d5ulMbV7Iu71BjIvIHXlKBKT4SD
gCcFOSxODnUuUA72lH1xEVQuvCWDymbMPBRqGYNpQpEuUzKPdhNCiQk5W2/Ya9+lEooJah1Z2Olz
+9no4tYb9MeMImCUkLN00JEZXDrQT8UmEcU2nLtNG+Z7xtSks5ysVh7g0LFgGI3bqbLDRYHcafYg
JtZdf5OaE48UsHVkGoU9s6sQ2d2EV4h/8z75l3r+JHJt21Po1X78FAQhE6nko5TtREJZeEhmOCkT
T0XfHlZpGz93OqanULbZwqySYyP9AQCa+xm0zp0JTW8ts/oeVBU6JaYyvmegyW/46KEED4tAp/Cg
dFhXcrodohBDY/ViDuanAzlr1ZUpbJizW7BgjQtBKd55DwCfTiRVfPQZgilwLWrONZ9npHyQfsgo
K8msbyLrVA89Ljjnzc6NDVyzfpFUPDr6odz7brGhP9rGY7wPvIHKh0ivQLeeCKYEQm2RvMMugadW
C2jpnJQA5qoJlP4ERGFwH8OwRMSTk/VuIUWnZFvqOOFXmtziOUXF7fkPbkaIrxvd9iS3HJB3epr6
OGZ/WmUJjhYzQfWDMbRACxSiAdOTL61Zn6nAX2t8hEMu8Uaiil9hZEBXPnM3+Mk6dfwINmkQL3MF
QsgINYbiZWzt6MU2EKRSVYWfZXo1s74BFYCXzSk/RENiJhrQY+GTcGkc5+g0+VCTllr1hnk9sN5H
KgQPb0V7O7FAHVeh9QUsjssbMPNudhTB9UOX3AjrwsvXeMgIPc0AxHrkVhtXbXobt+DeDi7yvnJt
EIpqA8Y5GeJyKndDuTadbaXj/OMju/IpODPSB3tSzhhCCpgSfZyQa3HWi5MZPagMhMQ+EVnk4PAc
UAjbza0Itom+MrgpnPpSL68q4GvCx0J4Wbin+eTrMXNfCg0S65NzMN8Y9skw7ufwdtJvRu3SyK5j
89TUd4G7TZwbNzsn2PMaJAXVS8X39hkrtp6ickbZhhjfRLD34dpXYQQS+3Uq7hgijsaXVj6NOBEn
860ILjWSJ3iZ3B/eYxXf9N5nxGVaPenZvOyaRxdQazy6q9R4CuUXzWMZt+rbzRS9BvJmQoHbU13j
OUJ0BYpBn1EN4ouklmZEgNAY9YhOLknUXPnRwdHrZRQ8EvGIfpk8lOZR1d6jPgGUKGntxAFmpEmP
0zofDvEpM9l1Ab/7YK/slg8ZRrwVPWioMCEKr8eMPUp96PqTPTTLlPxcF79x6ZGGEabrDqOKyVdG
8Wvcf7QM9HIPYLrxEiAoSI466pjgpmMBXmLKMJ/c6IgtOTHunOAYhy92dRm15PZB+yCXbaEXX2pQ
Do49r1omstp06UYHg8s+osUMGdgGjQdPoN/gy17U463vr73qcfChadD8h92lTwQwGPeqv7EmeOpo
HWbSL3MvW9np+5Td2qSoQWJZWISM80bl00dXv0/BbQU7JMCcqVd3BZNUF5rDNFGAwZSf0XMwiUBB
Gy5T857QgUVePOra0hPFssndJemROGjqZd9bSDyrjY+gRbJZSYEKGlGKrC1GJaQx1821NajBpZnx
O8oG9pIajFOVB6wBR5qjfNzEIn93e/vVCjAyOX12iMrhozSOXQa47N2YUeXZpnomtsGrGKPryslv
dGSr4KJPY4lqPK9jHC45qmIe7UscsvBG41VduN0Oqw/ZW3EO/Q4l59DxtuYsrKzWuC65eDCLEuEp
MDItjXZd9B2iS574i9Ch5UziZFsZGRvYofoiix4niXs3kgVqcE86Av0QumEjLwZE+jx2GV4DIfQu
G3Pk5Ki+4JFgqh9shXQvWdWuhQP9QRrZIkRjs6CXIabPb9De5uUyA3OYueBj/HNNnd9n1nVR1+cw
c0fqcZNrWCPil+33igMoM9nZDYKBvzPyPgY0+wmrZEzGdJiulpx7d3qUqkDQxvKDVQAr1+DD0MNx
VYXQslN1Xs4PonMfsK7vM8dne5fb0KImfnNbwyXAyMkEYjPXHNf96OVcETp+Ivtuno2z7NJ7fgSS
6QD7VHGauuY8Vd3FYNRvQJOhbjKAd8m2w/pfboZY3lLrwUahUeCSax2b+7ioYMRN6VNeFacsSk6g
skliTcrLyG+fC6N9ivlr0znlF73yXhphQgEb88MsZnPZAGMtAmyL0XRnV3QJqSDIs9Q3QdPcJm6f
HqbyIaq5/avYiQ5fy9//3yX8KfDYlJTO/1x98vDSvf/SJqhv+a1NcP6G5ZJpss1MG6QwlM5vbYL9
N8GYW7DWAjH81QL0Y5tAfAqAKxVKrPRe/+gSEEqK3zOOTf2v6E7sX4UBcPVxINGNwODXxU+jYLal
GiR6SUvQi3SP2D4muWkm7tCy16U+fgQeirjGzt11JOsGCTrpZ2QDY8NkwrUqXCffdMpkwhiWJnjW
P7SZ5qDo2bNXEb7Nycqmo2lp5E31AisnXNE6rV5zAPNIntnahQMBIREQVRmdKdkPOvYVUAlsCKXf
85CQnqUGudxXhvSPEJvFXTDJfpUGJJEQO9RiXES1HA1TvBtECwWmZM9URu1WMppMvA6Vf0aXU0Ax
5pQpzZ2LOs+FzGnpMN0timKb+fza9R+FiUHWzp1634v8w58B/xgIjLV0M3d4+IRfg/l161U/0Myw
9v1wjZIr4/cr5w9WAZ7+i4YVbpNHz2ZjoEbKqmze38/mW1nman1L/mJj61fIEAn49Y1qZdf+zRSk
DkB2oKIuu0K4VcFFKvULP4WNDGjhU2REoaRBc1f2hLZZYdvjFDIvirk/kX4l4HfuXUyX2//J3pks
x41lZ/hVOrxuyBguLoCFO8I5J5mcB1HcICiSwjzPeBw/h3f9Yv5ASmWRVKlLlRUOLrxRVIkUMvMm
cO85559kE11hJjo34K+hLkQhGZdIT7UeQkqWzkSf2RcJp3OfNGJXe0DIRgmsHY6lC8Ei3eaVxIJi
FaQhML5vhssB76StnBoOhb1ehAOzjkxaR45UYOkMDDJj8NApJ9quXG/deJkkxrXGZqnLkUSQnUYy
L7w5TCSovWetlkINsBd2UxAtKbxwZo3EjHoYO+hMwiWHEQTWEmdHd0nUFadvqZwY8Ik42mS19TV4
oeqoHMITr5yyPEShR6iMwyFLIvAmzgd3VgbRLpPNlzIc+nXixxqb/HDd2bhRZF6IaxYMpU0C3rsi
7bQNH6y2UC6ssds1ESVvXgM2OHb6Sa3KkZ4DyiHtYz8TI+TZrvHqbVV3kEQDZ5aTmFw5FlZQZoy8
SxSbMUBihljTOE50Cicb+kHKqWAW0cVYaSC/9iU2IOhSYFjP1VxfqG2tHoE6w4znvC8zvTnQceaC
oczh2dmiX6t2ZR7pmX1v5OmtG+T+8uOYkiTn97V/OlYcu5adFcQ0G9wBA+QLm84aA34aBR+HL5kb
q5h0T4KgF0WphEur9o5qv16pVlAj2sD7uB5Oyy6ID2RrHyvudW7qO9Msz02PLq5xHUbF/l0RGcO5
YkQo88lbBVAWFCUjBpQytDfuSNnOnnEwSt3H1bp1FvWkz3dql9yy7tpKmCmWWr5NfQRvRRLfuugJ
ZuiscPqURBs7g1wlDNgWT2Jyt587XZ1uzE5+RLgB3zYzPYhVYPPmYEbUHT3weIB7QJwiKZMneJwu
iHfNkYCQQ2wWgq1HkfMM852lDcu4wDhj2uNAvu2ecTpBuJWL4RSZ41R+0WQ4UnH/1PkSve6ihGh+
lgXmgxtuQuJhDxIot9Bwwl0Teru8U8Ci9L5fNM0kTyn7miKV0B0ffsIsOENwzHPa+fcO9NvMpQwt
bTfbhvVIhS6Dtd05H0Vj0+5mkxWX8OxFB9/Y+FIDqCUxkT8xANzSH8LLTqyVRsuXmaDTD/t6G3bK
SVTB+iu6wZpJJ7+Jchw4vNS7Aij5HJTZbZdzl6dKTjxRHzhH4P8ByBhz1ho+cO/KUyRt6ryq4cRw
PvmrelS/GLGzaXXlOGwelE5ssefBNtgFeCpwFoFf0d92tW8t4iCzMZfFUQhfuXZeeml40unN4ViW
yEAlhFpkJrSutqZtvVFVtxY/1FNI6sFIXZh6IwP/AtaHV4VENnV+P4+wlAlbycTWsCeItNmpgwxX
epwmy17hNascOpoRbQydKhd34Ajn59BcWFmOV01k0yop6kJvWepE5u4yy8e1KNKC7cy9yU0ftrCV
XKlah0rIl1AwmppprG6uYqwp5g3zARCs+iT1umYWQzucBVFpzzGmOIx1HXN/SO9zVb+u4/RWSxKw
y5GlUTGmh2eCXkbPGf4XMTIeFYowZ2hLgr0ImFOVc1jZLfPrXemrF7GKNUFdE9OCzXEwk+EhyRpg
Jo1zpfgl4ZyQG3LywimGV0W4LnHs8x1jkzr1Z29wrv1KORj6HKcYkBBXXoUVlytlzwxmQMCUlJum
kxeDV6LWTYsTFbkAXdeiVr2zUK8wrgbgEPZ1lJMXUCirlmhNP+6Pa8Vb+TpmfEN/iM8GvsZWWR6I
us1mpeFckzePBgnVYecm7GIPajgl18BoT/0b0AjcC6hDMaykpwZv2RopllgTjAOourBcvPDUCLaQ
n9wmRXtIi90XBY1+YR7I3B+BOJnkywcx6Q7SfCBOVZtZjo8pr4KltrubXkXp4LwrIp/mJDxe2r0R
KBe1kc5l3C/7DiunAgmqV9m0fyoIdjmZaiHdZZIxGW2JyXLLceubXlpynTf+lzHCeB2Ac470gZj4
MgDzUhj+Ig3NVmbpjEdh7WnL1LopohxTESJivNA/KLX4DLO/m4DUs0PkkcEJt8AGEv6nqEjlCeYe
ZXNSdVjxVD5jtk5BbComL5yotifqKWI0s84PJtY+uo0QLRgjV5mphwRCI0kwPH3uyGNT9R9i0uTP
BwbLizrJr7njnMNMgAIGOc234nmL3DfEWuXGwWHP8YFmNEIOTJXhR5ouapMXyBDZIQfUvROSU9km
o0XVCnmcSPcjXtS4kqPdOLHhNQ0BaL03NNsod8h8IyKskvEn3MD6szYzakyUeOQq8VBrpkcIqEZA
XIbLdiyajxUFVe9a+gXNd2yuTLcxrx0N5W3ddcVSt+vJKAXlsluEPSQpPT51fFJkvcpl9OtmZ31T
HjnmqV6MG2GWG92JItwemD7TgWO1JLjTdMONl6PUDCwPPayPkOZvxjxP1uRuHyFdyFaKqLtVSB49
sjR2UyYsMRxCiyeCIbdy5nWlvzHIMSW9c4ZpZXqcy6FaGLKBEYzclwCnjeLaylZXIAkMYUJDFwxi
1WrXocVJg3aFQWcHSCukK7ay1e8gsaSbQbbXhcemn09CPhKeEuba1QEtJKpwv25gGQr1MCLcHQv6
/CbunVXXhds4uh2c8Tjx4i/MwtdUSpLsHLiUvpqdtP5yyPPTzg1BqjMNerZRnYjIuypAUNO0/zzE
8RfB1BlAMGeyZ3wpCnWXBEfZyE6gum2C3WR/iC1UTITuGdS+SwvbyNhdSwfjTJMHFJUiFXOJxX2z
tOLslCN148EQILHgKtXrrQGo7if+BTm492V4lZU2UulwVxgg6EqdnNWNwnQm2TDu2BhNthO5h9+z
u/Pd5CjcdkPpLQrMO2ZVQl+dZTtscbCI5x3H5baXLTb1GItr0YlB9UEKxFlS+vik94elYl85ugvt
NLvNOqpMQ8dYrLxIoSpoWrJI8rzBLka9J0F6mVvjtjOB/qetJ+8S+AbYQLvgC2yP1LYJr4etADN4
6ZLfGH5q+FbB/69qnP4Z/gZAjsYOgu6SZnrVacVJ1zFtStyHwrIvIqjn+Lge1qn1gD/fwiWG0H4I
arFBsf2p19tlFcebUMK2SKu7BHnQbGJNu1l1FCKX7eEjYPmx9NIav/FsV2uLqlnxcENcFcZRx05c
MoDncIbumqrjqZ3JE7fgI1fMngl5/2gPwYkv4pVMkpvCXAUximeGXV7HrRQNxyNC1jzBHs/FaKYe
CLFIF2rSYGugdMcTeovmc50AvlaGBjlaZ1iX5CHxHEwkatW9AF9+eitrlVaobXHHNXXZTnjRJvGd
g0LVfA64eGeYykdGXuewEkhbCjt8FC/YJR9qghd4OMkd6eR9FHkfsz5iZJWdRi4ex0ZHd2l6kvEK
ioKg6nd9k3mLpmeDV+VZpWmYnahLYi9u88G6CMeMIbG5TjvnGmrYkYYTIyPh+ihq/K1QwSlUkHBM
X3AzgjINVnFA7UYdUC0CUAzpiXsRuzx7TnSDE+R88OFuWw6nIBR2y72OM+dcYmtjEe9WlUqyKGNv
2RaYeVs+6dBQJ4Y8OM+7I7vQ0FukW5mII1Gp920R4uvjXFAFcXb3C3JxgXTCW1HA0bHATrh/8ZkL
sOebBbAPg9w5142H1u5PJhJOPTgfjdS+tD1xTlmySMrwlviAU1x0OQviakIKYFiSG4lSD1E7pZgW
LN3RWTWGy6C377BPClVgrlmqFP6BkrQHfpqmO2CsGHpyPxxirnHURNqFyGL3qJOBuuhGk0Uui3kx
Kt1HjPSpuq2FLjy2qoZmo7acLUT6B6yBzuLIzj+ZWjv/uzsKu9YMjmac3BnrO4dqHGKJBNcHZ5mk
WFGyQF2oBtKF63MvTOQsRz4/s8f0pIRwPUudB63A0saRxbD5O8hToDj42cxSDeqJk1Lu6U1kbTzD
PKGk1maNI1qC9egi9SZnkN5geqA64zwVw72d9Y9/bysmCm3HELuJ8NYlWsyfJ8SjQEzvb1tjsA5r
UDcdbtrayxsm0g3svXjuhxV8b/xnKe3cYJEN2RGKfmeh4lqwEAUzXslYurBQLSdlEsHSh4Sq5i62
VT7gSB3n46rIowfsEFtZFfPWYB8lh0xZZnqKH7FqLv9/1Pav+aXGJL76bWDyBpC/vovvgupv//63
jwSMBdWbqdv0r7+B82LSEHFDqSrim2mA9swzlZjUMXYjiZI/dFvXv+OZyg/SnCBzDSkW0L7Kj75N
3cwPtgk11RaG9UvWs0ihX5MvTQeVmc58B2IAIDXv7PsBT+uEQxW4bLxkFtv094DTnXYY595xKgCR
sbmswLGRE8OvSWKvm03/wdVOYr1e20QX9m4bbguv3rkqDcIohkethI0uJB4FMuvYEf2M61TlIvbP
o3qY7KtpcKu8t2iYVmZDHCAW5D6qgnHXxWycqqckeLva85pdiEF13HbeYa9H7bKzVw2gCvagDkiA
eTHa7pWPDwB7NocSQ34GYd1AaUG+BB4EO1VLGcXX4WFc06m7Yu1LWDTGwLZDCM2qgwHaC/OLGxj9
ivD4z6AM5hzC4JlrVWJB9X8XppMkxCVOq7c+BwP4oS8roJ7QZM+mFyM8uFshMe6pT+ca8MhCUSWp
J0m/Ca2sZ6aFZUKCO5yIzHxZeO65iJihBAzWlmUIcoOv1sZKcpwjYiweQtXZkXF0VQCFzJOckB4p
P4nR0IkSHm9Qvw3wEQl/6KXWIOIoDUhv56WpMIZAlUzkxbhsgthmZIWEAMEwRjOaTcIWBEt8bDC5
iVF1h31B6liPHZh+77tEQ0Uq5vNlAMpJLEy6LHNTrL4UgUWOpGKdon0255aPb01MvGPcZzeewUIL
fdOnODWgarnqQwyvwaMPS5+mPWkhD5uFelUyi+HcV5HvMjXRYrBd1QOdddyVV4OUedTowBAeWm09
25oFTUiXoE1KrODes2J13Wupt9TUR9ChgRCu3pwbsEfmuhIWs9gm0NNyR5Rrg7G0Wg8lApHHTcvQ
tOBWjvRWwz2PMY5jZioqhGQRlZB/w8omrTKwVwju1EXK7qsK291mIRw3X0dCr8OSTCpUW2NSoUQv
xzknQUZRSwdi45/PxJjOwzMxXTIsXNTZs6FojGQzNcxm0DUoTQhAZJBwmacMPquhpdDTgiMB9RW3
fjp7j/IJptk1rOd4psbWHGXTUTT0BOOl0La4NQq6io6Kde5F8Z1fFXihugBUhfBD4K7gcmwShqyJ
eeuT5ISusmOI1Fu73hdLx+J/Mm08hYWXrGguV0ah4Iein7jxnTeE1lyx7JWemDamTwxECzM+zn0I
a1W/TaItYdkKWhQXWX15jj9jtdVMQuBGHgFRQgKg/S6JfMWO1l7mChJRZwJ8YlnOqsp8jFvnummR
iiletsz1fFNmNQQxDyZ2lepsD9qx67YdEy99EiwP5yhp/TUTh7nipoexghNBis8LFN1aOdU6w5nH
6JwdtVn5ZYOYFJ9MeKtKgUdANQYr3Rg2Hi7JaKJFtUCjPRkwl2HhnlgVBrsRvARQKvQ5KvCjTyOL
my36RoW5X0K+GUbbF2UDQpzzGSKopTTmR1bqp3TRQQoNpl6BPp5iK46ZZ8lXn9fKSZn2GzRe+dr0
8dwcHPVUBO7nHEb9vBTtta/if2fi2U+vBJW3xi8/lUwEmrpF8JMmH1Uiz5aMIHMd7K0kajsFmFdm
+QLRmzggdCFjRl4S0Zto4UUkmwfIJ1AUI3jmIjywQ4DlJih2YViFfFRAtaDjLhvsq3iC23xwt0Jb
JRMMl8gBzxmjfXASaOC2S5p7nUUXyhD1YOdYBRpJuTas7EbGTjU3TYoTh+WelxZWzekMmSKZWAmS
xL5au8oDXxem+LZxqoxjxJUwxIxa87KxNkOB05CXksqaQRSaJRZac8U703KsUrv8THqMJ2RD1ER/
6MXIPG2H+58sR+FS5eTXih2KQzQzB9LAj1TV7YWpkIZl6YDSJnRqr9TSXZXrq25oJua0xUw+P4aF
bhk86MYgSSTTmFa4DIQUtVm2KMHWcHbOesSgS6VwmZaS4lNrOBITbid4SKExDO3HKqzB94No5WLb
igDowA/LjRJk0Vahbp0lbuOe+KNWr6KS2bbtKdshddIDisaVIIp5lyX9gZ6w37fUgcyqBVTLgEiG
wAiTBfG/CpVnDE3LhQoEOno9Nm2xiSr/cRD0DmkiLhgchcRgWFeK2mPXEYCvC59Q507PVqXSXjTk
PCxTz86QPFpQRp3xIy3H1naKAa6MQr+EQ+PBsBoLjjCTifqqu89bszi2YGdpwaAeqEVBbB/5aRVp
62a1o/nj83Qu5NJSZRzUDUsFCzJy4sstZvHXjRjhEdNJRrrFHBTbb5gb3rXvZPWpCpkOD3r3SOu8
ZSkB34ocaRo20ST2DYSbHCSUQfNWCe5F6HyBYIbsakT/gFf0nZ66axUQCD9MtNFh553hypMdaAr6
szxwFgUjA0KxUAZ2hW6sTHIF59xT5LOE+mE/QHLLrG2mJtFCVTqNQPrxS2jCp3bMGvxPNp99eGJ0
mt1cmQwPvNI77gSi3srh4UrA7OMq9MC1CavU/GZO2vE19Eq2LecoaBLv2B/JkqKBR3truOdlW18F
IjUOSzsgMxj7bjw0FG0SiOknRNJpkPpCWFc8VupN1FZo9RyLFdejQ8MylqKwT8LCOiahOF3qbndY
D1BZKs+Cb1XAkwFnXaW6tdQJYUVW6135FCLMShJ1p0QHhKl1l/kEfuFJZbs+zBsLG0Qwp2Jeg5QF
aXBlYwW4tuuxxWrqUsj6KOm1HfLldlOrKE9NM7/Ee8ZbeGrwxZWIVvsAwWSUA9JZDIFH1inILblj
RH4uRQ//WEQNQ7xWO7VLc9XApcJ6qsE/baxPSsXDnjB1tiKEs5iFzj0sixmZBMWRVLEpZGBVMkw1
jMC4K90FXRpGKVOfZ04dX0vr19ECFmMb79SmmUmfJA6HuejaqYJTF03OlvGUoIkMp27SDUL8HKW7
qqdOM5x6TgZmoC9TH1o+daS2c9NZ+iZnCt5iS47LwE1m+l8E7hezKnNWxvT8IgpAMd5ggpZ4gpPX
HWeRoj36SXHbOIC2kV9mJGaO67wm/dJS0mlqhyzG445FaQR9fTQu+rAw5qPmHaW5QBiQ6Jixud2V
Ermfoto9SRAe2Yw3SmpO9kTMcJRmuG6MsgUGjC4Vw3SoheH0oLVuU8/f+gx2gBLnmstKei1MH5S0
oIgm0mTEFxZQ4mp6xmaMJ2DYw/Rkk58OfYhc7YAwqSVWSTbKwjKI1TYacOfe9fJd2msHdTRsGrXH
2yu/KydnsgR/oXWpjMegbnKWjlY+x9wQeS7jXC/qtBkOghzqrf0Znve4BnZYqQLCETGBH6uSTElL
Ju1SbwMG11LejCM3VDJAZa3qL3i/MP4PV4hT5bwaJNMWVCiq4lx3CGrWgZAjdMl8R/YRoRJpsipc
9KqpwoNcJ9gFksA902xloaGaXhkDvbcQwYPbFriYQSHFUR9hdOw4l/rkXd/nlJglGNqcyv1ULfji
U8Yi+BfeZa7RLjRRYyFmtltiwmkNXLZk/DbjnDgCHbP/OTzIaIbPzsrMIFH2KsxOPVI+M5c+NCqc
h4aunhsd1sFeObLPlfaCgdeRHzDM6h8aZRrXdiOE/wlFY2AimQjO+0Zbe6pFrmn0uUYujuiqJb62
fyAlyZtpxCIhz92NLrW4yMwA3U3VMj29jIx6WKqixKMpdBAiYc0LMYkpu23eFLVF5Dv4kp3iBfPr
TfxRcF9mVfalfi3x/F7h+UMN6Itf+Ittxr5SfqYO+41K9Dea+fTT0yxI60uk2K90pn/ol77x1X98
oT8sO7XtiUH/Yizw9LaeZK8/u0p8x7tuHlCmCuuDIHuNpBcNI1z4LvAucG3wvv7Y+sCPdAFqYsD+
lc6kweT1vlul31uHn3/Et5rct9f52Qd4/D7qzrbk89t6FgH8tqi/sgzk6Og6YlOJXZQhLMm6vlgG
qQsEsKpJKo7JUjwv+//9MtwT2FSXSJq9IHvh6vM0r/kjd8KrK3x3J7AEuABBsuGTahCpkIB8twT2
Bx3lL4Mek0Qx1TTV93gnQBF6rcP+Mw8EummBBhhbGhwS+ZwvlgFHIhtDoq9pS+/waSDlcf9NwVBt
FbUNIBCfd5oSfrcGzgeBvSGPCuvD3qATaPEul4Gt7I88Ea84jt89EThgCSThOoEbkzHWpK9/sQwG
hop4BiEWx5Rcc1ild7c3yrepZb/8RCDNQsyFkfvk5c7O8HJvZHBssylauk7YoXyOS3l3y8BJ+fzt
7HFE4Mc5udg7Qojn6fmLu8H6IDHehKlj4DTIn/p7fCgs7Pj3fSjkB13j0Zcm7F2+9FcnpfygGYTg
wJhljVipd7k3IDLc+5jgtldtU7UARvDxABx5dTdM9GVWgUNT8GqTlcS7eygs8gb3vxugSeMBSMVE
KJE+WWq82CLBGCxTh+YtNJxxTZCjd7gM0/nG29pjb5gQMqpDU1AX4TM6fc4Xy0COBcUljHUI7RNx
/T0ug1D3XgYOTB4JNj8JN5zC4eUyTOkdUsXNZrJyxMJw4ni/u7sBzfLey4BgmeKRjdDRJ+L9mwNT
Co5lPv6UOjKVku9wGcgb3XsZLHQcSLpRIjx9ylfLYH9gezTQdNsG2Wg4db3HLVKyfe2/NwBsEyb3
rIV/Ogq+2xtsimmTRE8mvL8Vme/voXjrb/XLVeR0N/Bd61PM7QTxv6wi7Q+wEthDeTSenAHM97hF
Mhx47bf7y8tAl00DTR2mUUayFfKUvbgbdMhMaI7YPlRi6b4+hP/3g4ZXTdGLeQsJ2K/tIX55GVB/
USibhkDpo3Em8PB/twzOBx03M35DmprNqSqfX++9LcOb2IA/sQz4JNNDwsiho369DCRRSog1tkU2
1RQoMBFv3t/e8NaE+k8sg+4QvmhRL6sUEK+qSFornI9ZB+4WbpqnydT7WwYa5H1PiqnDtCdVHefl
E6nq1UOhTiGiRKOxBpZ4p3sDJfC+y0CH6VAn6hjC4MlsTgYu3+0NNmNKGi8JFU0SPDklqL+/m+Gt
gc4vPxMTIW+at2rY5bxtMO0PU0tBWjzRemTOPjlbv8NleENb/BPLwEga/3nMgfCAxwHoxc3A1qBS
X+JxqU+mQRMJ8R3eDRji7/tMTL0T5EgyhJ9nkS9hGg4KHgUqSJMSCwbn163onZ2XdL/7L4PAolOI
ySlKBbJ6vQwMpiibKDIptyUF1h+/G/7AWv0G7c39IH54Qv6Cx+o7j9l/+QvfZgxvL/AV7JpCDyYo
58UvTv6zz5d+LsOm///HiwLtCZD77offALqn1/n6z79+wLcv/eK1vn2qb3+5CR7Lu/KeWLMnxO3r
23x2tb0lbvj38j+ffnt65f/4txfv9Lsb4OeX9l6TmJ8eov/9jH/uur/vSbDnG35mYL9+z9Qs3/7q
z6/F77qt7fmWL4P7IM2+vb+nuA2emKfze99lvoSS6d01b6/9FyzHxc9DTfZclJ85Ne9/6X8RI7bv
C9R/W8P//0FI2dSv7fudnnzu7uKHNxd/7on3vfhx8PDjqz/NX/a++mNz7//zv+rH+NsyfL3bn9Gx
fS+/a+4fy/Tx1bWfJ2j7XvugKe9eX/hpULvvhdflXfP5n/+dvv1GqaU4N/e+fnxXNtW363xd72fE
Ye9LP6aP7ZtVeYK29r30qgw+Z+xdr9/3E2C078VnP7hLnrkre1/5rnqMlUtELK/e+DPu+ddcfv7M
PXn7Cozq9n2F/8zzx3R8jOO/nTT1Y6mc+9nbGxOUnXrvr3upbZr+5KWoVfd+qbsfnILPHJWfX/pH
tdpvrKu3Fdw3NtWP/tnL8nT6jfv48a78x/8AAAD//w==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3HzZctw4tu2vOPx8KQMgxo6ujmiQTOak1OzphZEazHkE58+5T/cjzlv/2N1pWS5JJZerTvg8HFVU
2FYykQliYe+91sKm/nkz/uMmu9s3b8Y8K8w/bsbf3kZtW/3j3TtzE93le3OUxzdNacov7dFNmb8r
v3yJb+7e3Tb7IS7CdwRh+u4m2jft3fj2X/+ETwvvym15s2/jsjjr7prp/M50WWv+5NqLl97clF3R
HoaH8Em/vb24iYa7eH77Zn+bx4Ubm7aJb1r829t/75tw3719c1e0cTtdTtXdb2+fvOftm3fPv+EP
s3mTwYTb7hbGUnFEkZJUEKYYwVTSt2+ysgi/XZZHmHHJkc3gb8Ievne3z2Hsz+fydSb729vmzhi4
la9//z7uybzhZf/tD5chNqVzv0JOeZi2s/x6n++eIvCvfz57Ae782SuPQHq+TD+79MPJPbkPwOj9
PtvH5t2HfZbF5mHJfgFU/IggRQmXQklJJLafQCWOOGKKYiEI5UjZ4hla97P6s+m8jNbDuCd3CTd5
8UrQ+ndV3RXzXZa9WRXFXdNEsMGKP1umvx1gNpII2wpz9C2IHgWYgvCzbcYZBB+hiNgQf/ex/S3G
HmZn/cXZvQzi95t8+jHPMP336pVgumji67Jrwoe1/CXBJ5BkSDBbSAgyJZ4FH1KcY4wIUVQRLOXD
V9/DuGju4uufTOhl5H4f+QysxfkrAUvfNcW7wx93D2v2S+CShPBDYCFuU8H5M7g4oQzSJAPEmK0Q
XH4cdYfZPLzy0mRehup+1DOYtPdKYAJKsv/yJdp35henR0GwgtDiCvKgsiFwHqVHecQ4hYgTtjzk
SYKg5j0G6q9O6mXAno5+BtwFUIwfsbL/VXTke+5/8+/OmP+ZCkc5JkRQzBUkP/UEQnVk0wPAEG9S
MYTVM17yfXrWX53ey2D+6HOewfrv15I2t938kyz1t4kK4kJBDFL7K+F/mjJBCWBkY4mlLZVUhD2r
cD+fzsuwPYx7BtP26pVEn96bu8za7otbc0ig7UP+eqms/G3AKMMCEQx0BEPgkSdxJ47gElBKgBOi
jyv8jFn+nYm9DN0fP+EZiHr7SkD074r//L/+1/ITgoH0c0YVEsBUngYbP8I2EjZEHJOIUvpcFcB8
vvzZRnoZr/tRzzDyXws/ud+NF+3+9tfGGBAQqRSAAFAg8ZSegObGDAQ5sRG14U/yYoz9dE4vw/Xk
hp6hpl+L+vazfdOZP9vLfzMp8iMlMaYCKD/GNrgkT5KiOkKcCUYQyDQsFWXP+OTPp/MyVg/jnsHk
v5oE2Oy76//8VwHWyDu/iQ8mZfxLQeMMxBijDOLoHpVHIkAdcSJBy1HEKcAGfz189b249n+f3MOF
l6rrD5B7PPg5fK+FK+7i22Gf/VpfCwINMh84w1JKLr46Ho8wk+BrMRuDtgbf65soeCzc/tKMXkbs
0dBneO0+vBK+se6a/Z9t5b+ZE8WRDc4VlCfOv3qQkPQeQSUOHj8YxpggJqhiGHjkY6h+NpmXUbof
9Qyg9Wth9eAcDBMcz9yv00vZ5m9DhDhIK0IJWIuS4ad8UB4JxiFFcsoFgavsWQb8+XReBulh3DOY
Lj6/kji6aI/e+HAM84sdqwPdYzZVmGCIm6eUUB0RgRW8gzMsoaJxcEMeR9PFvkjbvzCpHwD2ZPRz
2F7LAdrurruJ/vN/27vsYe1+QYRBvVKAhyTwv8LoWYTxIyHBCgYpxpDNOWjqh6++5xgwpbviv+fg
Pxr6DLDda9FeJ9f/A/RCMjCbqMSgvKA2sSc1S8JRqJQCkiU4+FRJBJcfR9lfmdDLEfb7yGdgnbwW
cnFRZmUbdX9+wvG3yxdRTAENREAiQCU/VV0gk6kSYONDzoTUCV7VU7T+0oxehuvR0Gd4XZy8kiJ2
CVj96p6PQ1MHB4eJI2lD98eT2AKNDA4vo+AdwkEn/UNs/YX5vIzV94HPkLp8LXXrMr6Ji/Jhb/+S
mkUUUHOipECgj6l4ApQ8kocjaa6AGdqCILj6OAdeQtNN/N84xnwY9xyl1SuJp6vm11oXAvgetAQg
BOdcz/sC5FfrQkHWI1zYNsTaU4x+MpeX4+jroGfoXL0Wq+L9vrt9WKNfEkEMGtvATVcEstkfWR8o
Kg6CCvpu7k+9Hr76nvV92P/ETX4ZoG/DnkH03n0lAfS5Cx+W6RcgdLAfBDhJjNwfHz89xYIGAEht
YCIxkMdSgRf/8NX3CP1kLi/j83XQM3Q+v5Yi9Pk//wW9otHDMv0ShCgGv5zC4bBAcNj4HCE4xwIO
Dt4FmIEc2PrDV39D6Ofz+QFKDwOfI7X8XxpHj82iJ50lf7dnl0PhB6KtwIU45LQDnX7k54E2AoEL
JYmBgAJTHT07lDqYPl97i388n5cB+T7wyeQfNSv/z7TF/LiD93tjs7tv997XjuhHTbx/fvXrLUL3
9rOh3xjUi1Fzv16r29/eCtjlcFjxCLfDxzxlX0+44JNBd3vT/vZWHUFDKBUIgZBlCCkB9G24O1yR
R3CWCCqJSch5mH897yjKpo2gXZsfcZvAuTEkRAJ24aEfypTd10vsSGIhFdQ4sHrhXfJ7h/ppmU1h
WXxfkG8/vym6/LSMi9b89pYfbKzq/n1fJwsfYzMQ1wqDCMfQ9wjTq27259AGD2/H/6cIKzWojhCd
m1YnYnRlUm0Ss4oxh1bV/DrIkts8MbbOu9wL6tmzEdsZPY+2UzT22WxHTsRbz7YCL4/CxdyWn8Oe
l7qNwgtF21WNqlNeO0lEtnisUz1gE+pgmHdZG13wul3kDck0j61LMgfbNKVLRGKvL/tFXXSdrqW6
mAxbKzU7dVE6EQqPq8leJrjb1GLKdMjmXRGs8wZFuizH0EEy/VKU6aZj5bGgfJ0Ueei20bbkudqs
qk80EufQIHNGm1G6ddhfqLac4O6kcVoTeVYam+OhEKu6N0aLKjALlMfLcQgSV6bJNlTlrrRgKAfr
YjHJbCumyPZRNd12eb5iQXYdiPhmKEfhkaD2y1ZxZw6swcvQ7GYjFk4ei63sisIzlUG6FpLoSQ7U
iWi0xSyMtAQ2o6thNv5YNFg3VlrrYVaeKpJgg+0VR1m/g1PszYBR7XRd1BwrFR9zq75C8RbM5w89
VZcjHxxJ0tazonrQKG9CnVuATDLN1GEy0lNGV6WyyKqPqBdi4paJzbSxs3zLg37UfZDqePg0plmh
VTAJt68IdbKGNbqamqu5yStNYrahKYoXqsGZL2blDmH6RdIk0XEwhYvBLq6bzCqWSg2tk6mzgPWF
NoXd6KGNIk82Qjkiyq5lWtuusaPSqU5JEg5uk5bRqgxGXQWkd3ncXrJB4kUd9+uwH5S2zXDeNGZy
w2LybdYN2pZdqgWg6RQRapypZ+mSJANxElE68CQEcaqgxn6bBa0emUx1OgjhzhnAryxnREGpOxnY
rkrpSdLGu5ZOpV+klzH0BDuBjDZxW7RubFGi09A+CzISOTzotmwaGHxCrwfaacJT6aTxGLnZdEua
uXdY1l2SaTpLutBtCK1cDFuti/tyM7fSLUKauA0fsC6autb2HFwVLEGwVEGmu8Zkq7Gxt4i2m5zW
2Q511BPT3LuoErXDLJT4fZAYp4qUrjOLapln/abKcemZPp/cgNjdppjVaZqoxp9yiMBojnaNjImf
5MFtAn0pGvW48tqeG23C2CuzbF7N03Gch4m2bYt5PZad7mcnrUu8iml/ljBrx1tDPZVYox6iudZ9
TJeEzOMqCryUl8ZtojzXis16Svn7TNU+D8ObzC6vVE1XVkxSp5pFoNOSNZ6IAGY8LWls7gYapg5p
VO3mJt0UrI+WKM0+8TE+UzF1MGaBHuvYqyJSbdls6bGz7vooTVbElNuUtJ1TihWf01FHaZ0vuWXf
BaZ4Hzal5cUJWbQGFiNO1vmwLtpA5y5v7NQpSaALtEz7GtJckX9o2z7XYsKVrms7diJZTzpthl7D
aYAzJCrXjMZraGit3ZqVpzlmjim6YJWN5YJye9atUK2TK7ZMyqR1is4srwIbbdrR+pJU842V5J/D
hnhlFF5naPB4AfsHEkE2f6kRus4Faha47Lg2qvVGo5DXF3axtMLxyrKsT3leSIezNNCYO5Sl0qv6
gHm8zfc54bNmotJTga6QqEJtTxlybGLBK2XljcReSqMWVdvY7lRHV41MPoxSNjru03XGrHCFqsYz
cW88lsexY1HUu9Wc+U1JjkPIbn4hm9OKttUiDOQAaaw4GWd1VyRZuJhojL08n1sdduaiSUapWcil
bqIvNOSBVxMRwicmA2zu8FPdwYaFdFQXme10Q6jlZOUewlf9AD+YPPg4qeqa5/RkjJtVYFDkWokQ
K8Tb5RRRsSkb2rsNaj0zSrXBCcBhjyTUXYwKNx+Nrhoxel3ect1VTj4g6WacNM48TtvIUpdlsBuq
8INKy+0sA69S6tK2s082TIlyv4iZU8/diQyo0cqYfVtftukEwRDmuklxqLM4PC4E3MYwqhUJMp/P
k6uq4bpNINRwF/pl0p10tT/z5Ay1s1sK+9jOhkxHyrJ1P2EnGPGJCbMzHBTbOBsWuT35UxcuwrRz
ZmJOeBJ/dPuQOQp1C5zNroC82UmqrZmvx2xyCeJb1pduGEFp5WH+OZtmt2r6UA9VsGXVZdWqrcUi
j8NAjiAPx2RYJEXogc8LE8nIArF+DZ005/QjjZGTz6FO8zsuyzsoY7diGJ0oheQwmBPoAtg2Y+hX
ua1TkTkm+xwWlkc6fNO18nwQo29Hgx8UiRPXZ31ujgkxmsn8Iq1GqGwKlkqg6Ji1+Qmxk892Jy5N
EJ9ZBlYYp5FP5no11XIra8urCgAyCD8xuKewKPa5IMtpKpwehW6t0i1qutghhkyuyPcVk7cKHVLe
lMU6rebRmRn7NEf4kidNoel8nRNyUpu8WmQE0rw1xvVKWbcJHs7Dpg0XZi5sJ83SwhkNT1yMmwWi
vNFzDstiwS4Yi/OR9BcytRXEysdaGeq0lDAn7tvPKTXRWg7dbhxqqF4BDl2ap2sgMW4XzZvWTGiJ
jXGiuriuRHEsZDg5E5eLNEqwFymxFiYul5bFvpQzdS1FNKrSfQY7sxNi2+VmMVpKT/yWW5CKks6N
UbMuONZt0azqmi8wu66TcBFY5aqx8lPbllsAGUhC74+icRLTuVNUneKE+RFiPi1nDwqUp0b7LI7r
JevKiy5TfmRsh1bVaTv1TlFDsjNiVwXlshzsq5BSh458kaiPFZ51w+xd29W95tbopd2HyWqPJRqQ
FmPnjWLQM7AZwaibjOWKwd3lvIOSIhblzHZ9Bc/SlCmkJ8lXosomzfJiQRPhdpg6k6F+M9Z+FOYX
xu4/pHPrhmaT4XHziK+/QIG/dqY/p8CHfgl1+I+B1Qpk+zEFFpaohhH2ho6bWWrw/ho94tYpk+rU
ruWuDdLS60ihcSI+ZgmNXKGmypvjcCdC2yESYigubemUmN7gtI3cJmfvTcCRTpA8T3n0mckiWZS0
OgnS1GM1bPWI2r5kF81ghZqE4ft0JtvUtItgDD51BvJoU08XHexvzRUsRMzXsiNYjyaxnCjYNCqc
3DqPlMO7IvWQnNyYyUoXtWTuxNKPJEksP5/WxiKDgwRwP6SCRneccI1a9tHmsAmjXI9Qq3WOLW0a
+UlEzbXdB8C6u/CahGwLAbEF4rjO1M7O2lQHGduOoj3vWfa57Uu/JJCNTOwURlyGVhJqphI3SLMt
rnJPRfm2iys/HKsLK/5IhA0LZ++yWO6ioPThTk7jsjnr6WUf8YXpzaJJdrMVAdUluotqfwh3xTl0
qK1EWrlluao7sTI5c4HcrfreXmZi3HCVe50KvJLwhSrTXTJezkN4WhLq5xZZNlO7KIrAwzLfpsW4
ESbatWXlp3HuREnmNZQtZ/wBqsjZWAmYgKUTxpZQmtwyOw2t6iNPylPLQYie8LK+qDlkMyJh5vWQ
6i6leqrJosHyNIbommt8Bqx4a8eDM2C6KMLh+FCiyyZxhzS+iuVVxcdV28gQgrbKdVfbp4hOH+e4
RbB9otzt4nzZA6HUEof70RIfZzTBjilBktle0ufCkT3UhTasIneioKSSYfbbqj63y+q4auCLS8Ei
bceBwy3SuGHTZDpDPHULbpCjIum1Fr4ssSNi+7oT4eeBjk7IEj/ts30tp5t6SjRoyaso5zuFLVie
fvDC2pq1AIdP50kn9OOndr+F4L0qvSlBGcRh9O3R6e8//mvpnXtfH+L9/aXDc9e//+TflQejyfzp
m44vFpfP33DwFb5/DMzim89wUPJPfviDsfAD6+D+0e8fXHziKzzxTx7csoPqJgRSzPfnt//gKXwz
YN68e3PRxfAoz+EffTzDcyDfu8W+f8q9yYDREbSpQBOKDWaBrUDWPpgM7EhBtxfkNmgKQwweFIAr
DyaDAH+JHQ4roIH20JIEht8jk4GA+wCWxf1zc/bfMRnA1EB/dBk4gueWYWrQjwuHXE9TrB2bsMYx
pNi5Tx0WxpmWbRm5bIZ/ZV0HYX/dtg3RrQzwOpM92A00OuhmMuke7WJ6GYblvKsDMuoYNLGDR0a0
4sOxIOdJmwEbL3K3gecovJpGiU6RvJXJ+H4WaaRpfDH1PFiO5Q0oFeQVvQ1VqCUfTT9Dqaw6fwCO
rq1xarSpROmDUk9clA0F6MEQJF3DlU+hbmicd0tGu/m4C2cotzJ1WUaFj5vCt5p8dPpyYk5egGSK
RzIuiEVqpwcZXhXWaRUHh1zTAcetp2UNgnZj6tzvsvi4DnG66K3UctkUgHyp29odrDLSmORXRW/6
dW0SqQsQB04ljLbqfnSjKGz0hoDAd+Kk7RZzmF8Trk6GMBj9kI+FO870fAzIXVUHmRd1HfMmetnx
nDh2CiW7QsglI281z5K7nvY3eTq065h+stIt5i2OtBFIk1aue87jiwFLYGT9QF0azo5oB1tHJA/X
lZVed3WFl7IfPo7cqvwmmFYyLC1gzM1JCwljMWdEOazJFnVn3o9J/SkK7UlzWHRTT+F6SFt3Gnjk
tFW8RhHCLqix3ZgmjYfoAHyvnVcjS80i6rUddmLLxD4mvb2Z5vgirEngjqk6hnPw1pUx8FduIN/i
rFgALWm9qKm4p+Rw1YHqBWYT1BoNFlhY9qj5kJpzCCyHMKmHks0nKemXHS83YZ5PelJcelN0TZt8
8lJMz2uWjU4NBTgHIaly24sHvMgxyJIsLOxFVNmZpnZ0FeA6Xmb5AIDHeNe27WVjYuIVDl2wMJy8
8GPNGNOdbVZ9nMuFbJpeg791Ic34WeZmdlXUC4+SdG1lZanDCYVOkCNzavXgrWV4g4ilHKuMmd+P
dPRrERLQS2pTjQVYTcG0s1G0rGkQg5FkR4t0JAnUIRn59lBQrx8+VJ3AGgUgC1ogNmAITfVaGXKB
7arY1RXaGajKOKHMK3kFMxhorykUszhLc43SIXZJYQWLuuk/xJOdOTEQJ6A14c6wj4KOFzP0+2za
Ul2leTaesVDc5CDW2y7q/IkSJ7Jz7NYtYZrYReOEc5Eu7I7Om1HYZ8iKPtfWGZnZ5LUGvSd9Hmxj
NFxYU78AuTlsorkdwIriu6GY2iU7iHVYusrhHxH8RhCnH1TqFELOLuusCWpmK5fDapwHUPI53sQ5
kBbTj9Gi7criGB55XOI8XQhhU08KVnpBFIKGqaazvDAK7grrgAHXiZpzC3YONiBf81FhUOCB7aCa
68KS3C/j+VOA7MS3qvpTP3Nwxky/BJ18JhJzN+ZtAYV0tLcVm6sFblPwJSkU5MYCKJtpiy1anMJO
a+Gew81sivI4k9pOJ6ZBzbgd4aFTMNsNeEf8APtA8IEnFoq62L6tKpICnFG5MYYD8bZiDoYQ5JA2
JIMekYSkGDYgZwcr9aTpVqMIrm2euaoHl1ZJfpXQcpcza1q2eN6xIIkc2pYrkNxAlXKPWUzHzB1r
NO6rDhSfrENHkCHwGKSscG7jZTsZ3dDCa5q21rJqhZ5ju1pQ3H3Ik+o6giHgDhldhieR1dcQ9kr6
nOUnM4qVG+H2cxny0oXUYwP9z5xI9ZBgZcCAFTnR1JwzU0P2T22njsdCW32yRB15X6frfMyGtSUD
7iYhqHg1jWbBx0nqjiA98oR5OJ8qYEWQGwaADbckWYrOvhU4TiD/gdckZ08EQ7SGHRbprPBIWQKT
phlyxVh+oF1wFqZicIgwx7ge12COLVIBN9Mo8NViiU/jGNRLVAJ1M1nfuGpmOhvFadPgyI/UXXXw
30bMak3EvIenxXovU81a5lHvWSFNddOPH4pgGU1t7tZVMLtTLNeFEPFJz61TAb/NxgmqLNNz2635
ALaMIHG8EFkaeBTHOrLa3mdQHoOs2jB4QcFm8EBFhTppwPAUHKx7eLlk4+yUVu1mdgzOa5sE68za
tAVK/akYB21lwIFL1BM3ELTxoiCAzR1nlbZE6yqeOTZrGo9loXCsvGE+MlPn5KLzorAC2S1GYNA1
V594fTNZ03oK++NcFdZ5UAyfG0swp7JB1MSN3V6kJfgVhZLg4inwTwWDswezpnNQ+MHkS2jAdYYg
bN2xwgf12n6UDOzFXhgXBVB/TWad93i4PcQ7geKy7NveCewg8tM0dq0YhSDj6GUuTbaYwvhYWOng
0knRRdKbSIcgk2Ma93oyWOigtN+XQQEhNBmwtfCQeHwuMnCk5Sop3Xayj8HMyNysbmFX5XTS4DNj
bTBEczkhh6TSJUllHMrBGbCb2QfF3aXiAyhs5IwJiKemapy6seVuAt+IjYcbM0g5dOqKlTWzFHYd
28/NsChoMfvRgO7SLHdEyt0WXDa3TDOvCMCPhCc1iI/i0A2Ammuwct5HpSTriYyplqS5Y7UYlkOe
6CBmX5KmPWNiWvbws6qKwj1cKBkYUfBw1ey0o507cCifOAqKlBOFXeXCW6+ThC6bcraWpLGDXSnD
Dcps4CN2HbrhWJyNOGlc+N00SuO29Sur6C4n2s4azVa9gGMZhwrYr924bqs8OCbAyKABNPfSIeR+
p/IlsYZ+AbnGaI7ZKi+t3h/i+WIKx089LFdtUs+e6EGvllv45sTJBgLgBWBHjAPCPomAE6UtgxOr
/QC5x7WBHQyWFpm1zuXQeLNEV6YXoJSGeB0Z0nlWUmZQ97jt8GSI/DzDpzM7RlZyKOz1tma4d2RF
jmUuT9UUMY3VxjZS+oNRE3xPGUCKorbXT2LZzZHU/FAg81Z5MWSmJB82tYr32JpLB+4XTAKyZDm6
zmQwOs0MdThrSmAIYs8KsNeGKs0P9X8Xj2hcEzltORnHpZyqJYqmemUPOURz7PTCXhBSmQ0eosbN
wxE7c245STGOcN5TbmsQaD04DUEFRtU4j/DJPeR76PeLfJm3PaSBIdFhWPV63MI3n0IsQoqt+kQD
taInczv6Jm9dOPWqnAna1HSWl7nOCFjooo3Pmwxd9r113QV0WLWzNTtTngUOK7Ja096cVjN4YSbj
sPj1F5CG8lxUFpyLzSFxi0nBe6LsDDherBt7AoUfQShF6TGYdxGW0Souy4MhNNxG8XyaCXw7idk4
0yg/dEFW+KjoFmk1XJi4MitSBjoIsw+0mosPsdVf0AK8Rh8fojSLrDXqJ58H3AI82xvMDJys5etK
sU+1lJnuE9vNbbJLwCdxjLSggHO799LC1qGa8ZaL2psgGnRCisblAZgEgq/LcvAKGl6xoSjdgcMo
m/ehFxf2sspiOJqDUkmDz3C4C0WYmNEF6eNNaM6cFM4odB2RxLXaznYGCq/14HSnfEo3kuYd8Da2
QmFoHLsCRKfEq+As2gcymvtlUfYavPW9KaMKjjxQsVG4gMMC6KJeVEyVugKRvaVxOTthPvAlh3Om
WTSTy5SMvBky63ldsXNTZd0m72CFeC+RNzYsPLYHMCNRJs+sXcvyVVWzdEPBhu6HsvNHNpxFGM7U
MiE2Y9VCkc2RF9jztEwT+wYBUexF8VFy606JzGd5U0EqKve4r+t1Y4oTg7JpQ4NpW0fFtah55ydI
nTahyZfzWO9lx/sFpqz1x266bJmVumXnRMOMvLbr5nUdW8sil+s5D8PTuq6JB6zkDH7vxOc5hRNJ
cBegLg01VMJkV2X4os9Kl4qIOUEIBzD5wKb1DBRcJtis1MjhVKkLwyVUtFjQ24Nc7JpyU1NXTsVw
RkWOQCR1oGhwYC0Rno6tqjUQlfZtXVjZjmPgQAE5xe0sNkkWC3eIWzgBHAagRAR/ymGbaxGVyJO9
Bee6cJBbYwVZuIObzZaRVYltiIwLNmEIAgfmPsTpQmY10t2QnjYlWpaqATOwbAonwCO49tl81cA2
CnvEQfii9xHOMjcAHzweoDh1IJrBLs2VNwuHqP/P3pk1R45jWfoPFca4L6/cfNceUkgvNCkkgSRA
AiAJgOSvn+OZVda59FRb27zMmPVLZKZFuuROB4F7z/nOZWyOhtqcrUrtFa/f4Mx6sP3mDK7ZB3SY
qCJyRI8zGLR/zVYw30NFwPFzTI1lH6R5q62/c83WFDQsw2kyuR6672bGL+lOvmFnEyuBOiaZs9nA
oUJqqewiX2QNRVvXxqpo1nXajaM9alRyx/Un7fomW1o4L5DnXrRjj/F273Fse2NQOEuaZrhFJfrm
onVpnPnChfDei9s+ivtD7c+nMHbwLnDVQ63rSnvtnPVDNJ6bNX4WWMmtnSzuJKJyyayCXId1AXTg
VQVUnWcdQTDARqHVCPekxi4+y1t/cZrDUocVonMPidO8tL1FExXElRx1UohlPjrJgPLwkfLG3YXJ
QnLOu2OU2DgzJPm1EIfgJOFbtg1YCZJ/EmquVqDq8nmcD+uIhT7yZA/G4oST+weNUSEYnKhmnCRU
W7/OrF2bnOHiyAQ2ZjKHquhwy5ZCYJtUhOLwHNmvaWygFHeHNfxySZd33nw70JyRIYMUsuzC0DaF
TwikWLotOO66kx6DW6FCOL+t83Ps9dPYTix3mxg1lY6+SYKtJOWRKnnU/CR1mI+DcKooXI6W0zu4
KXpxoks0pE2h1ZIHxg1RqhQpX7u9tI6PJX3iPp9OqYjfWP8wweiLsmac7CGaNHa8Fp2GnLeuHMT2
2U1cHDgSAkUI0iXTiNuj6TcH7fxIjf85Jf43RjbC5RmbbHTYd8BWf9f5OJ4b3ecTSiPsBksuR3tO
pFMN1mxAC6BZk6Wq1yjN7Zw+4XJvGYLhJHMTNRUm5pfAa5dS1B1sx8WPC3frbpN42QtJH+yy69Jw
vngqOA6GfK6B++qT5EmH25q50G4zC70nm9b6COmykv38a3X699ST+YhbqZtd3NnyjYfBnXC7dpfA
fAq9OyFJIRtSedN4WnWCN0QciFPpNzrpNptnGuVD3abZtvZloOUj7svveYqazGmNKUgCYboXW0bj
qM/rFsqnE/3CdMouH9gLB/IBb9C/idFmDNRTFRmvtSkOaz/c5spu9bdbr7+mvntTVheJiJ6GcKrR
gXoHGA4H1ImyMnZcs7FDtURgcFNau+V2M0l8VobEb6k1v21WvucttuA2mlAJk4bvPducWZAboCpZ
PbQ/0qQdsriFz+/3/Nk0aVMu1nxGdOPFFsAsiKY3f/JtwT11XnrNipWG1TiBxYBOSMqOnJWOojP0
MAHJEX8Ld5eotzFI7ug8XFLSybzz4y735tgrunqCkY6bBjZtWLHgFx8SCU9UnwFQ3RnhiMs6YE+g
qTdWQQbVOrhV3idf5dNCPAY3TcAFX4PzKtdiExOEFpqWEbaEoXeHvG3001Q6/XYcrxiIT0lpabBb
V+gvAW9wnI7dwVqHw9eB85eop433U8aYGape8jsexW84dr84TFDoTMGU25DeytnbMtGA7YlGXWeh
4ll/aCDGg3hCy03IGWWXU7QizDX1eRWb6bBQUSxOTqLazTuHP+tgRJOlt/ewtpnpffcMPWpHJpb5
Mk53IjQefBhzXJ1aHllIeClpd4pDNR9nG5Bs2PpSxPNbE4zrLm43PwNks2axz9ACe/XH1tR3et0F
m9SPY2/QyC1BDz1BLNnMeLRnre/npkOlVLs239o4I14A4IrS7wXHf9vzY8zah2bSyW4BNMITtAfB
uB0anPlFw1rsQAaSkueMD2qp72pX12VsIDuBj/j2cVrvug/Fve0I2U/MfuEwXRfMXYfMUyI9U2xT
A0lv+82cU65f4zVgVUti7Lmxu4uGp07N2zHFZh8Pw4V1p2iG89Ww2ubI+v3cgEplduE8x2Ea56u1
3zOJ37YhemicBAKffhygtxbQddx2e+nrBh4xa7NA9RUgCY63lDykALYwucDeXbWhbFz8sPCSZef2
jrmwAYePdaa4IAas1tKAMPI23DS43SQQzRxWfFoMiyqx0YGQSgkvfE6fOJn6HBI8PQ7WeWySBKol
KvQ6aeuibkWHZnMMM9J57n4mwX1rXxofdtcseQUJ3OSv6PpFnsTC/rau3ImpYmYA8hBwzCnvIQSs
zY3Lo+48qBgqcQfsC7JWLvwOizIRJ502yy1laLaDOQiB68gh6zdHlG43SPR0sSnCWgI5ikmfbZ4e
9jNGDpXmKhB6gS1HS9uqZzN4JAnYo+aVdMK6ShcyZyJu87CeHjbZPLlpe/LUPECjIQB1qOiLTrYF
ZcOd65sJG6dFn9mNu8kylDpUPie1+tU30cvm2mq5UlRTgx59Ff0eVsIlVhDvvTbAzW6Ci+irdkx+
Qv6BZaAedA1DdgA8ppRcof01rxEEtcwz20Prjugcr8VOcotapUVBF1SNdd8iF1LVNngS5Jcq4g2I
AO3BNfWN/5Ope3S4l2Hz2VMcgsURVyDH+Dgu4+9lSWXu0eSnduvHdYKTyUEPZJvTZ6JOqnGMSykX
pyA6QcXpVFs6HQf3QqfIu92W/kxFi2/P9PTUT+FNDVFUzq7Yz138zVa3cBQ2tCgBjOQE5GWjU1WH
bp2hTW33/fiz35K3YBre5WoyY9RYOMSAnEkrL+27arEJjmNXzegO4+MyRF9iDjW4FxOigmxs1bY/
YrmhPgOa4HYCUkdzhOLZ5zIEhkK2uSu2bTpurprKDedxFoRNX/kOlG1rJc+5sFBssfMAA1ty1EmS
B0NOm9TLCecP0wLgjBoY3SIeC6tRqtigxl6z4L0Fm4OvUz661Du6svnpzvHZV8GSpeLoDyclDBas
TU5k9defgHpKA9xUjUn86MREZ3qwNhuhHjGaRgW+W8hfnZeH7Ww/IKDpgJeYk1uAUVVnEzSwQ8kI
LWDo2C628XNrFH4EcDKaYEsbtrduGVtoS/aWKunlzNXPSM45OGmXFgcHbnmfRiOMfyhKDtE8Q7O4
3Rr5rLi0O+s1z1PXY3nHE3sIGf0xDePH8u00MI4lp3un/SFTvz8P8Yi14UqKXjkR1YoN0XW76X5M
o6YKHSNxeM2nVOuXcfbbI0EzWHpbV/WRJS9ru5zoModlQAUcZNI0uT8FFt4udjY/NEUd2n4fL1tY
MuNBfyGQ0AOql599GMHqat/FQPY24F/bBA4Kq2O6NTUptla99cItIH31Zzm5VWvkXjp9uFNuPV/4
jYvus2BqMvd1b0XJaU0unM65L3BJOlaDavRtlI2QsTIJH21vuP88GlutobpMW31oevHF0qVGY4Z1
ZdM6KfrRddC5wLqeUwMfv7up45nCv7LRcRjheS8tK3mjasj0gFGnod/y4T12luBW2hYS0PsialtF
ifsRXtlUa0jhXtm7SfkaOCJz83FcHLQk0z6yU8XQYQVQayRw+kK46ze0G5LZUBxrtOK510EXdhy1
5jGHxty6Oqoij+whnqiLNvMjbyDzxSgc/LVZcujlz4EYfzE5BIUWws/CDgKLStotUwx1ClskyBjs
uUvEnmu+PvpmCA9hB4kxstiD2lrGcG3uZWBuYzk8gVG2IGkFWkwxyKMPavs2cIa1kp6LEmz2fjC+
H42pi7Xf3DyUQG4nnMFD4zeAyupXQ6DEE1MPuTC9KkP4SQNupgVVWusC0HKCz/Z6B/udD77OH4o0
6bZC98rF5n5odN3vVOc/ef0a5f2yvfixVLn6Zr58aEJ1M/S9wNYY0txl8YeVn91V+APYOjUtK2Jn
eIhNBL1/uHE6lDbe2RP8QS79l4mmapgF/B9dv7oicOEGwfr02yRzrmjr6ssnnXKbtZuec7jY52SG
epJS8zxFYamAQ0WvaEA8Zz/WyZd2oSqgUV6HB6PCXyoSKNbrykmXQxqthzhi+7kBGTyMwS+/L1s/
CjMg6BuKgyno31sd/MSSXleBCztCXgpvZsfVJZDb9zpJ52IUyQ2I1yAlBe73Gz1vH+7aFNLpbsTg
6qzv7TfflhBn+92yDXdTtGFDTbH9+gM7JIS6NzZGuwx3ZmKmqThQpj0LR3JXXz/knOgdsFkcHZiU
id1Ibs9xfVwMSEy3NyEkbLjei3TWI2Xzq5Gq2DrTHeca4hqkysuVDd45fXeAgXhY+7i5BMn06qQj
PzZoMSa7phWJmrSY4Q2hs29FZRtT0MCOWSDotDdpjTJ+CiGN4Co50MtO45gMp4nRAJJ/LXLiy+jo
GyGB70wuWpd4OkZdJICSBmMxKUWgfj02VLwjvL9VyldPXdyUTrQFN+HqTFUQtGg/IctlzGPTDpwc
Fn6tT4IFF5SrUdZ1PtkBLmtREDWhozOasOO4Lrcr9+8DB7Wxg1r8oFJ9ZyPzuiV5M0ddFjZTBJln
QQXk48aYwr3ZYKnwEJjbLNpcWDDDIglY4YUWRj29CZatXAXZysZ34fSFvqlGB63n2IubAWHBs+gU
hQIa6+NKpgGlAqot6Ad7KZwodxoc81P0INyBFbM7uyWlML3Tbj52/vzDaeojiimncsjAcjCmpKjH
Zd+bmABj4B5qxIblZtUngA8rNiPcT8Cv6AnFoACZPHgFd/y8s1jhQBJJVjd1nMWd90MvAs4BGzMU
sLRIPTSQalmKFsT+mXoG/gJb8FqYrsrOcGwSVvboq9HFCAf+9dblhgp6k2rs+otHKgHEsnX4mI0R
enw5uqA7o6QGFuZ8LOEgSn+4As2zjfdYFHufExx5pL7UxKNHgo0EVfY+WHsQ9oAL4q2RpStUnU1a
PfM1fmwA4G8k1kUYNh/ti+pnuKx+YiDWLlNBHfTcnH0EHsyhWLYgvxvvNZzGw4Z9qkY2A5bvJI/A
IqJPl3wzARDXjO2Km/wTzyx4gV/A4AFtb3pKaIlEu85WuWs0haXTbFXjiiJkJrwPlnnn62UsvBkk
nLBL2bZUvUUdykHNfRd2pv1c+2+h2FfElx8uDvUtMCyb63eJ+mJjsBojFaHB1V2FcnPccTM9ODUu
9OR23QEe0HMfyfdw6/ujP4GCjcxR6HDNPA3QtCH+hs+DT+MAZUcyAfJ1BxW2VS+QZdDl+vR5dIZn
FsZPhMXYQpgbZfWyHOIRURmPdk3WQXnKgKqAs+4IDvQxKWZO+9vBm/Gd4fiqXaBZSXxkLPpKgy0o
2QwgtJmSPfJ7kH4mKIwBKYKr3L/iug0LL51QBhm6FqQXwg6NUODst9CB2bqxqhMErSXEzjlhkCiN
hyW4RU8hC3Tub3FXuqTNVkrbPSSoMmgW+CKq92BqT2jaup1YYZcrwF/BAO7ZUTODalUfUDYne1z0
N+PjFiWdC3c2hS0awIS3U5erHqyC731aWPrHDmGReVm/Sao+BBTbbNSofA113Iu1IQhK/dUL703V
qC2Hq+aaBgPMwUz5XXvVXz70UN9DKLqQmvW7VU7Q6mD8yxqimqd1tum8c3m7jx0Kgy6tK4omKcOq
6nd11H3aXi5Fj2AOjbkDHxbwcxd0WeMM/PzbH6i7+HkyI8sXRO0gJfWQdpG/OHVz8+U18G+2UXZo
lIKlnFv95oX04Hqdf25Tr/Ba9wsTk3nl1EOYhRr/Y2Bg+RHrsjOb4co6Fjo6fLK5tBvsmo15h/qt
RbF8Vj2SQGP9jmoGMSBTn6gI3x3tZ7GqHxsRCBxzCyoTeiMRsrq0S2FD9tzNHvaPVb+qKK42A33J
rM867nXOE/s4eEF3P+ELR/dzN3fu9mCluKnxDJIq4IpU3AfqbQTOHE95GV+xG/sx/UiiUKNzHin0
V9UAZ7SsUBZhk0XDxNRDfBMaQ0+pxYsYJADBovbOo1CnTdgCx7oSxW0C5GFU7OQRhhgSzrVFTbqU
0QZzPkYzlm6MZV0QQyca061wRr8t0HeDeuT387ZB7Iz8T6sjKKY91dVsuwoeNQT25SJA3sPbx0an
eD62scEmj6tmNNqhaH1xcRRl9cboPlpzr/WXSrkam3IavrC4x2ESOI/cd+DAo8Y6qAnCR2iqLhzW
gsNPyhGc6DPijh7kE7p/50PX3Y79C1nuBfRiUztj0fTrZ+1AR+ITrHSMfi216n91K7lRRF2csdEI
yzS8hDFzZ4bWzWk8oKeG56pXyDuuDvOmaW9xk/O3kfnZlIi6kty5V/4wZ9J3yn4k5iAMtBisUdzR
jg32tabvXTuSPPAeVO9H1+jJBGHaDOUmgzqv+biPHGVewquVzxD9SB3qogpe2GlVsqSrukN7+q1E
0+4Qoqkz6NyQqEDIYn9oXpJp9io7bKd+0QlosnoGGA6VqtvNA/Y0fH/PRq1OoQHZ5Y1ePnofTaON
+RsYOH9fb+LHvNz07jreM6XbnQ4cB1XQ8K7n1UFjub5vyczPXb36uXRk1spCKqKPrddNMMEhGOfk
2ta7q9rHxr7BUmGVngdodul28XCmOt4C/lTCMm1q3WT13O87GXgVuNlnvSZfyzgHRzycwyttEXcp
PhsBk9W7Gk50HxzCsWsuk9hegz6EHFDH9mgskXvAxaQw5im4KsjtcCYAR/Ia0PBumbGDMDXAKlU5
nQQ2uhFuWQ2Z4RqH4OkJuG77hiYNAm/41tG2BpkR6QpsvnI4eJ6mu51S9J6zCb/xVJAL4TMoo5Gf
t3hAjxY6J9PeBB2XqEGSpEgVL5Q730+pwffL172uZ7BbVxv9HyLs1TansJdmBSyHBOnnALPT1/YR
9i44p+ilYcmOCwP1zhKR+06lYv+pS4fzRjeo5waLfbkaqGx8JQq4xT903G3dFkEPohEojoWjDUY/
i2Xe5hrlX2ehpROHvmpIOKGFqRSR9mNyusc+4XdeEq8Z5jVdmZr+GHMKUAcdooarnnVJjK6noRCE
l3vP4fORDa8OW3j+38eGL/96jNNfqd8/Qr//NVz8/xY3/Kcg/B+5YeSRYxwj/44drv7ySJR/JpJ/
f9nvsDDGRGL0YIohC8j5Y7ZWiOD474lkTEcDIgxIN8EYhgAPs0EY+D9gYceJA7wqvc5W867T//8F
C0f/C5qoD7zXj6+D8vBEon/R0X9iv5HC/s/iGM7fEskYU3l9lAeGZicYGeH9hRVmI5zOpUUydvDQ
s6d1CN+3d3exnpesZ2Dg+iH8qrttgKP10DSOBAiDCr/G2Y1aGaVVLwGETKtUu4WH2LACuwMHVhoC
nXVJQOjyWJw9vUAkQpAjG6f9xNI0p2ZCaYe7s/TsetnsVQEIbN4hzZw7xikiuANNH5ocLYNbEEUR
xlnNnjYC6EmYPi8OtvABc1Jz17fn0Uv3ix8d0r4uN/yzDd0zWbodnUEebP4p8mS5UqdCs1ABfnw4
t6F/qyL3XBP6Gg9tEYlLM6W3LrNveu6/Ggc/oyH7KZJQAJyq3vyCrsl58J7G9CaE+YKgDbvXJr7d
mhGkL2oG7x4JwS1LKC6KgtKfkbWV8INPjvIOYkouQtZpFq4N3H+j07OAxs96RCNYg2ISnfApRfdf
1iZEKhN2mCIttP/uNEUn1tu3JcAVF9PJgsdslboF6uqdeM9OqKqhFhGJ74talGYEiZo/LOr/bJVc
Mzl/iq1fVyhmiSQeRh/4sf+XzE5Qp6nqarRqxPYwDlaUbI4wP5mADKpGMLpQp7IIJ1zlOhKG14oY
XDriEkEtGtzU/S/ez3VS+9/eDyaiBWEc+VEc/XXRoocLBiUHvB8DFQ2pxwLuy0OrnXTPNDZSdxQZ
DGKoaYWvBD8kmOmE+Aw6a+Q4+dgjKzhq1LNOghKluVuM88imiBZ+RNxihICGKGiE/rKedqi2T8CS
RsHxr1Kf/bTJ2hXuKcxnFIt6lhna2xHCtYO+EmDKv7/0+Eh//6zYJQKMgsPxgMdEIDfwx7xUIEFE
rmuK+JerxGVmlkAOT58NPN51k30Fu6R04z7NWLIcqCvmQyBwstcRxAh4jQHCcRyCFKF7GfSm6MYe
zCCzz4NazwP0uMdBeocmROcWBZt46ocaQTRQpLkbyCijsD5YsPLzzDwO8TD9nDRKgnWr+5Ol8p7F
DRqGAeZDRGBkBncw8PWrcOYfvkvUgXLkH/tonop1XaNK0Ykf2xVvQ1v3lOjt0ZPbWi16QREl+8uK
4BqA6DYfzRHUIdDRdO0zwDS/WDsnZUT9h6kzD5aEH8uMkLGCDebbBSUrr4Cj0FxI3y/ATSFCH0lo
vE3wolKgIzR9Vw4ClIui5SjhyKBhQD4Sd3/hRgpK9EfgYsObYbmNW7qVqKsAy9mgyfD7YG+oHnFp
cKYtuucbyJnnaYZd6jvgiiCBwJryz5v+2enxLNZb68XPI0W93HsyQRW6yQyMA8tkctgUgZ4AY2CX
DPRp8UmVQt4Z15Nd/dJzt5/a4w+8RRULcWO/zAEy6jxJ4exHr5xF905vAlxFYKZjKAEhoStDpWDh
zNYhLPgcXfFQQF9V5UzvgiU8JgHiXaSJQEmrkrbxNZXbHlARAxTgII6GcQNlFaqxDJLtR4v0LgKV
M8YKhA+eK5681D50HAx/HIHCoWEImno0SGu5gIyTNvO64TOGEUQ34BNJD56g1gP4Xgx66OfOwGGB
RZ6gK7Q0fliV9wTUtJ/8IFMB9gl4MBwwc3qheCjLeMsd0C+OFz50AeSf0XNvpBkGXJoRmq+IakQh
Blu00k4ZdeYKwb6zY8FbKIz0yPw1OtB6NOc2IBeAuP0976JrQxvRqg+5f/7tj4iiaREjVAXPBzZN
VoLGwBOljGu36B1UkxwNs7FTPnDyTK5Na9Qhjj+5T6pWgNzkFuWxhdpkxv1v/7HFpEqUu09JvXeN
BzP16pq0eVt7uYrUQ7gEx7HbHmPK7qmAldV6x35yX2bYojIOq6jrczTDEFbWRzQdt366nX2b3s46
vR1D7xJq/+Ja7+SCZzJJcFyYd7z+PUIi9/791CYHT8fhXeridKgbGDh0dodqte2nF6kPdrV0Ig6P
e117TAmIhqS0E8pTFtkfmD0Z5GhdYEs1SJTCpud7cBifPjFfU4foIg4VNOnNVAQNrGxlW4ghoDhU
PB6Rh3B2Dj5QNi0vk3M9nbmECDEbEIHQb0XMWJVKZG0dD8ENXzUHOoHer5lpz2kEqxFh7AMDIwfs
AWK6HSfoA658gMGA0SLXk1KIYUfj5bGr2XzV8c+aL2uJ+zYukmV5AxY/5GtN2H4jg79jS43ABBi1
JXwd8J2oBF8ITsalCDTEFeFHCc4lLS/6yqGscd5wBIfrWMUns13ZmdRnxbQ8YGFC247zGZ7L2HsX
BFy7PJzFkCPA/qtf2+0mGjFXAx11ROsnw8b1MDXro16shE8A1DkJ0mc7re8dbokary6J74HsZyIB
5bCD8DAj6oMRAmh/2YDsiTfpHxByAadck0iLxOSMeQrdElgXxBnR4A0iGeTQNqwoQSx39D5VI+b7
1sMID7hn+dQRkQXxAmMySCAvgTBDY2GLJhwt4q4LDNvGewxSegoGbABCIxU2o8CBcjyixpvoIZqh
IWo+oJsTQb7MZ6ugk0P9AzA9cG/X9FAdFsGxB7p2j8h2dDUeDXjxfaOPCQXEP4xYab6zQl2dEYlJ
I3CEzdHUt7A8R0AJy1BNng8D1KRFz6AIePgeIuZ5ew26Io/YBcBLRiKJPQzNKeQ/KJlC8CplDTyC
RH2oBvNwGllnHAYKmKAzJc+xSW4wiYEd5XBXwy5E7jaZSpmMlfHq87rh6sMHLxhH+RZJAMENKzvd
tmXctUW8+pgzwH1zIAxZh8GGQHGx59+RZKVln9WBRlyHds9tOrM84NelNsjxBgdBVbfBx4xGvpR9
CxSYe0+Atl43MzuXTXpFk44XaAXDbkEMGMg76BzFHoNZk+wftVBT68dwZLY4RUtH5J3U4CqmGz6t
OfwTjXUooBw2ZxANOls6m5b/vqpA+/CX+uk6IilA4YRHU0GYxtClP9YUtcsDPTPlZiFIiGrxMIah
bm9iFH+4ADpPjYSU3awJdkHz/duv/mfO85/F5P9t/PSlZa38+mzf/22j+f9PH5li4tMfvqG/ZVD/
/NDff3aRv7/o9y4ST37A4DF8Z9ciMA5/S9X/3kXiiVTXQYt4epiLCdvhbxOv/qOLRMAcjxaL8Jw/
lO4+3sO/ukgMCPTRXOInesHvT//4b3SRsKX+tqCuTxp0AxfPonNCrKo/L6hE9pg0snRQ0FLcSXju
yFrWLsxmI6/2DqBbN0ZVGKTnnoFvTlUO+w3ZPSaDvPaQ/OzjZNp7q/uwiV4VBIO3slC0x6F11hzK
1DP6r4qkwKgGn5erwiCIGfNzXMamkqz8B6VRwXBGpZ2oZjZ3F0z/+VRprw7Wp3U1KAqrE/5P3tXu
DbTnNeMpttK46xGOWTpgeJHBKKRw+Dkk7Q1PmhxP5nusA3Ur1p/WhWaPCBDQ0LYt4M32yJ5QFxNt
AuhuJG+HFNkDgVMp6OfMcRD8ToLmse/m99WwNzVEiGZdOZV0QF8LRH6PLFEICyF6QKv56JA2vUta
pFXIWhBw/P4Ul5gJ+DNGrVcouHCpTehl2Z7ruNblmJIzR3wvx7G5FtF2O83yq7ce9m8R/uzQx935
QfSIJ4y0FY3VrdHex/8gnf+DdP6fkE6EoxNr9nEHbnMBrHReU79K2xtXJZTmgR/sEezAZCrR7Mym
PSQNo9upmarJgraNBxSP49CcKFRI2GAz1J418QpZhzfOlWJAhnrnqVFUQqFbl20Kiw5hcrAarnMx
Jj1r3Xk7MndtqRR/Zsbu5wD50GaYDzpJXyiICiQ+ocCIMO4xFw4JLP8SpOILiIGTI1VbInAL56ll
Lz6CU8VkHZIlW/CkBfYQcdV8khhuCR6GBDs7HIvQRObRd6stSrcTH/kOb5GDcDEvvaQOysiuGBQS
qGk6e5euUVmjJg9ZFt9BYoz9CFf2DajocRpiihtaEZyI3Q5Tfp4WWFAlUgUn+OEYcMU6eVkYjvER
w9FiEewtbT7TEDuE1/JH4OX3ScfWA0qhap3JLXIbHuZm5H3PvAdL+aELMQ8H49UOmDiASSPzhJD6
gsJd+eiVabicO3C71eyil04IJsphDkyTgZXg8B9QHjXzHvNt8JsR+85l6l5m0pkKyXGRTyj4Fpgf
qMWSL+9/s3emS3IbaZZ9oYYMcMf6swOxR2ZE7knyD4xkkth3x/pE8x7zYnOQbLZIqiSNykw21TUs
s6JJFDOYGQHA3e9377lO+bYvRx5kU63Q6kd7HznqPOvDPkyn6aqqzVUoCp2xn42Mn4nNCP/CN03+
SpPN3lxE+X3m8pSK5ha3uwivu7GzrnKMrmHWRbsidz5Y5SXkB++cqPc9oU5g4syLlnEe0dDjZiYy
+6QH6KGZEQCnOl9VvY2lRrPmvRQp44Uhf0zy8mUkc+YO7HgLneBMrbn7qgkINMjEwodaMxmUxC05
eHqYXIPrSTF8JCixNWSx9Vq1RLpvwoKzWMkb0DxkVnBZ/rVt5EctGN+1BiG6yN7ZeXo7OvrzaBj3
xaw/k8xcRfEHrQgeqjmHmBgSuOebaPStM4gr1oEzUdpjGI/32OS3mcOh3eITRAySMiGPsh8LcS1J
ZEwwwIJAnBpNPJuRtw0qEEvZeB8Y5hWh/TedtK+HFHdzEW1SC9XFyAShuiI4Z1I8N2V3wNiV7PCC
3ozx0B9HowWgV1cnFYAPysawxuQq8nUupL2zhkZnZAcAsLKYbUWDGa+HQIkn/Bj45LwtyYp5h0ej
HMJkY81Z46ekDq64bELfGt/8Dfu+/zk7Ohu66B/t6H5tvPgOcPrly77u6XBK04IIMUS89hOh7H3Z
07m/6FR88T+bthupC4ft1Nc9HY0rjufp2I3ZafGVfNHXPd0yUKBW0dXZES7Yj7+EEaHz9Dd7Ovik
wiYlQL2E60pYJt8dEmShVVGbcMJfPICybvST0VbOswOtCYkKd1bnnggQtOcyJjHpkXAz7ejeSvqX
Jpd3tpZ01/og91FaviPBz7bvEIQdOXksBSsn1E0Gqxl33NQkftrB53EDrB1QMfp9H95YlRYCuepG
rA7NrRSF2HVx3W0dwiTY5DPl68oZ1hAZx1LVWy/qbkyu41PQ22vTzOINxNNDFkdPXTnuPQJQGswJ
E89TnrIupDjJgTwmIRzVDncdvureyPbg6kAo1kGwiZ1HY8dpkVv2ItPPY34qAtCNgfKdeKunH2XP
88kGghL1REbghiV+a0w7vcShSYrEqFno3GxtRCWuCKQxOIkx8D6jwdblwBYlcIbpx9emZlXWmCsD
c12p5hbt4B22xf7K0fFAkDbm1cv8wW043Gu11HxN2WoX0sW4whKUXBvzWhsIPDoaZ1I+iytkJXlj
aeWjqeRdJUKfoG98qgK+qnKAYKVQyXo9fZNlReAXQAoM92BnWuCDlZxXomggYLDcVDPKgAXnZMrR
+NMep4NdNB+VwM0a6H5rejy0IvUumF3E04HUtFXgZeqszD870hLHArSnr54GnpQYxvsgOsFEsK9G
T5/36Sw53RY84fnY7/NuWA0Ygw+cE2a/b1V5bDF52LUKdqGJJBeQWSNcK8nKkr3MzaR56IyNFTnm
Bf9ysNZxMwMagZLQ2+nACAvVNkmbaEd+jzhxFp5Elp8Hfhy/iqvPTO1D/prW/+b2/q9j7bds39/e
LrR1G5YhuZe5WzipfX+7xLXt5jlq3UrJKfel3XzqCepte5ghXuRoeyc03hrW8JCmqTpUGLZWvTQP
rslFjBUoHstTmvTOOg/KQx5CsZnqsuRNb4/CLLzPQrspwCQ6Xfu5W/L/YBkJ7RDD2JQDNo9xNLNT
IYC6epNJ5tPqnmILZxLnxvcyHm8DrbN9BdB49arcxC56j5kHZI4GWH8Q0kQ7FBt3tlFe3BKBqiHs
bg66czDZN3WvDJCivTXG6eg18X1EBMdPPJZjr9USwvL69SCq6lDE/buCfIIlmmszFfe2zLF3ZNBL
LIvZXccK7cXV0WYptMpIHKsYmts48GJ/w2Lz7yYy4L3/Q3j2P2j0/Dqvfv3KL6uS8btwK2o3aLih
tZepNQXYzLJ/XZUcKmAZb7+O4wyYLd8uSrDtESwWHYJJODrIXxAaeNz9uCgx8EPnAJ9tcQZmufv+
LjNGz6kr8j2rn0Am+RPI9BPI9BPI9BPI9BPI9BPI9BPI9BPI9BPI9DtAptFxjq1BENdJvb1I4Nwl
cVwcmL4SQFIl3i8n3zVzEV9Qr8HxdNiUMyiMBGKcLTBTezum0V3rjGdtkNAe0E5VRZbUMXCm5G0x
7vJhgIsUEggqJVJAoGXdleOBiGacDLVubK87TqN+mY3pwhhTuPQQ1z0tPgwaSWYQam+7uEOolUyH
3NK4nkCfJhV8luUXYY3OMTEvMoHoJJvMhjdP0j+KvWRfTBcnU93OIPJ/CPU3ncY4K57GbZfhxnFq
ddvP7TWEguQWl2IEudXQt2kGhDMwtIOXVi6wq5mgMdP6wW02dZDsRa4+W0WQPJCHjfelVZMxAH44
lnqwcjXmbszsTr0lCHUyMt5EcABWDdC0IRt0BgO89usvFFoQYSmhmhW3tbWErCCvbsiYrl2ZA8Iz
E+PaqiXIzAxWeRa+gGV/m0a9hkk0/TiG2QajyEdrwhMJL/IqZ/6HNgPqJ/XiegtRxlghhX2QXUvs
dTRBOvXBmxmVA6xb59MB0+QA55I0VJsQzJdP9BX9PnwPHCJbNyZNIB3Mw63bA4LQ38xlpJ3DsIDZ
ZaVgpGzJVLC7DYGCbAjAgvqpqLnRG8wyDUJCIXF9TvTBTA1MIPyxq7rlDc91gDJoWNiUtHZTxjTH
lJq7mlTlbXIZY+PwriYrIuXTwrfRp8AFaFaRrdIcnBKGu0ffWgnronf2bZY5b7UQCgu1IEAlZbnN
eyCtjyiK545umDQi4FqbEkmfRFAeT+FBOlcVkDUQiJWLy3+xysyVhz+NGg8CSOaWFMPT6LXghmrN
XMeJZcMiAv0t9HBfx1m5mmLHOMfleYycJStIDiSuk8XSf07brr2ZBhw1xE3POCoJe2hkVuYs4Fqc
QoCLhbsLNbFUZSD/9zb2fsu6mcNlDGAi6ZnTRpcoX40S71UGWFsnWTLEiHVNhlNuLK6WuLU/kzM5
5VOd7ADW4/GxUioaEJl4X2hZGNPQvWSBC+69s45wPRX2nDndtC241CixkgfALesA+tg2kcmzxF27
grzZ7Zh7YCkBR+e7C5cuHaLnWnHnLEYvm9IQRzc/0mNxMjDf3ixsesNCjnegehRJk5GHt7QDnINh
Baoe6Fz0UnN1b6bObjesPbxzFVlHVPzpBL209PFk+rCn1qAHSWyPY3+GcbJOw/5tQFj00BgJiSIS
HmIsjWOr5h3GnzPGn4i31yoOppE/QBomYqfachdW0DBNPf9nXP3/vA7yp7b//3c08D9y9ZMDxr/w
+0Tw/6yqT8X8Kcs0Orc+NU1Uvnz678rX/5JMvrzGF8nE+8U2cD+gjAgK+xbt/auQ7/0iDXIwSCYe
8odLh9i3kokpXexIHio+0omOxv9VyHd+EXgp6Kc1XGEbNKH+Fc3EWoTH78zb9mLJQHqxbCFoP+Mv
+lbHH6wEz/yEl9eRdxI7wDEa64Pqu3zrdJO9cXUjemQCOwC/II0dR9Ut8mPw6OZAS0ng8phVm0b1
WwWkaK3bXNIiAbvo6uABwrYt940BMIEI30aH9rfzZpp+wspkfmvGfgXMChi+NW7jtK7p5nhCpc7W
ytT9eMCVZRasj56RH6Mmqtdt0l1ByDgYHnNKM8a2CDlCY0gnvOsOmbHnCZ2PLzxb5b4ojDe2JCpp
zXp9DDFwngbpUNmTe9dJCBBsjrIQMEeWb7+5GP6B0iuWwcePbyjNwEDesc8wgvlBg6olrsK8dum4
maBOCHuxq82YZi1seaRDjTVatHN08/gCnouoPilGHwF/4+QN8NrGuMH/e4ktZ9iZcHF6NbhX/WBf
12Q0AKF4FC5N0YMkQeonXX7RjLjGcq8czPfJ/R//KMZv0h9cG9ApTcInEO1x9n9/bZBzZvlKUodg
K/ROoHs76IPwzMxuyaEW1/C/KGJzUrECn8N7eYC1emImrJ/madoVYfDCzKdaQdtVdzaZT12axeFv
0HL/5wwOXcf+w4fPCqvzDymkL1/ydWiI+YoBoM2Ih1/RYb8+a+iv5HokTuSR08Db5/JZfx0aOr9g
8uKrDBoJDVdaPKC+PmvsXyRPLf6T7i4PqL/2rHkNXnx3a+BPw2/GcFSn+9d7TRt902+YDq6bth6W
c31cp8SCUXHT0x/zqaoGjFhXPxbThC21gR6dLFMB09Otoz13T1a8rkCE/clNbPzmqYh6vPTfwopa
lGnzh9zT5DStpZeUy2Hin3cg7nYqI8hU29mhLD+42KKvh46sS42Fw9EyjF/5aGxpKoJbTjbT7nwC
I2r1J/cjjrzvHy1MW+kbFLYwSXfhFvj+fvzVGqpa4W3Mxf7ZRFdqsYM2vd6tx2n09SvFNskX+Ean
xUD6x98Cfae/+R5Ykuimlct741nLUOHb9SI0ZVeYItfJyLCD79Pe8MvSZOvq9RrFSEmxSpjfWbTI
Qe+dwVI2n915fh/3Rn8kKtpjiLvtq1PseIVPH1Tqw7jNwA/MmIS1cDrxBhCthEG3oSOpOg29Q3rB
jdY8a9iftqmxNjHdXopq3JmYeeLQfDZCl+R+Bf9T6DEcLsVgtgRmpZPDCYPyUTrzOxr8NtGA126y
jWfYiptcKfzmygUqSeyLEHganQptx0B+Wo9SnkIaxn07dJdUiJDbKjDlvp4JhuYchghRUErG3gyO
WHxrO223bcL+XE3BUzFPxJ4ccuVtS+q063y3gToga/0ua4JT7GEainsPovpE2KAPpaLLCNc7iANQ
RKW6GYzwyZzoURiM+oGimGcgg8auzrX3fC57lef6tUGEZ60vf+vUva/xAjwCaKZ0ong/qdQ6V3HS
PNlSPxSikQfXUQ+xV7jHziQyo4f0x0UwbDjIlPF+sk5dXUNkm0bTn5No2leRRdWAm+xnyNorvevr
/dj2V5EZ7EhnZ9uisoKjF7DDjhsnWdE5CI8nBO5pyukos1QtVW7bsfAKCrjCY6o3FSEOQ22zoAsu
GKOhosdlegiThkH+0QuxzBuQWFPdiI+x9ww0HhRqOzt7O5fM0iGoNyJi6jyPDXhEUm2jAffGefQo
ebgBLbGarDa8hNH8lCeQ6NsK63SWd9aOc8RE0RUcLjDB/CmJibqIwfbjXduq2PLtLD5pygPJN2yr
IblJUsLkNKPNNyW4uwaYpG9TBeOz8tZXkL3A1AvoQ73aVIlO/4AMXi39hKJ3OMkWanZyhTmMmgRP
I5wERaSsvWzXed5dO2jdVdwzkt6mYx6vjRF2VacIrk/LfLNenmn2MvO0seyAQCqPJblGp20JwdsN
AXqa2Myuhs0Vt+fES93TOPCfKK+MWB+eiZTowIGsfDUwumZiH/KSFb4EptpUiJ7LztWOOPh36TL5
DpYZ+LBMw02Nvrg0moEwQYOFM4rzqjegLDNFB7xj771lsq4xYo+WWTt6QbBTjN+HZQ4vl4n80BL5
i/P0rCveDnZdYi0BFoG3LzoAON1SY9FvCJywjzP1l1Kle6vVcghyEyZyuzuZZU3oYCqmYwmg0tA0
99CMMbixznJuZXuirjU6B+PRJsEAGyW/sZOzqmmYcnuyZXZWPcVcSguyHkIkBV5lRN+jacKoDptP
k6RlQTS161MJCK805PFUUhKwSq3tZEygEHRy+7Fi+5KbH0FYZRz6B+62MqfNZV7FKSkRQ00HfSbw
Mq6lqTwIwPg8TGsqfRDg60510zbQaYMT8Kl11AN/9JQNnxxMSaiF1SqXOIpzL3pTjovXT4ybZnwq
6F+89mpCWTkcZ3dqrymc4CnSJ+VdXYzYXUKj22ETvBMEwDvFU4MuwtKfYgI3OJM/RglBuLSl+G1g
4rkzI/2dKOr5OlgC/W1mbkY3hnNvkZanFW08wlWnfyLBZ4nzO+HM34SwgMar5tUxGA/jytQ6DGKL
n7ARZOD00qPjRT4HiUMIfgg+FIlxa/AIPVCTQ5J3arauQbEkdgPXSCBhSFo+p5RQpSG0B8cozyB+
7iwwwU9W17/0fHop1mn6KJqN6gMaUoS7FAx385obvNgmoMDBiZ+6uXlbNIGzy7q5xAzYORdu5rjp
Ck4QXuSTAPHeZTVH9ipMBXGUooROEbxk7cCxgxY0PwDtXdXoahJyGn1h4NFLg+oQnUcGgI3e2ZdN
dKixtY1l8kQQTWxk2dBi6yQfXC/EiVCAn9c8c0+y41FHseMIt61woGbuQz3PcGbFc62lDZfP0pQi
NFARXpn5aDx3YoBh21Prx7yb4s6g/RRXY7yDWX4BQALyrGlgwIN71jDecx7BW9TFaUOqORm3hFIT
r+7PY2gd2wrO3aTVd5TvPrbSU5eo6Q7pfZbOx0K6JxYjmwemtyXV/15VJWGTKdjnAr9UN4/d2p4U
b0zRxAfXIBwUSUXLRapHfjjo7+OWTGNBNWVO3RKwgT6E3AtMxe3uy2yBe3tLz29ar/TMjG9KmZ3o
icrIqgxnbmPCijPGDzM0105W3DZ1CTihq9gP6UHjw5PXqD5w4vaiQKOQEsGe5KjsBSBddZ7Gvtvo
EcRmXdXvBI2e68od9hGxSuk2zRr8J94p7x7Tz4DCN82+0ZI4Us2LU4KdzDz1Uo/Oe0MrXWjWIKQ1
Y+vgSdHr8B37tL1ReJAwUVtYzrDbGEbcA9TP0qMdn0H3VD5M/A9z4NkQ7vo3loBJh3F2F40DqLYY
eEMOEsVtErXBihyBOBbaWQTO0o2akgGEGdzigaZTgcU0yJ2HWsp6HWrPUYc85mWBvS5b1vvQZu3L
ouGcdldpRharNsv01lW2uZlyNgcdBE9qBHKKiaBs1ipkO9ebm8Tib0LBc2lViB+l2XSXXlOKW7j5
qE1pfFXAQl+R/uezGtr45JAEB4xrH8jx0/Ro5s12hnzidyl8icrkUuu5s91ueHQ5uOVlD/NDzE8Z
BTq7wKsBBgf5uUZsuHDDepfKwpFqBDWULKOizrPOZ3iUHQ+Z2SPFpad8JsXQHgDdUmViDMV2tEbI
L2kqNirYDHWypWfzYoKZg4B4n/fNIyfWD0MUPaY82VejabOvaNrrJmcDhddKrXGL04YR1zzoCzh5
NbtsfXjWUzx5ZkPo1qq1T858SFK5bT1Jxx6ofXfnNjjODXOK9oo9biUIeEBwx33GsTM25N7CW7SP
BCutZ5H6zsb3IwGIPeiR6Ra9GpiTed9aJWhEQItlVAAZtKzbbE7snSCztdXLDnRmSyCvAlKfjTBx
ppRWxAFNcx/mNMmCQUCKow9HOYiBSXxN1zaMn4mr0IPygRVKASygleWNN1C+hPnrhEyaPTTadIs7
HNUxgVRKyd9zFcSUtfRNDzz2RuXKoTjRJFhdBSkaC2sHbDRwsTH4z6LyXqLUuESxhXvR4/XLbtx3
k/ZiaYwYauRmMtk5fjuabMZUq68gL320O4qKzMFjHbHS8T7FyzVQJCnYafpAkggKEyBH8SzeN5Eo
TwqvOgQHwCrGOIBTEvsxJ5Mbly4ri5o2rjVgVVwCspTOzxTZUpeS0wF59fpLHUcRQToSmrGVFLf2
GJ25HPqrhiwqrHBwS0sotyKdS/SPki7iunIJ7ipdD9alKNyVp0iPF8581uYkpXXXukuX6G9NBlh7
0SbvOi2pvqktcgfZEhb2ph1b9IfQM+9SL91xjxmHToNYmoX9fTBjjdcLwt+h5NWAqLDdLl6yJZ48
jPIZ0z8AcNO6spcIc7yEmQ1SzQbpZmp+7zzZq3XtTZshE49iCULDGyBmMLaKfk1i0rjXDlpEbjJA
PV6C1M4SqTY1ifsaHTqtaT+xC2j/7LzNy1Qo9tTYU1etRUDbXlqL2UqZWy7IW7SSt2KJcw9LsHsZ
jVQUU6+YGfDtzG9MlqmCOiGsnGoItg4JcXdEiCkE+U9vPugDLeoUjmH8E8jlcpR49BrraSguhVld
aeEb8AVXXAq9nyzR9IaMuk1WvU577zxwoFBLjL1ZAu0Wc6lVtYTcwdPMm5bcu1wC8OIDAh8PwMgB
hrBE5KXCIG7UEQsh8fmMHD1hAmq3jGe+swQwIuGt0h7luuu51qQF/gzTYzkFkpkHowaS+iy/d3Qy
EGsnwt+R5deXUD/RXFqy8+NcEJYeyf2TIePETbiBD3RCmpzvFYyAaIEF1F0CNsBs7G2xoASiBSrQ
DBK8QNs8OlrXvdVNcRMLEsIJqmVJwxmnPKoG8mSTkQNhSDPWfqHEUenWLblozMOSi2tOBocqHu/C
/kmtBo9sdEDNX2X3zfKnG6rHWDUrmju8GDxZjaYYu+tZzzm5rjo7RS0Ng4JnTX/uBj7tjjpjApQw
SOgZC0PXN5umXg3u5G5yQFj2HGODTuz5lEpONW5akH6zQgLpdHkD8gHrE9MEtokKXj73tmVr3zZ5
fpBMy5Y9brxpQ6WhjNDikjbpsP2PX4OcrOmfGcu4PvbrYF0tl96S5hTEOrPeefAgpWz/w05txxWN
QNGQ85M7jXdFCepPa+TR4havNPoAlbihmavwZTgdZMku8W9Q8/75icS/5sDBevUp/v7A4SGi4vZ9
94Ps9+Wrvo4Y8FvihsT2iEon5OIu/poVsPktXTcwWeLLfJ0j/Cr72R6aP2ECPMmgjL6R/cASIeyT
/rS+BED/ki3zt2IaF9Pi7kR1xOmJMfN7ySgIpjAQlAKvGudQwpLtdCaYX4tqzKiGtuCsmxGErSmO
Y2MezWA4u8skt+rZEUWbP9aw4NL8qGHZC2uJ1CtTF0kJ6g86WliPnYyksGAViPoQmPpt4BFPXyZ0
MrVaBO4SBD6hfsec5pU3pBc91e7qPgTsKhmQW82cc3CXhznuPEjQLVuyLKCzY5imdauDmjPJTNFO
xlHP1M9VG1A+OZeLSd/lUEj3aRVVHdB298oIp3GPTa9ct4TGEBUsj9jQvZGj+eRDtwA55niVkARz
8o1BEr4NS3ZuabhDm4rWbuQMZOOoZw2jN2HarIKOzGmkwjfjcBBh1gMw0e3NaNKuWHYImBwdVyDO
AIKlJ+VeOQGyU2GZAwwlsnAl3IFIswnbt495XcmjEcjWb+rhg9EbT2lHlClIgpUt0a+s7LHR3f2Y
kAyge0yGV73uQk3vects5gYr2aWXrqsiv4KTkZv0LrV1tkkKSQ+RM15qp0dScm+j0tLWYgHw2Vwf
9mB8GlzlHXmYXeWTfrArvdyHXvo5n1hci4UbscCNG3r/HHt6j4P/yAn1FAUZpA2Vj1d94kq/za/K
sLpMA2DSvF243bOQu7YKY+A98+cxdT/ohf5BZM1rGoPT6wLv3YUTR+Dc5aerqAhZyyDY1xzaVpoE
wMZe67mpby0KCVvJNqpI95We7UtH22RANSGFbNlRHWYSW4WZfnBFuzNpIKehrlgXHboXxFbYDUtM
2XU/D1F7EwYxDCrz6LrzO2fS3sReezfGUHIn+IORtZ7HYMOJCpKnQN1rN40Lu5PAQkcpVv9O4edv
BGGU5qBDgAsr/gDfAyVWAGE3uq52VlEcOhgh41VKBDoPzHduTBYvrvilCN96VUrh1QxJdc7Leync
z20EcxIxz+f0ZfnL9ztX8R2iAUA9tD26upq3aN77tk7Pc1gF8Alb0pO0HRqJ+2gmvK4NsBSp7NaD
A5TX1l0vqRKoe++uh7oUeZwf1Sf0jR3+f8IXb9xUXeZO/9hU0ZGC4P009LswzPzODJ6msYMiVN4k
bntyKkhZQXPrQDLPlsK7f1SBBbh278HhAb+zGqg9cEasARqIIcwzHvDtOo6PPYQVvSbxayEpOsux
K7xz4ubC8+ZKpyeyp56u6bL93KRv81HbjF69DwG8tsR+WltdU8XtpxmV5LZz6nXjQLXE8yzDx9xK
L4Oprolpz0vgQaNAeOChkbtqXSjtsYcPY4KznIV+FbrzwanQX/Tq2Hs3kebeVvW4ngznZATJLoi6
ay67HUzLU8CPBCzwXPThIUujmyHgR5z6a0C5q+kmESiXCL0WwOQCbJDFkXA2vX1iI/4Co3UBNA/g
Tfv0OBUtcfHVUmIDcYSWSHFwc23jAPwH/w3RzTjkhthJ6qukXe8Z122XV2dqDNMQw4cCGsX3RavC
idahynlIQt4M/o0j6JHg6luSSBezKA/Egjyl3Tl29SJaGn/SDL6aQwA9Snd00Nw0idzZ1rCdrebI
HMvPwMOPPb4GmCRtOa5b8oj+b8rFTCFvskxt2OLRFJPiCBJoHEmX9X6fa0SlsG9sjXjgdhv1Hc2m
2rqxMHxdTY1zaeaGboo/bwML7V4d0kn9GTsxhNIIuIzMc3maDY4zkUk8cqhr85C88s5SEsKLbwri
SrduOuNxKkNnp5NA2nsgj7yhZ6BLVWo0GocynOEe0ZVS44EK3Bb5eITeG+nqoeHatMLSO0xpxTE1
oPC3p0xkjKpyO6P5pUWCpDcfnVHWO2AIYq1HKY9RmJsmWOkuzI8UnjSUGXBHiXYTB+9dky2ssVT0
0vORrwHuPLRJ+RaadbK6rTmVHEcxPBrhSN9LpIONt90XaUznpk+D3dy7l3RkEaDlaYNi/GL1gmRa
ygbUqREJMokW1yYZ7KYEhsuYecaakJ4PX6/ethNc9BYT2U3UvW3vxZg/Z1VL6m6aKbuc4+laqGjr
DtT4BI3K7xQOrMmo3lq9SWUVx9ggdNa1NsLbogePuLB8lxnmDb8Rr/rYMtejVa3rAAZna/HOh4u/
jMcafSv9rQHmIbZ3BQc0ospQeP54R/FqkvhusEkCzcPYZzIplBbGjB92OEPD1WVoMJEUrE0Jdq/G
JKXLiBIyinms5DYL9edUcS4TrryUCWUlrqZu9Mqu/o6B+L/bFpq9JW/572+hd5+K//2/+k8/bKG/
fNWXLTSDbuM1b+tZJG49dstft9DWL+htWHQwdLDoCWGyff26hear2F97JIqEZHP67RbaBqHisrla
sDg2nZP2X3HpLC/0w+TXWXCgJrYSw6aq64d5NIq2qwyZTzwWpmmvDfpLXXobUQmq0zP3ncGYErpr
yiaAArguunt98E/WFbnDrV1RN+Eg0zttMoGCBAclCu+Uu/JPNtZS/0ffJkRSh3cQZinOke/vg17O
roO9kqpH8bNE41+9RMPkeTVbBUOqaTWiBhgV271y2i/bAuK5MctNhFuYpCmx6vCgkYZ2An2LRrzL
PEp5JnVwXLmLmYtW4LiSvD1EJkUo3V3QrPvJXSe0s1oxcge/y7RkVxF5Luel60P5c1ptPbbk1ImC
6qOjpOzZuSLlDuEm1MxrVaIyy2ME1buvxCmtcr9kDBQgRxV1sy1cXtIGJVK0B7rYpqDfFKl+FbvG
VRLJ67Apzr2cqBzUNyanuqk5BNwqHf+oUfxAH+oqFeg18m1YtnjS+O4JnBuRB02nZmizEuOE9I9e
AoECpOuSEDd0f9LRTAxeGvaJJMPttNHGLI1Nrx0HdC2vAzGk70faqJBHV+R227LcuKipQ3HfO3dm
6fk5jJNIev4MfAGDmzazqwR+kXWhr/BXt7dzBfkrU4dRYReOtbsioJbyTBPDtkKy1JnuNfqHFL9e
ytEzkk9ieje2+d5tQcI1gmowYzsiuA1eeV1iX9Sfan4ijZpgQSx6rLVNJ9Su1YUfi3gz8xHm1cZO
PNp/680w3BXIVkBoN2qONkVDcr4MFrAjqzoHIL53A3FNaWG2Sr3Opp9t1h9zB2ib6+Yf/7+qCfob
hK/dp/L8nvLJfxPsmesuStHvL9qr9+2nTLtX71/UDwv3l6/8snA7v9iLHQk3DtYyfJfEjr+izywW
YB3kGbEI/Is6K/rXdZsvMgSoNIDb2NDsxcT01fHm/EIcmfCFcNDNQHObf2Xddn67IOKpQ5mTEiOo
zgt/vyC6PEBn1yXFoGjtXagPAIsqmowF8J0o1jcpasqA2lsAio/EpxgokoLdApp4+DgVFWZ0HiaD
+c4TFMqAs43/JSozR1qzWmz9afwBUyi43095zbwdlownYVqnb+0QrzrP09s6fNKHN2N8T1vrSmOD
YoAyG9F6LGaPVHD4YECwysWQvUu4RUu7iMANMvN7UJupRPjmArr5siP/DsPAB/vDPgptynb4/yKK
6mL5vL5xIE4z+J3come8HKicqcr2fdRHmw7q7WNHwQ76+r5y7Ys+jR+5uqCWJusoVPsS71DfQgWt
qWR50OlTWbwYNI3Br16a6Rhc0qoe1UwH8PaHzDrSgSPK8nt04UyA/UeaXjFHrHqm21MPkAjKdLPU
SM6fcNStGm/PamAx5wvSF0V6R6Vvyw74wlPbv2PcshqsB0qkV5b1ZIj/i7pS0MZPi3Fl74U5Mia+
mD5umNhqBlBqqMadeeMUztHC37YaOqrOA83+ZOaW51cBZKxB+LYxJl/e/Z9wxz+JE/Dg+f2n3K9x
gv/s2vb38wS8yFexHwMollyeeC4IXtf8b4+v9wuHTH7flJb56vL9DsFgLpc9027HsOn84sL/9YnH
o5D/ZDqgGR0oDn/liQe+4cdbDNO4CcUF/VzgwtV/ENenxKrrfMztlcjQUc0ON0nQ2XgqHdhh2PDt
xZDvLNb8xJBv4qwwkXfnF1NY2rkDPxwGFGBH8Kmp/aN8A72jcNKDwvsfN4QAxrw8hhOarI1NAccr
W8fXyED0FC0RgnwJE5RLrEAtAYN8iRq483Ccl/ABRUn5piaPQK9YudcrgwaxrE03cG8eqZnWtk0D
w9HKW5qGjOy+6kbKmTzsQ31dXuap0X1EiYehiPCd6lgencq97haDvsSpH1lY9ge8+3Yz30gsPbui
szYUv2PvX4z+Do7/OSnWfZ1dRBF4R4DWZ6+I5l2RGQ9FWbJpxB7v4JNPF8M8UO+KSVz4CfvqrlxM
9QJ3vWjn7OCtHQfT/aBYLgp8+FTNn20Eexqm6qRaTXq5HeM8uijdxRIl03qnFZ3DRHfcVFVDw44d
790CmbxMaMazdvhNcgqRb/OJ0lkBxmYdKGMVlaV6oGyz8Ic3XUSfqB6xCWdjvotVPK26OPlst/jS
Ar201nT6YKLDLO0XvQmbregpI5eJb0eivQA0ztZhzqQHwNjwf9g7jyW5kTRbv8q1WV+0QTuwmE0E
EAiVOrOYzA2MElrDoR5nXuW+2P2cNE5Vsbu6rcymFzPTi2ZbsRjFyBDuvzjnO5ywLcxfFKL3S05W
48zk3pglKqQKULa5Pk4+YqyMvyTIkyW7TIt/n+hsXMjCRGkwthnx6vHFzml1ibrN9l5aPlUFn6XB
IsgsnaM6Lt+qGEGPq1lvY1IWh0khbdaNfNllQVHR+lvk6wRQ9hrk+8Wwbo2hSm+r3MGaN1T8OHOh
cMcC7CcZvpHWwJlbYpItW1KzoTolN5uvPwqrPFdg7mh717Cf37mJ2wVOOTthhj6QRgV837bp/5Qt
6X8fz4P4RkP64xPyKre/dj18f9D3E9GjZHOJQ6Fws2zPsG1u/R81oEcWitrmm7irDI7H39aAHE8m
O1PsWQwr4KH954kIKk2dlTxIZ6nKafZnTkSsFD+fiI5gTMqZSMXhWWBwf190oGGb52RZUMUP3hQy
ZOY06iW2mE6Em0EXuyntLMKz29lFRIfJxyPciJyytX8iT5PERYXEWhUcC2G2e53hZQ3rwMrn4rz2
a27vCUC2zm+ZzoELmPKwpZ1Lawl8S4PCNcTt+jTSY6dDQ0La+ClXwC7O0ZHTD81ppXBeMQpr0x7O
M/KwnZsWGtA1nobYLYDZWfNk5auOko5AO3rcTEaLAod1EMSc0Xr06/5laWPrvtbldVoIg49nsGM6
8sLGzG+aEdmP1jjAtYk8qUiJAJj+rtxceZY1NMFq7HGNtpYXtsAv1TgXzY2jAQVjckUEwXYoWtnt
t4qTJPaOdfJJw37tj+i5CgTGs3McLbWARHjh5kHZUksNCzbrjaEY4dYIhYIUWPrSynNqE2Rokunc
s00luLKEOekYEzjrmCAJc5cgis553VDmhRyqTbGFiTAgpLsBabrhimyRJCUWRLw0PYnwhhPki3uY
QZsOw3jICbEd2+HQ2Fq4dVDkWMwKNmSTbe6t9FmT6uiKpnU8E9y6m9E+CnzMYkBrCeGyX+NwIeEt
S5Brxk20+uPB11ySJBx0vxi/pnrf+dO+A6q1jJKTCukSEap+/WyU8NSwM48baXd5GTZ82qbZ2dcs
Saq8jWa7PZklXFY4+OQfBxvDde29R55vmpzaZD3Ohk0mOB++0d0r+0qSVLck4OHVtUnm2kL1SqDa
DFoiVbxsvdPnl3kgU6Asb9UboHefCw99n+M/6+5wLtP00tXN+2F1QoSEUVtXH7NEPjbWUuxE0T+D
gdb85zGzjtOghd8U/PhmP6aLTAMhmysBBPU5nrNmV4qURULXBJQ3y1GvimdyvqAOov7GZ0MEoov0
BcJZ1pP2ZkbFzJyGrsoK3OU1V6zKUlErXcWvZLaUh0SiF4psufmHZIZ0uSjmZabol53iYCJnr3eu
YmPWJpRM7RsvU5EzpWJotnFHpttqBaT0YWdZCJlVxE0qrROO4nfEIt4izVTO5VZliwXzwjKcvesN
Aoiz3fbHvCbbg7cpQVcpSQVtAZxORjRsWZRiF/bT66AcCqzuBkFAZqeWdfNBa4uI3w+1hR1ihoN4
sw9rEW9RtXg31Yyw0lBo08Ync3lgerbvFPg0UwhUW18ePKsmJK9mZuV1nysb+p/Cpgq6g9GqlGM5
IVFEV3jVgk+hroCrwzf0atMjdi/Jf86Hy6jwrOSm7cr4Viz2x7mq8W0rI7cCuhJvfZMpxCsh29le
V9jXBB7hjN+eZPuyg4tohKUJJDZVuFg2ZYAbAciuiiQLUXZUaFmpILOzws3GQ/U+F86X0WBORjLq
UWI+3wMvmA4dtFpPYWt1BJR0Kf1xnurHJAVt620QDCCRWaFU4NtCIXA5jJLQVIr3QWnfdaWCx1e7
nDuljJ+VRh6vvU02bks2c7LdWAjpJ6Woz5W23k/Qn2ky/4RSnxdDUo2OSotvIMrPEeejApZRVkhi
aCyLSOYylQc0cjelEvV/U/crnX+3/OIq3b9tQwSYtXffVJ1ajAi0rIkYJQPGBZWLc8DAQkDMk0++
Lq6CKgOagG517yvHwVY2fmDsAb8y+xvK9ZSpxM8MIKVBwCNjwyjL0YDiQ/vU4VLolLNhJT0iRC/X
bG6P0ozqbjaRnhvKEbEob8QsPlNnDydEERsnqJ/QxIpdZmmYlLzqF6E8FoNyWzjEhWO+cJQLw18Y
uOLKMPlUSFwanfJr6Mq5UWPhoCDFCKRcHSn2jlrVhbZyfNRYPzwsIIvygvymY/obbT1TnZ+vWNcg
jdXFUsiuxWMX8/srtug1x5ktxbEt9ZfJ/DKXaU4KQxOHRtFUcDGrx1UaUCsrA0+CzZQi1+u7GYDA
zhn9lFV3ObBKbdqjZdJ962P5ydvkeVytSHRWJEVxNez40dr8uz5H6JxychvvszTI3UviPlZJtR9b
Jtpxf7JY0MREjMT1cnQ1NVNAyWjcufq4J6ppt7juyfPULBrjHLBiA0VQb1TqfCH21dkR7XzStS7S
oW4ObrVvUfGL3sZD3F58yvzO3MdzGuWET7A+jeKSABsT5Srx6zQVew33FJnCB7TFCztge9VYB1nB
6DunTdoXpOdXW4pT7CahR/BTqxFUYjbod4E1usuxGxHzxG8kgkTpWZr+3p3sKGM0IeGf+mRDFRqo
UkH/w/86Mjq44KwWDwonNRR7CPoED3bQj3NCE5mSby5T83I51igbm6vzlfQdxOCnaW7N6Ntn4L92
uPDfpyhmxMme8Y+L4u/D0euH+vPwKf3w9W9MSHn4jwkpojuVJMhS0zMEdtZfy2MmpBhxifjwaOss
i17+1xEpVavaNPIL8wLlF/51YEDMiMsgQdg6mYDunxsY/DVImBEpRlLb0k3FgvxpRGrl7pq4DXr3
AoY3cG9ixu1mumCY++wz/CRTZd732/hpdGFt/OYl+xvnhmJS/jwOJFrRQeVoGPz8/k/KxKkdzNk1
sYmgmHtqzGkXt9qL34vPwkyeaqcKHG25RZBMqiHyWkpyE25MudkRmNqJi7EzP5dr+7xoJgbGtMGv
Uj5M1nAtpX0W3LlzeSIZ/L7R0Rz13i//6NkrWcHvZAeOKxjn6GynLYuW5Sd/Pk7Czk4cqqHKIPjG
zonI8T2OIpyJZKubpCbLbeU61sfh0NX2CQn5thutERM1SetmgdHNScY7aSYPldVReDbevc1+rDDR
4kP6JXUZqJHgGjWmVOxz5Dp3szfcT0OsgRQyDzLO0HrgvqkqBtpll9QsnT62zoLnRM+WfWUOpGrA
5F/nXasQ/Xpq6odUYfsn+P2G3Z9ScPzHErJ/j78qkaD+CQM3oxn6P3Ec5OWoQIAuY/XUqpAAS8UF
bNRvegp7gPzcWwe/MWqshplqYgsM2xo21BVo/4ZHdSSLwG/du61dzV0+Z1FH8NvOIbfA/JZggAB6
I9FgVdEGngo5yE27wgHQvCQE5+lzCjR+vMTSOjOcJkDV/2UsvXfmMjKUmm/b3ntOkHfnmK2nkYNS
iyPH1l6N3v/K1wfizXYZmuSxypt7xlwCdVK82Jd+QN+fy/p1EOW5babQJZavxwJU2VjLmueuLI5L
on/ZmEI3TKNLPTtWug+NN89efMpGBP4fENthNldD2gX/qBra2pgu9uSef1nUQFdZl3ceM16TWW/D
zNfqcl4C7kDlkozVWLhUA+KaSfHc0MpQzVtkPkUNop5z6U/nVY/bc0H8UthCzhZ4fs7jbGu7eqvC
RoxvWV+/Fry+RZOZUW72OAgqmlKr1WS45B1Y68Jc9mRSaqLMryJHQ6471RplOEOTtsxu2rLebi39
/ZpZ+AUozPvVDNdRR+hO+KXAdZAOkpBL296V3qYde2ltB7vefqFhiZLCx2RFmIrS8WoGG12Vjtku
GEWEchmReBk0tUoz7KznMh/kcUP+H3ZDzaYiNv1rN9KftVtgzZl4Ub5igRhpHisM4VZCYAFhuly6
JA0u2hCopLRDYSANhLElRSaOtUk1pcfP1VqQgWAMDVvU6pZoZDbltB6lLh9ms/nMDGzam5NN9J1Z
FzStbG4tQ5mYhP7mNgLrB2b6ALEqX8jRoc0xyyMEh6sD1OeSE5QWGrF25xRTSlU/mRFbINDf9nuj
Po027S+K4mIPN+hp4NMUxQ0TKOkb9/qo/Oo+KV2LxrdTEqpR4UdaWhTKCcLXiZKir+IXjqieXbaF
wDO2rLNrFyjwZIEOkjiZgDEqxV0FTcuNoHfd66ve3szENqclOrey/9RZVXMdkKslIMbDotTkIcuS
CdIUTRlaQaLB1zlYTDFTKpY9dqQ5C+0O82DRLWO4mNpEO1ywWaEHTW0tP01jR5ZG79cRLF9t/7+6
SIDbw432x0XCm0x+2px+f8SPsRlDNBRFHqmh32Zj/7lI8P5i4QhwWQnoRAw4ttoW/FoXoIBiTwDK
gxJAXf6/qQt0VqbghBD6/7ngYaZzP19tqqC3FOEIXDqUiZ+uNiOVheYz9UZaaXymNXauNqMZMuR3
yiiXr1UZYqsj933VLtXsGXt3I+lakgVOxAUdPCSBJLftCI9hOKmYQ32sZrZu2WXpINABODr2Pjak
UXh4lGWCssLFRDitVbAUdthrA7iatTnQ5xehW2BrxBHUJKW9Z/NCLGW+nTyWsZHupx8Hr7TCTkvO
GAN/MamS72yygJesCNNs0vd9lpBo5dNqxHC+DuR+JOS77728nS5iapkn+/Fj61cMotpf4HZgJ81u
vafZrxDhcPhcceOzEpGvnWUmLEEYE6Zt4A5lhWt1umm3SifKdJ0iv2JSpQ8vfS+KnRbz6iTxqe4c
Vn1LFjoO2lBkkVjrBQlYJqMoM2vwXtSvDZOJPu4M9oJIVGxRfMFDeeOXqFfInztqq2Cq37YU/88w
oQwc5Bquvc6xmOWQq+lVRDJmZ6xF1yp3w2nj5CQd1dwXAjjRpk2sOWdGX06eNyd4ga+ZgQWf2LLd
QvhfjQce2ebRL8g65rDwCEgxIBKkDQf8yHzkkCz+HfGtQdIkh0EaR0f1xY3cl3ESVBroj2GhP033
xLU/KG0zRcTexmg3zsSwp8qRdRxTB9fCw0KE3uSDssIgjlcYgSqt9LpTwTlVRk46HJWU46rWP7l5
GAsO7iaUbK0LuDM1S4kkzI0iaHsjoLCOkmWKlnQ8YYi8YuWn2dkOJADtVwM/qUnmrMxunPl1lN7e
F5gePPeg9UnUgR9c6QQdvHOrRXTgtrD5VXOxISxjkp29N914cIunyejo0uVDNXMr+zwbCPmSDVas
v/PmN9FEU4/GfsCKsQ2Hym+5Lg4CT9aii0tfQdxoCtxnTAFsjIEVnpJP6j/fLutjUevsm0lmJpds
Qm6wsGvJMHHjF9wNzQOCe0iP4065+zpwKS1fiA1IJXJ3Z31xJ+/YMzxG6xdaHhc8ZK45jmz/42a2
wCrbfd58qvnMMPNgtVdFmMV2fU9Nk5NTL2XoV+ZeiJUBLcDJ4t4kHCre51BDhpFotYGMR+IX8XVH
XYngyOvwQTBMmKpDA4/Pb+3zMCqLHj83FsbB9g4MJQAriDyacvurt/J92Prx81yKD/+E6+N/nLaW
7u/vXTJR+aGXw0/3DKIbHvRjYc1MiWQAD+Eq2gv6lB/9p/cX7glaTMMivZDByu8zAwwhkNaymWER
83OSDfQ7VtU6eLVveQJ/IjQAEe1fXzUoWQ2ApAYyHVuZ536rCcm8lsnlxtbSS6iV/CF+T4H3GZIN
TgsNG7Y7GjeDMcXnscHTYSP6yHomH9XQPsyixpyElrvxXdgT/DKTtHiY3CUwVtzlq6s5oeRvxmdt
zhfBsTkrTKoi0NQKnLqtQHiMrSueZTJ/xeJ9TOIhHEioOeuKu6oArAjLT9ziLtklArGkQZJXLeP8
QfSS2KjpAWt5snet9WAucJ5jmXMsC5FSRKkyGbzmjtYU523bhv3AbiNuM1yyyfjWG/MF7A6IIE1c
imlLghV5Melr8mtTjZJOsXznlNO7oQGS6TqIJ2WcXKRWNg+FYdza3cDCu4FXIkQeDgyn903K0WvF
7gQUY0RhTFaphNBVxcN01AfIFN1qPsuUin3Nx5lmVct2MiecZLX7hAHAfBrbkdgZFDkr6VjYpbbh
RADwaQFE4LUl2//6mprmea4+xFVxBIBz8YrkUYfA2VvOWTV2a8+YSztCcX2YCcjZFvNMSOxZeXr6
Zgv0aTp4QxIlBk8ynm4Ffp6J4VbCRiRLUvT5aahWPdrwbBIjtDF5bTzO1HINGL0Ghr+EWZt9WSUp
RLlhhFYaP2SpGI4MMZ5BwoqQaiu/FHLBd01vJbv8mRpE484O29HK77SJYmGt6lctyy9LhnNLxHYZ
uRATjI92W30ycue8bAvvKdvrkm59N2RtZLbFGV4Co7XWX6LWLUWIeeMhbhnvrlTyGKORXVcNqIaO
8PougZvVpAWWdrkG/UKYCxaZMAfAQ1Svebf19xLF7i72pw9pao7goNbPhlXctangNeuXq+akzIwT
p0UIq6EBxV9TfHStFtHC2o/4qZDgDt3NuDmhPbX12XbGYc/8CSiBp31yyzrfZxbpSUkfS4yU0EXq
/s1D8lTI7GFshiFiP0s5tc12oGKroBDY9R6rdbqfNtQTUH2YoS90+VuzkWO+4TVqqvbJWUxgGvMZ
0KuNIZD0tbIcBgKjdQwoCgIML7K42nCBPfjAhOXR8xWf/nURrO2Xf/+3v6dkwgJBH/DH3cbT+Jf/
E30oyy8/Ewq/P/DHZcAi3mNU73Hcmrqhxn0/rMrYkPmjjCG/NxH8m1+bDn5XXRTfB5iKqfljGAnY
kO06REEd3ZGFEODP7OqF8TcuA7zKus000KMHUkPY314GyEQGq+05oCYzZXsKS8ZugdSZsN4YdMsb
O2NRMJUJOKZ1ktdW8bxRmGBKWoBHmZtconqdPG4N7PJVJ5B5J85pMIGcVfkjTl2BpLoWcBAGBI/M
cirFFB++0cUVZzwFOO4p8nihGOQMD4rAA0s+Kj75Cqg8UYOC5erUG99YjXFBO7GusOF2beMSISUH
dkMFtZq+CwWtIbLaxFQrxuyxL/XnadI+ytjmmN20bU8TFe9hunU7exru240l+lCyzNa6r7mkL4KU
4x3WLSF1dvX5M2n50K1oGntrRTmTBuOaFjfQflLDS9GPwx2wrPlzmm33pTA+r2Ib9uvivZOoDCId
oUHRzk8cZcPJBE4TJ+U7cE/1u0ybnuw6suC51FDSy1Q74yGO3NgFTWaMnwwHDIWozkTjvu88hlpT
bgVsW29zJF04UoFfV641hQWqToRkxtUVXbguVrXLzRqjbNy0kXDPDas1MNMvDiSmAHI1/mSwcCGk
7iOzKIMdzHZrx284eWwAVqr7c/WQM6XcFwuzjC41c8BsyWuatPdjLO5I4oSvZ3JllvDiObhK7ViI
+DjqcJLQd0QQMD7WWQyyOzlNdnpDOr0N043hX4Cb79bXprdqKfFYzG9LQcTXxvOvJxdPBZ+wWB4T
fWS2t1k3AMwPSx/NK96LLT1tpERak/UyTWKvA+LCUqftDWUkI7T4fks3JoHawGdXMN/STyDCIi9d
HrVuPPY6Ov9cBtLr33HfjTsUdRiIFp/mC0KtNAloSwjwDCja5yFMEzid1jeLNF7pFc9005hfPXCX
IZATK6p6P8ETEcd72+vuvOk6f7Nep/NyzZQdm04ZjGJ19vBpa/Z0pjcSjCSxcJtdFqHf+uoyNztW
9NJD119nrfDPAv+3wAce6wlvp7KGZ95DxnwKRvh2V4+xjCZlIy/xk4/YH6uxTLk5sjtHWc71jAG3
VDZ0OmVGxsaswu5rcSyd52zlp2uVfZ3p/K2Jn30yx48s6PEbgmE823jehTK/+7jgE9I7+2nDFq8M
89IjmfqSKdv8alPuSWWlX/HUIyByQ9kyOl/nU4br3lwbtt4LWI/t3bp6qEJSYw4ZcKZBlcS8JMIj
9R0+U2dUoRXVytxfK5s/UH0jsoonQxK9Sd8l6EKBAqRNtwAzcq+dAgYw0v0UK4TAqmACjcIKoAu8
bRVowGJt7iXsGkcFITAUjqBVYAKNemHPp/c0NjOEyYSwXLcSMvAS/9HRM4JWeYkSRVI3oR5stg44
i3kw3u2ZFn19yEwJIoFvSaelex17Kxp0pIpyCMe01/Z93XsRcptnYCjRsslXrOSXKU8nWH0jvAMm
qck2ABVayaD2szHgcuBzCSn1vpqWIuiLaCK6bqeZ7rmHBkTPWcEvSYv17JpfSRh4buNyigbX/7o1
pn2dpqU7GvDkMfIgpXZH9qGNob0vQKbdxekHe8wiMbD2tWZUKK0G0t5lrDtg/K/lm2N4kdZNEcrP
42Q57CG10KzFqWIVmsn4iMQonKBpqYGS7WYPszQjlAAk/WqXuhzvUfPzyVPkliVwQfN8WAvtNu6T
kz71EZnjkUp8jZdP5khPbTfP1XTIRtcJBks8xyx0jYOGuWqU1iW22YYzZOk3PbIRAiS5og/0kZNX
R7SIexPUZqvZIbSsRyk5UpLaBXz0BX9O0I72wXjqNIEIyvG/Gq110XoESQ5KmexK3uWjY6Uf1f9P
HhF96CA3m8E6Ra2FN9yyxb733Gjd0sMGO54TRk/SMSp1ojDLJDYiEtQjw+zda0HgONiXyBATmqeh
bsOlPMi5fFby8lxVuJ6qdQ1V9WpO85yqOthUBTGFcezryX2qSuWpvGkH7c4o7LMbVgOepqF/rKr0
FFcx6o0SGQb6YKCR6ilW0tiXuXnQF6BmiXnAZv3et+KLdpGye6zNljCJof5itVNkjuKYG+sTgQkv
7pz8Mnf1uTSdCELtF9Gtb31v36S9HXYt0tSJ13rJH/JSuzP5sQAEBbVS92c7X89ZfzVfOsPq4Hb1
xxWanbU9pQYTfn9bnzTFuXNhqWn5GG2tfpWtdkT/uWdwCbATqCBLzP2YGrscg3ee6FcTcESvOJmF
e9uU7d3MhnH2ntOVtyaP79pCfK1Sdi7rzMqR42zfiPXByd7FWXK/Gd1j5uUPbqlfEt0iSD5/mL30
fcv7uej910W1SqNqmjzVPnW6+tKolooV1/OAXJWzpJyOw6QjkIrHIEe8s6EGOTRaDH5RtWmtatgm
OjdLtXDDbOEvW5D/IrZ1VJsHXK3dwaN7N9AB1qoVTOkJoc6uu1y1iYJ+UW9G64SW+pLQSZq53wed
ai4zukwgg8VB00BfFKoFZSSQMvehLdW2V9RFBpGiDHJy/86AuntsegQXpootMVWASWbfGSrQxFbR
Jt9+WeTR9Qg9aVT8yQjKIScPZVLBKJaKSPm/vyLsux6cu67A7oVCvCcpsHeCGXDOc2y5GYgqXalx
gcZOh1wpdF2l1RVKtatl78RirrjjNFZK5VlH3jsonW+H4HdVyt+kRTRVym7mAsKt4ymFcK60wrVS
DS/bnCol3O2gFMVO1g+HUoc+odTGvJOAUpUCWSotcra4b6VSJ2+yeeu7hVLH84JqdV6Lqn7SlaLZ
9kt351naJe5AxJr1VuxmiwNUIoXOlCY6VepoqXTSHoLpvGYqmhbwF5WWuhwr5EZNc2+UjFfRg85H
jXCTcFAN9LeF71AJ+jIXjXbD2KOqYdx6SqdTldIJHKXpHhF3p0rlnazTEA2OOpCSIUg+LLNek9IN
nMDMTHp3zaA45HuSNw9cOXUAH5tl9V4odXmBzJzR8hoAqQtjpUAXSos+KFX6rPTpC0J1O+f0kxbz
4GcXxWXqoJCT21TsLT+JVpbzpIazGYxXtuzOGjkOZkjM9ucZGb2OnN5nuXTeVp1IWO4lOZTUMbZO
Kvhaov1TH35t8NNgUfJ+3etfYFAXIdDSBoFrqQdtCcMVdfyBCFK4viifYOoEtsjjlzWp4QItCHVN
wfhCa9IXrR7cME3hUKIXOwnyt89a//iv3vIf9pYoSRi7/XFveZY9s9ov9ZgB2/387/8mbPv7Q35I
XPDyKUsMxhdkmaBqfnSVtIfIOpxv0jA0K5ZFQ/ebrpIJoqOEEwYPVOa8H12l+Au/oyTgsBxUyIb5
Z7pKS5kQfxJqOAhbwFjZCNUxHf7UVSZV29i1yI3donUukbel+wAaLrAtVk6iR6vAOfLUTsdO8Sln
CamSC+hDWmtHQ+9hWI5adURaZR3HWo88jr4rjXXgTGBCWjcFxzOlEcN+jb3yCCSzAJZZeyeE2l8t
xdAE0FEGRfxuVHTNVXE2PYCbekLrSEKODGpSkUHaGcMN6oZj4eX+bgHZ2YLulNb4YsZso0rk66A9
FxCfYPympjNDvyYGuC6s+mArHmgFGLQoXcpdxQpdv2FDDUUQnayRqA99sval4+XBtKGicxVuNOPL
HHeS6yVDzFo6uf6LTOF39DRd2/IiAQk0imE6KprpqrimriKcsp/Uyc+mTqunbu9MRnZh4gDSXbFR
Y0VJNcCl5qYxIrkw5Z1sixeOFT+yKqiQ8I3ACymafw0eKB9q2P6K1T+hep5cI9DjgqLDMg4OV93O
75NjnyE7LYklXxrINIKStjTMu8k14Wn36ZuxbHhFHjPno60j0y8qcZiW/Ivitu5lgsgy84Y7BHbN
cS7WQ0+WTz3mXqR37hAQ63XOlNIA8SKgQ6U+8JAh5MgRbKVL2JRAIRdP3UzGgZsFQkUe4Lo6F4oY
LlUeArcyEH0iEjqiEhqWlKMV6IWMg8JY650JJwKW2Y5hgX9XbdPVL+V7wUbokGmCWSEqFbd+ztH9
IevcmaKub4r84o41y8sinveE1L+SI80kkBivfdPXYr/O89dRE29b7T6mCDLZSz3VQ1cFSRQb2fau
wgxVtEW2sztuY3i+PCXv0Y877OL+fD9MqHRhMzu0AktkVPp0U9R0/rM+iECb7H26EKG1Ir1gfJ6e
WmII9kxffd6uLvQnbooW5hJ9acJclUqZKjoBw68/gTUj8xY6Z4w9KED8mR8Sg4WWxifhOGr2Qza/
S602aMa2PNipO+3fxy2yYk8oH2YHj3co0LAUSNF0C6BayUpQrOmtUbr5te6ER9IThtyRq6OxcuDu
XnOR4GXukmKAzzri8mTIW++qTW8QPdctqmwxBU7c6vtScEdupqyZD5gmEidMBaZNBtmcZHj2gQHL
lgixmKJfd2LIcBoQY0F6DXHZeJyeDT+7mB0SmaxG3m0kTRXkbRYkRX1vWNzQXjJDqc57ijkcD23S
/uLFJCCkoOGN+bCsMLiGFNDw2lRHZnA3oisYdWc2lILJBsZ+yHrvla8yFU73KFGPGbWgbezalc9j
+t4diUgwp+0xM3pGXQV5Z96daxEtLi37kM7Gm2sw5d0oz3fF3PEx3ZZ9UmG3qlLrtegeSiu9qTer
eBaOMrigPps5Dvg0fV0Wn+438V6lET+tg7CCEjfLjqXtrok9HHkCzxq1HmISDGw6zhLgSkWv02WC
590Up9dQxN5/wiX8P8yP74Jn/Ht38O0X+Sn9f/8xfil/uom/P/DHTUxSDMoRBv0u2Bzxqx/f/Qs3
nxKVIMhSySoma8Bfb2IDLYqHnuSbOfW3YlMucKU38T0SvUlkwar/J5Z9yF7/+iamCCCGiwW9bqL7
/P18F0+p2TGb5tvbD0DDG8ZexaiROeh1yWOyeNvejBfc7TO3gSROpRwM7X6qU3nnTMjy9fKTm6RK
F8l8rF0IKNGAbTjGaB1nu9R3SecDoCZugkfwzZVm/+hSrkPJXo6DxdecVIlPxcbQS5bnUcvbQ1tN
X6zMxJftOeQMWG2x67Sa1IKFTs7ewNN2NRk3Nn2Llf/i9HOQ6p9941GfvXObjIfa1/h+5zfqn/vC
D+ERHW1V2XfljY+NEjJL0xvHoSjIqBHhtKZBYhNOkoC4E8PBTeYnsxmviS9Pbl0ene3edgh3mfMb
txqvbe69oly5RVZXOv015k859KVoefcayhVKsTtp5ecSw4HG2LkQ8mS52KuAjfXSoTsfDmt9tiwU
9lJHDko0YSUPlGPHjis9ydaXQej3powPyAtPsUOWFVmEM/lfakCimdadUA1SXt4sTNbdhf88p5gG
WR8z0qmU4cZwaAYI4/f429qJsqfZ68gF1EsAvpGbFMIxQljm8Te1kQYGU3IQgdeSyiElE2D1C1JF
kqDHTZbTQZXz09x/0tXmkiehe8RVLP2VO/mcL1RlGWblYrzOFX7f9FEu8SGPsYTkDEs9Uk/M/EhS
GWzC8VrzF2rZm7IvqVdlpBWD+o0NZ4HCPR7U8zDJBsydo0Vf6g45ZQ7BJgJnqnopiKS89ZL1EacO
0yd50ldMGuaDsoussIutUp60Zgix2+yl2o+m0N3W8mgBOnNslseEkGpIfGTlnU2wivXgI/Tgzwxu
MOVacymy7kNdZnilIFLu5cIKebaGc7E0YaXNyxNSp+QoJODwFPQa64f+auRzmCq4eK8w40zQie2B
PF4rBHm7Ii40VuuED+GugVKeNCOz5BlDybf4C59InmnKuVoXIxO3Vn2vJ4DH/YR1ArXNu95j/ENp
1e7qeH4w0FM/m4t1aZvZulS++Zpq035dz4RHuQDjkjem1FwJ/U0KFAQHWOEGs4EqpxnTaFGI9k3B
2iuFbSeDEqCOP5xr4yYZXDafS3VNGpANzlQll2pwbuPGf2n5EY9jLr4WKyVgl7Fw9EZoprb2DvLm
IXYMPkszeadV/1pt3ps91B/addpNU4cxWpved9I/oP3KDwvTrF1qcLBUCdkztfulGR1gF/3EUklP
ZwSSL6Ldzrjsbol6a3Zoj3mPbKwezsy8loQ7mPvDmTnQEG52se5sJ60Olj4bh3kGAl82c7TaCHQn
w1uIZt21JYvTJPVN/Fnl47CU0yWZvMeiwbI0Sw2joR3H93LhudmbTg3QPhmJeTba9NUYxdXqYJP6
5LnUl65hdVWDhNRWa33V3TGcyvxz13viSRfUzlIp6fpaeywSn3nNtLHqyM29k43zRzGF0sbMKExs
pXl3ZeeBzlijfUG2CjEaMdjxX5f0P1rCkjVEc/nHjfJt9nn+UP51IuX3x32/o/FLC0WQQHNjuPiL
DS7BHztYEz8Ie1ZuaNpm4BK/vaNRi3Kf00LDYhCqVvjRLSu/tM2O/hvwwRTWn2LmuOoK/r2rgTbZ
UH+LT9QYNcHvr2ikwynX78pRAYrcSJyoE+OhtfHyqR6vd6Ph/7N3XruRXOmWfpe5j8YOs8MMMOci
vWEy6cniTYA2vPfxbHM3LzbfLnWpy6g1R41zgHECWlCrSDGZGbHjN2t9K9XXRvFAchR6OX/BGnJh
Q2po7+a2hHTQbErDZGjG4IiwX/RyYaMw5/hpOx+gfLqa9UdHyh019kmY01p5fzHIXZYzVltOkgZd
nQOYDKlGWZ0T/kb4azNvdNzItbIlk9/bf6Z+dGtTMKzzlmVAr3zMEh7/IfSSxxSLc4TV2Vee53lG
JjrnLOngG6DyKLK70ECYYgufMjcc+gvH8p6RvV17yIO+++yvfuXdGBZF1S9vpq1c7A4iLNbrP00e
3ERayPxrglBwYZmJjs4vYqkRVNatbdSngv6CGOLn0SjLfQm3FnBqvEq8AYdXSXaLX0e3sNAOUd6Q
2pYPR4l0m7rc2bvS6lmEUUQ1BrxRvSFVIkB9SlfxDJEefIQaeAItKhYSIM4is2ZEevF8bXruSygl
W2vZQZm3GMWmDOP5FLNj0OH+JtsjX+I5fikcTArVSMp27jCzqA2D0bUBItYpvVcuYZ4fHUsVjfZr
B6wfJyfNRxevSNsGJh2kD7nMNbJMsxamndUw9Egvdbf/UkKJq3lzSegYN5q0wgvTgQaXhazL3LA8
RDI418A3XKJNo0zcD+y4+8nCUfzYUhhkubyTMeQNQztS1y25Wu7MyrkrNO0tCszrQn8AKIIwP3zB
LnQ0zP7GnWOcldHjGFhLt0meo9HZdLW+sMRwFiyGW64T0HpxnhxIMdonkX0xJQUr+fSlSOPL3s2e
K9ZVsm4PnT+ccxzdKBKOQ6Jwu8XWwwCYufUh76mpgAt11VUYbnnDV7oll35Zbc1xXDssKbyKgox1
5Vxo6yx1N2OYE+7Mc7+PP6yyvdeyL9wxl5mkqx2hAegjgUYYjuvXHAe9jEqq2H5ZyAmhDssSZqqW
rt1aw/g4kYJmm9FLguBnfIvsdG14+RXDOrSuFo8/N7APsavfZKZ/iB1GXp44tZO1K+dyT2GwsZtu
5TsS0XV8KXq6VGJTcddbFdVJKKnXiu3gloyi870rwIg701Fmn418G2JIGyVBMmRWZFrKxpVkZQbW
UxKTzYJdiylIxRKgoXEWaOdkey7RRRgR1n1s/QFT4yjDKa9rB0e6VyyPr5Lhdh4MxnPGzuD8kZO9
JxRkHSX9ksnKag70TRKFD8Be90XEZtEY2DGMJmOosLsaWLxt5ng788NX3NZYhabEw51fdZu5CYxt
HZfXcdeNi1TIAADEWbBq2Tl+MZPoWrJV7FXlb6UEuQVQCScn5NVmlTo63H2DdyYpnueBjBvYWacq
M2+suH9vLDu8FZ5Glt7MvtbGGs1Q8bfj5P9Vj6UUNs+3f/4sff4f/72O3sKfut3fvuvbkxSBqque
U8qn4Bny97kzFgpSnX/8k390uzZh0JBKMFjY5EF/9yRVc2ePfFT9t7AG3fwr3S42iZ9PfySyPEIJ
mUbYahIP8eOjtPNnvYaKANYgao5RSVgZ1nDoNOzK0UCOtAdSrpgiRkTzLEZX+qu+DDd1M99bHnqC
oYxeAa7DjzaXhqtdZZKzB7kEGlsgkZi+c3ASWsEZJ+xLIxhv1CHkNtGH4Q03tghutHkVJdNxU+nl
U1SP55EARjg/yWtD/GJm+Vf1rgyaJzGULEjzBJVplpxsxoat5uWLVlYwnFPUN3ECMmm+9XPtIcJL
V1X5l9By9pHOmGxq6QIhyiO75yun0tyKdMB2XRrXiSu2dkbIpNEeNE17adRXkGaYLe3q3kRo2paf
xRx/ZsUkFgZh9xFL70JQosvmFImUUPv+BH39mfXpKSiZRIPyW+m4x/vJvkxke+hJYsDabFKx+yBQ
8l0HYU1j9+Zb+cVU9jfG/CYnMo6y8aqMP2FdpwvZ8ert5K7wmcE1OV7ASVK9lOYbaUXtIdH7RyIi
biMrJTkz096mweGE9D/M2Nsxuz/GBGog+dcf7Nl80KgZ4jG5lKl9mU/+Vdrp96kcbthHAsUoNuhv
9g06C6fx+ELdplsoOhQIzau0kmdLszCyDidYHbeRP16XE7u4gHagzILr2mH9MI53XDFs8KoLg9ce
jOa902ItcIcbETiXPW5dbwRHol1HMwirqEtfbIbrWNbZovG4QhFGbh1u+jA4ppjwpNngSulPeF72
03hnI8iAc6dlDrPwprWZsEzGxYjn3ZvleMWhjDuwBxJfE/kUV5PSe7HjQJx3UU7Bh54QPeDk8R2f
8sK3nfSYT6hCnEQeBqUqSaJiazgBMBBmtJdd7aOdC7oV2/KMFWfoHjSMKRt61cWgJCsC7Qp7iye4
9dsMTUujxC1DB/iiGthJ0JHuqEFIbfVEvaPYmRclkRzTKPCA1HnFpzRuSkqVrUeoBe590SG6pWNy
LLNZYfJHmwripSumjkG3JFVRx+kaVvqLy5JqO8DFIv4PSVhs21g1gmEvw/Tc9SHiAoI6lyYZp8TL
6hvx3geEgWZDuQhnCxqJYDaBEofwVrK3uMWXoV+fdc2xVp5G4lXaNinypfykigoWphQco7fPcFbE
prdF0PLJSEqhfFJ963eTc4m2pAbXqBLu4stpqh/d5CiZv4OtrQm0DRP6/+aV/06mJYiqtEBsGd3t
/cGYV1qJGmn2d0Fg1GvdyzBeEuZoYQglr3Sbjn2xqRQ9UaX3tjlXflxW1b4q9ftItHfIKEHDKAp+
rXD4bZguBzncGUaBbMDZt/bYXqftR0c0+ZFnc7ubsVxPHEwbfaoklpxF54u1Kbkm89EtVrMmL62E
VMmBa6rPcOBaCaN+4kBbXGS1SgQ7BBWPWU0Mz3MVuZTknx2RiitvmJuFmC+xpcvVEODhQgjxBfXg
7UA1RTEyk/GF2h63sLokWK0vgYA+6wmbOapqawabJNuP2dafmmzEsxYBmHQioCaw8xBrlJwkhn5T
aRFz8ILtjiTkdKgftHHayZbByZiRyauHOlev3j9InVJbC2zKue6Ze3hjhG6wJ7ADh1UWwPUGDFUF
BQFQkqlS6j5VIZV8HGDhGTz5FAObXDvJ9JQZ+rmRgXfhaNYFwJD3saIQdQpcrZz4pR9Oa93gwtKN
9LFAlorHLLyeR3nVG5jIBrshlJcSidPQ3rUlpeaT5or+UOhQTQUFs+Q5gHbqPEKCcLzChPjsoYlv
nBc7jrhgAgTdpRivNDs9FWYeYy1v30nye1VxxHlXBkvGXY+YRU5GpmE2zhlPhYG6eAjjXPRlcWk1
j6nw1plJ1gMglL1d9YCIfDkzO7HevChcJhkW8RM6ZLEIq+Ez9yF4WLxbaeftJ5dlZBTGj7hw3xli
j9t2Ym3HOkhfZU1E3CumsFAaD8xnsKzpxKlgB1hWwCwa0crjIMIXmgMGL23LUUzHGY3d1kK8vxoH
RjdG6kigcSRNM316JTyUuAWAfCB/ApRzxDVKBznxCF5ZBvm48i0S5/BN0bSO3aMTIlXoo4gQXhQ6
+fQU28S/TOIWMMwhb7dToSeIuPigePLRvJX2Mi2tG9Aon4lu31ZYN68wf0+rSq9WvRY+taLkamJT
pLVBfQaUuA51bx0U81mI/GJE9cECugAg0AIsyYydPeh35Hu+qxNlUdX4CGl9712MhalyGKZVK+iD
x5NU7sMeG2KIHbFUvkSJQREiz8mmb7wIEKkukwcYMbryM1oYG1OylfMwvLWV49FR3ketxwU5c0Qp
V2Sj/JGVckqmMH+WSJH4RYlH+s1N6d1Xvbavlc9yxnAp0BqjlhN7XXkxdcg+6/+EydL/OTARFDcU
pv+80L1VCJHP8KVr/kC7r771W7VLrYonC1mCSc6FooV8GxtZsClBi+LYMg2mSj+sdlyBeP/3jAS+
6dvYCNQygygdicVfcwuzO/q1zgVvipofwjIKEPXzv1ftDxgHMbaUEstnylI7xzlfpu9aAK7NpYhc
tnVLhWsTeoi+wbUIDhzEfUC6F6i5lga+KQmBxQM/DJM6PULa1YhOnQJ0Fc8sG4oCATwO33kh6uSt
qYELFfHeGBrk70RGg2Za+cUUrZ3B+mzNaBv3fQHjGTxBSlRME5r1Voysh3oqikXvE/mr+FEDCmwe
z1867k85gInHM/DaiPg2c9Mrw8UZxAiPoNAoOzgp8X+SIzXh+UvuLgVHWkEYHpIrck93hVc38Drr
fOmjRkDUNN/XSNgR+9rMnMUDdKwUlBcn0ACEoGsLohvdzFvPmEo9h0lyMOC9JfqnSv3nWtbGuuHl
5LJ/BTqMaxVeJ0C2noiscCbLEjFpgyu263002vCkom4wt3o/s1qSa9mohUKu9GP8kPho9kxPHKKH
0hEGdtsr8ogLgYT1MXbkGGCAU63CaWq2dT0wFZfZYXoKYj6EkZhN+G/jYycGsn6vOVpfZG2tBFne
VHtaCWtzFek4ncyCiPImK86Z7WR7H2SHdASvwjeuZMdyCbczjJLcri/CyXkgknoVDQ1I51mrliUL
60UswdQas/8FoEp10XY2VwYLqq7i7Z59hORteUZhjcDWl3jbiB0W4WOUobxMLWdT1h1xkmN7EEzj
zeg2SEN9yzRQW6ZpfLDdAaaE5r6Nmvg70OBt/K/BB1yYdAqK/Hug9R91eDSkXPZAdzHtf913fge0
NoOxalFHSoqAqsIubp/i2EywWqdnH+oiqxFiunMdmGQd3PdcBUmbZPsgW005Wx9hn5Ac5EELx1Ti
DKxhYsw0U7AQi5Mowk87JTxnmLExF0cvquXqu2PmD16+Smn5cTxpC2kL+mS2xgpB/FOuiWvkEYwy
xI49t5DlhEyrAp3WcJDTgcQxcoRYbnmjTUcCTmoXK/CU9e7Zw6mri2OFc2zKh2vLAaGB+NziSeNr
O6FPJ60EQN6Z5nuFKOjSpjixuBj0duZoSCPIfFEL6nUg8zU09C8ZLpeFExaCtAbNYZZmALdSmVGl
d35iXh7QszTaqh3FVqiMKV+lTXUqd4qGp1+ChOxWhgqlUulUCTFV5MVc/Sc8kv5v8x6jIOCK+JMH
V5Gy0uvqXxxnX7/v21NLKGKFEExa8HOR4/PtsUXKJXB+z7OZgECgYKfx/bYDcjWrEKnrKA0RIHz/
2AK7wbFo6FiTIWF5f2VG8/UK/+2+/qpjZNUCutYWvBBDKCmierR9dwNPYV1ITiZCV1kWz+N8OcR9
dAph5MwSWI6WuMlixuR1UTZH+I7jclJoHR5vnMYWLVJiAN5JFYInhcUTw+QJrXraOtGMncgEmYXm
VrBK8V/nkCXgxFi47G7rjBhCc2TpmEsYji26vV0SmeayJ2u29/VhOUcOG2SLWIIg+BznaTcqMI/Z
g3Fk/MLZbD5+98n9wVmgNJo/ngXqnSDmyHYFGw/oYz++E4mbMpMqdAN0RZGt4TN0u3yUd0NWaQut
7MdVrcA+cH0wzg3rwAD50/iTxNMilmHC8xmtOb64h+YrJqie92Ej0lWYEJvg9kpvJeqbQXbJMTFA
DdCQ+9ZtyYFXKRpQ2cAF+vNfSK3Rfv6F1J5MkiIhDQfI2o+/0D/ydGMMPQvg0/s8owrWW+OKru+g
Q/mMbf0wJ0OxcqbxxiZ2989fAmXWL6/B4fJ30c5wuHLSKr/j95dXK1nZoi8hOW5mAN/4Rwz5h/QW
APG+Nb323CTFPY/BG+YUw1af7ENf6v1lGKIhrMZN1sL1cmLVo/IDIPQoeCRzsCFH4B4k1bkqrGhb
+82HY1InseKXW31AqdXoN12EBCAmYhqnUJfgZkmYBxiP5Txrm8S9Q6BCALS9cdGiSz27h6Iid4ML
3aWhE4RR/BpnSG66mNzrqYgf6iBel3W4x3fpwBGjXSh1BBw69kXpaMtcYPRgdDBbS68wEJ6xSFkG
vfNO0DRMqCAh87BK6dQ075mgQA+cUirydY9dBLPjuRxQ881W6m7buf5S40w8agEOkSLfiAiQMZQl
iafC58HQkgLuJy4mLvsA3v7dop7gN2lu8qG6pIG+J9+Ch5lioyYBFCqtJXuL5KDUbFj6ZOz5fbLQ
58S8tgb/1Ysdpl6OfBS9v0E7A7hN04t97kMR7qhlosG4GcOVacXmeqrDK6Mc8K830z5TsbUYBoDj
YlI14vdeqWoEOYRJYSDLjctTJdoENcx8pLhkETm0d1hetnJE0kQaX7jR5XibNvknbI37rsarmlqY
q/uZzU5gGadZ465p2gRvArLjtuofAa+hrK/TLSfjfLT0jd3b/W0p6xXNNqC5MQOhXOZiY8DSZIRn
3bUDYx6rwDkHavWxQmOyqHALiagSSyvNPvyxSMAcoDQtFDUuz18TRZHrHOCurs42UcPjMsb6JvYM
bWt51ZXmd8Y5NNGdBi673j6/jGumf0lEsnXh4acEYodjqsfO6F99xc93APTNmR3UmONVd0Hy1sDw
dAEVD041KCrIbwsshrz1ip5XRJyBvsEczlcEKlyO+XZoqbYjxaeKFCxZEasmxa5KFcVKKp5Vgadx
PXpOdeEN03BsINkgwiAAQZGwYsXEShUdS/PhZNXMuKJ8KC5KG2lNDySN+UYy+CUwX3HVAduaNDSZ
1MUx6eGrJqe+i2ISQoVidFmK1pUpblcDwMtUJK8Qe6Yie1W46Zepon0RIastaoCxrWXueoBgmiKD
NbVIt3HAR6aoYY3ih4l8H1VfGjbDythnbFtMOEsZ+GeOethjhmaz8xUXDlgyhKzFKlcG5Fgxy6pe
WCi/p+e4tOn/Z6o4w0iIeOmhndkFoFAg0u/l3FxTVj51IzY5zJSXoWKlsRIjb8u/qyfgQb5n27u+
D7BBk1s7cYFnSiCNJnnbo5hOlXQ6REPNCEMu64Z8zrrMPiatcTYWi4OoeLNvuMpzRhmwO77KstFn
50qojZB2MUUs0DS33bhouS0l6u79CsBMxW3Sdz0TjkA/5cUrTIU9MgpUzoRGrKsW2Ifr96vQl+ku
4ykMuwIYccE5YzdefJ0YbK1FciEso78MKm0Pas1ejMJi61qw9WYnGk1TtTI0664o4BvUE8aYDC3c
QlTxiuEeqzyn1i4Ze4b0ml6z9lIQTagWHqMRexB6Kza7ko8x758m3qS9XWqvlDnMkCLcz2lyEDpM
9ikGYJlPpfJ1Sbq2btoBjn7WHErRzNz0pnvDSNY9VIn/EorhnQBmUDpJ9y6j/qJszXkZOKj26+pO
s1BCz9FYrzBSrwt32OkVjPK5rZ7nkF6aQU23Tua8JFwtenfoPDieUQnkWXVmf/kxOsexZPUokP4u
+hASEB3HNVhehoDcIrBeSCcdu0tEz4jCE57EWRtdOUmFpNvoV5bAptW5VCeSl9NXwcpnorkw82le
hY35OnjjS4K5bBmYbb8WfSk3VjFHMImY7bYzNbg/sTotJn/XlIWBNrB9CT3vX5AG/+t1Np3dG+G1
ML/C9t9265v1z2Feahn7+1c0//b1j+kFVy/tyw//B10JXpjr7qOebj4aVirfZLHqK/+9f/h3R83d
/9KfIxmKfFd6qJ/x9+9ViWT/7b8wQRqm+edN6ddv+q0K9/6mEA2WAA6n1Ldfl57fhkdsJ9lQ0v8p
i4ytKKb/2JQyzKEmNFShbjs/5mu6ngB7I8HQUjZbf0lz9IsqWO1JQfc4vBBh/EJ9KFsNA7qEvpxK
oOqadQB7A/kAaHjjXiTYvwXe7RyYyXfv0R+UvL/YgvixNtN+qkOB0+grjOK74oyRtbChD0kmLdlK
S5gmOEDiUIj6XMZI+o9//uPYMP9cDdpEpQlqa0Oq9bPSWX9fDRpJ3dqTO1gL4cbx3mpLbdEpPeaU
hWwqDRwaufaRlKW7EYnbLDNScEgLh9vTTdE7h8mwNNKpWcKgV7wXB3oCIdVVv265fZeOYsN8hAoU
MypiTIWwP7CByAiFkzFSuU1S/eTDmWEO3l7lWfIGE7xamMaVB0s3FwI9VMnoScFqqmGeVr2F59yr
aVL4hp3RqE6FRGu7ZJNiaNO08dPxOjKJPqziXG6FbpcA08p9Cy8nMwHnKKulTvgh8l/7aPnFW9da
r2hXFHDHzWCnB3F8hBeWP3mThCAUdWe8fiMwv4j5TbY2lAtaC5It5n19mwkc0mWdhJtsJjzMackr
iOG3Jdp14tivEYWK52MpRAsURdq1Ig1Fs/+g2EVJ+9zyBFUw2Tb1L1K32g7Ic+vUeRilfujC6EDF
gM3W2s2BtSNLYj+TJBbByau69AIp1c4X4UGvVXzDLuFAFKMJDyjZdVho9bHZV608lfjdC/9mZuEZ
2cgxa/OgJxpBBMmOicXW788TkBKGIGxAYSjFrzUJErzmC871TZHZu6JLdq3P64S7V5FoWUUhgeXa
xonFliSPZeXEh9K/F0htNATpCJ9itHnEyl5W5bBGAov3S1Up2O5hH7gBwuOKMgCa1dDtdHt+1DzI
vGHKb4gZPCFenT/f4HcjM63ffJU5lfZtGuYX+RQcYCbuhjhe1j0gZgOLjcFSlXfPRAym1cSMl9mF
E/rrdKjOvDMX1kBx5IcHp7iadH2pd9pNibsrGcrzRCgIU1EPdjrMCs3TgN06CHJREOSLsOmjlWBO
Oyfv/ZTmy35C/1Y5lCgQwZaiRmwIibghVIB9ruZsk5ClRulkgKNoXqYmibaRjq69zPVljKP3qJlx
yct2FoW0qAPn4V3MeH1Rh49RfHqlRHnXlS7J8AW+AOO9acbwZJTuTVzIta9ZbEKGBeEZRMUd0sYi
8X3CZjugEQsPWfMoY3uVO/0mI8F7LMKtClkl7gqdb7zLQJI48c4ilKPEWm8Ceu8SBd01cWfxgdq8
Lx2ifFRQsGUKEAYivaCE2aQ1MuQuAGDc7CnoNlaHxIh/Vv9LiFMJsaJZ4bQd3WCdAy3OQUb4+Sbn
XyNx20id/2ohVg3gxQA/VKOF66IKFnFGKYQTWsWAEPy6qaV9kMTgYA0nOgJ2S34E67N0bSI0iLmH
eVEKiFy40MXBbON1nb402rQyOkleGKI2z9+N9U2Jli3mfcqtbi3Ds3rdUeqdcFSDvUiIrEoJjFjZ
odx7aZUtkrzIDyhlLu2Z6xL53KudRcEZvMueNMD1XNxEhFelD4WdqJi+8iqLw6161Ui8Nyl329QZ
S5IEDtoZCsJVZ2QXZeA/GGOPD747J4U8uGm4LbkJbFdbSLRxsEsWEwwhWu+SjWMXIMsDkjmxLygq
0GPk21olB2tM+N/0Ymf5HhjusjPxygsUo7uBTHc4cYDFh4RJR0RcQa7xDwS8GjdJY2K0MpCp+XG2
9FTOQdqKaCNB+U9DfqfGVts+9ffYKE/+OG/YZZ56YACFipFBCGfXHA+pi8VTe+z4QDUI15Y/rBML
xlquvxFgc6e13TEY0x3X5qGtvbuxD7Zt0C2zHpBEMj/JFsJdoBU+7rP5bdKnFVkq+C9H3JXy4Hin
FNpmxkUWF+G6zjMUCtkuGkA8MF0wvxQ64T7JhiZzYZTiFAzORYzBDR/ZJgXLIdJ5pffYauznodc2
ZUAQ7wTJwAKlHSwQRmzCFkap6C/9drxs4mpjkztQch0t+mFPpvw+KaaLeloPZrvk5lzyfN8GmDXY
6VgQnqGusX6hNXfZHhT4SR3OQILlOG5CngVpZTQ7lrcFNnzkvnI+VdOIyrRLFhzKVO8mtCMc9Pww
8okcna0BWcQxZwk3rm2ScFfEz2XosiCi/8tdqAtDnt4bdXTqgk5bTj2zt8IyRzoTg47BG3e4A22F
fZpXo3Fsoup9zq1m6VQM+fJAO6DLsPZiqH4bEf3Havr+9Xr3f9Nyll3Dd7XTL+XsfR39XMt+/Y5v
E2UVKGaSFE/p5qrC9NtEWYGTHR39HuJ5Jh6KRvZ7LWv/TUErTccj5UANlJnEfVuE2n+jAnSob/Gq
/qa6/1bM/72IpA/4pysh2/q1rMRY6jl4fEilR+P409xxKKopwgqO5juPPtsq4LFNiDQxMYwwqmA9
CqYko2ctoym51pP0C8T3cId09sjWHceIm6DhdbqPNhQ7k81Rk2psQGcKL9DKDGsqa19q1f2kR29j
2mzHxH5wEV9UYQYGgiQHLLSbTnPGfdzLXVBxFrqxhpMb4zm0XfxtEUmPzK6vBZaWPellMRMJCA+p
DWgZG9QYooSOVjrqwwW88s8inHZRIa7TKnyNYN4gxaxZExVIiDjzFsIJQli9a5bD+wEgbO/js8eR
ddO4xYMs8usk8BkfzIu91YEfnnoKvhI6JhpFFZlgbjTbP6chg09sgOihMVMX8XXQKSCMsYLY+ByD
ais6etdIiGk1+E5HSmvOc58AMWrthmiD/Dj47eNEPGyriXAT6d5ulMbV7Iu71BjIvIHXlKBKT4SD
gCcFOSxODnUuUA72lH1xEVQuvCWDymbMPBRqGYNpQpEuUzKPdhNCiQk5W2/Ya9+lEooJah1Z2Olz
+9no4tYb9MeMImCUkLN00JEZXDrQT8UmEcU2nLtNG+Z7xtSks5ysVh7g0LFgGI3bqbLDRYHcafYg
JtZdf5OaE48UsHVkGoU9s6sQ2d2EV4h/8z75l3r+JHJt21Po1X78FAQhE6nko5TtREJZeEhmOCkT
T0XfHlZpGz93OqanULbZwqySYyP9AQCa+xm0zp0JTW8ts/oeVBU6JaYyvmegyW/46KEED4tAp/Cg
dFhXcrodohBDY/ViDuanAzlr1ZUpbJizW7BgjQtBKd55DwCfTiRVfPQZgilwLWrONZ9npHyQfsgo
K8msbyLrVA89Ljjnzc6NDVyzfpFUPDr6odz7brGhP9rGY7wPvIHKh0ivQLeeCKYEQm2RvMMugadW
C2jpnJQA5qoJlP4ERGFwH8OwRMSTk/VuIUWnZFvqOOFXmtziOUXF7fkPbkaIrxvd9iS3HJB3epr6
OGZ/WmUJjhYzQfWDMbRACxSiAdOTL61Zn6nAX2t8hEMu8Uaiil9hZEBXPnM3+Mk6dfwINmkQL3MF
QsgINYbiZWzt6MU2EKRSVYWfZXo1s74BFYCXzSk/RENiJhrQY+GTcGkc5+g0+VCTllr1hnk9sN5H
KgQPb0V7O7FAHVeh9QUsjssbMPNudhTB9UOX3AjrwsvXeMgIPc0AxHrkVhtXbXobt+DeDi7yvnJt
EIpqA8Y5GeJyKndDuTadbaXj/OMju/IpODPSB3tSzhhCCpgSfZyQa3HWi5MZPagMhMQ+EVnk4PAc
UAjbza0Itom+MrgpnPpSL68q4GvCx0J4Wbin+eTrMXNfCg0S65NzMN8Y9skw7ufwdtJvRu3SyK5j
89TUd4G7TZwbNzsn2PMaJAXVS8X39hkrtp6ickbZhhjfRLD34dpXYQQS+3Uq7hgijsaXVj6NOBEn
860ILjWSJ3iZ3B/eYxXf9N5nxGVaPenZvOyaRxdQazy6q9R4CuUXzWMZt+rbzRS9BvJmQoHbU13j
OUJ0BYpBn1EN4ouklmZEgNAY9YhOLknUXPnRwdHrZRQ8EvGIfpk8lOZR1d6jPgGUKGntxAFmpEmP
0zofDvEpM9l1Ab/7YK/slg8ZRrwVPWioMCEKr8eMPUp96PqTPTTLlPxcF79x6ZGGEabrDqOKyVdG
8Wvcf7QM9HIPYLrxEiAoSI466pjgpmMBXmLKMJ/c6IgtOTHunOAYhy92dRm15PZB+yCXbaEXX2pQ
Do49r1omstp06UYHg8s+osUMGdgGjQdPoN/gy17U463vr73qcfChadD8h92lTwQwGPeqv7EmeOpo
HWbSL3MvW9np+5Td2qSoQWJZWISM80bl00dXv0/BbQU7JMCcqVd3BZNUF5rDNFGAwZSf0XMwiUBB
Gy5T857QgUVePOra0hPFssndJemROGjqZd9bSDyrjY+gRbJZSYEKGlGKrC1GJaQx1821NajBpZnx
O8oG9pIajFOVB6wBR5qjfNzEIn93e/vVCjAyOX12iMrhozSOXQa47N2YUeXZpnomtsGrGKPryslv
dGSr4KJPY4lqPK9jHC45qmIe7UscsvBG41VduN0Oqw/ZW3EO/Q4l59DxtuYsrKzWuC65eDCLEuEp
MDItjXZd9B2iS574i9Ch5UziZFsZGRvYofoiix4niXs3kgVqcE86Av0QumEjLwZE+jx2GV4DIfQu
G3Pk5Ki+4JFgqh9shXQvWdWuhQP9QRrZIkRjs6CXIabPb9De5uUyA3OYueBj/HNNnd9n1nVR1+cw
c0fqcZNrWCPil+33igMoM9nZDYKBvzPyPgY0+wmrZEzGdJiulpx7d3qUqkDQxvKDVQAr1+DD0MNx
VYXQslN1Xs4PonMfsK7vM8dne5fb0KImfnNbwyXAyMkEYjPXHNf96OVcETp+Ivtuno2z7NJ7fgSS
6QD7VHGauuY8Vd3FYNRvQJOhbjKAd8m2w/pfboZY3lLrwUahUeCSax2b+7ioYMRN6VNeFacsSk6g
skliTcrLyG+fC6N9ivlr0znlF73yXhphQgEb88MsZnPZAGMtAmyL0XRnV3QJqSDIs9Q3QdPcJm6f
HqbyIaq5/avYiQ5fy9//3yX8KfDYlJTO/1x98vDSvf/SJqhv+a1NcP6G5ZJpss1MG6QwlM5vbYL9
N8GYW7DWAjH81QL0Y5tAfAqAKxVKrPRe/+gSEEqK3zOOTf2v6E7sX4UBcPVxINGNwODXxU+jYLal
GiR6SUvQi3SP2D4muWkm7tCy16U+fgQeirjGzt11JOsGCTrpZ2QDY8NkwrUqXCffdMpkwhiWJnjW
P7SZ5qDo2bNXEb7Nycqmo2lp5E31AisnXNE6rV5zAPNIntnahQMBIREQVRmdKdkPOvYVUAlsCKXf
85CQnqUGudxXhvSPEJvFXTDJfpUGJJEQO9RiXES1HA1TvBtECwWmZM9URu1WMppMvA6Vf0aXU0Ax
5pQpzZ2LOs+FzGnpMN0timKb+fza9R+FiUHWzp1634v8w58B/xgIjLV0M3d4+IRfg/l161U/0Myw
9v1wjZIr4/cr5w9WAZ7+i4YVbpNHz2ZjoEbKqmze38/mW1nman1L/mJj61fIEAn49Y1qZdf+zRSk
DkB2oKIuu0K4VcFFKvULP4WNDGjhU2REoaRBc1f2hLZZYdvjFDIvirk/kX4l4HfuXUyX2//J3pks
x41lZ/hVOrxuyBguLoCFO8I5J5mcB1HcICiSwjzPeBw/h3f9Yv5ASmWRVKlLlRUOLrxRVIkUMvMm
cO85559kE11hJjo34K+hLkQhGZdIT7UeQkqWzkSf2RcJp3OfNGJXe0DIRgmsHY6lC8Ei3eaVxIJi
FaQhML5vhssB76StnBoOhb1ehAOzjkxaR45UYOkMDDJj8NApJ9quXG/deJkkxrXGZqnLkUSQnUYy
L7w5TCSovWetlkINsBd2UxAtKbxwZo3EjHoYO+hMwiWHEQTWEmdHd0nUFadvqZwY8Ik42mS19TV4
oeqoHMITr5yyPEShR6iMwyFLIvAmzgd3VgbRLpPNlzIc+nXixxqb/HDd2bhRZF6IaxYMpU0C3rsi
7bQNH6y2UC6ssds1ESVvXgM2OHb6Sa3KkZ4DyiHtYz8TI+TZrvHqbVV3kEQDZ5aTmFw5FlZQZoy8
SxSbMUBihljTOE50Cicb+kHKqWAW0cVYaSC/9iU2IOhSYFjP1VxfqG2tHoE6w4znvC8zvTnQceaC
oczh2dmiX6t2ZR7pmX1v5OmtG+T+8uOYkiTn97V/OlYcu5adFcQ0G9wBA+QLm84aA34aBR+HL5kb
q5h0T4KgF0WphEur9o5qv16pVlAj2sD7uB5Oyy6ID2RrHyvudW7qO9Msz02PLq5xHUbF/l0RGcO5
YkQo88lbBVAWFCUjBpQytDfuSNnOnnEwSt3H1bp1FvWkz3dql9yy7tpKmCmWWr5NfQRvRRLfuugJ
ZuiscPqURBs7g1wlDNgWT2Jyt587XZ1uzE5+RLgB3zYzPYhVYPPmYEbUHT3weIB7QJwiKZMneJwu
iHfNkYCQQ2wWgq1HkfMM852lDcu4wDhj2uNAvu2ecTpBuJWL4RSZ41R+0WQ4UnH/1PkSve6ihGh+
lgXmgxtuQuJhDxIot9Bwwl0Teru8U8Ci9L5fNM0kTyn7miKV0B0ffsIsOENwzHPa+fcO9NvMpQwt
bTfbhvVIhS6Dtd05H0Vj0+5mkxWX8OxFB9/Y+FIDqCUxkT8xANzSH8LLTqyVRsuXmaDTD/t6G3bK
SVTB+iu6wZpJJ7+Jchw4vNS7Aij5HJTZbZdzl6dKTjxRHzhH4P8ByBhz1ho+cO/KUyRt6ryq4cRw
PvmrelS/GLGzaXXlOGwelE5ssefBNtgFeCpwFoFf0d92tW8t4iCzMZfFUQhfuXZeeml40unN4ViW
yEAlhFpkJrSutqZtvVFVtxY/1FNI6sFIXZh6IwP/AtaHV4VENnV+P4+wlAlbycTWsCeItNmpgwxX
epwmy17hNascOpoRbQydKhd34Ajn59BcWFmOV01k0yop6kJvWepE5u4yy8e1KNKC7cy9yU0ftrCV
XKlah0rIl1AwmppprG6uYqwp5g3zARCs+iT1umYWQzucBVFpzzGmOIx1HXN/SO9zVb+u4/RWSxKw
y5GlUTGmh2eCXkbPGf4XMTIeFYowZ2hLgr0ImFOVc1jZLfPrXemrF7GKNUFdE9OCzXEwk+EhyRpg
Jo1zpfgl4ZyQG3LywimGV0W4LnHs8x1jkzr1Z29wrv1KORj6HKcYkBBXXoUVlytlzwxmQMCUlJum
kxeDV6LWTYsTFbkAXdeiVr2zUK8wrgbgEPZ1lJMXUCirlmhNP+6Pa8Vb+TpmfEN/iM8GvsZWWR6I
us1mpeFckzePBgnVYecm7GIPajgl18BoT/0b0AjcC6hDMaykpwZv2RopllgTjAOourBcvPDUCLaQ
n9wmRXtIi90XBY1+YR7I3B+BOJnkywcx6Q7SfCBOVZtZjo8pr4KltrubXkXp4LwrIp/mJDxe2r0R
KBe1kc5l3C/7DiunAgmqV9m0fyoIdjmZaiHdZZIxGW2JyXLLceubXlpynTf+lzHCeB2Ac470gZj4
MgDzUhj+Ig3NVmbpjEdh7WnL1LopohxTESJivNA/KLX4DLO/m4DUs0PkkcEJt8AGEv6nqEjlCeYe
ZXNSdVjxVD5jtk5BbComL5yotifqKWI0s84PJtY+uo0QLRgjV5mphwRCI0kwPH3uyGNT9R9i0uTP
BwbLizrJr7njnMNMgAIGOc234nmL3DfEWuXGwWHP8YFmNEIOTJXhR5ouapMXyBDZIQfUvROSU9km
o0XVCnmcSPcjXtS4kqPdOLHhNQ0BaL03NNsod8h8IyKskvEn3MD6szYzakyUeOQq8VBrpkcIqEZA
XIbLdiyajxUFVe9a+gXNd2yuTLcxrx0N5W3ddcVSt+vJKAXlsluEPSQpPT51fFJkvcpl9OtmZ31T
HjnmqV6MG2GWG92JItwemD7TgWO1JLjTdMONl6PUDCwPPayPkOZvxjxP1uRuHyFdyFaKqLtVSB49
sjR2UyYsMRxCiyeCIbdy5nWlvzHIMSW9c4ZpZXqcy6FaGLKBEYzclwCnjeLaylZXIAkMYUJDFwxi
1WrXocVJg3aFQWcHSCukK7ay1e8gsaSbQbbXhcemn09CPhKeEuba1QEtJKpwv25gGQr1MCLcHQv6
/CbunVXXhds4uh2c8Tjx4i/MwtdUSpLsHLiUvpqdtP5yyPPTzg1BqjMNerZRnYjIuypAUNO0/zzE
8RfB1BlAMGeyZ3wpCnWXBEfZyE6gum2C3WR/iC1UTITuGdS+SwvbyNhdSwfjTJMHFJUiFXOJxX2z
tOLslCN148EQILHgKtXrrQGo7if+BTm492V4lZU2UulwVxgg6EqdnNWNwnQm2TDu2BhNthO5h9+z
u/Pd5CjcdkPpLQrMO2ZVQl+dZTtscbCI5x3H5baXLTb1GItr0YlB9UEKxFlS+vik94elYl85ugvt
NLvNOqpMQ8dYrLxIoSpoWrJI8rzBLka9J0F6mVvjtjOB/qetJ+8S+AbYQLvgC2yP1LYJr4etADN4
6ZLfGH5q+FbB/69qnP4Z/gZAjsYOgu6SZnrVacVJ1zFtStyHwrIvIqjn+Lge1qn1gD/fwiWG0H4I
arFBsf2p19tlFcebUMK2SKu7BHnQbGJNu1l1FCKX7eEjYPmx9NIav/FsV2uLqlnxcENcFcZRx05c
MoDncIbumqrjqZ3JE7fgI1fMngl5/2gPwYkv4pVMkpvCXAUximeGXV7HrRQNxyNC1jzBHs/FaKYe
CLFIF2rSYGugdMcTeovmc50AvlaGBjlaZ1iX5CHxHEwkatW9AF9+eitrlVaobXHHNXXZTnjRJvGd
g0LVfA64eGeYykdGXuewEkhbCjt8FC/YJR9qghd4OMkd6eR9FHkfsz5iZJWdRi4ex0ZHd2l6kvEK
ioKg6nd9k3mLpmeDV+VZpWmYnahLYi9u88G6CMeMIbG5TjvnGmrYkYYTIyPh+ihq/K1QwSlUkHBM
X3AzgjINVnFA7UYdUC0CUAzpiXsRuzx7TnSDE+R88OFuWw6nIBR2y72OM+dcYmtjEe9WlUqyKGNv
2RaYeVs+6dBQJ4Y8OM+7I7vQ0FukW5mII1Gp920R4uvjXFAFcXb3C3JxgXTCW1HA0bHATrh/8ZkL
sOebBbAPg9w5142H1u5PJhJOPTgfjdS+tD1xTlmySMrwlviAU1x0OQviakIKYFiSG4lSD1E7pZgW
LN3RWTWGy6C377BPClVgrlmqFP6BkrQHfpqmO2CsGHpyPxxirnHURNqFyGL3qJOBuuhGk0Uui3kx
Kt1HjPSpuq2FLjy2qoZmo7acLUT6B6yBzuLIzj+ZWjv/uzsKu9YMjmac3BnrO4dqHGKJBNcHZ5mk
WFGyQF2oBtKF63MvTOQsRz4/s8f0pIRwPUudB63A0saRxbD5O8hToDj42cxSDeqJk1Lu6U1kbTzD
PKGk1maNI1qC9egi9SZnkN5geqA64zwVw72d9Y9/bysmCm3HELuJ8NYlWsyfJ8SjQEzvb1tjsA5r
UDcdbtrayxsm0g3svXjuhxV8b/xnKe3cYJEN2RGKfmeh4lqwEAUzXslYurBQLSdlEsHSh4Sq5i62
VT7gSB3n46rIowfsEFtZFfPWYB8lh0xZZnqKH7FqLv9/1Pav+aXGJL76bWDyBpC/vovvgupv//63
jwSMBdWbqdv0r7+B82LSEHFDqSrim2mA9swzlZjUMXYjiZI/dFvXv+OZyg/SnCBzDSkW0L7Kj75N
3cwPtgk11RaG9UvWs0ihX5MvTQeVmc58B2IAIDXv7PsBT+uEQxW4bLxkFtv094DTnXYY595xKgCR
sbmswLGRE8OvSWKvm03/wdVOYr1e20QX9m4bbguv3rkqDcIohkethI0uJB4FMuvYEf2M61TlIvbP
o3qY7KtpcKu8t2iYVmZDHCAW5D6qgnHXxWycqqckeLva85pdiEF13HbeYa9H7bKzVw2gCvagDkiA
eTHa7pWPDwB7NocSQ34GYd1AaUG+BB4EO1VLGcXX4WFc06m7Yu1LWDTGwLZDCM2qgwHaC/OLGxj9
ivD4z6AM5hzC4JlrVWJB9X8XppMkxCVOq7c+BwP4oS8roJ7QZM+mFyM8uFshMe6pT+ca8MhCUSWp
J0m/Ca2sZ6aFZUKCO5yIzHxZeO65iJihBAzWlmUIcoOv1sZKcpwjYiweQtXZkXF0VQCFzJOckB4p
P4nR0IkSHm9Qvw3wEQl/6KXWIOIoDUhv56WpMIZAlUzkxbhsgthmZIWEAMEwRjOaTcIWBEt8bDC5
iVF1h31B6liPHZh+77tEQ0Uq5vNlAMpJLEy6LHNTrL4UgUWOpGKdon0255aPb01MvGPcZzeewUIL
fdOnODWgarnqQwyvwaMPS5+mPWkhD5uFelUyi+HcV5HvMjXRYrBd1QOdddyVV4OUedTowBAeWm09
25oFTUiXoE1KrODes2J13Wupt9TUR9ChgRCu3pwbsEfmuhIWs9gm0NNyR5Rrg7G0Wg8lApHHTcvQ
tOBWjvRWwz2PMY5jZioqhGQRlZB/w8omrTKwVwju1EXK7qsK291mIRw3X0dCr8OSTCpUW2NSoUQv
xzknQUZRSwdi45/PxJjOwzMxXTIsXNTZs6FojGQzNcxm0DUoTQhAZJBwmacMPquhpdDTgiMB9RW3
fjp7j/IJptk1rOd4psbWHGXTUTT0BOOl0La4NQq6io6Kde5F8Z1fFXihugBUhfBD4K7gcmwShqyJ
eeuT5ISusmOI1Fu73hdLx+J/Mm08hYWXrGguV0ah4Iein7jxnTeE1lyx7JWemDamTwxECzM+zn0I
a1W/TaItYdkKWhQXWX15jj9jtdVMQuBGHgFRQgKg/S6JfMWO1l7mChJRZwJ8YlnOqsp8jFvnummR
iiletsz1fFNmNQQxDyZ2lepsD9qx67YdEy99EiwP5yhp/TUTh7nipoexghNBis8LFN1aOdU6w5nH
6JwdtVn5ZYOYFJ9MeKtKgUdANQYr3Rg2Hi7JaKJFtUCjPRkwl2HhnlgVBrsRvARQKvQ5KvCjTyOL
my36RoW5X0K+GUbbF2UDQpzzGSKopTTmR1bqp3TRQQoNpl6BPp5iK46ZZ8lXn9fKSZn2GzRe+dr0
8dwcHPVUBO7nHEb9vBTtta/if2fi2U+vBJW3xi8/lUwEmrpF8JMmH1Uiz5aMIHMd7K0kajsFmFdm
+QLRmzggdCFjRl4S0Zto4UUkmwfIJ1AUI3jmIjywQ4DlJih2YViFfFRAtaDjLhvsq3iC23xwt0Jb
JRMMl8gBzxmjfXASaOC2S5p7nUUXyhD1YOdYBRpJuTas7EbGTjU3TYoTh+WelxZWzekMmSKZWAmS
xL5au8oDXxem+LZxqoxjxJUwxIxa87KxNkOB05CXksqaQRSaJRZac8U703KsUrv8THqMJ2RD1ER/
6MXIPG2H+58sR+FS5eTXih2KQzQzB9LAj1TV7YWpkIZl6YDSJnRqr9TSXZXrq25oJua0xUw+P4aF
bhk86MYgSSTTmFa4DIQUtVm2KMHWcHbOesSgS6VwmZaS4lNrOBITbid4SKExDO3HKqzB94No5WLb
igDowA/LjRJk0Vahbp0lbuOe+KNWr6KS2bbtKdshddIDisaVIIp5lyX9gZ6w37fUgcyqBVTLgEiG
wAiTBfG/CpVnDE3LhQoEOno9Nm2xiSr/cRD0DmkiLhgchcRgWFeK2mPXEYCvC59Q507PVqXSXjTk
PCxTz86QPFpQRp3xIy3H1naKAa6MQr+EQ+PBsBoLjjCTifqqu89bszi2YGdpwaAeqEVBbB/5aRVp
62a1o/nj83Qu5NJSZRzUDUsFCzJy4sstZvHXjRjhEdNJRrrFHBTbb5gb3rXvZPWpCpkOD3r3SOu8
ZSkB34ocaRo20ST2DYSbHCSUQfNWCe5F6HyBYIbsakT/gFf0nZ66axUQCD9MtNFh553hypMdaAr6
szxwFgUjA0KxUAZ2hW6sTHIF59xT5LOE+mE/QHLLrG2mJtFCVTqNQPrxS2jCp3bMGvxPNp99eGJ0
mt1cmQwPvNI77gSi3srh4UrA7OMq9MC1CavU/GZO2vE19Eq2LecoaBLv2B/JkqKBR3truOdlW18F
IjUOSzsgMxj7bjw0FG0SiOknRNJpkPpCWFc8VupN1FZo9RyLFdejQ8MylqKwT8LCOiahOF3qbndY
D1BZKs+Cb1XAkwFnXaW6tdQJYUVW6135FCLMShJ1p0QHhKl1l/kEfuFJZbs+zBsLG0Qwp2Jeg5QF
aXBlYwW4tuuxxWrqUsj6KOm1HfLldlOrKE9NM7/Ee8ZbeGrwxZWIVvsAwWSUA9JZDIFH1inILblj
RH4uRQ//WEQNQ7xWO7VLc9XApcJ6qsE/baxPSsXDnjB1tiKEs5iFzj0sixmZBMWRVLEpZGBVMkw1
jMC4K90FXRpGKVOfZ04dX0vr19ECFmMb79SmmUmfJA6HuejaqYJTF03OlvGUoIkMp27SDUL8HKW7
qqdOM5x6TgZmoC9TH1o+daS2c9NZ+iZnCt5iS47LwE1m+l8E7hezKnNWxvT8IgpAMd5ggpZ4gpPX
HWeRoj36SXHbOIC2kV9mJGaO67wm/dJS0mlqhyzG445FaQR9fTQu+rAw5qPmHaW5QBiQ6Jixud2V
Ermfoto9SRAe2Yw3SmpO9kTMcJRmuG6MsgUGjC4Vw3SoheH0oLVuU8/f+gx2gBLnmstKei1MH5S0
oIgm0mTEFxZQ4mp6xmaMJ2DYw/Rkk58OfYhc7YAwqSVWSTbKwjKI1TYacOfe9fJd2msHdTRsGrXH
2yu/KydnsgR/oXWpjMegbnKWjlY+x9wQeS7jXC/qtBkOghzqrf0Znve4BnZYqQLCETGBH6uSTElL
Ju1SbwMG11LejCM3VDJAZa3qL3i/MP4PV4hT5bwaJNMWVCiq4lx3CGrWgZAjdMl8R/YRoRJpsipc
9KqpwoNcJ9gFksA902xloaGaXhkDvbcQwYPbFriYQSHFUR9hdOw4l/rkXd/nlJglGNqcyv1ULfji
U8Yi+BfeZa7RLjRRYyFmtltiwmkNXLZk/DbjnDgCHbP/OTzIaIbPzsrMIFH2KsxOPVI+M5c+NCqc
h4aunhsd1sFeObLPlfaCgdeRHzDM6h8aZRrXdiOE/wlFY2AimQjO+0Zbe6pFrmn0uUYujuiqJb62
fyAlyZtpxCIhz92NLrW4yMwA3U3VMj29jIx6WKqixKMpdBAiYc0LMYkpu23eFLVF5Dv4kp3iBfPr
TfxRcF9mVfalfi3x/F7h+UMN6Itf+Ittxr5SfqYO+41K9Dea+fTT0yxI60uk2K90pn/ol77x1X98
oT8sO7XtiUH/Yizw9LaeZK8/u0p8x7tuHlCmCuuDIHuNpBcNI1z4LvAucG3wvv7Y+sCPdAFqYsD+
lc6kweT1vlul31uHn3/Et5rct9f52Qd4/D7qzrbk89t6FgH8tqi/sgzk6Og6YlOJXZQhLMm6vlgG
qQsEsKpJKo7JUjwv+//9MtwT2FSXSJq9IHvh6vM0r/kjd8KrK3x3J7AEuABBsuGTahCpkIB8twT2
Bx3lL4Mek0Qx1TTV93gnQBF6rcP+Mw8EummBBhhbGhwS+ZwvlgFHIhtDoq9pS+/waSDlcf9NwVBt
FbUNIBCfd5oSfrcGzgeBvSGPCuvD3qATaPEul4Gt7I88Ea84jt89EThgCSThOoEbkzHWpK9/sQwG
hop4BiEWx5Rcc1ild7c3yrepZb/8RCDNQsyFkfvk5c7O8HJvZHBssylauk7YoXyOS3l3y8BJ+fzt
7HFE4Mc5udg7Qojn6fmLu8H6IDHehKlj4DTIn/p7fCgs7Pj3fSjkB13j0Zcm7F2+9FcnpfygGYTg
wJhljVipd7k3IDLc+5jgtldtU7UARvDxABx5dTdM9GVWgUNT8GqTlcS7eygs8gb3vxugSeMBSMVE
KJE+WWq82CLBGCxTh+YtNJxxTZCjd7gM0/nG29pjb5gQMqpDU1AX4TM6fc4Xy0COBcUljHUI7RNx
/T0ug1D3XgYOTB4JNj8JN5zC4eUyTOkdUsXNZrJyxMJw4ni/u7sBzfLey4BgmeKRjdDRJ+L9mwNT
Co5lPv6UOjKVku9wGcgb3XsZLHQcSLpRIjx9ylfLYH9gezTQdNsG2Wg4db3HLVKyfe2/NwBsEyb3
rIV/Ogq+2xtsimmTRE8mvL8Vme/voXjrb/XLVeR0N/Bd61PM7QTxv6wi7Q+wEthDeTSenAHM97hF
Mhx47bf7y8tAl00DTR2mUUayFfKUvbgbdMhMaI7YPlRi6b4+hP/3g4ZXTdGLeQsJ2K/tIX55GVB/
USibhkDpo3Em8PB/twzOBx03M35DmprNqSqfX++9LcOb2IA/sQz4JNNDwsiho369DCRRSog1tkU2
1RQoMBFv3t/e8NaE+k8sg+4QvmhRL6sUEK+qSFornI9ZB+4WbpqnydT7WwYa5H1PiqnDtCdVHefl
E6nq1UOhTiGiRKOxBpZ4p3sDJfC+y0CH6VAn6hjC4MlsTgYu3+0NNmNKGi8JFU0SPDklqL+/m+Gt
gc4vPxMTIW+at2rY5bxtMO0PU0tBWjzRemTOPjlbv8NleENb/BPLwEga/3nMgfCAxwHoxc3A1qBS
X+JxqU+mQRMJ8R3eDRji7/tMTL0T5EgyhJ9nkS9hGg4KHgUqSJMSCwbn163onZ2XdL/7L4PAolOI
ySlKBbJ6vQwMpiibKDIptyUF1h+/G/7AWv0G7c39IH54Qv6Cx+o7j9l/+QvfZgxvL/AV7JpCDyYo
58UvTv6zz5d+LsOm///HiwLtCZD77offALqn1/n6z79+wLcv/eK1vn2qb3+5CR7Lu/KeWLMnxO3r
23x2tb0lbvj38j+ffnt65f/4txfv9Lsb4OeX9l6TmJ8eov/9jH/uur/vSbDnG35mYL9+z9Qs3/7q
z6/F77qt7fmWL4P7IM2+vb+nuA2emKfze99lvoSS6d01b6/9FyzHxc9DTfZclJ85Ne9/6X8RI7bv
C9R/W8P//0FI2dSv7fudnnzu7uKHNxd/7on3vfhx8PDjqz/NX/a++mNz7//zv+rH+NsyfL3bn9Gx
fS+/a+4fy/Tx1bWfJ2j7XvugKe9eX/hpULvvhdflXfP5n/+dvv1GqaU4N/e+fnxXNtW363xd72fE
Ye9LP6aP7ZtVeYK29r30qgw+Z+xdr9/3E2C078VnP7hLnrkre1/5rnqMlUtELK/e+DPu+ddcfv7M
PXn7Cozq9n2F/8zzx3R8jOO/nTT1Y6mc+9nbGxOUnXrvr3upbZr+5KWoVfd+qbsfnILPHJWfX/pH
tdpvrKu3Fdw3NtWP/tnL8nT6jfv48a78x/8AAAD//w==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oneCellAnchor>
    <xdr:from>
      <xdr:col>31</xdr:col>
      <xdr:colOff>0</xdr:colOff>
      <xdr:row>3</xdr:row>
      <xdr:rowOff>0</xdr:rowOff>
    </xdr:from>
    <xdr:ext cx="6465231" cy="516680"/>
    <mc:AlternateContent xmlns:mc="http://schemas.openxmlformats.org/markup-compatibility/2006" xmlns:a14="http://schemas.microsoft.com/office/drawing/2010/main">
      <mc:Choice Requires="a14">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a:effectLst/>
                      </a:rPr>
                      <m:t>=</m:t>
                    </m:r>
                    <m:r>
                      <m:rPr>
                        <m:nor/>
                      </m:rPr>
                      <a:rPr lang="de-CH">
                        <a:effectLst/>
                      </a:rPr>
                      <m:t>BEREICH</m:t>
                    </m:r>
                    <m:r>
                      <m:rPr>
                        <m:nor/>
                      </m:rPr>
                      <a:rPr lang="de-CH">
                        <a:effectLst/>
                      </a:rPr>
                      <m:t>.</m:t>
                    </m:r>
                    <m:r>
                      <m:rPr>
                        <m:nor/>
                      </m:rPr>
                      <a:rPr lang="de-CH">
                        <a:effectLst/>
                      </a:rPr>
                      <m:t>VERSCHIEBEN</m:t>
                    </m:r>
                    <m:r>
                      <m:rPr>
                        <m:nor/>
                      </m:rPr>
                      <a:rPr lang="de-CH">
                        <a:effectLst/>
                      </a:rPr>
                      <m:t>(</m:t>
                    </m:r>
                    <m:r>
                      <m:rPr>
                        <m:nor/>
                      </m:rPr>
                      <a:rPr lang="de-CH" b="0" i="0">
                        <a:effectLst/>
                      </a:rPr>
                      <m:t>Fallzahlen</m:t>
                    </m:r>
                    <m:r>
                      <m:rPr>
                        <m:nor/>
                      </m:rPr>
                      <a:rPr lang="de-CH" b="0" i="0">
                        <a:effectLst/>
                      </a:rPr>
                      <m:t>_</m:t>
                    </m:r>
                    <m:r>
                      <m:rPr>
                        <m:nor/>
                      </m:rPr>
                      <a:rPr lang="de-CH" b="0" i="0">
                        <a:effectLst/>
                      </a:rPr>
                      <m:t>CH</m:t>
                    </m:r>
                    <m:r>
                      <m:rPr>
                        <m:nor/>
                      </m:rPr>
                      <a:rPr lang="de-CH">
                        <a:effectLst/>
                      </a:rPr>
                      <m:t>!$</m:t>
                    </m:r>
                    <m:r>
                      <m:rPr>
                        <m:nor/>
                      </m:rPr>
                      <a:rPr lang="de-CH">
                        <a:effectLst/>
                      </a:rPr>
                      <m:t>A</m:t>
                    </m:r>
                    <m:r>
                      <m:rPr>
                        <m:nor/>
                      </m:rPr>
                      <a:rPr lang="de-CH">
                        <a:effectLst/>
                      </a:rPr>
                      <m:t>$1;;;</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m:t>
                    </m:r>
                    <m:r>
                      <m:rPr>
                        <m:nor/>
                      </m:rPr>
                      <a:rPr lang="de-CH">
                        <a:effectLst/>
                      </a:rPr>
                      <m:t>A</m:t>
                    </m:r>
                    <m:r>
                      <m:rPr>
                        <m:nor/>
                      </m:rPr>
                      <a:rPr lang="de-CH">
                        <a:effectLst/>
                      </a:rPr>
                      <m:t>:$</m:t>
                    </m:r>
                    <m:r>
                      <m:rPr>
                        <m:nor/>
                      </m:rPr>
                      <a:rPr lang="de-CH">
                        <a:effectLst/>
                      </a:rPr>
                      <m:t>A</m:t>
                    </m:r>
                    <m:r>
                      <m:rPr>
                        <m:nor/>
                      </m:rPr>
                      <a:rPr lang="de-CH">
                        <a:effectLst/>
                      </a:rPr>
                      <m:t>);</m:t>
                    </m:r>
                    <m:r>
                      <m:rPr>
                        <m:nor/>
                      </m:rPr>
                      <a:rPr lang="de-CH">
                        <a:effectLst/>
                      </a:rPr>
                      <m:t>ANZAHL</m:t>
                    </m:r>
                    <m:r>
                      <m:rPr>
                        <m:nor/>
                      </m:rPr>
                      <a:rPr lang="de-CH">
                        <a:effectLst/>
                      </a:rPr>
                      <m:t>2(</m:t>
                    </m:r>
                    <m:r>
                      <m:rPr>
                        <m:nor/>
                      </m:rPr>
                      <a:rPr lang="de-CH" sz="1100" b="0" i="0">
                        <a:solidFill>
                          <a:schemeClr val="tx1"/>
                        </a:solidFill>
                        <a:effectLst/>
                        <a:latin typeface="+mn-lt"/>
                        <a:ea typeface="+mn-ea"/>
                        <a:cs typeface="+mn-cs"/>
                      </a:rPr>
                      <m:t>Fallzahlen</m:t>
                    </m:r>
                    <m:r>
                      <m:rPr>
                        <m:nor/>
                      </m:rPr>
                      <a:rPr lang="de-CH" sz="1100" b="0" i="0">
                        <a:solidFill>
                          <a:schemeClr val="tx1"/>
                        </a:solidFill>
                        <a:effectLst/>
                        <a:latin typeface="+mn-lt"/>
                        <a:ea typeface="+mn-ea"/>
                        <a:cs typeface="+mn-cs"/>
                      </a:rPr>
                      <m:t>_</m:t>
                    </m:r>
                    <m:r>
                      <m:rPr>
                        <m:nor/>
                      </m:rPr>
                      <a:rPr lang="de-CH" sz="1100" b="0" i="0">
                        <a:solidFill>
                          <a:schemeClr val="tx1"/>
                        </a:solidFill>
                        <a:effectLst/>
                        <a:latin typeface="+mn-lt"/>
                        <a:ea typeface="+mn-ea"/>
                        <a:cs typeface="+mn-cs"/>
                      </a:rPr>
                      <m:t>CH</m:t>
                    </m:r>
                    <m:r>
                      <m:rPr>
                        <m:nor/>
                      </m:rPr>
                      <a:rPr lang="de-CH">
                        <a:effectLst/>
                      </a:rPr>
                      <m:t>!$1:$1))</m:t>
                    </m:r>
                  </m:oMath>
                </m:oMathPara>
              </a14:m>
              <a:endParaRPr lang="de-CH">
                <a:effectLst/>
              </a:endParaRPr>
            </a:p>
            <a:p>
              <a:br>
                <a:rPr lang="de-CH"/>
              </a:br>
              <a:endParaRPr lang="de-CH" sz="1100"/>
            </a:p>
          </xdr:txBody>
        </xdr:sp>
      </mc:Choice>
      <mc:Fallback xmlns="">
        <xdr:sp macro="" textlink="">
          <xdr:nvSpPr>
            <xdr:cNvPr id="3" name="Textfeld 2">
              <a:extLst>
                <a:ext uri="{FF2B5EF4-FFF2-40B4-BE49-F238E27FC236}">
                  <a16:creationId xmlns:a16="http://schemas.microsoft.com/office/drawing/2014/main" id="{CF68A06C-6D5A-4112-BD02-747EF8914C6F}"/>
                </a:ext>
              </a:extLst>
            </xdr:cNvPr>
            <xdr:cNvSpPr txBox="1"/>
          </xdr:nvSpPr>
          <xdr:spPr>
            <a:xfrm>
              <a:off x="12782550" y="552450"/>
              <a:ext cx="6465231"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de-CH" i="0">
                  <a:effectLst/>
                  <a:latin typeface="Cambria Math" panose="02040503050406030204" pitchFamily="18" charset="0"/>
                </a:rPr>
                <a:t>"=BEREICH.VERSCHIEBEN(</a:t>
              </a:r>
              <a:r>
                <a:rPr lang="de-CH" b="0" i="0">
                  <a:effectLst/>
                  <a:latin typeface="Cambria Math" panose="02040503050406030204" pitchFamily="18" charset="0"/>
                </a:rPr>
                <a:t>Fallzahlen_CH</a:t>
              </a:r>
              <a:r>
                <a:rPr lang="de-CH" i="0">
                  <a:effectLst/>
                  <a:latin typeface="Cambria Math" panose="02040503050406030204" pitchFamily="18" charset="0"/>
                </a:rPr>
                <a:t>!$A$1;;;ANZAHL2(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!$A:$A);ANZAHL2(</a:t>
              </a:r>
              <a:r>
                <a:rPr lang="de-CH" sz="1100" b="0" i="0">
                  <a:solidFill>
                    <a:schemeClr val="tx1"/>
                  </a:solidFill>
                  <a:effectLst/>
                  <a:latin typeface="Cambria Math" panose="02040503050406030204" pitchFamily="18" charset="0"/>
                  <a:ea typeface="+mn-ea"/>
                  <a:cs typeface="+mn-cs"/>
                </a:rPr>
                <a:t>Fallzahlen_CH</a:t>
              </a:r>
              <a:r>
                <a:rPr lang="de-CH" i="0">
                  <a:effectLst/>
                  <a:latin typeface="Cambria Math" panose="02040503050406030204" pitchFamily="18" charset="0"/>
                </a:rPr>
                <a:t>!$1:$1))</a:t>
              </a:r>
              <a:r>
                <a:rPr lang="de-CH" i="0">
                  <a:effectLst/>
                </a:rPr>
                <a:t>"</a:t>
              </a:r>
              <a:endParaRPr lang="de-CH">
                <a:effectLst/>
              </a:endParaRPr>
            </a:p>
            <a:p>
              <a:br>
                <a:rPr lang="de-CH"/>
              </a:br>
              <a:endParaRPr lang="de-CH"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1.495910185185" createdVersion="6" refreshedVersion="6" minRefreshableVersion="3" recordCount="1392"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01T00:00:00" count="67">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m/>
      </sharedItems>
    </cacheField>
    <cacheField name="time" numFmtId="2">
      <sharedItems containsString="0" containsBlank="1" containsNumber="1" minValue="0" maxValue="0.80347222222222225"/>
    </cacheField>
    <cacheField name="abbreviation_canton_and_fl" numFmtId="2">
      <sharedItems containsBlank="1" count="28">
        <s v="GE"/>
        <s v="TI"/>
        <s v="FL"/>
        <s v="JU"/>
        <s v="ZH"/>
        <s v="BS"/>
        <s v="BE"/>
        <s v="BL"/>
        <s v="VD"/>
        <s v="VS"/>
        <s v="AG"/>
        <s v="ZG"/>
        <s v="FR"/>
        <s v="NE"/>
        <s v="SG"/>
        <s v="SZ"/>
        <s v="LU"/>
        <s v="AR"/>
        <s v="SO"/>
        <s v="GL"/>
        <s v="NW"/>
        <s v="SH"/>
        <s v="UR"/>
        <s v="OW"/>
        <s v="AI"/>
        <s v="TG"/>
        <s v="GR"/>
        <m/>
      </sharedItems>
    </cacheField>
    <cacheField name="ncumul_tested" numFmtId="2">
      <sharedItems containsString="0" containsBlank="1" containsNumber="1" containsInteger="1" minValue="1" maxValue="25000"/>
    </cacheField>
    <cacheField name="ncumul_conf" numFmtId="2">
      <sharedItems containsString="0" containsBlank="1" containsNumber="1" containsInteger="1" minValue="0" maxValue="5274"/>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850"/>
    </cacheField>
    <cacheField name="ncumul_deceased" numFmtId="2">
      <sharedItems containsString="0" containsBlank="1" containsNumber="1" containsInteger="1" minValue="0" maxValue="375"/>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92">
  <r>
    <x v="0"/>
    <m/>
    <x v="0"/>
    <n v="72"/>
    <n v="0"/>
    <n v="0"/>
    <n v="0"/>
    <n v="0"/>
    <m/>
    <n v="0"/>
    <s v="https://www.ge.ch/document/covid-19-situation-epidemiologique-geneve/telecharger"/>
  </r>
  <r>
    <x v="0"/>
    <m/>
    <x v="1"/>
    <m/>
    <n v="1"/>
    <m/>
    <m/>
    <m/>
    <m/>
    <m/>
    <s v="https://www.srf.ch/news/schweiz/tessiner-patient-erster-coronavirus-fall-in-der-schweiz"/>
  </r>
  <r>
    <x v="1"/>
    <m/>
    <x v="0"/>
    <n v="177"/>
    <n v="1"/>
    <n v="1"/>
    <n v="0"/>
    <n v="0"/>
    <m/>
    <n v="0"/>
    <s v="https://www.ge.ch/document/covid-19-situation-epidemiologique-geneve/telecharger"/>
  </r>
  <r>
    <x v="1"/>
    <m/>
    <x v="1"/>
    <m/>
    <m/>
    <m/>
    <m/>
    <m/>
    <m/>
    <m/>
    <s v=""/>
  </r>
  <r>
    <x v="2"/>
    <m/>
    <x v="2"/>
    <n v="3"/>
    <m/>
    <m/>
    <m/>
    <m/>
    <m/>
    <m/>
    <s v="https://www.regierung.li/media/attachments/83-verdachtsfaelle-negativ-getestet.pdf?t=637202562374055719"/>
  </r>
  <r>
    <x v="2"/>
    <m/>
    <x v="0"/>
    <n v="325"/>
    <n v="1"/>
    <n v="1"/>
    <n v="0"/>
    <n v="0"/>
    <m/>
    <n v="0"/>
    <s v="https://www.ge.ch/document/covid-19-situation-epidemiologique-geneve/telecharger"/>
  </r>
  <r>
    <x v="2"/>
    <m/>
    <x v="3"/>
    <m/>
    <n v="1"/>
    <n v="1"/>
    <n v="0"/>
    <m/>
    <m/>
    <n v="0"/>
    <s v="https://www.jura.ch/Htdocs/Files/v/34283.xlsx/Departements/CHA/SIC/Carrousel/Coronavirus/Cornavirus/Chiffres/donnees_29_04.xlsx?download=1"/>
  </r>
  <r>
    <x v="2"/>
    <m/>
    <x v="1"/>
    <m/>
    <m/>
    <m/>
    <m/>
    <m/>
    <m/>
    <m/>
    <s v=""/>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covid-19-situation-epidemiologique-geneve/telecharger"/>
  </r>
  <r>
    <x v="3"/>
    <m/>
    <x v="3"/>
    <m/>
    <n v="1"/>
    <n v="1"/>
    <n v="0"/>
    <m/>
    <m/>
    <n v="0"/>
    <s v="https://www.jura.ch/Htdocs/Files/v/34283.xlsx/Departements/CHA/SIC/Carrousel/Coronavirus/Cornavirus/Chiffres/donnees_29_04.xlsx?download=1"/>
  </r>
  <r>
    <x v="3"/>
    <m/>
    <x v="1"/>
    <m/>
    <m/>
    <m/>
    <m/>
    <m/>
    <m/>
    <m/>
    <s v=""/>
  </r>
  <r>
    <x v="3"/>
    <m/>
    <x v="8"/>
    <m/>
    <m/>
    <n v="4"/>
    <m/>
    <m/>
    <m/>
    <m/>
    <s v="https://www.vd.ch/toutes-les-actualites/hotline-et-informations-sur-le-coronavirus/"/>
  </r>
  <r>
    <x v="3"/>
    <m/>
    <x v="9"/>
    <m/>
    <n v="1"/>
    <n v="5"/>
    <n v="0"/>
    <n v="0"/>
    <m/>
    <n v="0"/>
    <s v="https://www.vs.ch/documents/6756452/7008787/2020%2004%2029%20Sit%20Epid%20-%20%C3%89tat%20Stand"/>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2"/>
    <n v="6"/>
    <n v="3"/>
    <n v="0"/>
    <n v="0"/>
    <m/>
    <n v="0"/>
    <s v="https://www.ge.ch/document/covid-19-situation-epidemiologique-geneve/telecharger"/>
  </r>
  <r>
    <x v="4"/>
    <m/>
    <x v="3"/>
    <m/>
    <n v="1"/>
    <n v="1"/>
    <n v="0"/>
    <m/>
    <m/>
    <n v="0"/>
    <s v="https://www.jura.ch/Htdocs/Files/v/34283.xlsx/Departements/CHA/SIC/Carrousel/Coronavirus/Cornavirus/Chiffres/donnees_29_04.xlsx?download=1"/>
  </r>
  <r>
    <x v="4"/>
    <m/>
    <x v="1"/>
    <m/>
    <m/>
    <m/>
    <m/>
    <m/>
    <m/>
    <m/>
    <s v=""/>
  </r>
  <r>
    <x v="4"/>
    <m/>
    <x v="8"/>
    <m/>
    <m/>
    <n v="4"/>
    <m/>
    <m/>
    <m/>
    <m/>
    <s v="https://www.vd.ch/toutes-les-actualites/hotline-et-informations-sur-le-coronavirus/"/>
  </r>
  <r>
    <x v="4"/>
    <m/>
    <x v="9"/>
    <m/>
    <n v="1"/>
    <n v="5"/>
    <n v="0"/>
    <n v="0"/>
    <m/>
    <n v="0"/>
    <s v="https://www.vs.ch/documents/6756452/7008787/2020%2004%2029%20Sit%20Epid%20-%20%C3%89tat%20Stand"/>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78"/>
    <n v="8"/>
    <n v="3"/>
    <n v="0"/>
    <n v="0"/>
    <m/>
    <n v="0"/>
    <s v="https://www.ge.ch/document/covid-19-situation-epidemiologique-geneve/telecharger"/>
  </r>
  <r>
    <x v="5"/>
    <m/>
    <x v="3"/>
    <m/>
    <n v="1"/>
    <n v="1"/>
    <n v="0"/>
    <m/>
    <m/>
    <n v="0"/>
    <s v="https://www.jura.ch/Htdocs/Files/v/34283.xlsx/Departements/CHA/SIC/Carrousel/Coronavirus/Cornavirus/Chiffres/donnees_29_04.xlsx?download=1"/>
  </r>
  <r>
    <x v="5"/>
    <m/>
    <x v="13"/>
    <m/>
    <n v="1"/>
    <m/>
    <m/>
    <m/>
    <m/>
    <m/>
    <s v="https://www.ne.ch/autorites/DFS/SCSP/medecin-cantonal/maladies-vaccinations/Documents/Covid-19-Statistiques/COVID19_PublicationInternet.xlsx"/>
  </r>
  <r>
    <x v="5"/>
    <m/>
    <x v="1"/>
    <m/>
    <m/>
    <m/>
    <m/>
    <m/>
    <m/>
    <m/>
    <s v=""/>
  </r>
  <r>
    <x v="5"/>
    <m/>
    <x v="8"/>
    <m/>
    <m/>
    <n v="4"/>
    <m/>
    <m/>
    <m/>
    <m/>
    <s v="https://www.vd.ch/toutes-les-actualites/hotline-et-informations-sur-le-coronavirus/"/>
  </r>
  <r>
    <x v="5"/>
    <m/>
    <x v="9"/>
    <m/>
    <n v="2"/>
    <n v="6"/>
    <n v="0"/>
    <n v="0"/>
    <m/>
    <n v="0"/>
    <s v="https://www.vs.ch/documents/6756452/7008787/2020%2004%2029%20Sit%20Epid%20-%20%C3%89tat%20Stand"/>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5"/>
    <n v="8"/>
    <n v="3"/>
    <n v="0"/>
    <n v="0"/>
    <m/>
    <n v="0"/>
    <s v="https://www.ge.ch/document/covid-19-situation-epidemiologique-geneve/telecharger"/>
  </r>
  <r>
    <x v="6"/>
    <m/>
    <x v="3"/>
    <m/>
    <n v="1"/>
    <n v="1"/>
    <n v="0"/>
    <m/>
    <m/>
    <n v="0"/>
    <s v="https://www.jura.ch/Htdocs/Files/v/34283.xlsx/Departements/CHA/SIC/Carrousel/Coronavirus/Cornavirus/Chiffres/donnees_29_04.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2"/>
    <m/>
    <m/>
    <m/>
    <m/>
    <m/>
    <s v="https://www4.ti.ch/area-media/comunicati/dettaglio-comunicato/?NEWS_ID=187352&amp;tx_tichareamedia_comunicazioni%5Baction%5D=show&amp;tx_tichareamedia_comunicazioni%5Bcontroller%5D=Comunicazioni&amp;cHash=ea65dbcabb28d4711459f3b613bbc1b7"/>
  </r>
  <r>
    <x v="6"/>
    <m/>
    <x v="8"/>
    <m/>
    <m/>
    <n v="6"/>
    <m/>
    <m/>
    <m/>
    <m/>
    <s v="https://www.vd.ch/toutes-les-actualites/hotline-et-informations-sur-le-coronavirus/"/>
  </r>
  <r>
    <x v="6"/>
    <m/>
    <x v="9"/>
    <m/>
    <n v="3"/>
    <n v="9"/>
    <n v="0"/>
    <n v="0"/>
    <m/>
    <n v="0"/>
    <s v="https://www.vs.ch/documents/6756452/7008787/2020%2004%2029%20Sit%20Epid%20-%20%C3%89tat%20Stand"/>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4"/>
    <n v="11"/>
    <n v="4"/>
    <n v="0"/>
    <n v="0"/>
    <m/>
    <n v="0"/>
    <s v="https://www.ge.ch/document/covid-19-situation-epidemiologique-geneve/telecharger"/>
  </r>
  <r>
    <x v="7"/>
    <m/>
    <x v="3"/>
    <m/>
    <n v="2"/>
    <n v="1"/>
    <n v="0"/>
    <m/>
    <m/>
    <n v="0"/>
    <s v="https://www.jura.ch/Htdocs/Files/v/34283.xlsx/Departements/CHA/SIC/Carrousel/Coronavirus/Cornavirus/Chiffres/donnees_29_04.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4"/>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m/>
    <x v="8"/>
    <m/>
    <m/>
    <n v="8"/>
    <m/>
    <m/>
    <m/>
    <m/>
    <s v="https://www.vd.ch/toutes-les-actualites/hotline-et-informations-sur-le-coronavirus/"/>
  </r>
  <r>
    <x v="7"/>
    <m/>
    <x v="9"/>
    <m/>
    <n v="3"/>
    <n v="11"/>
    <n v="0"/>
    <n v="0"/>
    <m/>
    <n v="0"/>
    <s v="https://www.vs.ch/documents/6756452/7008787/2020%2004%2029%20Sit%20Epid%20-%20%C3%89tat%20Stand"/>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1"/>
    <n v="11"/>
    <n v="4"/>
    <n v="0"/>
    <n v="0"/>
    <m/>
    <n v="0"/>
    <s v="https://www.ge.ch/document/covid-19-situation-epidemiologique-geneve/telecharger"/>
  </r>
  <r>
    <x v="8"/>
    <m/>
    <x v="3"/>
    <m/>
    <n v="2"/>
    <n v="1"/>
    <n v="0"/>
    <m/>
    <m/>
    <n v="0"/>
    <s v="https://www.jura.ch/Htdocs/Files/v/34283.xlsx/Departements/CHA/SIC/Carrousel/Coronavirus/Cornavirus/Chiffres/donnees_29_04.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5"/>
    <m/>
    <m/>
    <m/>
    <m/>
    <m/>
    <s v="https://www4.ti.ch/area-media/comunicati/dettaglio-comunicato/?NEWS_ID=187371&amp;tx_tichareamedia_comunicazioni%5Baction%5D=show&amp;tx_tichareamedia_comunicazioni%5Bcontroller%5D=Comunicazioni&amp;cHash=174f2d754f3b657af79f343c92fc5c89"/>
  </r>
  <r>
    <x v="8"/>
    <m/>
    <x v="8"/>
    <m/>
    <m/>
    <n v="11"/>
    <n v="1"/>
    <m/>
    <m/>
    <m/>
    <s v="https://www.vd.ch/toutes-les-actualites/hotline-et-informations-sur-le-coronavirus/"/>
  </r>
  <r>
    <x v="8"/>
    <m/>
    <x v="9"/>
    <m/>
    <n v="4"/>
    <n v="12"/>
    <n v="0"/>
    <n v="0"/>
    <m/>
    <n v="0"/>
    <s v="https://www.vs.ch/documents/6756452/7008787/2020%2004%2029%20Sit%20Epid%20-%20%C3%89tat%20Stand"/>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6"/>
    <n v="15"/>
    <n v="5"/>
    <n v="0"/>
    <n v="0"/>
    <m/>
    <n v="0"/>
    <s v="https://www.ge.ch/document/covid-19-situation-epidemiologique-geneve/telecharger"/>
  </r>
  <r>
    <x v="9"/>
    <m/>
    <x v="3"/>
    <m/>
    <n v="4"/>
    <n v="2"/>
    <n v="0"/>
    <m/>
    <m/>
    <n v="0"/>
    <s v="https://www.jura.ch/Htdocs/Files/v/34283.xlsx/Departements/CHA/SIC/Carrousel/Coronavirus/Cornavirus/Chiffres/donnees_29_04.xlsx?download=1"/>
  </r>
  <r>
    <x v="9"/>
    <m/>
    <x v="13"/>
    <m/>
    <n v="9"/>
    <n v="4"/>
    <m/>
    <m/>
    <m/>
    <m/>
    <s v="https://www.ne.ch/autorites/DFS/SCSP/medecin-cantonal/maladies-vaccinations/Documents/Covid-19-Statistiques/COVID19_PublicationInternet.xlsx"/>
  </r>
  <r>
    <x v="9"/>
    <m/>
    <x v="1"/>
    <m/>
    <n v="18"/>
    <m/>
    <m/>
    <m/>
    <m/>
    <m/>
    <s v="https://www4.ti.ch/area-media/comunicati/dettaglio-comunicato/?NEWS_ID=187385&amp;tx_tichareamedia_comunicazioni%5Baction%5D=show&amp;tx_tichareamedia_comunicazioni%5Bcontroller%5D=Comunicazioni&amp;cHash=a9ddddfae2c7446e5b856451e178a61a"/>
  </r>
  <r>
    <x v="9"/>
    <m/>
    <x v="8"/>
    <m/>
    <m/>
    <n v="14"/>
    <n v="1"/>
    <m/>
    <m/>
    <m/>
    <s v="https://www.vd.ch/toutes-les-actualites/hotline-et-informations-sur-le-coronavirus/"/>
  </r>
  <r>
    <x v="9"/>
    <m/>
    <x v="9"/>
    <m/>
    <n v="5"/>
    <n v="10"/>
    <n v="0"/>
    <n v="0"/>
    <m/>
    <n v="0"/>
    <s v="https://www.vs.ch/documents/6756452/7008787/2020%2004%2029%20Sit%20Epid%20-%20%C3%89tat%20Stand"/>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1"/>
    <n v="19"/>
    <n v="7"/>
    <n v="0"/>
    <n v="0"/>
    <m/>
    <n v="0"/>
    <s v="https://www.ge.ch/document/covid-19-situation-epidemiologique-geneve/telecharger"/>
  </r>
  <r>
    <x v="10"/>
    <m/>
    <x v="3"/>
    <m/>
    <n v="4"/>
    <n v="5"/>
    <n v="0"/>
    <m/>
    <m/>
    <n v="0"/>
    <s v="https://www.jura.ch/Htdocs/Files/v/34283.xlsx/Departements/CHA/SIC/Carrousel/Coronavirus/Cornavirus/Chiffres/donnees_29_04.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m/>
    <m/>
    <m/>
    <m/>
    <m/>
    <m/>
    <s v=""/>
  </r>
  <r>
    <x v="10"/>
    <m/>
    <x v="8"/>
    <m/>
    <n v="23"/>
    <n v="15"/>
    <n v="2"/>
    <m/>
    <m/>
    <n v="1"/>
    <s v="https://www.vd.ch/toutes-les-actualites/hotline-et-informations-sur-le-coronavirus/"/>
  </r>
  <r>
    <x v="10"/>
    <m/>
    <x v="9"/>
    <m/>
    <n v="6"/>
    <n v="11"/>
    <n v="0"/>
    <n v="0"/>
    <m/>
    <n v="0"/>
    <s v="https://www.vs.ch/documents/6756452/7008787/2020%2004%2029%20Sit%20Epid%20-%20%C3%89tat%20Stand"/>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6"/>
    <n v="30"/>
    <n v="7"/>
    <n v="0"/>
    <n v="0"/>
    <m/>
    <n v="0"/>
    <s v="https://www.ge.ch/document/covid-19-situation-epidemiologique-geneve/telecharger"/>
  </r>
  <r>
    <x v="11"/>
    <m/>
    <x v="3"/>
    <m/>
    <n v="5"/>
    <n v="5"/>
    <n v="0"/>
    <m/>
    <m/>
    <n v="0"/>
    <s v="https://www.jura.ch/Htdocs/Files/v/34283.xlsx/Departements/CHA/SIC/Carrousel/Coronavirus/Cornavirus/Chiffres/donnees_29_04.xlsx?download=1"/>
  </r>
  <r>
    <x v="11"/>
    <m/>
    <x v="13"/>
    <m/>
    <n v="18"/>
    <n v="2"/>
    <m/>
    <m/>
    <m/>
    <m/>
    <s v="https://www.ne.ch/autorites/DFS/SCSP/medecin-cantonal/maladies-vaccinations/Documents/Covid-19-Statistiques/COVID19_PublicationInternet.xlsx"/>
  </r>
  <r>
    <x v="11"/>
    <m/>
    <x v="1"/>
    <m/>
    <n v="45"/>
    <m/>
    <m/>
    <m/>
    <m/>
    <m/>
    <s v="https://www4.ti.ch/area-media/comunicati/dettaglio-comunicato/?NEWS_ID=187406&amp;tx_tichareamedia_comunicazioni%5Baction%5D=show&amp;tx_tichareamedia_comunicazioni%5Bcontroller%5D=Comunicazioni&amp;cHash=e553d0b42db2ead87a7d05e499fac4db"/>
  </r>
  <r>
    <x v="11"/>
    <m/>
    <x v="8"/>
    <m/>
    <n v="30"/>
    <n v="16"/>
    <n v="4"/>
    <m/>
    <m/>
    <n v="1"/>
    <s v="https://www.vd.ch/toutes-les-actualites/hotline-et-informations-sur-le-coronavirus/"/>
  </r>
  <r>
    <x v="11"/>
    <m/>
    <x v="9"/>
    <m/>
    <n v="7"/>
    <n v="11"/>
    <n v="0"/>
    <n v="0"/>
    <m/>
    <n v="0"/>
    <s v="https://www.vs.ch/documents/6756452/7008787/2020%2004%2029%20Sit%20Epid%20-%20%C3%89tat%20Stand"/>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3"/>
    <n v="38"/>
    <n v="9"/>
    <n v="0"/>
    <n v="0"/>
    <m/>
    <n v="0"/>
    <s v="https://www.ge.ch/document/covid-19-situation-epidemiologique-geneve/telecharger"/>
  </r>
  <r>
    <x v="12"/>
    <m/>
    <x v="3"/>
    <m/>
    <n v="5"/>
    <n v="5"/>
    <n v="0"/>
    <m/>
    <m/>
    <n v="0"/>
    <s v="https://www.jura.ch/Htdocs/Files/v/34283.xlsx/Departements/CHA/SIC/Carrousel/Coronavirus/Cornavirus/Chiffres/donnees_29_04.xlsx?download=1"/>
  </r>
  <r>
    <x v="12"/>
    <m/>
    <x v="13"/>
    <m/>
    <n v="24"/>
    <n v="3"/>
    <m/>
    <m/>
    <m/>
    <m/>
    <s v="https://www.ne.ch/autorites/DFS/SCSP/medecin-cantonal/maladies-vaccinations/Documents/Covid-19-Statistiques/COVID19_PublicationInternet.xlsx"/>
  </r>
  <r>
    <x v="12"/>
    <m/>
    <x v="1"/>
    <m/>
    <n v="58"/>
    <m/>
    <m/>
    <m/>
    <m/>
    <m/>
    <s v="https://www4.ti.ch/area-media/comunicati/dettaglio-comunicato/?NEWS_ID=187407&amp;tx_tichareamedia_comunicazioni%5Baction%5D=show&amp;tx_tichareamedia_comunicazioni%5Bcontroller%5D=Comunicazioni&amp;cHash=8d1ff4bf2a674892913340827de952ea"/>
  </r>
  <r>
    <x v="12"/>
    <m/>
    <x v="8"/>
    <m/>
    <n v="40"/>
    <n v="22"/>
    <n v="3"/>
    <m/>
    <m/>
    <n v="1"/>
    <s v="https://www.vd.ch/toutes-les-actualites/hotline-et-informations-sur-le-coronavirus/"/>
  </r>
  <r>
    <x v="12"/>
    <m/>
    <x v="9"/>
    <m/>
    <n v="12"/>
    <n v="15"/>
    <n v="1"/>
    <n v="1"/>
    <m/>
    <n v="0"/>
    <s v="https://www.vs.ch/documents/6756452/7008787/2020%2004%2029%20Sit%20Epid%20-%20%C3%89tat%20Stand"/>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88"/>
    <n v="47"/>
    <n v="13"/>
    <n v="3"/>
    <n v="1"/>
    <m/>
    <n v="0"/>
    <s v="https://www.ge.ch/document/covid-19-situation-epidemiologique-geneve/telecharger"/>
  </r>
  <r>
    <x v="13"/>
    <m/>
    <x v="3"/>
    <m/>
    <n v="7"/>
    <n v="5"/>
    <n v="0"/>
    <m/>
    <m/>
    <n v="0"/>
    <s v="https://www.jura.ch/Htdocs/Files/v/34283.xlsx/Departements/CHA/SIC/Carrousel/Coronavirus/Cornavirus/Chiffres/donnees_29_04.xlsx?download=1"/>
  </r>
  <r>
    <x v="13"/>
    <m/>
    <x v="13"/>
    <m/>
    <n v="27"/>
    <n v="4"/>
    <m/>
    <m/>
    <m/>
    <m/>
    <s v="https://www.ne.ch/autorites/DFS/SCSP/medecin-cantonal/maladies-vaccinations/Documents/Covid-19-Statistiques/COVID19_PublicationInternet.xlsx"/>
  </r>
  <r>
    <x v="13"/>
    <m/>
    <x v="1"/>
    <m/>
    <n v="68"/>
    <m/>
    <m/>
    <m/>
    <m/>
    <m/>
    <s v="https://www4.ti.ch/area-media/comunicati/dettaglio-comunicato/?NEWS_ID=187417&amp;tx_tichareamedia_comunicazioni%5Baction%5D=show&amp;tx_tichareamedia_comunicazioni%5Bcontroller%5D=Comunicazioni&amp;cHash=20e9b76118246e98781581881b459523"/>
  </r>
  <r>
    <x v="13"/>
    <m/>
    <x v="8"/>
    <m/>
    <n v="51"/>
    <n v="29"/>
    <n v="5"/>
    <m/>
    <m/>
    <n v="1"/>
    <s v="https://www.vd.ch/toutes-les-actualites/hotline-et-informations-sur-le-coronavirus/"/>
  </r>
  <r>
    <x v="13"/>
    <m/>
    <x v="9"/>
    <m/>
    <n v="17"/>
    <n v="16"/>
    <n v="1"/>
    <n v="1"/>
    <m/>
    <n v="0"/>
    <s v="https://www.vs.ch/documents/6756452/7008787/2020%2004%2029%20Sit%20Epid%20-%20%C3%89tat%20Stand"/>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8"/>
    <n v="73"/>
    <n v="18"/>
    <n v="4"/>
    <n v="1"/>
    <m/>
    <n v="1"/>
    <s v="https://www.ge.ch/document/covid-19-situation-epidemiologique-geneve/telecharger"/>
  </r>
  <r>
    <x v="14"/>
    <m/>
    <x v="19"/>
    <m/>
    <n v="1"/>
    <n v="0"/>
    <m/>
    <m/>
    <m/>
    <n v="0"/>
    <s v="https://www.gl.ch/public/upload/assets/27574/COVID-19_Fallzahlen_Kanton_Glarus.xlsx"/>
  </r>
  <r>
    <x v="14"/>
    <m/>
    <x v="3"/>
    <m/>
    <n v="7"/>
    <n v="5"/>
    <n v="0"/>
    <m/>
    <m/>
    <n v="0"/>
    <s v="https://www.jura.ch/Htdocs/Files/v/34283.xlsx/Departements/CHA/SIC/Carrousel/Coronavirus/Cornavirus/Chiffres/donnees_29_04.xlsx?download=1"/>
  </r>
  <r>
    <x v="14"/>
    <m/>
    <x v="13"/>
    <m/>
    <n v="31"/>
    <n v="4"/>
    <m/>
    <m/>
    <m/>
    <m/>
    <s v="https://www.ne.ch/autorites/DFS/SCSP/medecin-cantonal/maladies-vaccinations/Documents/Covid-19-Statistiques/COVID19_PublicationInternet.xlsx"/>
  </r>
  <r>
    <x v="14"/>
    <m/>
    <x v="1"/>
    <m/>
    <m/>
    <m/>
    <m/>
    <m/>
    <m/>
    <n v="1"/>
    <s v="https://www4.ti.ch/area-media/comunicati/dettaglio-comunicato/?NEWS_ID=187422&amp;tx_tichareamedia_comunicazioni%5Baction%5D=show&amp;tx_tichareamedia_comunicazioni%5Bcontroller%5D=Comunicazioni&amp;cHash=24aa247e65de88fdd1551a61fcc407d9"/>
  </r>
  <r>
    <x v="14"/>
    <m/>
    <x v="8"/>
    <m/>
    <n v="130"/>
    <n v="48"/>
    <n v="8"/>
    <m/>
    <m/>
    <n v="1"/>
    <s v="https://www.vd.ch/toutes-les-actualites/hotline-et-informations-sur-le-coronavirus/point-de-situation-statistique-dans-le-canton-de-vaud/"/>
  </r>
  <r>
    <x v="14"/>
    <m/>
    <x v="9"/>
    <m/>
    <n v="22"/>
    <n v="19"/>
    <n v="1"/>
    <n v="1"/>
    <n v="3"/>
    <n v="0"/>
    <s v="https://www.vs.ch/documents/6756452/7008787/2020%2004%2029%20Sit%20Epid%20-%20%C3%89tat%20Stand"/>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4/statistiques_situation_FR_2904.xlsx"/>
  </r>
  <r>
    <x v="15"/>
    <m/>
    <x v="0"/>
    <n v="1926"/>
    <n v="84"/>
    <n v="20"/>
    <n v="6"/>
    <n v="4"/>
    <m/>
    <n v="1"/>
    <s v="https://www.ge.ch/document/covid-19-situation-epidemiologique-geneve/telecharger"/>
  </r>
  <r>
    <x v="15"/>
    <m/>
    <x v="19"/>
    <m/>
    <n v="1"/>
    <n v="0"/>
    <m/>
    <m/>
    <m/>
    <n v="0"/>
    <s v="https://www.gl.ch/public/upload/assets/27574/COVID-19_Fallzahlen_Kanton_Glarus.xlsx"/>
  </r>
  <r>
    <x v="15"/>
    <m/>
    <x v="3"/>
    <m/>
    <n v="7"/>
    <n v="6"/>
    <n v="0"/>
    <m/>
    <m/>
    <n v="0"/>
    <s v="https://www.jura.ch/Htdocs/Files/v/34283.xlsx/Departements/CHA/SIC/Carrousel/Coronavirus/Cornavirus/Chiffres/donnees_29_04.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52b47430-c025-40dd-bc29-c70ed9b9899e"/>
  </r>
  <r>
    <x v="15"/>
    <m/>
    <x v="1"/>
    <m/>
    <m/>
    <m/>
    <m/>
    <m/>
    <m/>
    <m/>
    <s v=""/>
  </r>
  <r>
    <x v="15"/>
    <m/>
    <x v="8"/>
    <m/>
    <n v="203"/>
    <n v="51"/>
    <n v="7"/>
    <m/>
    <m/>
    <n v="1"/>
    <s v="https://www.vd.ch/toutes-les-actualites/hotline-et-informations-sur-le-coronavirus/point-de-situation-statistique-dans-le-canton-de-vaud/"/>
  </r>
  <r>
    <x v="15"/>
    <m/>
    <x v="9"/>
    <m/>
    <n v="30"/>
    <n v="20"/>
    <n v="1"/>
    <n v="1"/>
    <m/>
    <n v="0"/>
    <s v="https://www.vs.ch/documents/6756452/7008787/2020%2004%2029%20Sit%20Epid%20-%20%C3%89tat%20Stand"/>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4/statistiques_situation_FR_2904.xlsx"/>
  </r>
  <r>
    <x v="16"/>
    <m/>
    <x v="0"/>
    <n v="2277"/>
    <n v="114"/>
    <n v="23"/>
    <n v="6"/>
    <n v="4"/>
    <m/>
    <n v="2"/>
    <s v="https://www.ge.ch/document/covid-19-situation-epidemiologique-geneve/telecharger"/>
  </r>
  <r>
    <x v="16"/>
    <m/>
    <x v="19"/>
    <m/>
    <n v="3"/>
    <n v="0"/>
    <m/>
    <m/>
    <m/>
    <n v="0"/>
    <s v="https://www.gl.ch/public/upload/assets/27574/COVID-19_Fallzahlen_Kanton_Glarus.xlsx"/>
  </r>
  <r>
    <x v="16"/>
    <m/>
    <x v="3"/>
    <m/>
    <n v="12"/>
    <n v="6"/>
    <n v="0"/>
    <m/>
    <m/>
    <n v="0"/>
    <s v="https://www.jura.ch/Htdocs/Files/v/34283.xlsx/Departements/CHA/SIC/Carrousel/Coronavirus/Cornavirus/Chiffres/donnees_29_04.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52b47430-c025-40dd-bc29-c70ed9b9899e"/>
  </r>
  <r>
    <x v="16"/>
    <m/>
    <x v="1"/>
    <m/>
    <n v="180"/>
    <m/>
    <m/>
    <m/>
    <m/>
    <m/>
    <s v="https://www4.ti.ch/area-media/comunicati/dettaglio-comunicato/?NEWS_ID=187437&amp;tx_tichareamedia_comunicazioni%5Baction%5D=show&amp;tx_tichareamedia_comunicazioni%5Bcontroller%5D=Comunicazioni&amp;cHash=59cf6112c82abed490acd8901f5a0bb2"/>
  </r>
  <r>
    <x v="16"/>
    <m/>
    <x v="22"/>
    <m/>
    <n v="2"/>
    <m/>
    <m/>
    <m/>
    <m/>
    <m/>
    <s v=""/>
  </r>
  <r>
    <x v="16"/>
    <m/>
    <x v="8"/>
    <m/>
    <n v="277"/>
    <n v="55"/>
    <n v="6"/>
    <m/>
    <m/>
    <n v="3"/>
    <s v="https://www.vd.ch/toutes-les-actualites/hotline-et-informations-sur-le-coronavirus/point-de-situation-statistique-dans-le-canton-de-vaud/"/>
  </r>
  <r>
    <x v="16"/>
    <m/>
    <x v="9"/>
    <m/>
    <n v="53"/>
    <n v="27"/>
    <n v="1"/>
    <n v="1"/>
    <m/>
    <n v="0"/>
    <s v="https://www.vs.ch/documents/6756452/7008787/2020%2004%2029%20Sit%20Epid%20-%20%C3%89tat%20Stand"/>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4/statistiques_situation_FR_2904.xlsx"/>
  </r>
  <r>
    <x v="17"/>
    <m/>
    <x v="0"/>
    <n v="2712"/>
    <n v="178"/>
    <n v="33"/>
    <n v="7"/>
    <n v="5"/>
    <m/>
    <n v="2"/>
    <s v="https://www.ge.ch/document/covid-19-situation-epidemiologique-geneve/telecharger"/>
  </r>
  <r>
    <x v="17"/>
    <m/>
    <x v="19"/>
    <m/>
    <n v="6"/>
    <n v="0"/>
    <m/>
    <m/>
    <m/>
    <n v="0"/>
    <s v="https://www.gl.ch/public/upload/assets/27574/COVID-19_Fallzahlen_Kanton_Glarus.xlsx"/>
  </r>
  <r>
    <x v="17"/>
    <m/>
    <x v="3"/>
    <m/>
    <n v="17"/>
    <n v="8"/>
    <n v="0"/>
    <m/>
    <m/>
    <n v="0"/>
    <s v="https://www.jura.ch/Htdocs/Files/v/34283.xlsx/Departements/CHA/SIC/Carrousel/Coronavirus/Cornavirus/Chiffres/donnees_29_04.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52b47430-c025-40dd-bc29-c70ed9b9899e"/>
  </r>
  <r>
    <x v="17"/>
    <m/>
    <x v="1"/>
    <m/>
    <n v="258"/>
    <n v="65"/>
    <n v="13"/>
    <m/>
    <m/>
    <m/>
    <s v="https://www.youtube.com/watch?v=_x_yQ6uwGAQ"/>
  </r>
  <r>
    <x v="17"/>
    <m/>
    <x v="8"/>
    <m/>
    <n v="369"/>
    <n v="61"/>
    <n v="7"/>
    <m/>
    <m/>
    <n v="3"/>
    <s v="https://www.vd.ch/toutes-les-actualites/hotline-et-informations-sur-le-coronavirus/point-de-situation-statistique-dans-le-canton-de-vaud/"/>
  </r>
  <r>
    <x v="17"/>
    <m/>
    <x v="9"/>
    <m/>
    <n v="76"/>
    <n v="29"/>
    <n v="1"/>
    <n v="1"/>
    <m/>
    <n v="1"/>
    <s v="https://www.vs.ch/documents/6756452/7008787/2020%2004%2029%20Sit%20Epid%20-%20%C3%89tat%20Stand"/>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m/>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4/statistiques_situation_FR_2904.xlsx"/>
  </r>
  <r>
    <x v="18"/>
    <m/>
    <x v="0"/>
    <n v="3295"/>
    <n v="281"/>
    <n v="43"/>
    <n v="8"/>
    <n v="5"/>
    <m/>
    <n v="2"/>
    <s v="https://www.ge.ch/document/covid-19-situation-epidemiologique-geneve/telecharger"/>
  </r>
  <r>
    <x v="18"/>
    <m/>
    <x v="19"/>
    <m/>
    <n v="8"/>
    <n v="0"/>
    <m/>
    <m/>
    <m/>
    <n v="0"/>
    <s v="https://www.gl.ch/public/upload/assets/27574/COVID-19_Fallzahlen_Kanton_Glarus.xlsx"/>
  </r>
  <r>
    <x v="18"/>
    <m/>
    <x v="3"/>
    <m/>
    <n v="18"/>
    <n v="8"/>
    <n v="0"/>
    <m/>
    <m/>
    <n v="0"/>
    <s v="https://www.jura.ch/Htdocs/Files/v/34283.xlsx/Departements/CHA/SIC/Carrousel/Coronavirus/Cornavirus/Chiffres/donnees_29_04.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52b47430-c025-40dd-bc29-c70ed9b9899e"/>
  </r>
  <r>
    <x v="18"/>
    <m/>
    <x v="1"/>
    <m/>
    <n v="265"/>
    <m/>
    <m/>
    <m/>
    <m/>
    <n v="3"/>
    <s v="https://www4.ti.ch/area-media/comunicati/dettaglio-comunicato/?NEWS_ID=187466&amp;tx_tichareamedia_comunicazioni%5Baction%5D=show&amp;tx_tichareamedia_comunicazioni%5Bcontroller%5D=Comunicazioni&amp;cHash=1b10e6e8117296766155edcf9c317a4c"/>
  </r>
  <r>
    <x v="18"/>
    <m/>
    <x v="8"/>
    <m/>
    <n v="476"/>
    <n v="75"/>
    <n v="10"/>
    <m/>
    <m/>
    <n v="4"/>
    <s v="https://www.vd.ch/toutes-les-actualites/hotline-et-informations-sur-le-coronavirus/point-de-situation-statistique-dans-le-canton-de-vaud/"/>
  </r>
  <r>
    <x v="18"/>
    <m/>
    <x v="9"/>
    <m/>
    <n v="98"/>
    <n v="33"/>
    <n v="1"/>
    <n v="1"/>
    <m/>
    <n v="1"/>
    <s v="https://www.vs.ch/documents/6756452/7008787/2020%2004%2029%20Sit%20Epid%20-%20%C3%89tat%20Stand"/>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4/statistiques_situation_FR_2904.xlsx"/>
  </r>
  <r>
    <x v="19"/>
    <m/>
    <x v="0"/>
    <n v="3698"/>
    <n v="374"/>
    <n v="46"/>
    <n v="12"/>
    <n v="8"/>
    <m/>
    <n v="4"/>
    <s v="https://www.ge.ch/document/covid-19-situation-epidemiologique-geneve/telecharger"/>
  </r>
  <r>
    <x v="19"/>
    <m/>
    <x v="19"/>
    <m/>
    <n v="10"/>
    <n v="0"/>
    <m/>
    <m/>
    <m/>
    <n v="0"/>
    <s v="https://www.gl.ch/public/upload/assets/27574/COVID-19_Fallzahlen_Kanton_Glarus.xlsx"/>
  </r>
  <r>
    <x v="19"/>
    <m/>
    <x v="3"/>
    <m/>
    <n v="19"/>
    <n v="9"/>
    <n v="0"/>
    <m/>
    <m/>
    <n v="0"/>
    <s v="https://www.jura.ch/Htdocs/Files/v/34283.xlsx/Departements/CHA/SIC/Carrousel/Coronavirus/Cornavirus/Chiffres/donnees_29_04.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52b47430-c025-40dd-bc29-c70ed9b9899e"/>
  </r>
  <r>
    <x v="19"/>
    <m/>
    <x v="15"/>
    <m/>
    <n v="13"/>
    <m/>
    <m/>
    <m/>
    <m/>
    <m/>
    <s v="https://www.sz.ch/public/upload/assets/45590/MM_Coronavirus_15_3_2020.pdf"/>
  </r>
  <r>
    <x v="19"/>
    <m/>
    <x v="1"/>
    <m/>
    <n v="291"/>
    <m/>
    <m/>
    <m/>
    <m/>
    <n v="6"/>
    <s v="https://www4.ti.ch/area-media/comunicati/dettaglio-comunicato/?NEWS_ID=187467&amp;tx_tichareamedia_comunicazioni%5Baction%5D=show&amp;tx_tichareamedia_comunicazioni%5Bcontroller%5D=Comunicazioni&amp;cHash=af5473066754ef4d1272e156056acc07"/>
  </r>
  <r>
    <x v="19"/>
    <m/>
    <x v="8"/>
    <m/>
    <n v="566"/>
    <n v="90"/>
    <n v="10"/>
    <m/>
    <m/>
    <n v="5"/>
    <s v="https://www.vd.ch/toutes-les-actualites/hotline-et-informations-sur-le-coronavirus/point-de-situation-statistique-dans-le-canton-de-vaud/"/>
  </r>
  <r>
    <x v="19"/>
    <m/>
    <x v="9"/>
    <m/>
    <n v="115"/>
    <n v="35"/>
    <n v="1"/>
    <n v="1"/>
    <m/>
    <n v="2"/>
    <s v="https://www.vs.ch/documents/6756452/7008787/2020%2004%2029%20Sit%20Epid%20-%20%C3%89tat%20Stand"/>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m/>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4/statistiques_situation_FR_2904.xlsx"/>
  </r>
  <r>
    <x v="20"/>
    <m/>
    <x v="0"/>
    <n v="4147"/>
    <n v="460"/>
    <n v="66"/>
    <n v="10"/>
    <n v="9"/>
    <m/>
    <n v="4"/>
    <s v="https://www.ge.ch/document/covid-19-situation-epidemiologique-geneve/telecharger"/>
  </r>
  <r>
    <x v="20"/>
    <m/>
    <x v="19"/>
    <m/>
    <n v="10"/>
    <n v="0"/>
    <m/>
    <m/>
    <m/>
    <n v="0"/>
    <s v="https://www.gl.ch/public/upload/assets/27574/COVID-19_Fallzahlen_Kanton_Glarus.xlsx"/>
  </r>
  <r>
    <x v="20"/>
    <m/>
    <x v="3"/>
    <m/>
    <n v="25"/>
    <n v="9"/>
    <n v="0"/>
    <m/>
    <m/>
    <n v="0"/>
    <s v="https://www.jura.ch/Htdocs/Files/v/34283.xlsx/Departements/CHA/SIC/Carrousel/Coronavirus/Cornavirus/Chiffres/donnees_29_04.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52b47430-c025-40dd-bc29-c70ed9b9899e"/>
  </r>
  <r>
    <x v="20"/>
    <m/>
    <x v="25"/>
    <n v="246"/>
    <n v="17"/>
    <m/>
    <m/>
    <m/>
    <m/>
    <m/>
    <s v=""/>
  </r>
  <r>
    <x v="20"/>
    <m/>
    <x v="1"/>
    <m/>
    <n v="330"/>
    <m/>
    <m/>
    <m/>
    <m/>
    <n v="8"/>
    <s v="https://www4.ti.ch/area-media/comunicati/dettaglio-comunicato/?NEWS_ID=187475&amp;tx_tichareamedia_comunicazioni%5Baction%5D=show&amp;tx_tichareamedia_comunicazioni%5Bcontroller%5D=Comunicazioni&amp;cHash=dee4a529abd4e9300e116c7ff4db5774"/>
  </r>
  <r>
    <x v="20"/>
    <m/>
    <x v="8"/>
    <m/>
    <n v="796"/>
    <n v="126"/>
    <n v="20"/>
    <m/>
    <m/>
    <n v="7"/>
    <s v="https://www.vd.ch/toutes-les-actualites/hotline-et-informations-sur-le-coronavirus/point-de-situation-statistique-dans-le-canton-de-vaud/"/>
  </r>
  <r>
    <x v="20"/>
    <m/>
    <x v="9"/>
    <m/>
    <n v="172"/>
    <n v="41"/>
    <n v="2"/>
    <n v="1"/>
    <m/>
    <n v="3"/>
    <s v="https://www.vs.ch/documents/6756452/7008787/2020%2004%2029%20Sit%20Epid%20-%20%C3%89tat%20Stand"/>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m/>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4/statistiques_situation_FR_2904.xlsx"/>
  </r>
  <r>
    <x v="21"/>
    <m/>
    <x v="0"/>
    <n v="4750"/>
    <n v="587"/>
    <n v="75"/>
    <n v="19"/>
    <n v="17"/>
    <m/>
    <n v="5"/>
    <s v="https://www.ge.ch/document/covid-19-situation-epidemiologique-geneve/telecharger"/>
  </r>
  <r>
    <x v="21"/>
    <m/>
    <x v="19"/>
    <m/>
    <n v="12"/>
    <n v="0"/>
    <m/>
    <m/>
    <m/>
    <n v="0"/>
    <s v="https://www.gl.ch/public/upload/assets/27574/COVID-19_Fallzahlen_Kanton_Glarus.xlsx"/>
  </r>
  <r>
    <x v="21"/>
    <m/>
    <x v="26"/>
    <m/>
    <n v="101"/>
    <n v="9"/>
    <m/>
    <m/>
    <m/>
    <n v="1"/>
    <s v="https://www.gr.ch/DE/institutionen/verwaltung/djsg/ga/coronavirus/info/Seiten/Start.aspx"/>
  </r>
  <r>
    <x v="21"/>
    <m/>
    <x v="3"/>
    <m/>
    <n v="29"/>
    <n v="11"/>
    <n v="0"/>
    <m/>
    <m/>
    <n v="0"/>
    <s v="https://www.jura.ch/Htdocs/Files/v/34283.xlsx/Departements/CHA/SIC/Carrousel/Coronavirus/Cornavirus/Chiffres/donnees_29_04.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52b47430-c025-40dd-bc29-c70ed9b9899e"/>
  </r>
  <r>
    <x v="21"/>
    <m/>
    <x v="25"/>
    <n v="276"/>
    <n v="23"/>
    <m/>
    <m/>
    <m/>
    <m/>
    <m/>
    <s v=""/>
  </r>
  <r>
    <x v="21"/>
    <m/>
    <x v="1"/>
    <m/>
    <n v="422"/>
    <m/>
    <m/>
    <m/>
    <m/>
    <n v="10"/>
    <s v="https://www4.ti.ch/area-media/comunicati/dettaglio-comunicato/?NEWS_ID=187486&amp;tx_tichareamedia_comunicazioni%5Baction%5D=show&amp;tx_tichareamedia_comunicazioni%5Bcontroller%5D=Comunicazioni&amp;cHash=d106aab74491da09b294ff13ffadd02f"/>
  </r>
  <r>
    <x v="21"/>
    <m/>
    <x v="8"/>
    <m/>
    <n v="1039"/>
    <n v="140"/>
    <n v="24"/>
    <m/>
    <m/>
    <n v="9"/>
    <s v="https://www.vd.ch/toutes-les-actualites/hotline-et-informations-sur-le-coronavirus/point-de-situation-statistique-dans-le-canton-de-vaud/"/>
  </r>
  <r>
    <x v="21"/>
    <m/>
    <x v="9"/>
    <m/>
    <n v="225"/>
    <n v="46"/>
    <n v="2"/>
    <n v="2"/>
    <m/>
    <n v="3"/>
    <s v="https://www.vs.ch/documents/6756452/7008787/2020%2004%2029%20Sit%20Epid%20-%20%C3%89tat%20Stand"/>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4/statistiques_situation_FR_2904.xlsx"/>
  </r>
  <r>
    <x v="22"/>
    <m/>
    <x v="0"/>
    <n v="5573"/>
    <n v="775"/>
    <n v="78"/>
    <n v="20"/>
    <n v="17"/>
    <m/>
    <n v="6"/>
    <s v="https://www.ge.ch/document/covid-19-situation-epidemiologique-geneve/telecharger"/>
  </r>
  <r>
    <x v="22"/>
    <m/>
    <x v="19"/>
    <m/>
    <n v="14"/>
    <n v="0"/>
    <m/>
    <m/>
    <m/>
    <n v="0"/>
    <s v="https://www.gl.ch/public/upload/assets/27574/COVID-19_Fallzahlen_Kanton_Glarus.xlsx"/>
  </r>
  <r>
    <x v="22"/>
    <m/>
    <x v="26"/>
    <m/>
    <n v="128"/>
    <n v="13"/>
    <m/>
    <m/>
    <m/>
    <n v="1"/>
    <s v="https://www.gr.ch/DE/institutionen/verwaltung/djsg/ga/coronavirus/info/Seiten/Start.aspx"/>
  </r>
  <r>
    <x v="22"/>
    <m/>
    <x v="3"/>
    <m/>
    <n v="32"/>
    <n v="11"/>
    <n v="0"/>
    <m/>
    <m/>
    <n v="0"/>
    <s v="https://www.jura.ch/Htdocs/Files/v/34283.xlsx/Departements/CHA/SIC/Carrousel/Coronavirus/Cornavirus/Chiffres/donnees_29_04.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52b47430-c025-40dd-bc29-c70ed9b9899e"/>
  </r>
  <r>
    <x v="22"/>
    <m/>
    <x v="18"/>
    <m/>
    <n v="43"/>
    <m/>
    <m/>
    <m/>
    <m/>
    <m/>
    <s v="https://www.oltnertagblatt.ch/solothurn/kanton-solothurn/zivilschuetzer-kontrollieren-wer-in-die-solothurner-spitaeler-rein-will-137174885"/>
  </r>
  <r>
    <x v="22"/>
    <m/>
    <x v="25"/>
    <m/>
    <n v="32"/>
    <m/>
    <m/>
    <m/>
    <m/>
    <m/>
    <s v="https://www.tg.ch/news/fachdossier-coronavirus.html/10552"/>
  </r>
  <r>
    <x v="22"/>
    <m/>
    <x v="1"/>
    <m/>
    <n v="511"/>
    <m/>
    <m/>
    <m/>
    <m/>
    <n v="14"/>
    <s v="https://www4.ti.ch/area-media/comunicati/dettaglio-comunicato/?NEWS_ID=187493&amp;tx_tichareamedia_comunicazioni%5Baction%5D=show&amp;tx_tichareamedia_comunicazioni%5Bcontroller%5D=Comunicazioni&amp;cHash=7803bbc03dd49ef2e421dfd6b12dd239"/>
  </r>
  <r>
    <x v="22"/>
    <m/>
    <x v="22"/>
    <n v="85"/>
    <n v="5"/>
    <m/>
    <m/>
    <m/>
    <m/>
    <m/>
    <s v="https://www.ur.ch/mmdirektionen/63802"/>
  </r>
  <r>
    <x v="22"/>
    <m/>
    <x v="8"/>
    <m/>
    <n v="1305"/>
    <n v="153"/>
    <n v="24"/>
    <m/>
    <m/>
    <n v="12"/>
    <s v="https://www.vd.ch/toutes-les-actualites/hotline-et-informations-sur-le-coronavirus/point-de-situation-statistique-dans-le-canton-de-vaud/"/>
  </r>
  <r>
    <x v="22"/>
    <m/>
    <x v="9"/>
    <m/>
    <n v="312"/>
    <n v="58"/>
    <n v="2"/>
    <n v="2"/>
    <m/>
    <n v="4"/>
    <s v="https://www.vs.ch/documents/6756452/7008787/2020%2004%2029%20Sit%20Epid%20-%20%C3%89tat%20Stand"/>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m/>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4/statistiques_situation_FR_2904.xlsx"/>
  </r>
  <r>
    <x v="23"/>
    <m/>
    <x v="0"/>
    <n v="6233"/>
    <n v="994"/>
    <n v="92"/>
    <n v="19"/>
    <n v="18"/>
    <m/>
    <n v="7"/>
    <s v="https://www.ge.ch/document/covid-19-situation-epidemiologique-geneve/telecharger"/>
  </r>
  <r>
    <x v="23"/>
    <m/>
    <x v="19"/>
    <m/>
    <n v="16"/>
    <n v="0"/>
    <m/>
    <m/>
    <m/>
    <n v="0"/>
    <s v="https://www.gl.ch/public/upload/assets/27574/COVID-19_Fallzahlen_Kanton_Glarus.xlsx"/>
  </r>
  <r>
    <x v="23"/>
    <m/>
    <x v="26"/>
    <m/>
    <n v="182"/>
    <n v="18"/>
    <m/>
    <m/>
    <m/>
    <n v="2"/>
    <s v="https://www.gr.ch/DE/institutionen/verwaltung/djsg/ga/coronavirus/info/Seiten/Start.aspx"/>
  </r>
  <r>
    <x v="23"/>
    <m/>
    <x v="3"/>
    <m/>
    <n v="36"/>
    <n v="12"/>
    <n v="0"/>
    <m/>
    <m/>
    <n v="0"/>
    <s v="https://www.jura.ch/Htdocs/Files/v/34283.xlsx/Departements/CHA/SIC/Carrousel/Coronavirus/Cornavirus/Chiffres/donnees_29_04.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52b47430-c025-40dd-bc29-c70ed9b9899e"/>
  </r>
  <r>
    <x v="23"/>
    <m/>
    <x v="25"/>
    <m/>
    <n v="37"/>
    <m/>
    <m/>
    <m/>
    <m/>
    <m/>
    <s v="https://www.tg.ch/news/fachdossier-coronavirus.html/10552"/>
  </r>
  <r>
    <x v="23"/>
    <m/>
    <x v="1"/>
    <m/>
    <n v="638"/>
    <n v="155"/>
    <n v="33"/>
    <m/>
    <m/>
    <n v="15"/>
    <s v="https://www4.ti.ch/area-media/comunicati/dettaglio-comunicato/?NEWS_ID=187499&amp;tx_tichareamedia_comunicazioni%5Baction%5D=show&amp;tx_tichareamedia_comunicazioni%5Bcontroller%5D=Comunicazioni&amp;cHash=634a783514bdcbb426c005f1ea916268 https://www.youtube.com/watch?v=34RQ7OOWYoI"/>
  </r>
  <r>
    <x v="23"/>
    <m/>
    <x v="22"/>
    <m/>
    <n v="7"/>
    <m/>
    <m/>
    <m/>
    <m/>
    <m/>
    <s v="https://www.ur.ch/mmdirektionen/63841"/>
  </r>
  <r>
    <x v="23"/>
    <m/>
    <x v="8"/>
    <m/>
    <n v="1514"/>
    <n v="170"/>
    <n v="23"/>
    <m/>
    <m/>
    <n v="13"/>
    <s v="https://www.vd.ch/toutes-les-actualites/hotline-et-informations-sur-le-coronavirus/point-de-situation-statistique-dans-le-canton-de-vaud/"/>
  </r>
  <r>
    <x v="23"/>
    <m/>
    <x v="9"/>
    <m/>
    <n v="349"/>
    <n v="64"/>
    <n v="5"/>
    <n v="5"/>
    <m/>
    <n v="6"/>
    <s v="https://www.vs.ch/documents/6756452/7008787/2020%2004%2029%20Sit%20Epid%20-%20%C3%89tat%20Stand"/>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4/statistiques_situation_FR_2904.xlsx"/>
  </r>
  <r>
    <x v="24"/>
    <m/>
    <x v="0"/>
    <n v="6647"/>
    <n v="1119"/>
    <n v="109"/>
    <n v="22"/>
    <n v="21"/>
    <m/>
    <n v="9"/>
    <s v="https://www.ge.ch/document/covid-19-situation-epidemiologique-geneve/telecharger"/>
  </r>
  <r>
    <x v="24"/>
    <m/>
    <x v="19"/>
    <m/>
    <n v="20"/>
    <n v="0"/>
    <m/>
    <m/>
    <m/>
    <n v="0"/>
    <s v="https://www.gl.ch/public/upload/assets/27574/COVID-19_Fallzahlen_Kanton_Glarus.xlsx"/>
  </r>
  <r>
    <x v="24"/>
    <m/>
    <x v="26"/>
    <m/>
    <n v="226"/>
    <n v="24"/>
    <m/>
    <m/>
    <m/>
    <n v="3"/>
    <s v="https://www.gr.ch/DE/institutionen/verwaltung/djsg/ga/coronavirus/info/Seiten/Start.aspx"/>
  </r>
  <r>
    <x v="24"/>
    <m/>
    <x v="3"/>
    <m/>
    <n v="44"/>
    <n v="14"/>
    <n v="1"/>
    <m/>
    <m/>
    <n v="0"/>
    <s v="https://www.jura.ch/Htdocs/Files/v/34283.xlsx/Departements/CHA/SIC/Carrousel/Coronavirus/Cornavirus/Chiffres/donnees_29_04.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52b47430-c025-40dd-bc29-c70ed9b9899e"/>
  </r>
  <r>
    <x v="24"/>
    <m/>
    <x v="25"/>
    <m/>
    <n v="50"/>
    <m/>
    <m/>
    <m/>
    <m/>
    <m/>
    <s v="https://www.tg.ch/news/fachdossier-coronavirus.html/10552"/>
  </r>
  <r>
    <x v="24"/>
    <m/>
    <x v="8"/>
    <m/>
    <n v="1756"/>
    <n v="182"/>
    <n v="23"/>
    <m/>
    <m/>
    <n v="19"/>
    <s v="https://www.vd.ch/toutes-les-actualites/hotline-et-informations-sur-le-coronavirus/point-de-situation-statistique-dans-le-canton-de-vaud/"/>
  </r>
  <r>
    <x v="24"/>
    <m/>
    <x v="9"/>
    <m/>
    <n v="436"/>
    <n v="73"/>
    <n v="6"/>
    <n v="5"/>
    <m/>
    <n v="7"/>
    <s v="https://www.vs.ch/documents/6756452/7008787/2020%2004%2029%20Sit%20Epid%20-%20%C3%89tat%20Stand"/>
  </r>
  <r>
    <x v="24"/>
    <n v="0.33333333333333331"/>
    <x v="1"/>
    <m/>
    <n v="834"/>
    <n v="168"/>
    <n v="35"/>
    <m/>
    <m/>
    <n v="22"/>
    <s v="https://www4.ti.ch/dss/dsp/covid19/home/ https://www.youtube.com/watch?v=34RQ7OOWYoI"/>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4/statistiques_situation_FR_2904.xlsx"/>
  </r>
  <r>
    <x v="25"/>
    <m/>
    <x v="0"/>
    <n v="7009"/>
    <n v="1248"/>
    <n v="145"/>
    <n v="25"/>
    <n v="24"/>
    <m/>
    <n v="9"/>
    <s v="https://www.ge.ch/document/covid-19-situation-epidemiologique-geneve/telecharger"/>
  </r>
  <r>
    <x v="25"/>
    <m/>
    <x v="19"/>
    <m/>
    <n v="25"/>
    <n v="0"/>
    <m/>
    <m/>
    <m/>
    <n v="0"/>
    <s v="https://www.gl.ch/public/upload/assets/27574/COVID-19_Fallzahlen_Kanton_Glarus.xlsx"/>
  </r>
  <r>
    <x v="25"/>
    <m/>
    <x v="26"/>
    <m/>
    <n v="258"/>
    <n v="24"/>
    <m/>
    <m/>
    <m/>
    <n v="4"/>
    <s v="https://www.gr.ch/DE/institutionen/verwaltung/djsg/ga/coronavirus/info/Seiten/Start.aspx"/>
  </r>
  <r>
    <x v="25"/>
    <m/>
    <x v="3"/>
    <m/>
    <n v="54"/>
    <n v="13"/>
    <n v="1"/>
    <m/>
    <m/>
    <n v="0"/>
    <s v="https://www.jura.ch/Htdocs/Files/v/34283.xlsx/Departements/CHA/SIC/Carrousel/Coronavirus/Cornavirus/Chiffres/donnees_29_04.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52b47430-c025-40dd-bc29-c70ed9b9899e"/>
  </r>
  <r>
    <x v="25"/>
    <m/>
    <x v="25"/>
    <m/>
    <n v="57"/>
    <m/>
    <m/>
    <m/>
    <m/>
    <m/>
    <s v="https://www.tg.ch/news/fachdossier-coronavirus.html/10552"/>
  </r>
  <r>
    <x v="25"/>
    <m/>
    <x v="8"/>
    <m/>
    <n v="1875"/>
    <n v="209"/>
    <n v="24"/>
    <m/>
    <m/>
    <n v="22"/>
    <s v="https://www.vd.ch/toutes-les-actualites/hotline-et-informations-sur-le-coronavirus/point-de-situation-statistique-dans-le-canton-de-vaud/"/>
  </r>
  <r>
    <x v="25"/>
    <m/>
    <x v="9"/>
    <m/>
    <n v="498"/>
    <n v="83"/>
    <n v="8"/>
    <n v="6"/>
    <m/>
    <n v="10"/>
    <s v="https://www.vs.ch/documents/6756452/7008787/2020%2004%2029%20Sit%20Epid%20-%20%C3%89tat%20Stand"/>
  </r>
  <r>
    <x v="25"/>
    <n v="0.33333333333333331"/>
    <x v="1"/>
    <m/>
    <n v="918"/>
    <n v="184"/>
    <n v="40"/>
    <n v="37"/>
    <m/>
    <n v="28"/>
    <s v="https://www4.ti.ch/dss/dsp/covid19/home/ https://www.youtube.com/watch?v=7g2sALU9bQM"/>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4/statistiques_situation_FR_2904.xlsx"/>
  </r>
  <r>
    <x v="26"/>
    <m/>
    <x v="0"/>
    <n v="7244"/>
    <n v="1391"/>
    <n v="179"/>
    <n v="36"/>
    <n v="36"/>
    <m/>
    <n v="10"/>
    <s v="https://www.ge.ch/document/covid-19-situation-epidemiologique-geneve/telecharger"/>
  </r>
  <r>
    <x v="26"/>
    <m/>
    <x v="19"/>
    <m/>
    <n v="29"/>
    <n v="0"/>
    <m/>
    <m/>
    <m/>
    <n v="0"/>
    <s v="https://www.gl.ch/public/upload/assets/27574/COVID-19_Fallzahlen_Kanton_Glarus.xlsx"/>
  </r>
  <r>
    <x v="26"/>
    <m/>
    <x v="26"/>
    <m/>
    <n v="284"/>
    <n v="27"/>
    <m/>
    <m/>
    <m/>
    <n v="4"/>
    <s v="https://www.gr.ch/DE/institutionen/verwaltung/djsg/ga/coronavirus/info/Seiten/Start.aspx"/>
  </r>
  <r>
    <x v="26"/>
    <m/>
    <x v="3"/>
    <m/>
    <n v="61"/>
    <n v="18"/>
    <n v="2"/>
    <m/>
    <m/>
    <n v="0"/>
    <s v="https://www.jura.ch/Htdocs/Files/v/34283.xlsx/Departements/CHA/SIC/Carrousel/Coronavirus/Cornavirus/Chiffres/donnees_29_04.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52b47430-c025-40dd-bc29-c70ed9b9899e"/>
  </r>
  <r>
    <x v="26"/>
    <m/>
    <x v="25"/>
    <m/>
    <n v="76"/>
    <m/>
    <m/>
    <m/>
    <m/>
    <m/>
    <s v="https://www.tg.ch/news/fachdossier-coronavirus.html/10552"/>
  </r>
  <r>
    <x v="26"/>
    <m/>
    <x v="8"/>
    <m/>
    <n v="1977"/>
    <n v="229"/>
    <n v="30"/>
    <m/>
    <m/>
    <n v="24"/>
    <s v="https://www.vd.ch/toutes-les-actualites/hotline-et-informations-sur-le-coronavirus/point-de-situation-statistique-dans-le-canton-de-vaud/"/>
  </r>
  <r>
    <x v="26"/>
    <m/>
    <x v="9"/>
    <m/>
    <n v="535"/>
    <n v="92"/>
    <n v="11"/>
    <n v="7"/>
    <m/>
    <n v="11"/>
    <s v="https://www.vs.ch/documents/6756452/7008787/2020%2004%2029%20Sit%20Epid%20-%20%C3%89tat%20Stand"/>
  </r>
  <r>
    <x v="26"/>
    <n v="0.33333333333333331"/>
    <x v="1"/>
    <m/>
    <n v="939"/>
    <n v="246"/>
    <n v="46"/>
    <n v="43"/>
    <m/>
    <n v="37"/>
    <s v="https://web.archive.org/web/20200322153528/https://www4.ti.ch/dss/dsp/covid19/home/"/>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4/statistiques_situation_FR_2904.xlsx"/>
  </r>
  <r>
    <x v="27"/>
    <m/>
    <x v="0"/>
    <n v="7622"/>
    <n v="1536"/>
    <n v="214"/>
    <n v="43"/>
    <n v="41"/>
    <m/>
    <n v="16"/>
    <s v="https://www.ge.ch/document/covid-19-situation-epidemiologique-geneve/telecharger"/>
  </r>
  <r>
    <x v="27"/>
    <m/>
    <x v="19"/>
    <m/>
    <n v="31"/>
    <n v="3"/>
    <m/>
    <m/>
    <m/>
    <n v="0"/>
    <s v="https://www.gl.ch/public/upload/assets/27574/COVID-19_Fallzahlen_Kanton_Glarus.xlsx"/>
  </r>
  <r>
    <x v="27"/>
    <m/>
    <x v="26"/>
    <m/>
    <n v="300"/>
    <n v="29"/>
    <m/>
    <m/>
    <m/>
    <n v="5"/>
    <s v="https://www.gr.ch/DE/institutionen/verwaltung/djsg/ga/coronavirus/info/Seiten/Start.aspx"/>
  </r>
  <r>
    <x v="27"/>
    <m/>
    <x v="3"/>
    <m/>
    <n v="69"/>
    <n v="18"/>
    <n v="3"/>
    <m/>
    <m/>
    <n v="0"/>
    <s v="https://www.jura.ch/Htdocs/Files/v/34283.xlsx/Departements/CHA/SIC/Carrousel/Coronavirus/Cornavirus/Chiffres/donnees_29_04.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52b47430-c025-40dd-bc29-c70ed9b9899e"/>
  </r>
  <r>
    <x v="27"/>
    <m/>
    <x v="25"/>
    <m/>
    <n v="82"/>
    <m/>
    <m/>
    <m/>
    <m/>
    <m/>
    <s v="https://www.tg.ch/news/fachdossier-coronavirus.html/10552"/>
  </r>
  <r>
    <x v="27"/>
    <m/>
    <x v="22"/>
    <m/>
    <n v="22"/>
    <n v="1"/>
    <m/>
    <m/>
    <n v="1"/>
    <m/>
    <s v="https://www.ur.ch/themen/2920"/>
  </r>
  <r>
    <x v="27"/>
    <m/>
    <x v="8"/>
    <m/>
    <n v="2283"/>
    <n v="247"/>
    <n v="39"/>
    <m/>
    <m/>
    <n v="28"/>
    <s v="https://www.vd.ch/toutes-les-actualites/hotline-et-informations-sur-le-coronavirus/point-de-situation-statistique-dans-le-canton-de-vaud/"/>
  </r>
  <r>
    <x v="27"/>
    <m/>
    <x v="9"/>
    <m/>
    <n v="628"/>
    <n v="104"/>
    <n v="12"/>
    <n v="9"/>
    <m/>
    <n v="13"/>
    <s v="https://www.vs.ch/documents/6756452/7008787/2020%2004%2029%20Sit%20Epid%20-%20%C3%89tat%20Stand"/>
  </r>
  <r>
    <x v="27"/>
    <n v="0.33333333333333331"/>
    <x v="1"/>
    <m/>
    <n v="1165"/>
    <n v="261"/>
    <n v="45"/>
    <n v="43"/>
    <m/>
    <n v="48"/>
    <s v="https://www4.ti.ch/area-media/comunicati/dettaglio-comunicato/?NEWS_ID=187510&amp;tx_tichareamedia_comunicazioni%5Baction%5D=show&amp;tx_tichareamedia_comunicazioni%5Bcontroller%5D=Comunicazioni&amp;cHash=0120f665ab49651b9d66c876ef272a91"/>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4/statistiques_situation_FR_2904.xlsx"/>
  </r>
  <r>
    <x v="28"/>
    <m/>
    <x v="0"/>
    <n v="7965"/>
    <n v="1636"/>
    <n v="238"/>
    <n v="41"/>
    <n v="41"/>
    <n v="103"/>
    <n v="17"/>
    <s v="https://www.ge.ch/document/covid-19-situation-epidemiologique-geneve/telecharger"/>
  </r>
  <r>
    <x v="28"/>
    <m/>
    <x v="19"/>
    <m/>
    <n v="33"/>
    <n v="3"/>
    <m/>
    <m/>
    <m/>
    <n v="0"/>
    <s v="https://www.gl.ch/public/upload/assets/27574/COVID-19_Fallzahlen_Kanton_Glarus.xlsx"/>
  </r>
  <r>
    <x v="28"/>
    <m/>
    <x v="26"/>
    <m/>
    <n v="343"/>
    <n v="43"/>
    <m/>
    <m/>
    <m/>
    <n v="6"/>
    <s v="https://www.gr.ch/DE/institutionen/verwaltung/djsg/ga/coronavirus/info/Seiten/Start.aspx"/>
  </r>
  <r>
    <x v="28"/>
    <m/>
    <x v="3"/>
    <m/>
    <n v="82"/>
    <n v="22"/>
    <n v="4"/>
    <m/>
    <m/>
    <n v="0"/>
    <s v="https://www.jura.ch/Htdocs/Files/v/34283.xlsx/Departements/CHA/SIC/Carrousel/Coronavirus/Cornavirus/Chiffres/donnees_29_04.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52b47430-c025-40dd-bc29-c70ed9b9899e"/>
  </r>
  <r>
    <x v="28"/>
    <m/>
    <x v="15"/>
    <m/>
    <n v="97"/>
    <m/>
    <m/>
    <m/>
    <n v="10"/>
    <n v="0"/>
    <s v="https://www.sz.ch/public/upload/assets/46383/COVID-19_Fallzahlen_Kanton_Schwyz.xlsx"/>
  </r>
  <r>
    <x v="28"/>
    <m/>
    <x v="25"/>
    <m/>
    <n v="88"/>
    <m/>
    <m/>
    <m/>
    <m/>
    <n v="1"/>
    <s v="https://www.tg.ch/news/fachdossier-coronavirus.html/10552 &amp; https://www.tg.ch/news/news-detailseite.html/485/news/44925"/>
  </r>
  <r>
    <x v="28"/>
    <m/>
    <x v="8"/>
    <m/>
    <n v="2548"/>
    <n v="283"/>
    <n v="40"/>
    <m/>
    <m/>
    <n v="32"/>
    <s v="https://www.vd.ch/toutes-les-actualites/hotline-et-informations-sur-le-coronavirus/point-de-situation-statistique-dans-le-canton-de-vaud/"/>
  </r>
  <r>
    <x v="28"/>
    <m/>
    <x v="9"/>
    <m/>
    <n v="728"/>
    <n v="117"/>
    <n v="13"/>
    <n v="12"/>
    <m/>
    <n v="14"/>
    <s v="https://www.vs.ch/documents/6756452/7008787/2020%2004%2029%20Sit%20Epid%20-%20%C3%89tat%20Stand"/>
  </r>
  <r>
    <x v="28"/>
    <n v="0"/>
    <x v="18"/>
    <m/>
    <n v="104"/>
    <m/>
    <m/>
    <m/>
    <m/>
    <n v="1"/>
    <s v="https://corona.so.ch/"/>
  </r>
  <r>
    <x v="28"/>
    <n v="0.33333333333333331"/>
    <x v="1"/>
    <m/>
    <n v="1211"/>
    <n v="285"/>
    <n v="50"/>
    <n v="48"/>
    <m/>
    <n v="53"/>
    <s v="https://www4.ti.ch/area-media/comunicati/dettaglio-comunicato/?NEWS_ID=187520&amp;tx_tichareamedia_comunicazioni%5Baction%5D=show&amp;tx_tichareamedia_comunicazioni%5Bcontroller%5D=Comunicazioni&amp;cHash=4d581f57e92de04937175bab9e5b0f14"/>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m/>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4/statistiques_situation_FR_2904.xlsx"/>
  </r>
  <r>
    <x v="29"/>
    <m/>
    <x v="0"/>
    <n v="8370"/>
    <n v="1757"/>
    <n v="258"/>
    <n v="50"/>
    <n v="48"/>
    <n v="122"/>
    <n v="24"/>
    <s v="https://www.ge.ch/document/covid-19-situation-epidemiologique-geneve/telecharger"/>
  </r>
  <r>
    <x v="29"/>
    <m/>
    <x v="19"/>
    <m/>
    <n v="40"/>
    <n v="2"/>
    <m/>
    <m/>
    <m/>
    <n v="0"/>
    <s v="https://www.gl.ch/public/upload/assets/27574/COVID-19_Fallzahlen_Kanton_Glarus.xlsx"/>
  </r>
  <r>
    <x v="29"/>
    <m/>
    <x v="26"/>
    <m/>
    <n v="393"/>
    <n v="45"/>
    <m/>
    <m/>
    <m/>
    <n v="8"/>
    <s v="https://www.gr.ch/DE/institutionen/verwaltung/djsg/ga/coronavirus/info/Seiten/Start.aspx"/>
  </r>
  <r>
    <x v="29"/>
    <m/>
    <x v="3"/>
    <m/>
    <n v="92"/>
    <n v="23"/>
    <n v="4"/>
    <m/>
    <m/>
    <n v="0"/>
    <s v="https://www.jura.ch/Htdocs/Files/v/34283.xlsx/Departements/CHA/SIC/Carrousel/Coronavirus/Cornavirus/Chiffres/donnees_29_04.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52b47430-c025-40dd-bc29-c70ed9b9899e"/>
  </r>
  <r>
    <x v="29"/>
    <m/>
    <x v="15"/>
    <m/>
    <m/>
    <m/>
    <m/>
    <m/>
    <n v="10"/>
    <n v="0"/>
    <s v="https://www.sz.ch/public/upload/assets/46383/COVID-19_Fallzahlen_Kanton_Schwyz.xlsx"/>
  </r>
  <r>
    <x v="29"/>
    <m/>
    <x v="25"/>
    <m/>
    <n v="97"/>
    <m/>
    <m/>
    <m/>
    <m/>
    <n v="1"/>
    <s v="https://www.tg.ch/news/fachdossier-coronavirus.html/10552"/>
  </r>
  <r>
    <x v="29"/>
    <m/>
    <x v="8"/>
    <m/>
    <n v="2740"/>
    <n v="311"/>
    <n v="51"/>
    <m/>
    <m/>
    <n v="40"/>
    <s v="https://www.vd.ch/toutes-les-actualites/hotline-et-informations-sur-le-coronavirus/point-de-situation-statistique-dans-le-canton-de-vaud/"/>
  </r>
  <r>
    <x v="29"/>
    <m/>
    <x v="9"/>
    <m/>
    <n v="793"/>
    <n v="118"/>
    <n v="15"/>
    <n v="14"/>
    <m/>
    <n v="15"/>
    <s v="https://www.vs.ch/documents/6756452/7008787/2020%2004%2029%20Sit%20Epid%20-%20%C3%89tat%20Stand"/>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m/>
    <n v="60"/>
    <s v="https://www4.ti.ch/area-media/comunicati/dettaglio-comunicato/?NEWS_ID=187523&amp;tx_tichareamedia_comunicazioni%5Baction%5D=show&amp;tx_tichareamedia_comunicazioni%5Bcontroller%5D=Comunicazioni&amp;cHash=982795a2c13394282accc3a8506c9ba0"/>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m/>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4/statistiques_situation_FR_2904.xlsx"/>
  </r>
  <r>
    <x v="30"/>
    <m/>
    <x v="0"/>
    <n v="8876"/>
    <n v="1979"/>
    <n v="272"/>
    <n v="52"/>
    <n v="48"/>
    <n v="144"/>
    <n v="26"/>
    <s v="https://www.ge.ch/document/covid-19-situation-epidemiologique-geneve/telecharger"/>
  </r>
  <r>
    <x v="30"/>
    <m/>
    <x v="19"/>
    <m/>
    <n v="43"/>
    <n v="2"/>
    <m/>
    <m/>
    <m/>
    <n v="0"/>
    <s v="https://www.gl.ch/public/upload/assets/27574/COVID-19_Fallzahlen_Kanton_Glarus.xlsx"/>
  </r>
  <r>
    <x v="30"/>
    <m/>
    <x v="26"/>
    <m/>
    <n v="433"/>
    <n v="52"/>
    <m/>
    <m/>
    <m/>
    <n v="8"/>
    <s v="https://www.gr.ch/DE/institutionen/verwaltung/djsg/ga/coronavirus/info/Seiten/Start.aspx"/>
  </r>
  <r>
    <x v="30"/>
    <m/>
    <x v="3"/>
    <m/>
    <n v="100"/>
    <n v="22"/>
    <n v="4"/>
    <m/>
    <m/>
    <n v="0"/>
    <s v="https://www.jura.ch/Htdocs/Files/v/34283.xlsx/Departements/CHA/SIC/Carrousel/Coronavirus/Cornavirus/Chiffres/donnees_29_04.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52b47430-c025-40dd-bc29-c70ed9b9899e"/>
  </r>
  <r>
    <x v="30"/>
    <m/>
    <x v="15"/>
    <m/>
    <n v="107"/>
    <m/>
    <m/>
    <m/>
    <n v="20"/>
    <n v="0"/>
    <s v="https://www.sz.ch/public/upload/assets/46383/COVID-19_Fallzahlen_Kanton_Schwyz.xlsx"/>
  </r>
  <r>
    <x v="30"/>
    <m/>
    <x v="25"/>
    <m/>
    <n v="111"/>
    <m/>
    <m/>
    <m/>
    <m/>
    <n v="1"/>
    <s v="https://www.tg.ch/news/fachdossier-coronavirus.html/10552"/>
  </r>
  <r>
    <x v="30"/>
    <m/>
    <x v="22"/>
    <m/>
    <n v="38"/>
    <n v="4"/>
    <m/>
    <m/>
    <n v="2"/>
    <m/>
    <s v="https://www.ur.ch/themen/2920"/>
  </r>
  <r>
    <x v="30"/>
    <m/>
    <x v="8"/>
    <m/>
    <n v="2945"/>
    <n v="322"/>
    <n v="55"/>
    <m/>
    <m/>
    <n v="57"/>
    <s v="https://www.vd.ch/toutes-les-actualites/hotline-et-informations-sur-le-coronavirus/point-de-situation-statistique-dans-le-canton-de-vaud/"/>
  </r>
  <r>
    <x v="30"/>
    <m/>
    <x v="9"/>
    <m/>
    <n v="874"/>
    <n v="128"/>
    <n v="19"/>
    <n v="17"/>
    <m/>
    <n v="17"/>
    <s v="https://www.vs.ch/documents/6756452/7008787/2020%2004%2029%20Sit%20Epid%20-%20%C3%89tat%20Stand"/>
  </r>
  <r>
    <x v="30"/>
    <n v="0"/>
    <x v="18"/>
    <m/>
    <n v="141"/>
    <m/>
    <m/>
    <m/>
    <m/>
    <n v="1"/>
    <s v="https://corona.so.ch/"/>
  </r>
  <r>
    <x v="30"/>
    <n v="0.33333333333333331"/>
    <x v="1"/>
    <m/>
    <n v="1401"/>
    <n v="358"/>
    <n v="60"/>
    <n v="56"/>
    <m/>
    <n v="67"/>
    <s v="https://www4.ti.ch/area-media/comunicati/dettaglio-comunicato/?NEWS_ID=187529&amp;tx_tichareamedia_comunicazioni%5Baction%5D=show&amp;tx_tichareamedia_comunicazioni%5Bcontroller%5D=Comunicazioni&amp;cHash=8ce8f2f412a3bb9022fb4a28c9ad7fa4"/>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m/>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4/statistiques_situation_FR_2904.xlsx"/>
  </r>
  <r>
    <x v="31"/>
    <m/>
    <x v="0"/>
    <n v="9366"/>
    <n v="2164"/>
    <n v="313"/>
    <n v="54"/>
    <n v="54"/>
    <n v="153"/>
    <n v="33"/>
    <s v="https://www.ge.ch/document/covid-19-situation-epidemiologique-geneve/telecharger"/>
  </r>
  <r>
    <x v="31"/>
    <m/>
    <x v="19"/>
    <m/>
    <n v="47"/>
    <n v="3"/>
    <m/>
    <m/>
    <m/>
    <n v="0"/>
    <s v="https://www.gl.ch/public/upload/assets/27574/COVID-19_Fallzahlen_Kanton_Glarus.xlsx"/>
  </r>
  <r>
    <x v="31"/>
    <m/>
    <x v="26"/>
    <m/>
    <n v="474"/>
    <n v="58"/>
    <m/>
    <m/>
    <m/>
    <n v="9"/>
    <s v="https://www.gr.ch/DE/institutionen/verwaltung/djsg/ga/coronavirus/info/Seiten/Start.aspx"/>
  </r>
  <r>
    <x v="31"/>
    <m/>
    <x v="3"/>
    <m/>
    <n v="114"/>
    <n v="25"/>
    <n v="6"/>
    <m/>
    <m/>
    <n v="0"/>
    <s v="https://www.jura.ch/Htdocs/Files/v/34283.xlsx/Departements/CHA/SIC/Carrousel/Coronavirus/Cornavirus/Chiffres/donnees_29_04.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52b47430-c025-40dd-bc29-c70ed9b9899e"/>
  </r>
  <r>
    <x v="31"/>
    <m/>
    <x v="15"/>
    <m/>
    <n v="119"/>
    <m/>
    <m/>
    <m/>
    <n v="32"/>
    <n v="1"/>
    <s v="https://www.sz.ch/public/upload/assets/46383/COVID-19_Fallzahlen_Kanton_Schwyz.xlsx"/>
  </r>
  <r>
    <x v="31"/>
    <m/>
    <x v="25"/>
    <m/>
    <n v="118"/>
    <m/>
    <m/>
    <m/>
    <m/>
    <n v="2"/>
    <s v="https://www.tg.ch/news/fachdossier-coronavirus.html/10552 &amp; email der Staatskanzlei des Kanton Thurgau"/>
  </r>
  <r>
    <x v="31"/>
    <m/>
    <x v="22"/>
    <m/>
    <n v="40"/>
    <n v="7"/>
    <m/>
    <m/>
    <n v="3"/>
    <m/>
    <s v="https://www.ur.ch/themen/2920"/>
  </r>
  <r>
    <x v="31"/>
    <m/>
    <x v="8"/>
    <m/>
    <n v="3179"/>
    <n v="356"/>
    <n v="59"/>
    <m/>
    <m/>
    <n v="61"/>
    <s v="https://www.vd.ch/toutes-les-actualites/hotline-et-informations-sur-le-coronavirus/point-de-situation-statistique-dans-le-canton-de-vaud/"/>
  </r>
  <r>
    <x v="31"/>
    <m/>
    <x v="9"/>
    <m/>
    <n v="968"/>
    <n v="137"/>
    <n v="20"/>
    <n v="16"/>
    <m/>
    <n v="21"/>
    <s v="https://www.vs.ch/documents/6756452/7008787/2020%2004%2029%20Sit%20Epid%20-%20%C3%89tat%20Stand"/>
  </r>
  <r>
    <x v="31"/>
    <n v="0"/>
    <x v="18"/>
    <m/>
    <n v="157"/>
    <m/>
    <m/>
    <m/>
    <m/>
    <n v="1"/>
    <s v="https://corona.so.ch/"/>
  </r>
  <r>
    <x v="31"/>
    <n v="0.33333333333333331"/>
    <x v="1"/>
    <m/>
    <n v="1688"/>
    <n v="386"/>
    <n v="61"/>
    <n v="51"/>
    <m/>
    <n v="76"/>
    <s v="https://www4.ti.ch/area-media/comunicati/dettaglio-comunicato/?NEWS_ID=187533&amp;tx_tichareamedia_comunicazioni%5Baction%5D=show&amp;tx_tichareamedia_comunicazioni%5Bcontroller%5D=Comunicazioni&amp;cHash=0f01b9fd5e63dbb0f6f5cec02aa32b40"/>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m/>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4/statistiques_situation_FR_2904.xlsx"/>
  </r>
  <r>
    <x v="32"/>
    <m/>
    <x v="0"/>
    <n v="9959"/>
    <n v="2360"/>
    <n v="339"/>
    <n v="59"/>
    <n v="54"/>
    <n v="175"/>
    <n v="41"/>
    <s v="https://www.ge.ch/document/covid-19-situation-epidemiologique-geneve/telecharger"/>
  </r>
  <r>
    <x v="32"/>
    <m/>
    <x v="19"/>
    <m/>
    <n v="47"/>
    <n v="3"/>
    <m/>
    <m/>
    <m/>
    <n v="1"/>
    <s v="https://www.gl.ch/public/upload/assets/27574/COVID-19_Fallzahlen_Kanton_Glarus.xlsx"/>
  </r>
  <r>
    <x v="32"/>
    <m/>
    <x v="26"/>
    <m/>
    <n v="495"/>
    <n v="63"/>
    <m/>
    <m/>
    <m/>
    <n v="12"/>
    <s v="https://www.gr.ch/DE/institutionen/verwaltung/djsg/ga/coronavirus/info/Seiten/Start.aspx"/>
  </r>
  <r>
    <x v="32"/>
    <m/>
    <x v="3"/>
    <m/>
    <n v="119"/>
    <n v="27"/>
    <n v="5"/>
    <m/>
    <m/>
    <n v="0"/>
    <s v="https://www.jura.ch/Htdocs/Files/v/34283.xlsx/Departements/CHA/SIC/Carrousel/Coronavirus/Cornavirus/Chiffres/donnees_29_04.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52b47430-c025-40dd-bc29-c70ed9b9899e"/>
  </r>
  <r>
    <x v="32"/>
    <m/>
    <x v="15"/>
    <m/>
    <n v="122"/>
    <m/>
    <m/>
    <m/>
    <n v="33"/>
    <n v="1"/>
    <s v="https://www.sz.ch/public/upload/assets/46383/COVID-19_Fallzahlen_Kanton_Schwyz.xlsx"/>
  </r>
  <r>
    <x v="32"/>
    <m/>
    <x v="25"/>
    <m/>
    <n v="135"/>
    <m/>
    <m/>
    <m/>
    <m/>
    <n v="2"/>
    <s v="https://www.tg.ch/news/fachdossier-coronavirus.html/10552"/>
  </r>
  <r>
    <x v="32"/>
    <m/>
    <x v="22"/>
    <m/>
    <n v="48"/>
    <n v="7"/>
    <m/>
    <m/>
    <n v="3"/>
    <m/>
    <s v="https://www.ur.ch/themen/2920"/>
  </r>
  <r>
    <x v="32"/>
    <m/>
    <x v="8"/>
    <m/>
    <n v="3310"/>
    <n v="364"/>
    <n v="60"/>
    <m/>
    <m/>
    <n v="72"/>
    <s v="https://www.vd.ch/toutes-les-actualites/hotline-et-informations-sur-le-coronavirus/point-de-situation-statistique-dans-le-canton-de-vaud/"/>
  </r>
  <r>
    <x v="32"/>
    <m/>
    <x v="9"/>
    <m/>
    <n v="1017"/>
    <n v="142"/>
    <n v="21"/>
    <n v="19"/>
    <m/>
    <n v="25"/>
    <s v="https://www.vs.ch/documents/6756452/7008787/2020%2004%2029%20Sit%20Epid%20-%20%C3%89tat%20Stand"/>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m/>
    <n v="87"/>
    <s v="https://www4.ti.ch/area-media/comunicati/dettaglio-comunicato/?NEWS_ID=187538&amp;tx_tichareamedia_comunicazioni%5Baction%5D=show&amp;tx_tichareamedia_comunicazioni%5Bcontroller%5D=Comunicazioni&amp;cHash=736a7f1a780ed9bdb1d8e45f8a0326ff"/>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m/>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4/statistiques_situation_FR_2904.xlsx"/>
  </r>
  <r>
    <x v="33"/>
    <m/>
    <x v="0"/>
    <n v="10268"/>
    <n v="2466"/>
    <n v="365"/>
    <n v="59"/>
    <n v="55"/>
    <n v="193"/>
    <n v="49"/>
    <s v="https://www.ge.ch/document/covid-19-situation-epidemiologique-geneve/telecharger"/>
  </r>
  <r>
    <x v="33"/>
    <m/>
    <x v="19"/>
    <m/>
    <n v="50"/>
    <n v="2"/>
    <m/>
    <m/>
    <m/>
    <n v="1"/>
    <s v="https://www.gl.ch/public/upload/assets/27574/COVID-19_Fallzahlen_Kanton_Glarus.xlsx"/>
  </r>
  <r>
    <x v="33"/>
    <m/>
    <x v="26"/>
    <m/>
    <n v="519"/>
    <n v="63"/>
    <m/>
    <m/>
    <m/>
    <n v="15"/>
    <s v="https://www.gr.ch/DE/institutionen/verwaltung/djsg/ga/coronavirus/info/Seiten/Start.aspx"/>
  </r>
  <r>
    <x v="33"/>
    <m/>
    <x v="3"/>
    <m/>
    <n v="127"/>
    <n v="28"/>
    <n v="5"/>
    <m/>
    <m/>
    <n v="0"/>
    <s v="https://www.jura.ch/Htdocs/Files/v/34283.xlsx/Departements/CHA/SIC/Carrousel/Coronavirus/Cornavirus/Chiffres/donnees_29_04.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52b47430-c025-40dd-bc29-c70ed9b9899e"/>
  </r>
  <r>
    <x v="33"/>
    <m/>
    <x v="15"/>
    <m/>
    <n v="128"/>
    <m/>
    <m/>
    <m/>
    <n v="33"/>
    <n v="2"/>
    <s v="https://www.sz.ch/public/upload/assets/46383/COVID-19_Fallzahlen_Kanton_Schwyz.xlsx"/>
  </r>
  <r>
    <x v="33"/>
    <m/>
    <x v="25"/>
    <m/>
    <n v="139"/>
    <m/>
    <m/>
    <m/>
    <m/>
    <n v="2"/>
    <s v="https://www.tg.ch/news/fachdossier-coronavirus.html/10552"/>
  </r>
  <r>
    <x v="33"/>
    <m/>
    <x v="22"/>
    <m/>
    <n v="50"/>
    <n v="7"/>
    <m/>
    <m/>
    <n v="3"/>
    <m/>
    <s v="https://www.ur.ch/themen/2920"/>
  </r>
  <r>
    <x v="33"/>
    <m/>
    <x v="8"/>
    <m/>
    <n v="3395"/>
    <n v="367"/>
    <n v="61"/>
    <m/>
    <m/>
    <n v="81"/>
    <s v="https://www.vd.ch/toutes-les-actualites/hotline-et-informations-sur-le-coronavirus/point-de-situation-statistique-dans-le-canton-de-vaud/"/>
  </r>
  <r>
    <x v="33"/>
    <m/>
    <x v="9"/>
    <m/>
    <n v="1055"/>
    <n v="152"/>
    <n v="22"/>
    <n v="21"/>
    <m/>
    <n v="31"/>
    <s v="https://www.vs.ch/documents/6756452/7008787/2020%2004%2029%20Sit%20Epid%20-%20%C3%89tat%20Stand"/>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m/>
    <n v="93"/>
    <s v="https://www4.ti.ch/area-media/comunicati/dettaglio-comunicato/?NEWS_ID=187540&amp;tx_tichareamedia_comunicazioni%5Baction%5D=show&amp;tx_tichareamedia_comunicazioni%5Bcontroller%5D=Comunicazioni&amp;cHash=ae32268e60ac2b59add1b9d55de51cbf"/>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4/statistiques_situation_FR_2904.xlsx"/>
  </r>
  <r>
    <x v="34"/>
    <m/>
    <x v="0"/>
    <n v="10934"/>
    <n v="2673"/>
    <n v="382"/>
    <n v="57"/>
    <n v="54"/>
    <n v="216"/>
    <n v="59"/>
    <s v="https://www.ge.ch/document/covid-19-situation-epidemiologique-geneve/telecharger"/>
  </r>
  <r>
    <x v="34"/>
    <m/>
    <x v="19"/>
    <m/>
    <n v="51"/>
    <n v="3"/>
    <m/>
    <m/>
    <m/>
    <n v="2"/>
    <s v="https://www.gl.ch/public/upload/assets/27574/COVID-19_Fallzahlen_Kanton_Glarus.xlsx"/>
  </r>
  <r>
    <x v="34"/>
    <m/>
    <x v="26"/>
    <m/>
    <n v="535"/>
    <n v="58"/>
    <m/>
    <m/>
    <m/>
    <n v="19"/>
    <s v="https://www.gr.ch/DE/institutionen/verwaltung/djsg/ga/coronavirus/info/Seiten/Start.aspx"/>
  </r>
  <r>
    <x v="34"/>
    <m/>
    <x v="3"/>
    <m/>
    <n v="128"/>
    <n v="28"/>
    <n v="5"/>
    <m/>
    <m/>
    <n v="0"/>
    <s v="https://www.jura.ch/Htdocs/Files/v/34283.xlsx/Departements/CHA/SIC/Carrousel/Coronavirus/Cornavirus/Chiffres/donnees_29_04.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52b47430-c025-40dd-bc29-c70ed9b9899e"/>
  </r>
  <r>
    <x v="34"/>
    <m/>
    <x v="15"/>
    <m/>
    <n v="135"/>
    <m/>
    <m/>
    <m/>
    <n v="33"/>
    <n v="2"/>
    <s v="https://www.sz.ch/public/upload/assets/46383/COVID-19_Fallzahlen_Kanton_Schwyz.xlsx"/>
  </r>
  <r>
    <x v="34"/>
    <m/>
    <x v="25"/>
    <m/>
    <n v="149"/>
    <m/>
    <m/>
    <m/>
    <m/>
    <n v="2"/>
    <s v="https://www.tg.ch/news/fachdossier-coronavirus.html/10552"/>
  </r>
  <r>
    <x v="34"/>
    <m/>
    <x v="22"/>
    <m/>
    <n v="53"/>
    <n v="7"/>
    <m/>
    <m/>
    <n v="9"/>
    <m/>
    <s v="https://www.ur.ch/themen/2920"/>
  </r>
  <r>
    <x v="34"/>
    <m/>
    <x v="8"/>
    <m/>
    <n v="3607"/>
    <n v="370"/>
    <n v="63"/>
    <m/>
    <m/>
    <n v="93"/>
    <s v="https://www.vd.ch/toutes-les-actualites/hotline-et-informations-sur-le-coronavirus/point-de-situation-statistique-dans-le-canton-de-vaud/"/>
  </r>
  <r>
    <x v="34"/>
    <m/>
    <x v="9"/>
    <m/>
    <n v="1144"/>
    <n v="152"/>
    <n v="25"/>
    <n v="23"/>
    <m/>
    <n v="35"/>
    <s v="https://www.vs.ch/documents/6756452/7008787/2020%2004%2029%20Sit%20Epid%20-%20%C3%89tat%20Stand"/>
  </r>
  <r>
    <x v="34"/>
    <n v="0.29166666666666669"/>
    <x v="6"/>
    <m/>
    <n v="826"/>
    <n v="112"/>
    <n v="21"/>
    <n v="17"/>
    <m/>
    <n v="13"/>
    <s v="https://www.besondere-lage.sites.be.ch/besondere-lage_sites/de/index/corona/index.html"/>
  </r>
  <r>
    <x v="34"/>
    <n v="0.33333333333333331"/>
    <x v="1"/>
    <m/>
    <n v="1962"/>
    <n v="415"/>
    <n v="75"/>
    <n v="61"/>
    <m/>
    <n v="105"/>
    <s v="https://www4.ti.ch/area-media/comunicati/dettaglio-comunicato/?NEWS_ID=187546&amp;tx_tichareamedia_comunicazioni%5Baction%5D=show&amp;tx_tichareamedia_comunicazioni%5Bcontroller%5D=Comunicazioni&amp;cHash=1465eace9ac68357130a7327d0c9b8f9"/>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m/>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4/statistiques_situation_FR_2904.xlsx"/>
  </r>
  <r>
    <x v="35"/>
    <m/>
    <x v="0"/>
    <n v="11694"/>
    <n v="2902"/>
    <n v="405"/>
    <n v="64"/>
    <n v="49"/>
    <n v="241"/>
    <n v="68"/>
    <s v="https://www.ge.ch/document/covid-19-situation-epidemiologique-geneve/telecharger"/>
  </r>
  <r>
    <x v="35"/>
    <m/>
    <x v="19"/>
    <m/>
    <n v="53"/>
    <n v="5"/>
    <m/>
    <m/>
    <m/>
    <n v="2"/>
    <s v="https://www.gl.ch/public/upload/assets/27574/COVID-19_Fallzahlen_Kanton_Glarus.xlsx"/>
  </r>
  <r>
    <x v="35"/>
    <m/>
    <x v="26"/>
    <m/>
    <n v="547"/>
    <n v="58"/>
    <m/>
    <m/>
    <m/>
    <n v="23"/>
    <s v="https://www.gr.ch/DE/institutionen/verwaltung/djsg/ga/coronavirus/info/Seiten/Start.aspx"/>
  </r>
  <r>
    <x v="35"/>
    <m/>
    <x v="3"/>
    <m/>
    <n v="140"/>
    <n v="29"/>
    <n v="5"/>
    <m/>
    <m/>
    <n v="0"/>
    <s v="https://www.jura.ch/Htdocs/Files/v/34283.xlsx/Departements/CHA/SIC/Carrousel/Coronavirus/Cornavirus/Chiffres/donnees_29_04.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52b47430-c025-40dd-bc29-c70ed9b9899e"/>
  </r>
  <r>
    <x v="35"/>
    <m/>
    <x v="15"/>
    <m/>
    <n v="140"/>
    <m/>
    <m/>
    <m/>
    <n v="48"/>
    <n v="4"/>
    <s v="https://www.sz.ch/public/upload/assets/46383/COVID-19_Fallzahlen_Kanton_Schwyz.xlsx"/>
  </r>
  <r>
    <x v="35"/>
    <m/>
    <x v="25"/>
    <m/>
    <n v="155"/>
    <m/>
    <m/>
    <m/>
    <m/>
    <n v="3"/>
    <s v="https://www.tg.ch/news/fachdossier-coronavirus.html/10552"/>
  </r>
  <r>
    <x v="35"/>
    <m/>
    <x v="22"/>
    <m/>
    <n v="57"/>
    <n v="9"/>
    <m/>
    <m/>
    <n v="11"/>
    <m/>
    <s v="https://www.ur.ch/themen/2920"/>
  </r>
  <r>
    <x v="35"/>
    <m/>
    <x v="8"/>
    <m/>
    <n v="3766"/>
    <n v="378"/>
    <n v="66"/>
    <m/>
    <m/>
    <n v="105"/>
    <s v="https://www.vd.ch/toutes-les-actualites/hotline-et-informations-sur-le-coronavirus/point-de-situation-statistique-dans-le-canton-de-vaud/"/>
  </r>
  <r>
    <x v="35"/>
    <m/>
    <x v="9"/>
    <m/>
    <n v="1211"/>
    <n v="151"/>
    <n v="24"/>
    <n v="23"/>
    <m/>
    <n v="37"/>
    <s v="https://www.vs.ch/documents/6756452/7008787/2020%2004%2029%20Sit%20Epid%20-%20%C3%89tat%20Stand"/>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area-media/comunicati/dettaglio-comunicato/?NEWS_ID=187550&amp;tx_tichareamedia_comunicazioni%5Baction%5D=show&amp;tx_tichareamedia_comunicazioni%5Bcontroller%5D=Comunicazioni&amp;cHash=007dc1182450e5b85ee4f533dfdcd6e3"/>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m/>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4/statistiques_situation_FR_2904.xlsx"/>
  </r>
  <r>
    <x v="36"/>
    <m/>
    <x v="0"/>
    <n v="12350"/>
    <n v="3059"/>
    <n v="406"/>
    <n v="64"/>
    <n v="58"/>
    <n v="260"/>
    <n v="77"/>
    <s v="https://www.ge.ch/document/covid-19-situation-epidemiologique-geneve/telecharger"/>
  </r>
  <r>
    <x v="36"/>
    <m/>
    <x v="19"/>
    <m/>
    <n v="56"/>
    <n v="5"/>
    <m/>
    <m/>
    <m/>
    <n v="2"/>
    <s v="https://www.gl.ch/public/upload/assets/27574/COVID-19_Fallzahlen_Kanton_Glarus.xlsx"/>
  </r>
  <r>
    <x v="36"/>
    <m/>
    <x v="26"/>
    <m/>
    <n v="592"/>
    <n v="59"/>
    <m/>
    <m/>
    <m/>
    <n v="26"/>
    <s v="https://www.gr.ch/DE/institutionen/verwaltung/djsg/ga/coronavirus/info/Seiten/Start.aspx"/>
  </r>
  <r>
    <x v="36"/>
    <m/>
    <x v="3"/>
    <m/>
    <n v="145"/>
    <n v="29"/>
    <n v="5"/>
    <m/>
    <m/>
    <n v="0"/>
    <s v="https://www.jura.ch/Htdocs/Files/v/34283.xlsx/Departements/CHA/SIC/Carrousel/Coronavirus/Cornavirus/Chiffres/donnees_29_04.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52b47430-c025-40dd-bc29-c70ed9b9899e"/>
  </r>
  <r>
    <x v="36"/>
    <m/>
    <x v="15"/>
    <m/>
    <n v="146"/>
    <m/>
    <m/>
    <m/>
    <n v="65"/>
    <n v="4"/>
    <s v="https://www.sz.ch/public/upload/assets/46383/COVID-19_Fallzahlen_Kanton_Schwyz.xlsx"/>
  </r>
  <r>
    <x v="36"/>
    <m/>
    <x v="25"/>
    <m/>
    <n v="167"/>
    <m/>
    <m/>
    <m/>
    <m/>
    <n v="4"/>
    <s v="https://www.tg.ch/news/fachdossier-coronavirus.html/10552"/>
  </r>
  <r>
    <x v="36"/>
    <m/>
    <x v="22"/>
    <m/>
    <n v="59"/>
    <n v="10"/>
    <m/>
    <m/>
    <n v="13"/>
    <n v="1"/>
    <s v="https://www.ur.ch/themen/2920"/>
  </r>
  <r>
    <x v="36"/>
    <m/>
    <x v="8"/>
    <m/>
    <n v="3918"/>
    <n v="383"/>
    <n v="68"/>
    <m/>
    <m/>
    <n v="116"/>
    <s v="https://www.vd.ch/toutes-les-actualites/hotline-et-informations-sur-le-coronavirus/point-de-situation-statistique-dans-le-canton-de-vaud/"/>
  </r>
  <r>
    <x v="36"/>
    <m/>
    <x v="9"/>
    <m/>
    <n v="1282"/>
    <n v="145"/>
    <n v="26"/>
    <n v="25"/>
    <n v="70"/>
    <n v="40"/>
    <s v="https://www.vs.ch/documents/6756452/7008787/2020%2004%2029%20Sit%20Epid%20-%20%C3%89tat%20Stand"/>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area-media/comunicati/dettaglio-comunicato/?NEWS_ID=187555&amp;tx_tichareamedia_comunicazioni%5Baction%5D=show&amp;tx_tichareamedia_comunicazioni%5Bcontroller%5D=Comunicazioni&amp;cHash=843d72993004667ab731d64142591372"/>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4/statistiques_situation_FR_2904.xlsx"/>
  </r>
  <r>
    <x v="37"/>
    <m/>
    <x v="0"/>
    <n v="13297"/>
    <n v="3270"/>
    <n v="424"/>
    <n v="62"/>
    <n v="54"/>
    <n v="283"/>
    <n v="85"/>
    <s v="https://www.ge.ch/document/covid-19-situation-epidemiologique-geneve/telecharger"/>
  </r>
  <r>
    <x v="37"/>
    <m/>
    <x v="19"/>
    <m/>
    <n v="58"/>
    <n v="5"/>
    <m/>
    <m/>
    <m/>
    <n v="2"/>
    <s v="https://www.gl.ch/public/upload/assets/27574/COVID-19_Fallzahlen_Kanton_Glarus.xlsx"/>
  </r>
  <r>
    <x v="37"/>
    <m/>
    <x v="26"/>
    <m/>
    <n v="622"/>
    <n v="60"/>
    <m/>
    <m/>
    <m/>
    <n v="28"/>
    <s v="https://www.gr.ch/DE/institutionen/verwaltung/djsg/ga/coronavirus/info/Seiten/Start.aspx"/>
  </r>
  <r>
    <x v="37"/>
    <m/>
    <x v="3"/>
    <m/>
    <n v="149"/>
    <n v="29"/>
    <n v="3"/>
    <m/>
    <m/>
    <n v="0"/>
    <s v="https://www.jura.ch/Htdocs/Files/v/34283.xlsx/Departements/CHA/SIC/Carrousel/Coronavirus/Cornavirus/Chiffres/donnees_29_04.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52b47430-c025-40dd-bc29-c70ed9b9899e"/>
  </r>
  <r>
    <x v="37"/>
    <m/>
    <x v="15"/>
    <m/>
    <n v="155"/>
    <m/>
    <m/>
    <m/>
    <n v="65"/>
    <n v="4"/>
    <s v="https://www.sz.ch/public/upload/assets/46383/COVID-19_Fallzahlen_Kanton_Schwyz.xlsx"/>
  </r>
  <r>
    <x v="37"/>
    <m/>
    <x v="25"/>
    <m/>
    <n v="180"/>
    <m/>
    <m/>
    <m/>
    <m/>
    <n v="4"/>
    <s v="https://www.tg.ch/news/fachdossier-coronavirus.html/10552"/>
  </r>
  <r>
    <x v="37"/>
    <m/>
    <x v="8"/>
    <m/>
    <n v="4052"/>
    <n v="374"/>
    <n v="69"/>
    <m/>
    <m/>
    <n v="135"/>
    <s v="https://www.vd.ch/toutes-les-actualites/hotline-et-informations-sur-le-coronavirus/point-de-situation-statistique-dans-le-canton-de-vaud/"/>
  </r>
  <r>
    <x v="37"/>
    <m/>
    <x v="9"/>
    <m/>
    <n v="1334"/>
    <n v="145"/>
    <n v="28"/>
    <n v="24"/>
    <n v="88"/>
    <n v="47"/>
    <s v="https://www.vs.ch/documents/6756452/7008787/2020%2004%2029%20Sit%20Epid%20-%20%C3%89tat%20Stand"/>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area-media/comunicati/dettaglio-comunicato/?NEWS_ID=187564&amp;tx_tichareamedia_comunicazioni%5Baction%5D=show&amp;tx_tichareamedia_comunicazioni%5Bcontroller%5D=Comunicazioni&amp;cHash=6abbcb9cd18b83f8ce260e2748b9a326"/>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m/>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4/statistiques_situation_FR_2904.xlsx"/>
  </r>
  <r>
    <x v="38"/>
    <m/>
    <x v="0"/>
    <n v="14126"/>
    <n v="3456"/>
    <n v="424"/>
    <n v="65"/>
    <n v="58"/>
    <n v="284"/>
    <n v="92"/>
    <s v="https://www.ge.ch/document/covid-19-situation-epidemiologique-geneve/telecharger"/>
  </r>
  <r>
    <x v="38"/>
    <m/>
    <x v="19"/>
    <m/>
    <n v="59"/>
    <n v="5"/>
    <m/>
    <m/>
    <m/>
    <n v="2"/>
    <s v="https://www.gl.ch/public/upload/assets/27574/COVID-19_Fallzahlen_Kanton_Glarus.xlsx"/>
  </r>
  <r>
    <x v="38"/>
    <m/>
    <x v="26"/>
    <m/>
    <n v="649"/>
    <n v="51"/>
    <m/>
    <m/>
    <m/>
    <n v="30"/>
    <s v="https://www.gr.ch/DE/institutionen/verwaltung/djsg/ga/coronavirus/info/Seiten/Start.aspx"/>
  </r>
  <r>
    <x v="38"/>
    <m/>
    <x v="3"/>
    <m/>
    <n v="149"/>
    <n v="28"/>
    <n v="3"/>
    <m/>
    <m/>
    <n v="0"/>
    <s v="https://www.jura.ch/Htdocs/Files/v/34283.xlsx/Departements/CHA/SIC/Carrousel/Coronavirus/Cornavirus/Chiffres/donnees_29_04.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52b47430-c025-40dd-bc29-c70ed9b9899e"/>
  </r>
  <r>
    <x v="38"/>
    <m/>
    <x v="15"/>
    <m/>
    <n v="165"/>
    <m/>
    <m/>
    <m/>
    <n v="75"/>
    <n v="4"/>
    <s v="https://www.sz.ch/public/upload/assets/46383/COVID-19_Fallzahlen_Kanton_Schwyz.xlsx"/>
  </r>
  <r>
    <x v="38"/>
    <m/>
    <x v="25"/>
    <m/>
    <n v="199"/>
    <m/>
    <m/>
    <m/>
    <m/>
    <n v="5"/>
    <s v="https://www.tg.ch/news/fachdossier-coronavirus.html/10552"/>
  </r>
  <r>
    <x v="38"/>
    <m/>
    <x v="8"/>
    <m/>
    <n v="4188"/>
    <n v="365"/>
    <n v="67"/>
    <m/>
    <m/>
    <n v="153"/>
    <s v="https://www.vd.ch/toutes-les-actualites/hotline-et-informations-sur-le-coronavirus/point-de-situation-statistique-dans-le-canton-de-vaud/"/>
  </r>
  <r>
    <x v="38"/>
    <m/>
    <x v="9"/>
    <m/>
    <n v="1383"/>
    <n v="145"/>
    <n v="26"/>
    <n v="23"/>
    <n v="91"/>
    <n v="51"/>
    <s v="https://www.vs.ch/documents/6756452/7008787/2020%2004%2029%20Sit%20Epid%20-%20%C3%89tat%20Stand"/>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area-media/comunicati/dettaglio-comunicato/?NEWS_ID=187570&amp;tx_tichareamedia_comunicazioni%5Baction%5D=show&amp;tx_tichareamedia_comunicazioni%5Bcontroller%5D=Comunicazioni&amp;cHash=bf727072887350e7700586450c3cf957"/>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m/>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4/statistiques_situation_FR_2904.xlsx"/>
  </r>
  <r>
    <x v="39"/>
    <m/>
    <x v="0"/>
    <n v="14717"/>
    <n v="3584"/>
    <n v="421"/>
    <n v="61"/>
    <n v="51"/>
    <n v="305"/>
    <n v="106"/>
    <s v="https://www.ge.ch/document/covid-19-situation-epidemiologique-geneve/telecharger"/>
  </r>
  <r>
    <x v="39"/>
    <m/>
    <x v="19"/>
    <m/>
    <n v="61"/>
    <n v="5"/>
    <m/>
    <m/>
    <m/>
    <n v="2"/>
    <s v="https://www.gl.ch/public/upload/assets/27574/COVID-19_Fallzahlen_Kanton_Glarus.xlsx"/>
  </r>
  <r>
    <x v="39"/>
    <m/>
    <x v="26"/>
    <m/>
    <n v="657"/>
    <n v="52"/>
    <m/>
    <m/>
    <m/>
    <n v="30"/>
    <s v="https://www.gr.ch/DE/institutionen/verwaltung/djsg/ga/coronavirus/info/Seiten/Start.aspx"/>
  </r>
  <r>
    <x v="39"/>
    <m/>
    <x v="3"/>
    <m/>
    <n v="154"/>
    <n v="27"/>
    <n v="3"/>
    <m/>
    <m/>
    <n v="0"/>
    <s v="https://www.jura.ch/Htdocs/Files/v/34283.xlsx/Departements/CHA/SIC/Carrousel/Coronavirus/Cornavirus/Chiffres/donnees_29_04.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52b47430-c025-40dd-bc29-c70ed9b9899e"/>
  </r>
  <r>
    <x v="39"/>
    <m/>
    <x v="15"/>
    <m/>
    <n v="168"/>
    <m/>
    <m/>
    <m/>
    <n v="92"/>
    <n v="5"/>
    <s v="https://www.sz.ch/public/upload/assets/46383/COVID-19_Fallzahlen_Kanton_Schwyz.xlsx"/>
  </r>
  <r>
    <x v="39"/>
    <m/>
    <x v="25"/>
    <m/>
    <n v="209"/>
    <m/>
    <m/>
    <m/>
    <m/>
    <n v="5"/>
    <s v="https://www.tg.ch/news/fachdossier-coronavirus.html/10552"/>
  </r>
  <r>
    <x v="39"/>
    <m/>
    <x v="8"/>
    <m/>
    <n v="4260"/>
    <n v="365"/>
    <n v="67"/>
    <m/>
    <m/>
    <n v="164"/>
    <s v="https://www.vd.ch/toutes-les-actualites/hotline-et-informations-sur-le-coronavirus/point-de-situation-statistique-dans-le-canton-de-vaud/"/>
  </r>
  <r>
    <x v="39"/>
    <m/>
    <x v="9"/>
    <m/>
    <n v="1416"/>
    <n v="148"/>
    <n v="28"/>
    <n v="23"/>
    <n v="95"/>
    <n v="53"/>
    <s v="https://www.vs.ch/documents/6756452/7008787/2020%2004%2029%20Sit%20Epid%20-%20%C3%89tat%20Stand"/>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area-media/comunicati/dettaglio-comunicato/?NEWS_ID=187575&amp;tx_tichareamedia_comunicazioni%5Baction%5D=show&amp;tx_tichareamedia_comunicazioni%5Bcontroller%5D=Comunicazioni&amp;cHash=4b3f64139a9dd36b9fd30a1ace23654a"/>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m/>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4/statistiques_situation_FR_2904.xlsx"/>
  </r>
  <r>
    <x v="40"/>
    <m/>
    <x v="0"/>
    <n v="15016"/>
    <n v="3649"/>
    <n v="424"/>
    <n v="56"/>
    <n v="50"/>
    <n v="327"/>
    <n v="113"/>
    <s v="https://www.ge.ch/document/covid-19-situation-epidemiologique-geneve/telecharger"/>
  </r>
  <r>
    <x v="40"/>
    <m/>
    <x v="19"/>
    <m/>
    <n v="63"/>
    <n v="5"/>
    <m/>
    <m/>
    <m/>
    <n v="2"/>
    <s v="https://www.gl.ch/public/upload/assets/27574/COVID-19_Fallzahlen_Kanton_Glarus.xlsx"/>
  </r>
  <r>
    <x v="40"/>
    <m/>
    <x v="26"/>
    <m/>
    <n v="668"/>
    <n v="49"/>
    <m/>
    <m/>
    <m/>
    <n v="33"/>
    <s v="https://www.gr.ch/DE/institutionen/verwaltung/djsg/ga/coronavirus/info/Seiten/Start.aspx"/>
  </r>
  <r>
    <x v="40"/>
    <m/>
    <x v="3"/>
    <m/>
    <n v="160"/>
    <n v="29"/>
    <n v="4"/>
    <m/>
    <m/>
    <n v="0"/>
    <s v="https://www.jura.ch/Htdocs/Files/v/34283.xlsx/Departements/CHA/SIC/Carrousel/Coronavirus/Cornavirus/Chiffres/donnees_29_04.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52b47430-c025-40dd-bc29-c70ed9b9899e"/>
  </r>
  <r>
    <x v="40"/>
    <m/>
    <x v="15"/>
    <m/>
    <n v="170"/>
    <m/>
    <m/>
    <m/>
    <n v="93"/>
    <n v="5"/>
    <s v="https://www.sz.ch/public/upload/assets/46383/COVID-19_Fallzahlen_Kanton_Schwyz.xlsx"/>
  </r>
  <r>
    <x v="40"/>
    <m/>
    <x v="25"/>
    <m/>
    <n v="214"/>
    <m/>
    <m/>
    <m/>
    <m/>
    <n v="7"/>
    <s v="https://www.tg.ch/news/fachdossier-coronavirus.html/10552"/>
  </r>
  <r>
    <x v="40"/>
    <m/>
    <x v="8"/>
    <m/>
    <n v="4299"/>
    <n v="376"/>
    <n v="66"/>
    <m/>
    <m/>
    <n v="176"/>
    <s v="https://www.vd.ch/toutes-les-actualites/hotline-et-informations-sur-le-coronavirus/point-de-situation-statistique-dans-le-canton-de-vaud/"/>
  </r>
  <r>
    <x v="40"/>
    <m/>
    <x v="9"/>
    <m/>
    <n v="1431"/>
    <n v="145"/>
    <n v="26"/>
    <n v="23"/>
    <m/>
    <n v="57"/>
    <s v="https://www.vs.ch/documents/6756452/7008787/2020%2004%2029%20Sit%20Epid%20-%20%C3%89tat%20Stand"/>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area-media/comunicati/dettaglio-comunicato/?NEWS_ID=187576&amp;tx_tichareamedia_comunicazioni%5Baction%5D=show&amp;tx_tichareamedia_comunicazioni%5Bcontroller%5D=Comunicazioni&amp;cHash=7486178287491dbfa00376059224e150"/>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4/statistiques_situation_FR_2904.xlsx"/>
  </r>
  <r>
    <x v="41"/>
    <m/>
    <x v="0"/>
    <n v="15655"/>
    <n v="3768"/>
    <n v="418"/>
    <n v="56"/>
    <n v="50"/>
    <n v="345"/>
    <n v="125"/>
    <s v="https://www.ge.ch/document/covid-19-situation-epidemiologique-geneve/telecharger"/>
  </r>
  <r>
    <x v="41"/>
    <m/>
    <x v="19"/>
    <m/>
    <n v="63"/>
    <n v="2"/>
    <m/>
    <m/>
    <m/>
    <n v="2"/>
    <s v="https://www.gl.ch/public/upload/assets/27574/COVID-19_Fallzahlen_Kanton_Glarus.xlsx"/>
  </r>
  <r>
    <x v="41"/>
    <m/>
    <x v="26"/>
    <m/>
    <n v="679"/>
    <n v="52"/>
    <m/>
    <m/>
    <m/>
    <n v="34"/>
    <s v="https://www.gr.ch/DE/institutionen/verwaltung/djsg/ga/coronavirus/info/Seiten/Start.aspx"/>
  </r>
  <r>
    <x v="41"/>
    <m/>
    <x v="3"/>
    <m/>
    <n v="164"/>
    <n v="27"/>
    <n v="4"/>
    <m/>
    <m/>
    <n v="0"/>
    <s v="https://www.jura.ch/Htdocs/Files/v/34283.xlsx/Departements/CHA/SIC/Carrousel/Coronavirus/Cornavirus/Chiffres/donnees_29_04.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52b47430-c025-40dd-bc29-c70ed9b9899e"/>
  </r>
  <r>
    <x v="41"/>
    <m/>
    <x v="15"/>
    <m/>
    <n v="178"/>
    <m/>
    <m/>
    <m/>
    <n v="93"/>
    <n v="6"/>
    <s v="https://www.sz.ch/public/upload/assets/46383/COVID-19_Fallzahlen_Kanton_Schwyz.xlsx"/>
  </r>
  <r>
    <x v="41"/>
    <m/>
    <x v="25"/>
    <m/>
    <n v="220"/>
    <n v="34"/>
    <n v="14"/>
    <m/>
    <m/>
    <n v="7"/>
    <s v="https://www.tg.ch/news/fachdossier-coronavirus.html/10552"/>
  </r>
  <r>
    <x v="41"/>
    <m/>
    <x v="8"/>
    <m/>
    <n v="4417"/>
    <n v="361"/>
    <n v="64"/>
    <m/>
    <m/>
    <n v="192"/>
    <s v="https://www.vd.ch/toutes-les-actualites/hotline-et-informations-sur-le-coronavirus/point-de-situation-statistique-dans-le-canton-de-vaud/"/>
  </r>
  <r>
    <x v="41"/>
    <m/>
    <x v="9"/>
    <m/>
    <n v="1497"/>
    <n v="132"/>
    <n v="26"/>
    <n v="22"/>
    <n v="105"/>
    <n v="60"/>
    <s v="https://www.vs.ch/documents/6756452/7008787/2020%2004%2029%20Sit%20Epid%20-%20%C3%89tat%20Stand"/>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area-media/comunicati/dettaglio-comunicato/?NEWS_ID=187585&amp;cHash=71dae3c15afd6b09d15f28f43d415af1"/>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m/>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4/statistiques_situation_FR_2904.xlsx"/>
  </r>
  <r>
    <x v="42"/>
    <m/>
    <x v="0"/>
    <n v="16496"/>
    <n v="3928"/>
    <n v="412"/>
    <n v="51"/>
    <n v="48"/>
    <n v="374"/>
    <n v="136"/>
    <s v="https://www.ge.ch/document/covid-19-situation-epidemiologique-geneve/telecharger"/>
  </r>
  <r>
    <x v="42"/>
    <m/>
    <x v="19"/>
    <m/>
    <n v="63"/>
    <n v="2"/>
    <m/>
    <m/>
    <m/>
    <n v="2"/>
    <s v="https://www.gl.ch/public/upload/assets/27574/COVID-19_Fallzahlen_Kanton_Glarus.xlsx"/>
  </r>
  <r>
    <x v="42"/>
    <m/>
    <x v="26"/>
    <m/>
    <n v="684"/>
    <n v="49"/>
    <m/>
    <m/>
    <m/>
    <n v="35"/>
    <s v="https://www.gr.ch/DE/institutionen/verwaltung/djsg/ga/coronavirus/info/Seiten/Start.aspx"/>
  </r>
  <r>
    <x v="42"/>
    <m/>
    <x v="3"/>
    <m/>
    <n v="171"/>
    <n v="28"/>
    <n v="4"/>
    <m/>
    <m/>
    <n v="0"/>
    <s v="https://www.jura.ch/Htdocs/Files/v/34283.xlsx/Departements/CHA/SIC/Carrousel/Coronavirus/Cornavirus/Chiffres/donnees_29_04.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383/COVID-19_Fallzahlen_Kanton_Schwyz.xlsx"/>
  </r>
  <r>
    <x v="42"/>
    <m/>
    <x v="25"/>
    <m/>
    <n v="222"/>
    <n v="33"/>
    <n v="13"/>
    <m/>
    <m/>
    <n v="8"/>
    <s v="https://www.tg.ch/news/fachdossier-coronavirus.html/10552"/>
  </r>
  <r>
    <x v="42"/>
    <m/>
    <x v="8"/>
    <m/>
    <n v="4494"/>
    <n v="334"/>
    <n v="63"/>
    <m/>
    <m/>
    <n v="204"/>
    <s v="https://www.vd.ch/toutes-les-actualites/hotline-et-informations-sur-le-coronavirus/point-de-situation-statistique-dans-le-canton-de-vaud/"/>
  </r>
  <r>
    <x v="42"/>
    <m/>
    <x v="9"/>
    <m/>
    <n v="1536"/>
    <n v="129"/>
    <n v="25"/>
    <n v="20"/>
    <n v="123"/>
    <n v="68"/>
    <s v="https://www.vs.ch/documents/6756452/7008787/2020%2004%2029%20Sit%20Epid%20-%20%C3%89tat%20Stand"/>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area-media/comunicati/dettaglio-comunicato/?NEWS_ID=187585&amp;tx_tichareamedia_comunicazioni%5Baction%5D=show&amp;tx_tichareamedia_comunicazioni%5Bcontroller%5D=Comunicazioni&amp;cHash=4bf78e02dc8ee0d240e06c4603f5605c"/>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52b47430-c025-40dd-bc29-c70ed9b9899e"/>
  </r>
  <r>
    <x v="42"/>
    <n v="0.45833333333333331"/>
    <x v="24"/>
    <m/>
    <n v="21"/>
    <m/>
    <m/>
    <m/>
    <m/>
    <m/>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4/statistiques_situation_FR_2904.xlsx"/>
  </r>
  <r>
    <x v="43"/>
    <m/>
    <x v="0"/>
    <n v="17301"/>
    <n v="4059"/>
    <n v="402"/>
    <n v="49"/>
    <n v="47"/>
    <n v="442"/>
    <n v="150"/>
    <s v="https://www.ge.ch/document/covid-19-situation-epidemiologique-geneve/telecharger"/>
  </r>
  <r>
    <x v="43"/>
    <m/>
    <x v="19"/>
    <m/>
    <n v="64"/>
    <n v="2"/>
    <m/>
    <m/>
    <m/>
    <n v="2"/>
    <s v="https://www.gl.ch/public/upload/assets/27574/COVID-19_Fallzahlen_Kanton_Glarus.xlsx"/>
  </r>
  <r>
    <x v="43"/>
    <m/>
    <x v="26"/>
    <m/>
    <n v="698"/>
    <n v="38"/>
    <m/>
    <m/>
    <m/>
    <n v="35"/>
    <s v="https://www.gr.ch/DE/institutionen/verwaltung/djsg/ga/coronavirus/info/Seiten/Start.aspx"/>
  </r>
  <r>
    <x v="43"/>
    <m/>
    <x v="3"/>
    <m/>
    <n v="174"/>
    <n v="31"/>
    <n v="4"/>
    <m/>
    <m/>
    <n v="1"/>
    <s v="https://www.jura.ch/Htdocs/Files/v/34283.xlsx/Departements/CHA/SIC/Carrousel/Coronavirus/Cornavirus/Chiffres/donnees_29_04.xlsx?download=1"/>
  </r>
  <r>
    <x v="43"/>
    <m/>
    <x v="13"/>
    <m/>
    <n v="514"/>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383/COVID-19_Fallzahlen_Kanton_Schwyz.xlsx"/>
  </r>
  <r>
    <x v="43"/>
    <m/>
    <x v="25"/>
    <m/>
    <n v="237"/>
    <n v="30"/>
    <n v="15"/>
    <m/>
    <m/>
    <n v="8"/>
    <s v="https://www.tg.ch/news/fachdossier-coronavirus.html/10552"/>
  </r>
  <r>
    <x v="43"/>
    <m/>
    <x v="8"/>
    <m/>
    <n v="4585"/>
    <n v="325"/>
    <n v="62"/>
    <m/>
    <m/>
    <n v="216"/>
    <s v="https://www.vd.ch/toutes-les-actualites/hotline-et-informations-sur-le-coronavirus/point-de-situation-statistique-dans-le-canton-de-vaud/"/>
  </r>
  <r>
    <x v="43"/>
    <m/>
    <x v="9"/>
    <m/>
    <n v="1570"/>
    <n v="122"/>
    <n v="26"/>
    <n v="20"/>
    <n v="130"/>
    <n v="71"/>
    <s v="https://www.vs.ch/documents/6756452/7008787/2020%2004%2029%20Sit%20Epid%20-%20%C3%89tat%20Stand"/>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area-media/comunicati/dettaglio-comunicato/?NEWS_ID=187593&amp;cHash=04877af9adec32de4f5ef43a5916f801"/>
  </r>
  <r>
    <x v="43"/>
    <n v="0.33333333333333331"/>
    <x v="11"/>
    <m/>
    <n v="162"/>
    <n v="12"/>
    <n v="9"/>
    <m/>
    <n v="61"/>
    <n v="3"/>
    <s v="https://www.zg.ch/behoerden/gesundheitsdirektion/statistikfachstelle/themen/gesundheit/corona"/>
  </r>
  <r>
    <x v="43"/>
    <n v="0.39583333333333331"/>
    <x v="21"/>
    <m/>
    <n v="50"/>
    <n v="15"/>
    <n v="2"/>
    <m/>
    <m/>
    <n v="1"/>
    <s v="https://sh.ch/CMS/get/file/52b47430-c025-40dd-bc29-c70ed9b9899e"/>
  </r>
  <r>
    <x v="43"/>
    <n v="0.41666666666666669"/>
    <x v="5"/>
    <m/>
    <n v="829"/>
    <n v="99"/>
    <n v="14"/>
    <m/>
    <n v="535"/>
    <n v="31"/>
    <s v="https://www.gd.bs.ch//nm/2020-tagesbulletin-coronavirus-834-bestaetigte-faelle-im-kanton-basel-stadt-gd.html"/>
  </r>
  <r>
    <x v="43"/>
    <n v="0.45833333333333331"/>
    <x v="24"/>
    <m/>
    <n v="23"/>
    <m/>
    <m/>
    <m/>
    <m/>
    <m/>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4/statistiques_situation_FR_2904.xlsx"/>
  </r>
  <r>
    <x v="44"/>
    <m/>
    <x v="0"/>
    <n v="17815"/>
    <n v="4152"/>
    <n v="393"/>
    <n v="47"/>
    <n v="45"/>
    <m/>
    <n v="159"/>
    <s v="https://www.ge.ch/document/covid-19-situation-epidemiologique-geneve/telecharger"/>
  </r>
  <r>
    <x v="44"/>
    <m/>
    <x v="19"/>
    <m/>
    <n v="67"/>
    <n v="2"/>
    <m/>
    <m/>
    <m/>
    <n v="2"/>
    <s v="https://www.gl.ch/public/upload/assets/27574/COVID-19_Fallzahlen_Kanton_Glarus.xlsx"/>
  </r>
  <r>
    <x v="44"/>
    <m/>
    <x v="26"/>
    <m/>
    <n v="719"/>
    <n v="39"/>
    <m/>
    <m/>
    <m/>
    <n v="36"/>
    <s v="https://www.gr.ch/DE/institutionen/verwaltung/djsg/ga/coronavirus/info/Seiten/Start.aspx"/>
  </r>
  <r>
    <x v="44"/>
    <m/>
    <x v="3"/>
    <m/>
    <n v="179"/>
    <n v="28"/>
    <n v="5"/>
    <m/>
    <m/>
    <n v="1"/>
    <s v="https://www.jura.ch/Htdocs/Files/v/34283.xlsx/Departements/CHA/SIC/Carrousel/Coronavirus/Cornavirus/Chiffres/donnees_29_04.xlsx?download=1"/>
  </r>
  <r>
    <x v="44"/>
    <m/>
    <x v="13"/>
    <m/>
    <n v="546"/>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383/COVID-19_Fallzahlen_Kanton_Schwyz.xlsx"/>
  </r>
  <r>
    <x v="44"/>
    <m/>
    <x v="25"/>
    <m/>
    <n v="256"/>
    <n v="27"/>
    <n v="12"/>
    <m/>
    <m/>
    <n v="8"/>
    <s v="https://www.tg.ch/news/fachdossier-coronavirus.html/10552"/>
  </r>
  <r>
    <x v="44"/>
    <m/>
    <x v="8"/>
    <m/>
    <n v="4682"/>
    <n v="308"/>
    <n v="62"/>
    <m/>
    <m/>
    <n v="230"/>
    <s v="https://www.vd.ch/toutes-les-actualites/hotline-et-informations-sur-le-coronavirus/point-de-situation-statistique-dans-le-canton-de-vaud/"/>
  </r>
  <r>
    <x v="44"/>
    <m/>
    <x v="9"/>
    <m/>
    <n v="1598"/>
    <n v="117"/>
    <n v="24"/>
    <n v="19"/>
    <n v="136"/>
    <n v="77"/>
    <s v="https://www.vs.ch/documents/6756452/7008787/2020%2004%2029%20Sit%20Epid%20-%20%C3%89tat%20Stand"/>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area-media/comunicati/dettaglio-comunicato/?NEWS_ID=187601&amp;tx_tichareamedia_comunicazioni%5Baction%5D=show&amp;tx_tichareamedia_comunicazioni%5Bcontroller%5D=Comunicazioni&amp;cHash=a02f7a88b61d913138f4f86dbeeaa599"/>
  </r>
  <r>
    <x v="44"/>
    <n v="0.33333333333333331"/>
    <x v="11"/>
    <m/>
    <n v="165"/>
    <n v="13"/>
    <n v="9"/>
    <m/>
    <n v="69"/>
    <n v="3"/>
    <s v="https://www.zg.ch/behoerden/gesundheitsdirektion/statistikfachstelle/themen/gesundheit/corona"/>
  </r>
  <r>
    <x v="44"/>
    <n v="0.39583333333333331"/>
    <x v="21"/>
    <m/>
    <n v="52"/>
    <n v="17"/>
    <n v="2"/>
    <m/>
    <m/>
    <n v="1"/>
    <s v="https://sh.ch/CMS/get/file/52b47430-c025-40dd-bc29-c70ed9b9899e"/>
  </r>
  <r>
    <x v="44"/>
    <n v="0.41666666666666669"/>
    <x v="5"/>
    <m/>
    <n v="841"/>
    <n v="93"/>
    <n v="13"/>
    <m/>
    <n v="572"/>
    <n v="33"/>
    <s v="https://www.gd.bs.ch//nm/2020-tagesbulletin-coronavirus-846-bestaetigte-faelle-im-kanton-basel-stadt-gd.html"/>
  </r>
  <r>
    <x v="44"/>
    <n v="0.45833333333333331"/>
    <x v="24"/>
    <m/>
    <n v="24"/>
    <m/>
    <m/>
    <m/>
    <m/>
    <m/>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4/statistiques_situation_FR_2904.xlsx"/>
  </r>
  <r>
    <x v="45"/>
    <m/>
    <x v="0"/>
    <n v="18227"/>
    <n v="4194"/>
    <n v="379"/>
    <n v="47"/>
    <n v="47"/>
    <n v="448"/>
    <n v="170"/>
    <s v="https://www.ge.ch/document/covid-19-situation-epidemiologique-geneve/telecharger"/>
  </r>
  <r>
    <x v="45"/>
    <m/>
    <x v="19"/>
    <m/>
    <n v="76"/>
    <n v="2"/>
    <m/>
    <m/>
    <m/>
    <n v="2"/>
    <s v="https://www.gl.ch/public/upload/assets/27574/COVID-19_Fallzahlen_Kanton_Glarus.xlsx"/>
  </r>
  <r>
    <x v="45"/>
    <m/>
    <x v="26"/>
    <m/>
    <n v="730"/>
    <n v="35"/>
    <m/>
    <m/>
    <m/>
    <n v="36"/>
    <s v="https://www.gr.ch/DE/institutionen/verwaltung/djsg/ga/coronavirus/info/Seiten/Start.aspx"/>
  </r>
  <r>
    <x v="45"/>
    <m/>
    <x v="3"/>
    <m/>
    <n v="182"/>
    <n v="25"/>
    <n v="5"/>
    <m/>
    <m/>
    <n v="3"/>
    <s v="https://www.jura.ch/Htdocs/Files/v/34283.xlsx/Departements/CHA/SIC/Carrousel/Coronavirus/Cornavirus/Chiffres/donnees_29_04.xlsx?download=1"/>
  </r>
  <r>
    <x v="45"/>
    <m/>
    <x v="13"/>
    <m/>
    <n v="566"/>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383/COVID-19_Fallzahlen_Kanton_Schwyz.xlsx"/>
  </r>
  <r>
    <x v="45"/>
    <m/>
    <x v="25"/>
    <m/>
    <n v="265"/>
    <n v="32"/>
    <n v="13"/>
    <m/>
    <m/>
    <n v="8"/>
    <s v="https://www.tg.ch/news/fachdossier-coronavirus.html/10552"/>
  </r>
  <r>
    <x v="45"/>
    <m/>
    <x v="8"/>
    <m/>
    <n v="4731"/>
    <n v="299"/>
    <n v="64"/>
    <m/>
    <m/>
    <n v="237"/>
    <s v="https://www.vd.ch/toutes-les-actualites/hotline-et-informations-sur-le-coronavirus/point-de-situation-statistique-dans-le-canton-de-vaud/"/>
  </r>
  <r>
    <x v="45"/>
    <m/>
    <x v="9"/>
    <m/>
    <n v="1627"/>
    <n v="115"/>
    <n v="24"/>
    <n v="18"/>
    <n v="136"/>
    <n v="83"/>
    <s v="https://www.vs.ch/documents/6756452/7008787/2020%2004%2029%20Sit%20Epid%20-%20%C3%89tat%20Stand"/>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area-media/comunicati/dettaglio-comunicato/?NEWS_ID=187607&amp;tx_tichareamedia_comunicazioni%5Baction%5D=show&amp;tx_tichareamedia_comunicazioni%5Bcontroller%5D=Comunicazioni&amp;cHash=e9c51debb7c11815ec53651f6c8c8d24"/>
  </r>
  <r>
    <x v="45"/>
    <n v="0.33333333333333331"/>
    <x v="11"/>
    <m/>
    <n v="168"/>
    <n v="15"/>
    <n v="9"/>
    <m/>
    <n v="76"/>
    <n v="3"/>
    <s v="https://www.zg.ch/behoerden/gesundheitsdirektion/statistikfachstelle/themen/gesundheit/corona"/>
  </r>
  <r>
    <x v="45"/>
    <n v="0.39583333333333331"/>
    <x v="21"/>
    <m/>
    <n v="53"/>
    <n v="13"/>
    <n v="2"/>
    <m/>
    <m/>
    <n v="1"/>
    <s v="https://sh.ch/CMS/get/file/52b47430-c025-40dd-bc29-c70ed9b9899e"/>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4/statistiques_situation_FR_2904.xlsx"/>
  </r>
  <r>
    <x v="46"/>
    <m/>
    <x v="0"/>
    <n v="18587"/>
    <n v="4243"/>
    <n v="364"/>
    <n v="48"/>
    <n v="44"/>
    <n v="463"/>
    <n v="178"/>
    <s v="https://www.ge.ch/document/covid-19-situation-epidemiologique-geneve/telecharger"/>
  </r>
  <r>
    <x v="46"/>
    <m/>
    <x v="19"/>
    <m/>
    <n v="91"/>
    <n v="2"/>
    <m/>
    <m/>
    <m/>
    <n v="2"/>
    <s v="https://www.gl.ch/public/upload/assets/27574/COVID-19_Fallzahlen_Kanton_Glarus.xlsx"/>
  </r>
  <r>
    <x v="46"/>
    <m/>
    <x v="26"/>
    <m/>
    <n v="743"/>
    <n v="35"/>
    <m/>
    <m/>
    <m/>
    <n v="36"/>
    <s v="https://www.gr.ch/DE/institutionen/verwaltung/djsg/ga/coronavirus/info/Seiten/Start.aspx"/>
  </r>
  <r>
    <x v="46"/>
    <m/>
    <x v="3"/>
    <m/>
    <n v="183"/>
    <n v="23"/>
    <n v="5"/>
    <m/>
    <m/>
    <n v="3"/>
    <s v="https://www.jura.ch/Htdocs/Files/v/34283.xlsx/Departements/CHA/SIC/Carrousel/Coronavirus/Cornavirus/Chiffres/donnees_29_04.xlsx?download=1"/>
  </r>
  <r>
    <x v="46"/>
    <m/>
    <x v="13"/>
    <m/>
    <n v="575"/>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383/COVID-19_Fallzahlen_Kanton_Schwyz.xlsx"/>
  </r>
  <r>
    <x v="46"/>
    <m/>
    <x v="25"/>
    <m/>
    <n v="275"/>
    <n v="32"/>
    <n v="14"/>
    <m/>
    <m/>
    <n v="8"/>
    <s v="https://www.tg.ch/news/fachdossier-coronavirus.html/10552"/>
  </r>
  <r>
    <x v="46"/>
    <m/>
    <x v="8"/>
    <m/>
    <n v="4771"/>
    <n v="285"/>
    <n v="64"/>
    <m/>
    <m/>
    <n v="243"/>
    <s v="https://www.vd.ch/toutes-les-actualites/hotline-et-informations-sur-le-coronavirus/point-de-situation-statistique-dans-le-canton-de-vaud/"/>
  </r>
  <r>
    <x v="46"/>
    <m/>
    <x v="9"/>
    <m/>
    <n v="1653"/>
    <n v="112"/>
    <n v="20"/>
    <n v="15"/>
    <n v="148"/>
    <n v="85"/>
    <s v="https://www.vs.ch/documents/6756452/7008787/2020%2004%2029%20Sit%20Epid%20-%20%C3%89tat%20Stand"/>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area-media/comunicati/dettaglio-comunicato/?NEWS_ID=187611&amp;tx_tichareamedia_comunicazioni%5Baction%5D=show&amp;tx_tichareamedia_comunicazioni%5Bcontroller%5D=Comunicazioni&amp;cHash=6f94f1f1d5cf92bdf5a1e053e6602530"/>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52b47430-c025-40dd-bc29-c70ed9b9899e"/>
  </r>
  <r>
    <x v="46"/>
    <n v="0.41666666666666669"/>
    <x v="17"/>
    <m/>
    <n v="77"/>
    <m/>
    <m/>
    <m/>
    <m/>
    <n v="3"/>
    <s v="https://www.ar.ch/verwaltung/departement-gesundheit-und-soziales/amt-fuer-gesundheit/informationsseite-coronavirus/"/>
  </r>
  <r>
    <x v="46"/>
    <n v="0.45833333333333331"/>
    <x v="24"/>
    <m/>
    <n v="24"/>
    <m/>
    <m/>
    <m/>
    <m/>
    <m/>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4/statistiques_situation_FR_2904.xlsx"/>
  </r>
  <r>
    <x v="47"/>
    <m/>
    <x v="0"/>
    <n v="18762"/>
    <n v="4265"/>
    <n v="363"/>
    <n v="47"/>
    <n v="43"/>
    <n v="479"/>
    <n v="185"/>
    <s v="https://www.ge.ch/document/covid-19-situation-epidemiologique-geneve/telecharger"/>
  </r>
  <r>
    <x v="47"/>
    <m/>
    <x v="19"/>
    <m/>
    <n v="91"/>
    <n v="2"/>
    <m/>
    <m/>
    <m/>
    <n v="2"/>
    <s v="https://www.gl.ch/public/upload/assets/27574/COVID-19_Fallzahlen_Kanton_Glarus.xlsx"/>
  </r>
  <r>
    <x v="47"/>
    <m/>
    <x v="26"/>
    <m/>
    <n v="747"/>
    <n v="35"/>
    <m/>
    <m/>
    <m/>
    <n v="36"/>
    <s v="https://www.gr.ch/DE/institutionen/verwaltung/djsg/ga/coronavirus/info/Seiten/Start.aspx"/>
  </r>
  <r>
    <x v="47"/>
    <m/>
    <x v="3"/>
    <m/>
    <n v="183"/>
    <n v="22"/>
    <n v="5"/>
    <m/>
    <m/>
    <n v="3"/>
    <s v="https://www.jura.ch/Htdocs/Files/v/34283.xlsx/Departements/CHA/SIC/Carrousel/Coronavirus/Cornavirus/Chiffres/donnees_29_04.xlsx?download=1"/>
  </r>
  <r>
    <x v="47"/>
    <m/>
    <x v="13"/>
    <m/>
    <n v="585"/>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383/COVID-19_Fallzahlen_Kanton_Schwyz.xlsx"/>
  </r>
  <r>
    <x v="47"/>
    <m/>
    <x v="25"/>
    <m/>
    <n v="286"/>
    <n v="32"/>
    <n v="14"/>
    <m/>
    <m/>
    <n v="8"/>
    <s v="https://www.tg.ch/news/fachdossier-coronavirus.html/10552"/>
  </r>
  <r>
    <x v="47"/>
    <m/>
    <x v="8"/>
    <m/>
    <n v="4808"/>
    <n v="294"/>
    <n v="63"/>
    <m/>
    <m/>
    <n v="251"/>
    <s v="https://www.vd.ch/toutes-les-actualites/hotline-et-informations-sur-le-coronavirus/point-de-situation-statistique-dans-le-canton-de-vaud/"/>
  </r>
  <r>
    <x v="47"/>
    <m/>
    <x v="9"/>
    <m/>
    <n v="1666"/>
    <n v="110"/>
    <n v="22"/>
    <n v="14"/>
    <n v="157"/>
    <n v="91"/>
    <s v="https://www.vs.ch/documents/6756452/7008787/2020%2004%2029%20Sit%20Epid%20-%20%C3%89tat%20Stand"/>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area-media/comunicati/dettaglio-comunicato/?NEWS_ID=187612&amp;tx_tichareamedia_comunicazioni%5Baction%5D=show&amp;tx_tichareamedia_comunicazioni%5Bcontroller%5D=Comunicazioni&amp;cHash=01ed3fadc99b1b00f0a8c4a0e41e7252"/>
  </r>
  <r>
    <x v="47"/>
    <n v="0.33333333333333331"/>
    <x v="11"/>
    <m/>
    <n v="168"/>
    <n v="13"/>
    <n v="9"/>
    <m/>
    <n v="80"/>
    <n v="5"/>
    <s v="https://www.zg.ch/behoerden/gesundheitsdirektion/statistikfachstelle/themen/gesundheit/corona"/>
  </r>
  <r>
    <x v="47"/>
    <n v="0.39583333333333331"/>
    <x v="21"/>
    <m/>
    <n v="57"/>
    <n v="16"/>
    <n v="2"/>
    <m/>
    <m/>
    <n v="1"/>
    <s v="https://sh.ch/CMS/get/file/52b47430-c025-40dd-bc29-c70ed9b9899e"/>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4/statistiques_situation_FR_2904.xlsx"/>
  </r>
  <r>
    <x v="48"/>
    <m/>
    <x v="0"/>
    <n v="19067"/>
    <n v="4315"/>
    <n v="364"/>
    <n v="47"/>
    <n v="42"/>
    <n v="490"/>
    <n v="188"/>
    <s v="https://www.ge.ch/document/covid-19-situation-epidemiologique-geneve/telecharger"/>
  </r>
  <r>
    <x v="48"/>
    <m/>
    <x v="19"/>
    <m/>
    <n v="92"/>
    <n v="2"/>
    <m/>
    <m/>
    <m/>
    <n v="2"/>
    <s v="https://www.gl.ch/public/upload/assets/27574/COVID-19_Fallzahlen_Kanton_Glarus.xlsx"/>
  </r>
  <r>
    <x v="48"/>
    <m/>
    <x v="26"/>
    <m/>
    <n v="750"/>
    <n v="34"/>
    <m/>
    <m/>
    <m/>
    <n v="37"/>
    <s v="https://www.gr.ch/DE/institutionen/verwaltung/djsg/ga/coronavirus/info/Seiten/Start.aspx"/>
  </r>
  <r>
    <x v="48"/>
    <m/>
    <x v="3"/>
    <m/>
    <n v="184"/>
    <n v="24"/>
    <n v="5"/>
    <m/>
    <m/>
    <n v="3"/>
    <s v="https://www.jura.ch/Htdocs/Files/v/34283.xlsx/Departements/CHA/SIC/Carrousel/Coronavirus/Cornavirus/Chiffres/donnees_29_04.xlsx?download=1"/>
  </r>
  <r>
    <x v="48"/>
    <m/>
    <x v="13"/>
    <m/>
    <n v="591"/>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383/COVID-19_Fallzahlen_Kanton_Schwyz.xlsx"/>
  </r>
  <r>
    <x v="48"/>
    <m/>
    <x v="25"/>
    <m/>
    <n v="293"/>
    <n v="32"/>
    <n v="17"/>
    <m/>
    <m/>
    <n v="8"/>
    <s v="https://www.tg.ch/news/fachdossier-coronavirus.html/10552"/>
  </r>
  <r>
    <x v="48"/>
    <m/>
    <x v="8"/>
    <m/>
    <n v="4852"/>
    <n v="294"/>
    <n v="59"/>
    <m/>
    <m/>
    <n v="257"/>
    <s v="https://www.vd.ch/toutes-les-actualites/hotline-et-informations-sur-le-coronavirus/point-de-situation-statistique-dans-le-canton-de-vaud/"/>
  </r>
  <r>
    <x v="48"/>
    <m/>
    <x v="9"/>
    <m/>
    <n v="1680"/>
    <n v="106"/>
    <n v="21"/>
    <n v="12"/>
    <n v="157"/>
    <n v="93"/>
    <s v="https://www.vs.ch/documents/6756452/7008787/2020%2004%2029%20Sit%20Epid%20-%20%C3%89tat%20Stand"/>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area-media/comunicati/dettaglio-comunicato/?NEWS_ID=187614&amp;tx_tichareamedia_comunicazioni%5Baction%5D=show&amp;tx_tichareamedia_comunicazioni%5Bcontroller%5D=Comunicazioni&amp;cHash=0464d89cb8c291fbc9c266e6b7008814"/>
  </r>
  <r>
    <x v="48"/>
    <n v="0.33333333333333331"/>
    <x v="11"/>
    <m/>
    <n v="170"/>
    <n v="13"/>
    <n v="9"/>
    <m/>
    <n v="84"/>
    <n v="5"/>
    <s v="https://www.zg.ch/behoerden/gesundheitsdirektion/statistikfachstelle/themen/gesundheit/corona"/>
  </r>
  <r>
    <x v="48"/>
    <n v="0.39583333333333331"/>
    <x v="21"/>
    <m/>
    <n v="57"/>
    <n v="16"/>
    <n v="2"/>
    <m/>
    <m/>
    <n v="1"/>
    <s v="https://sh.ch/CMS/get/file/52b47430-c025-40dd-bc29-c70ed9b9899e"/>
  </r>
  <r>
    <x v="48"/>
    <n v="0.41666666666666669"/>
    <x v="5"/>
    <m/>
    <n v="888"/>
    <m/>
    <m/>
    <m/>
    <n v="653"/>
    <n v="34"/>
    <s v="https://www.gd.bs.ch//nm/2020-tagesbulletin-coronavirus-893-bestaetigte-faelle-im-kanton-basel-stadt-gd.html"/>
  </r>
  <r>
    <x v="48"/>
    <n v="0.45833333333333331"/>
    <x v="24"/>
    <m/>
    <n v="24"/>
    <m/>
    <m/>
    <m/>
    <m/>
    <m/>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4/statistiques_situation_FR_2904.xlsx"/>
  </r>
  <r>
    <x v="49"/>
    <m/>
    <x v="0"/>
    <n v="19611"/>
    <n v="4368"/>
    <n v="365"/>
    <n v="46"/>
    <n v="41"/>
    <n v="490"/>
    <n v="193"/>
    <s v="https://www.ge.ch/document/covid-19-situation-epidemiologique-geneve/telecharger"/>
  </r>
  <r>
    <x v="49"/>
    <m/>
    <x v="19"/>
    <m/>
    <n v="105"/>
    <n v="2"/>
    <m/>
    <m/>
    <m/>
    <n v="2"/>
    <s v="https://www.gl.ch/public/upload/assets/27574/COVID-19_Fallzahlen_Kanton_Glarus.xlsx"/>
  </r>
  <r>
    <x v="49"/>
    <m/>
    <x v="26"/>
    <m/>
    <n v="753"/>
    <n v="34"/>
    <m/>
    <m/>
    <m/>
    <n v="37"/>
    <s v="https://www.gr.ch/DE/institutionen/verwaltung/djsg/ga/coronavirus/info/Seiten/Start.aspx"/>
  </r>
  <r>
    <x v="49"/>
    <m/>
    <x v="3"/>
    <m/>
    <n v="185"/>
    <n v="21"/>
    <n v="5"/>
    <m/>
    <m/>
    <n v="3"/>
    <s v="https://www.jura.ch/Htdocs/Files/v/34283.xlsx/Departements/CHA/SIC/Carrousel/Coronavirus/Cornavirus/Chiffres/donnees_29_04.xlsx?download=1"/>
  </r>
  <r>
    <x v="49"/>
    <m/>
    <x v="13"/>
    <m/>
    <n v="602"/>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383/COVID-19_Fallzahlen_Kanton_Schwyz.xlsx"/>
  </r>
  <r>
    <x v="49"/>
    <m/>
    <x v="25"/>
    <m/>
    <n v="297"/>
    <n v="35"/>
    <n v="16"/>
    <m/>
    <m/>
    <n v="10"/>
    <s v="https://www.tg.ch/news/fachdossier-coronavirus.html/10552"/>
  </r>
  <r>
    <x v="49"/>
    <m/>
    <x v="8"/>
    <m/>
    <n v="4919"/>
    <n v="277"/>
    <n v="58"/>
    <m/>
    <m/>
    <n v="267"/>
    <s v="https://www.vd.ch/toutes-les-actualites/hotline-et-informations-sur-le-coronavirus/point-de-situation-statistique-dans-le-canton-de-vaud/"/>
  </r>
  <r>
    <x v="49"/>
    <m/>
    <x v="9"/>
    <m/>
    <n v="1707"/>
    <n v="100"/>
    <n v="20"/>
    <n v="11"/>
    <n v="165"/>
    <n v="94"/>
    <s v="https://www.vs.ch/documents/6756452/7008787/2020%2004%2029%20Sit%20Epid%20-%20%C3%89tat%20Stand"/>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area-media/comunicati/dettaglio-comunicato/?NEWS_ID=187617&amp;tx_tichareamedia_comunicazioni%5Baction%5D=show&amp;tx_tichareamedia_comunicazioni%5Bcontroller%5D=Comunicazioni&amp;cHash=64be59067038bfdaf603d60bfab0aa52"/>
  </r>
  <r>
    <x v="49"/>
    <n v="0.33333333333333331"/>
    <x v="11"/>
    <m/>
    <n v="171"/>
    <n v="13"/>
    <n v="9"/>
    <m/>
    <n v="88"/>
    <n v="5"/>
    <s v="https://www.zg.ch/behoerden/gesundheitsdirektion/statistikfachstelle/themen/gesundheit/corona"/>
  </r>
  <r>
    <x v="49"/>
    <n v="0.39583333333333331"/>
    <x v="21"/>
    <m/>
    <n v="57"/>
    <n v="10"/>
    <n v="2"/>
    <m/>
    <m/>
    <n v="1"/>
    <s v="https://sh.ch/CMS/get/file/52b47430-c025-40dd-bc29-c70ed9b9899e"/>
  </r>
  <r>
    <x v="49"/>
    <n v="0.41666666666666669"/>
    <x v="5"/>
    <m/>
    <n v="894"/>
    <n v="86"/>
    <n v="9"/>
    <m/>
    <n v="663"/>
    <n v="34"/>
    <s v="https://www.gd.bs.ch//nm/2020-tagesbulletin-coronavirus-899-bestaetigte-faelle-im-kanton-basel-stadt-gd.html"/>
  </r>
  <r>
    <x v="49"/>
    <n v="0.45833333333333331"/>
    <x v="24"/>
    <m/>
    <n v="24"/>
    <m/>
    <m/>
    <m/>
    <m/>
    <m/>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4/statistiques_situation_FR_2904.xlsx"/>
  </r>
  <r>
    <x v="50"/>
    <m/>
    <x v="0"/>
    <n v="20069"/>
    <n v="4432"/>
    <n v="352"/>
    <n v="41"/>
    <n v="37"/>
    <n v="502"/>
    <n v="198"/>
    <s v="https://www.ge.ch/document/covid-19-situation-epidemiologique-geneve/telecharger"/>
  </r>
  <r>
    <x v="50"/>
    <m/>
    <x v="19"/>
    <m/>
    <n v="105"/>
    <n v="2"/>
    <m/>
    <m/>
    <m/>
    <n v="2"/>
    <s v="https://www.gl.ch/public/upload/assets/27574/COVID-19_Fallzahlen_Kanton_Glarus.xlsx"/>
  </r>
  <r>
    <x v="50"/>
    <m/>
    <x v="26"/>
    <m/>
    <n v="759"/>
    <n v="36"/>
    <m/>
    <m/>
    <m/>
    <n v="38"/>
    <s v="https://www.gr.ch/DE/institutionen/verwaltung/djsg/ga/coronavirus/info/Seiten/Start.aspx"/>
  </r>
  <r>
    <x v="50"/>
    <m/>
    <x v="3"/>
    <m/>
    <n v="188"/>
    <n v="17"/>
    <n v="5"/>
    <m/>
    <m/>
    <n v="3"/>
    <s v="https://www.jura.ch/Htdocs/Files/v/34283.xlsx/Departements/CHA/SIC/Carrousel/Coronavirus/Cornavirus/Chiffres/donnees_29_04.xlsx?download=1"/>
  </r>
  <r>
    <x v="50"/>
    <m/>
    <x v="13"/>
    <m/>
    <n v="615"/>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383/COVID-19_Fallzahlen_Kanton_Schwyz.xlsx"/>
  </r>
  <r>
    <x v="50"/>
    <m/>
    <x v="25"/>
    <m/>
    <n v="303"/>
    <n v="28"/>
    <n v="14"/>
    <m/>
    <m/>
    <n v="11"/>
    <s v="https://www.tg.ch/news/fachdossier-coronavirus.html/10552"/>
  </r>
  <r>
    <x v="50"/>
    <m/>
    <x v="8"/>
    <m/>
    <n v="4968"/>
    <n v="251"/>
    <n v="55"/>
    <m/>
    <m/>
    <n v="284"/>
    <s v="https://www.vd.ch/toutes-les-actualites/hotline-et-informations-sur-le-coronavirus/point-de-situation-statistique-dans-le-canton-de-vaud/"/>
  </r>
  <r>
    <x v="50"/>
    <m/>
    <x v="9"/>
    <m/>
    <n v="1723"/>
    <n v="94"/>
    <n v="20"/>
    <n v="12"/>
    <n v="175"/>
    <n v="94"/>
    <s v="https://www.vs.ch/documents/6756452/7008787/2020%2004%2029%20Sit%20Epid%20-%20%C3%89tat%20Stand"/>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area-media/comunicati/dettaglio-comunicato/?NEWS_ID=187624&amp;tx_tichareamedia_comunicazioni%5Baction%5D=show&amp;tx_tichareamedia_comunicazioni%5Bcontroller%5D=Comunicazioni&amp;cHash=c6ac05de202d47a4a41e41ec4d16b3b1"/>
  </r>
  <r>
    <x v="50"/>
    <n v="0.33333333333333331"/>
    <x v="11"/>
    <m/>
    <n v="171"/>
    <n v="13"/>
    <n v="9"/>
    <m/>
    <n v="92"/>
    <n v="5"/>
    <s v="https://www.zg.ch/behoerden/gesundheitsdirektion/statistikfachstelle/themen/gesundheit/corona"/>
  </r>
  <r>
    <x v="50"/>
    <n v="0.39583333333333331"/>
    <x v="21"/>
    <m/>
    <n v="59"/>
    <n v="11"/>
    <n v="2"/>
    <m/>
    <m/>
    <n v="1"/>
    <s v="https://sh.ch/CMS/get/file/52b47430-c025-40dd-bc29-c70ed9b9899e"/>
  </r>
  <r>
    <x v="50"/>
    <n v="0.41666666666666669"/>
    <x v="5"/>
    <m/>
    <n v="904"/>
    <n v="80"/>
    <n v="7"/>
    <m/>
    <n v="682"/>
    <n v="36"/>
    <s v="https://www.gd.bs.ch//nm/2020-tagesbulletin-coronavirus-909-bestaetigte-faelle-im-kanton-basel-stadt-gd.html"/>
  </r>
  <r>
    <x v="50"/>
    <n v="0.45833333333333331"/>
    <x v="24"/>
    <m/>
    <n v="24"/>
    <m/>
    <m/>
    <m/>
    <m/>
    <m/>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4/statistiques_situation_FR_2904.xlsx"/>
  </r>
  <r>
    <x v="51"/>
    <m/>
    <x v="0"/>
    <n v="20746"/>
    <n v="4497"/>
    <n v="350"/>
    <n v="38"/>
    <n v="33"/>
    <n v="520"/>
    <n v="204"/>
    <s v="https://www.ge.ch/document/covid-19-situation-epidemiologique-geneve/telecharger"/>
  </r>
  <r>
    <x v="51"/>
    <m/>
    <x v="19"/>
    <m/>
    <n v="106"/>
    <n v="4"/>
    <m/>
    <m/>
    <m/>
    <n v="3"/>
    <s v="https://www.gl.ch/public/upload/assets/27574/COVID-19_Fallzahlen_Kanton_Glarus.xlsx"/>
  </r>
  <r>
    <x v="51"/>
    <m/>
    <x v="26"/>
    <m/>
    <n v="764"/>
    <n v="37"/>
    <m/>
    <m/>
    <m/>
    <n v="39"/>
    <s v="https://www.gr.ch/DE/institutionen/verwaltung/djsg/ga/coronavirus/info/Seiten/Start.aspx"/>
  </r>
  <r>
    <x v="51"/>
    <m/>
    <x v="3"/>
    <m/>
    <n v="189"/>
    <n v="18"/>
    <n v="5"/>
    <m/>
    <m/>
    <n v="3"/>
    <s v="https://www.jura.ch/Htdocs/Files/v/34283.xlsx/Departements/CHA/SIC/Carrousel/Coronavirus/Cornavirus/Chiffres/donnees_29_04.xlsx?download=1"/>
  </r>
  <r>
    <x v="51"/>
    <m/>
    <x v="13"/>
    <m/>
    <n v="624"/>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383/COVID-19_Fallzahlen_Kanton_Schwyz.xlsx"/>
  </r>
  <r>
    <x v="51"/>
    <m/>
    <x v="25"/>
    <m/>
    <n v="309"/>
    <n v="28"/>
    <n v="14"/>
    <m/>
    <m/>
    <n v="11"/>
    <s v="https://www.tg.ch/news/fachdossier-coronavirus.html/10552"/>
  </r>
  <r>
    <x v="51"/>
    <m/>
    <x v="8"/>
    <m/>
    <n v="4997"/>
    <n v="244"/>
    <n v="54"/>
    <m/>
    <m/>
    <n v="297"/>
    <s v="https://www.vd.ch/toutes-les-actualites/hotline-et-informations-sur-le-coronavirus/point-de-situation-statistique-dans-le-canton-de-vaud/"/>
  </r>
  <r>
    <x v="51"/>
    <m/>
    <x v="9"/>
    <m/>
    <n v="1740"/>
    <n v="91"/>
    <n v="17"/>
    <n v="12"/>
    <n v="178"/>
    <n v="95"/>
    <s v="https://www.vs.ch/documents/6756452/7008787/2020%2004%2029%20Sit%20Epid%20-%20%C3%89tat%20Stand"/>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area-media/comunicati/dettaglio-comunicato/?NEWS_ID=187632&amp;tx_tichareamedia_comunicazioni%5Baction%5D=show&amp;tx_tichareamedia_comunicazioni%5Bcontroller%5D=Comunicazioni&amp;cHash=65b441f9003d32defd9e1c4f2650c177"/>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52b47430-c025-40dd-bc29-c70ed9b9899e"/>
  </r>
  <r>
    <x v="51"/>
    <n v="0.45833333333333331"/>
    <x v="24"/>
    <m/>
    <n v="24"/>
    <m/>
    <m/>
    <m/>
    <m/>
    <m/>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4/statistiques_situation_FR_2904.xlsx"/>
  </r>
  <r>
    <x v="52"/>
    <m/>
    <x v="0"/>
    <n v="21185"/>
    <n v="4557"/>
    <n v="329"/>
    <n v="39"/>
    <n v="33"/>
    <n v="532"/>
    <n v="210"/>
    <s v="https://www.ge.ch/document/covid-19-situation-epidemiologique-geneve/telecharger"/>
  </r>
  <r>
    <x v="52"/>
    <m/>
    <x v="26"/>
    <m/>
    <n v="770"/>
    <n v="33"/>
    <m/>
    <m/>
    <m/>
    <n v="40"/>
    <s v="https://www.gr.ch/DE/institutionen/verwaltung/djsg/ga/coronavirus/info/Seiten/Start.aspx"/>
  </r>
  <r>
    <x v="52"/>
    <m/>
    <x v="3"/>
    <m/>
    <n v="191"/>
    <n v="18"/>
    <n v="5"/>
    <m/>
    <m/>
    <n v="3"/>
    <s v="https://www.jura.ch/Htdocs/Files/v/34283.xlsx/Departements/CHA/SIC/Carrousel/Coronavirus/Cornavirus/Chiffres/donnees_29_04.xlsx?download=1"/>
  </r>
  <r>
    <x v="52"/>
    <m/>
    <x v="13"/>
    <m/>
    <n v="633"/>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383/COVID-19_Fallzahlen_Kanton_Schwyz.xlsx"/>
  </r>
  <r>
    <x v="52"/>
    <m/>
    <x v="25"/>
    <m/>
    <n v="322"/>
    <n v="25"/>
    <n v="13"/>
    <m/>
    <m/>
    <n v="12"/>
    <s v="https://www.tg.ch/news/fachdossier-coronavirus.html/10552"/>
  </r>
  <r>
    <x v="52"/>
    <m/>
    <x v="8"/>
    <m/>
    <n v="5029"/>
    <n v="228"/>
    <n v="53"/>
    <m/>
    <m/>
    <n v="303"/>
    <s v="https://www.vd.ch/toutes-les-actualites/hotline-et-informations-sur-le-coronavirus/point-de-situation-statistique-dans-le-canton-de-vaud/"/>
  </r>
  <r>
    <x v="52"/>
    <m/>
    <x v="9"/>
    <m/>
    <n v="1759"/>
    <n v="84"/>
    <n v="16"/>
    <n v="10"/>
    <n v="184"/>
    <n v="99"/>
    <s v="https://www.vs.ch/documents/6756452/7008787/2020%2004%2029%20Sit%20Epid%20-%20%C3%89tat%20Stand"/>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area-media/comunicati/dettaglio-comunicato/?NEWS_ID=187639&amp;tx_tichareamedia_comunicazioni%5Baction%5D=show&amp;tx_tichareamedia_comunicazioni%5Bcontroller%5D=Comunicazioni&amp;cHash=293da33bc5267650fbd8e590032cd6f3"/>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52b47430-c025-40dd-bc29-c70ed9b9899e"/>
  </r>
  <r>
    <x v="52"/>
    <n v="0.45833333333333331"/>
    <x v="24"/>
    <m/>
    <n v="24"/>
    <m/>
    <m/>
    <m/>
    <m/>
    <m/>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7574/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4/statistiques_situation_FR_2904.xlsx"/>
  </r>
  <r>
    <x v="53"/>
    <m/>
    <x v="0"/>
    <n v="21626"/>
    <n v="4606"/>
    <n v="315"/>
    <n v="34"/>
    <n v="33"/>
    <n v="553"/>
    <n v="214"/>
    <s v="https://www.ge.ch/document/covid-19-situation-epidemiologique-geneve/telecharger"/>
  </r>
  <r>
    <x v="53"/>
    <m/>
    <x v="26"/>
    <m/>
    <n v="773"/>
    <n v="29"/>
    <m/>
    <m/>
    <m/>
    <n v="40"/>
    <s v="https://www.gr.ch/DE/institutionen/verwaltung/djsg/ga/coronavirus/info/Seiten/Start.aspx"/>
  </r>
  <r>
    <x v="53"/>
    <m/>
    <x v="3"/>
    <m/>
    <n v="192"/>
    <n v="17"/>
    <n v="5"/>
    <m/>
    <m/>
    <n v="3"/>
    <s v="https://www.jura.ch/Htdocs/Files/v/34283.xlsx/Departements/CHA/SIC/Carrousel/Coronavirus/Cornavirus/Chiffres/donnees_29_04.xlsx?download=1"/>
  </r>
  <r>
    <x v="53"/>
    <m/>
    <x v="13"/>
    <m/>
    <n v="636"/>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383/COVID-19_Fallzahlen_Kanton_Schwyz.xlsx"/>
  </r>
  <r>
    <x v="53"/>
    <m/>
    <x v="25"/>
    <m/>
    <n v="333"/>
    <n v="23"/>
    <n v="12"/>
    <m/>
    <m/>
    <n v="13"/>
    <s v="https://www.tg.ch/news/fachdossier-coronavirus.html/10552"/>
  </r>
  <r>
    <x v="53"/>
    <m/>
    <x v="8"/>
    <m/>
    <n v="5051"/>
    <n v="225"/>
    <n v="50"/>
    <m/>
    <m/>
    <n v="311"/>
    <s v="https://www.vd.ch/toutes-les-actualites/hotline-et-informations-sur-le-coronavirus/point-de-situation-statistique-dans-le-canton-de-vaud/"/>
  </r>
  <r>
    <x v="53"/>
    <m/>
    <x v="9"/>
    <m/>
    <n v="1768"/>
    <n v="83"/>
    <n v="18"/>
    <n v="10"/>
    <n v="185"/>
    <n v="104"/>
    <s v="https://www.vs.ch/documents/6756452/7008787/2020%2004%2029%20Sit%20Epid%20-%20%C3%89tat%20Stand"/>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area-media/comunicati/dettaglio-comunicato/?NEWS_ID=187644&amp;tx_tichareamedia_comunicazioni%5Baction%5D=show&amp;tx_tichareamedia_comunicazioni%5Bcontroller%5D=Comunicazioni&amp;cHash=df3ace8d6228b4587b78db3bfa080a83"/>
  </r>
  <r>
    <x v="53"/>
    <n v="0.33333333333333331"/>
    <x v="11"/>
    <m/>
    <n v="174"/>
    <n v="6"/>
    <n v="6"/>
    <m/>
    <n v="99"/>
    <n v="7"/>
    <s v="https://www.zg.ch/behoerden/gesundheitsdirektion/statistikfachstelle/themen/gesundheit/corona"/>
  </r>
  <r>
    <x v="53"/>
    <n v="0.39583333333333331"/>
    <x v="21"/>
    <m/>
    <n v="61"/>
    <n v="11"/>
    <n v="4"/>
    <m/>
    <m/>
    <n v="1"/>
    <s v="https://sh.ch/CMS/get/file/52b47430-c025-40dd-bc29-c70ed9b9899e"/>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7574/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4/statistiques_situation_FR_2904.xlsx"/>
  </r>
  <r>
    <x v="54"/>
    <m/>
    <x v="0"/>
    <n v="21808"/>
    <n v="4617"/>
    <n v="315"/>
    <n v="35"/>
    <n v="33"/>
    <n v="558"/>
    <n v="217"/>
    <s v="https://www.ge.ch/document/covid-19-situation-epidemiologique-geneve/telecharger"/>
  </r>
  <r>
    <x v="54"/>
    <m/>
    <x v="26"/>
    <m/>
    <n v="778"/>
    <n v="28"/>
    <m/>
    <m/>
    <m/>
    <n v="41"/>
    <s v="https://www.gr.ch/DE/institutionen/verwaltung/djsg/ga/coronavirus/info/Seiten/Start.aspx"/>
  </r>
  <r>
    <x v="54"/>
    <m/>
    <x v="3"/>
    <m/>
    <n v="192"/>
    <n v="16"/>
    <n v="5"/>
    <m/>
    <m/>
    <n v="5"/>
    <s v="https://www.jura.ch/Htdocs/Files/v/34283.xlsx/Departements/CHA/SIC/Carrousel/Coronavirus/Cornavirus/Chiffres/donnees_29_04.xlsx?download=1"/>
  </r>
  <r>
    <x v="54"/>
    <m/>
    <x v="13"/>
    <m/>
    <n v="637"/>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383/COVID-19_Fallzahlen_Kanton_Schwyz.xlsx"/>
  </r>
  <r>
    <x v="54"/>
    <m/>
    <x v="25"/>
    <m/>
    <n v="334"/>
    <n v="23"/>
    <n v="12"/>
    <m/>
    <m/>
    <n v="13"/>
    <s v="https://www.tg.ch/news/fachdossier-coronavirus.html/10552"/>
  </r>
  <r>
    <x v="54"/>
    <m/>
    <x v="8"/>
    <m/>
    <n v="5062"/>
    <n v="227"/>
    <n v="50"/>
    <m/>
    <m/>
    <n v="316"/>
    <s v="https://www.vd.ch/toutes-les-actualites/hotline-et-informations-sur-le-coronavirus/point-de-situation-statistique-dans-le-canton-de-vaud/"/>
  </r>
  <r>
    <x v="54"/>
    <m/>
    <x v="9"/>
    <m/>
    <n v="1775"/>
    <n v="81"/>
    <n v="16"/>
    <n v="9"/>
    <n v="204"/>
    <n v="107"/>
    <s v="https://www.vs.ch/documents/6756452/7008787/2020%2004%2029%20Sit%20Epid%20-%20%C3%89tat%20Stand"/>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area-media/comunicati/dettaglio-comunicato/?NEWS_ID=187645&amp;tx_tichareamedia_comunicazioni%5Baction%5D=show&amp;tx_tichareamedia_comunicazioni%5Bcontroller%5D=Comunicazioni&amp;cHash=7c0ead3ab8e681d79f11cb3d67995946"/>
  </r>
  <r>
    <x v="54"/>
    <n v="0.33333333333333331"/>
    <x v="11"/>
    <m/>
    <n v="175"/>
    <n v="11"/>
    <n v="6"/>
    <m/>
    <n v="99"/>
    <n v="7"/>
    <s v="https://www.zg.ch/behoerden/gesundheitsdirektion/statistikfachstelle/themen/gesundheit/corona"/>
  </r>
  <r>
    <x v="54"/>
    <n v="0.39583333333333331"/>
    <x v="21"/>
    <m/>
    <n v="62"/>
    <n v="6"/>
    <n v="2"/>
    <m/>
    <m/>
    <n v="1"/>
    <s v="https://sh.ch/CMS/get/file/52b47430-c025-40dd-bc29-c70ed9b9899e"/>
  </r>
  <r>
    <x v="54"/>
    <n v="0.41666666666666669"/>
    <x v="5"/>
    <m/>
    <n v="927"/>
    <m/>
    <m/>
    <m/>
    <n v="764"/>
    <n v="40"/>
    <s v="https://www.gd.bs.ch//nm/2020-tagesbulletin-coronavirus-932-bestaetigte-faelle-im-kanton-basel-stadt-gd.html"/>
  </r>
  <r>
    <x v="54"/>
    <n v="0.45833333333333331"/>
    <x v="24"/>
    <m/>
    <n v="24"/>
    <m/>
    <m/>
    <m/>
    <m/>
    <m/>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7574/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4/statistiques_situation_FR_2904.xlsx"/>
  </r>
  <r>
    <x v="55"/>
    <m/>
    <x v="0"/>
    <n v="22182"/>
    <n v="4644"/>
    <n v="321"/>
    <n v="34"/>
    <n v="29"/>
    <n v="561"/>
    <n v="219"/>
    <s v="https://www.ge.ch/document/covid-19-situation-epidemiologique-geneve/telecharger"/>
  </r>
  <r>
    <x v="55"/>
    <m/>
    <x v="26"/>
    <m/>
    <n v="785"/>
    <n v="29"/>
    <m/>
    <m/>
    <m/>
    <n v="42"/>
    <s v="https://www.gr.ch/DE/institutionen/verwaltung/djsg/ga/coronavirus/info/Seiten/Start.aspx"/>
  </r>
  <r>
    <x v="55"/>
    <m/>
    <x v="3"/>
    <m/>
    <n v="195"/>
    <n v="14"/>
    <n v="4"/>
    <m/>
    <m/>
    <n v="6"/>
    <s v="https://www.jura.ch/Htdocs/Files/v/34283.xlsx/Departements/CHA/SIC/Carrousel/Coronavirus/Cornavirus/Chiffres/donnees_29_04.xlsx?download=1"/>
  </r>
  <r>
    <x v="55"/>
    <m/>
    <x v="13"/>
    <m/>
    <n v="647"/>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383/COVID-19_Fallzahlen_Kanton_Schwyz.xlsx"/>
  </r>
  <r>
    <x v="55"/>
    <m/>
    <x v="25"/>
    <m/>
    <n v="336"/>
    <n v="24"/>
    <n v="12"/>
    <m/>
    <m/>
    <n v="13"/>
    <s v="https://www.tg.ch/news/fachdossier-coronavirus.html/10552"/>
  </r>
  <r>
    <x v="55"/>
    <m/>
    <x v="8"/>
    <m/>
    <n v="5094"/>
    <n v="210"/>
    <n v="44"/>
    <m/>
    <m/>
    <n v="327"/>
    <s v="https://www.vd.ch/toutes-les-actualites/hotline-et-informations-sur-le-coronavirus/point-de-situation-statistique-dans-le-canton-de-vaud/"/>
  </r>
  <r>
    <x v="55"/>
    <m/>
    <x v="9"/>
    <m/>
    <n v="1792"/>
    <n v="76"/>
    <n v="15"/>
    <n v="9"/>
    <n v="206"/>
    <n v="110"/>
    <s v="https://www.vs.ch/documents/6756452/7008787/2020%2004%2029%20Sit%20Epid%20-%20%C3%89tat%20Stand"/>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area-media/comunicati/dettaglio-comunicato/?NEWS_ID=187648&amp;tx_tichareamedia_comunicazioni%5Baction%5D=show&amp;tx_tichareamedia_comunicazioni%5Bcontroller%5D=Comunicazioni&amp;cHash=8c7fb45c6eada1e8d97d120f23176eb1"/>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52b47430-c025-40dd-bc29-c70ed9b9899e"/>
  </r>
  <r>
    <x v="55"/>
    <n v="0.45833333333333331"/>
    <x v="24"/>
    <m/>
    <n v="24"/>
    <m/>
    <m/>
    <m/>
    <m/>
    <m/>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7574/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4/statistiques_situation_FR_2904.xlsx"/>
  </r>
  <r>
    <x v="56"/>
    <m/>
    <x v="0"/>
    <n v="22593"/>
    <n v="4670"/>
    <n v="304"/>
    <n v="32"/>
    <n v="29"/>
    <n v="581"/>
    <n v="224"/>
    <s v="https://www.ge.ch/document/covid-19-situation-epidemiologique-geneve/telecharger"/>
  </r>
  <r>
    <x v="56"/>
    <m/>
    <x v="26"/>
    <m/>
    <n v="787"/>
    <n v="27"/>
    <m/>
    <m/>
    <m/>
    <n v="43"/>
    <s v="https://www.gr.ch/DE/institutionen/verwaltung/djsg/ga/coronavirus/info/Seiten/Start.aspx"/>
  </r>
  <r>
    <x v="56"/>
    <m/>
    <x v="3"/>
    <m/>
    <n v="195"/>
    <n v="12"/>
    <n v="4"/>
    <m/>
    <m/>
    <n v="6"/>
    <s v="https://www.jura.ch/Htdocs/Files/v/34283.xlsx/Departements/CHA/SIC/Carrousel/Coronavirus/Cornavirus/Chiffres/donnees_29_04.xlsx?download=1"/>
  </r>
  <r>
    <x v="56"/>
    <m/>
    <x v="13"/>
    <m/>
    <n v="652"/>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4"/>
    <n v="12"/>
    <m/>
    <m/>
    <n v="13"/>
    <s v="https://www.tg.ch/news/fachdossier-coronavirus.html/10552"/>
  </r>
  <r>
    <x v="56"/>
    <m/>
    <x v="8"/>
    <m/>
    <n v="5126"/>
    <n v="197"/>
    <n v="44"/>
    <m/>
    <m/>
    <n v="335"/>
    <s v="https://www.vd.ch/toutes-les-actualites/hotline-et-informations-sur-le-coronavirus/point-de-situation-statistique-dans-le-canton-de-vaud/"/>
  </r>
  <r>
    <x v="56"/>
    <m/>
    <x v="9"/>
    <m/>
    <n v="1799"/>
    <n v="73"/>
    <n v="14"/>
    <n v="11"/>
    <n v="210"/>
    <n v="115"/>
    <s v="https://www.vs.ch/documents/6756452/7008787/2020%2004%2029%20Sit%20Epid%20-%20%C3%89tat%20Stand"/>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area-media/comunicati/dettaglio-comunicato/?NEWS_ID=187654&amp;tx_tichareamedia_comunicazioni%5Baction%5D=show&amp;tx_tichareamedia_comunicazioni%5Bcontroller%5D=Comunicazioni&amp;cHash=8ae7085e87cf92c2997d0e458baa17f9"/>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52b47430-c025-40dd-bc29-c70ed9b9899e"/>
  </r>
  <r>
    <x v="56"/>
    <n v="0.41666666666666669"/>
    <x v="15"/>
    <m/>
    <n v="276"/>
    <m/>
    <m/>
    <m/>
    <n v="192"/>
    <n v="16"/>
    <s v="https://www.sz.ch/public/upload/assets/46383/COVID-19_Fallzahlen_Kanton_Schwyz.xlsx"/>
  </r>
  <r>
    <x v="56"/>
    <n v="0.45833333333333331"/>
    <x v="24"/>
    <m/>
    <n v="24"/>
    <m/>
    <m/>
    <m/>
    <m/>
    <m/>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7574/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4/statistiques_situation_FR_2904.xlsx"/>
  </r>
  <r>
    <x v="57"/>
    <m/>
    <x v="0"/>
    <n v="22941"/>
    <n v="4691"/>
    <n v="288"/>
    <n v="30"/>
    <n v="27"/>
    <n v="589"/>
    <n v="229"/>
    <s v="https://www.ge.ch/document/covid-19-situation-epidemiologique-geneve/telecharger"/>
  </r>
  <r>
    <x v="57"/>
    <m/>
    <x v="26"/>
    <m/>
    <n v="791"/>
    <n v="26"/>
    <m/>
    <m/>
    <m/>
    <n v="43"/>
    <s v="https://www.gr.ch/DE/institutionen/verwaltung/djsg/ga/coronavirus/info/Seiten/Start.aspx"/>
  </r>
  <r>
    <x v="57"/>
    <m/>
    <x v="3"/>
    <m/>
    <n v="196"/>
    <n v="12"/>
    <n v="4"/>
    <m/>
    <m/>
    <n v="6"/>
    <s v="https://www.jura.ch/Htdocs/Files/v/34283.xlsx/Departements/CHA/SIC/Carrousel/Coronavirus/Cornavirus/Chiffres/donnees_29_04.xlsx?download=1"/>
  </r>
  <r>
    <x v="57"/>
    <m/>
    <x v="13"/>
    <m/>
    <n v="659"/>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3"/>
    <n v="9"/>
    <m/>
    <m/>
    <n v="14"/>
    <s v="https://www.tg.ch/news/fachdossier-coronavirus.html/10552"/>
  </r>
  <r>
    <x v="57"/>
    <m/>
    <x v="8"/>
    <m/>
    <n v="5147"/>
    <n v="183"/>
    <n v="42"/>
    <m/>
    <m/>
    <n v="340"/>
    <s v="https://www.vd.ch/toutes-les-actualites/hotline-et-informations-sur-le-coronavirus/point-de-situation-statistique-dans-le-canton-de-vaud/"/>
  </r>
  <r>
    <x v="57"/>
    <m/>
    <x v="9"/>
    <m/>
    <n v="1805"/>
    <n v="74"/>
    <n v="13"/>
    <n v="11"/>
    <n v="210"/>
    <n v="118"/>
    <s v="https://www.vs.ch/documents/6756452/7008787/2020%2004%2029%20Sit%20Epid%20-%20%C3%89tat%20Stand"/>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area-media/comunicati/dettaglio-comunicato/?NEWS_ID=187672&amp;cHash=73c20eed4b20c3cb714758f2678c3f15"/>
  </r>
  <r>
    <x v="57"/>
    <n v="0.33333333333333331"/>
    <x v="11"/>
    <m/>
    <n v="176"/>
    <n v="6"/>
    <n v="3"/>
    <m/>
    <n v="131"/>
    <n v="8"/>
    <s v="https://www.zg.ch/behoerden/gesundheitsdirektion/statistikfachstelle/themen/gesundheit/corona"/>
  </r>
  <r>
    <x v="57"/>
    <n v="0.39583333333333331"/>
    <x v="21"/>
    <m/>
    <n v="63"/>
    <n v="10"/>
    <n v="2"/>
    <m/>
    <m/>
    <n v="3"/>
    <s v="https://sh.ch/CMS/get/file/52b47430-c025-40dd-bc29-c70ed9b9899e"/>
  </r>
  <r>
    <x v="57"/>
    <n v="0.40625"/>
    <x v="5"/>
    <m/>
    <n v="928"/>
    <n v="49"/>
    <n v="7"/>
    <m/>
    <n v="786"/>
    <n v="45"/>
    <s v="https://www.gd.bs.ch//nm/2020-tagesbulletin-coronavirus-933-bestaetigte-faelle-im-kanton-basel-stadt-gd-3.html"/>
  </r>
  <r>
    <x v="57"/>
    <n v="0.41666666666666669"/>
    <x v="15"/>
    <m/>
    <n v="282"/>
    <m/>
    <m/>
    <m/>
    <n v="194"/>
    <n v="16"/>
    <s v="https://www.sz.ch/public/upload/assets/46383/COVID-19_Fallzahlen_Kanton_Schwyz.xlsx"/>
  </r>
  <r>
    <x v="57"/>
    <n v="0.45833333333333331"/>
    <x v="24"/>
    <m/>
    <n v="24"/>
    <m/>
    <m/>
    <m/>
    <m/>
    <m/>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7574/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4/statistiques_situation_FR_2904.xlsx"/>
  </r>
  <r>
    <x v="58"/>
    <m/>
    <x v="0"/>
    <n v="23403"/>
    <n v="4721"/>
    <n v="284"/>
    <n v="29"/>
    <n v="27"/>
    <n v="592"/>
    <n v="233"/>
    <s v="https://www.ge.ch/document/covid-19-situation-epidemiologique-geneve/telecharger"/>
  </r>
  <r>
    <x v="58"/>
    <m/>
    <x v="26"/>
    <m/>
    <n v="794"/>
    <n v="26"/>
    <m/>
    <m/>
    <m/>
    <n v="43"/>
    <s v="https://www.gr.ch/DE/institutionen/verwaltung/djsg/ga/coronavirus/info/Seiten/Start.aspx"/>
  </r>
  <r>
    <x v="58"/>
    <m/>
    <x v="3"/>
    <m/>
    <n v="196"/>
    <n v="11"/>
    <n v="4"/>
    <m/>
    <m/>
    <n v="6"/>
    <s v="https://www.jura.ch/Htdocs/Files/v/34283.xlsx/Departements/CHA/SIC/Carrousel/Coronavirus/Cornavirus/Chiffres/donnees_29_04.xlsx?download=1"/>
  </r>
  <r>
    <x v="58"/>
    <m/>
    <x v="13"/>
    <m/>
    <n v="666"/>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21"/>
    <n v="9"/>
    <m/>
    <m/>
    <n v="14"/>
    <s v="https://www.tg.ch/news/fachdossier-coronavirus.html/10552"/>
  </r>
  <r>
    <x v="58"/>
    <m/>
    <x v="8"/>
    <m/>
    <n v="5180"/>
    <n v="183"/>
    <n v="40"/>
    <m/>
    <m/>
    <n v="350"/>
    <s v="https://www.vd.ch/toutes-les-actualites/hotline-et-informations-sur-le-coronavirus/point-de-situation-statistique-dans-le-canton-de-vaud/"/>
  </r>
  <r>
    <x v="58"/>
    <m/>
    <x v="9"/>
    <m/>
    <n v="1821"/>
    <n v="70"/>
    <n v="13"/>
    <n v="10"/>
    <n v="211"/>
    <n v="123"/>
    <s v="https://www.vs.ch/documents/6756452/7008787/2020%2004%2029%20Sit%20Epid%20-%20%C3%89tat%20Stand"/>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area-media/comunicati/dettaglio-comunicato/?NEWS_ID=187678&amp;tx_tichareamedia_comunicazioni%5Baction%5D=show&amp;tx_tichareamedia_comunicazioni%5Bcontroller%5D=Comunicazioni&amp;cHash=c546dd2da307919487d6578b8c7353cd"/>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52b47430-c025-40dd-bc29-c70ed9b9899e"/>
  </r>
  <r>
    <x v="58"/>
    <n v="0.41666666666666669"/>
    <x v="15"/>
    <m/>
    <n v="282"/>
    <m/>
    <m/>
    <m/>
    <n v="198"/>
    <n v="16"/>
    <s v="https://www.sz.ch/public/upload/assets/46383/COVID-19_Fallzahlen_Kanton_Schwyz.xlsx"/>
  </r>
  <r>
    <x v="58"/>
    <n v="0.45833333333333331"/>
    <x v="24"/>
    <m/>
    <n v="25"/>
    <m/>
    <m/>
    <m/>
    <m/>
    <m/>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7574/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4/statistiques_situation_FR_2904.xlsx"/>
  </r>
  <r>
    <x v="59"/>
    <m/>
    <x v="0"/>
    <n v="23795"/>
    <n v="4741"/>
    <n v="278"/>
    <n v="26"/>
    <n v="25"/>
    <n v="600"/>
    <n v="238"/>
    <s v="https://www.ge.ch/document/covid-19-situation-epidemiologique-geneve/telecharger"/>
  </r>
  <r>
    <x v="59"/>
    <m/>
    <x v="26"/>
    <m/>
    <n v="799"/>
    <n v="29"/>
    <m/>
    <m/>
    <m/>
    <n v="44"/>
    <s v="https://www.gr.ch/DE/institutionen/verwaltung/djsg/ga/coronavirus/info/Seiten/Start.aspx"/>
  </r>
  <r>
    <x v="59"/>
    <m/>
    <x v="3"/>
    <m/>
    <n v="196"/>
    <n v="11"/>
    <n v="4"/>
    <m/>
    <m/>
    <n v="6"/>
    <s v="https://www.jura.ch/Htdocs/Files/v/34283.xlsx/Departements/CHA/SIC/Carrousel/Coronavirus/Cornavirus/Chiffres/donnees_29_04.xlsx?download=1"/>
  </r>
  <r>
    <x v="59"/>
    <m/>
    <x v="13"/>
    <m/>
    <n v="669"/>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21"/>
    <n v="9"/>
    <m/>
    <m/>
    <n v="14"/>
    <s v="https://www.tg.ch/news/fachdossier-coronavirus.html/10552"/>
  </r>
  <r>
    <x v="59"/>
    <m/>
    <x v="8"/>
    <m/>
    <n v="5203"/>
    <n v="171"/>
    <n v="36"/>
    <m/>
    <m/>
    <n v="353"/>
    <s v="https://www.vd.ch/toutes-les-actualites/hotline-et-informations-sur-le-coronavirus/point-de-situation-statistique-dans-le-canton-de-vaud/"/>
  </r>
  <r>
    <x v="59"/>
    <m/>
    <x v="9"/>
    <m/>
    <n v="1830"/>
    <n v="66"/>
    <n v="14"/>
    <n v="10"/>
    <n v="218"/>
    <n v="127"/>
    <s v="https://www.vs.ch/documents/6756452/7008787/2020%2004%2029%20Sit%20Epid%20-%20%C3%89tat%20Stand"/>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area-media/comunicati/dettaglio-comunicato/?NEWS_ID=187683&amp;tx_tichareamedia_comunicazioni%5Baction%5D=show&amp;tx_tichareamedia_comunicazioni%5Bcontroller%5D=Comunicazioni&amp;cHash=96a9e3da92c22f69b3a6ed9000584d1b"/>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52b47430-c025-40dd-bc29-c70ed9b9899e"/>
  </r>
  <r>
    <x v="59"/>
    <n v="0.41666666666666669"/>
    <x v="15"/>
    <m/>
    <n v="284"/>
    <m/>
    <m/>
    <m/>
    <n v="206"/>
    <n v="16"/>
    <s v="https://www.sz.ch/public/upload/assets/46383/COVID-19_Fallzahlen_Kanton_Schwyz.xlsx"/>
  </r>
  <r>
    <x v="59"/>
    <n v="0.45833333333333331"/>
    <x v="24"/>
    <m/>
    <n v="25"/>
    <m/>
    <m/>
    <m/>
    <m/>
    <m/>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7574/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4/statistiques_situation_FR_2904.xlsx"/>
  </r>
  <r>
    <x v="60"/>
    <m/>
    <x v="0"/>
    <n v="24153"/>
    <n v="4754"/>
    <n v="271"/>
    <n v="27"/>
    <n v="26"/>
    <m/>
    <n v="239"/>
    <s v="https://www.ge.ch/document/covid-19-situation-epidemiologique-geneve/telecharger"/>
  </r>
  <r>
    <x v="60"/>
    <m/>
    <x v="26"/>
    <m/>
    <n v="800"/>
    <n v="28"/>
    <m/>
    <m/>
    <m/>
    <n v="44"/>
    <s v="https://www.gr.ch/DE/institutionen/verwaltung/djsg/ga/coronavirus/info/Seiten/Start.aspx"/>
  </r>
  <r>
    <x v="60"/>
    <m/>
    <x v="3"/>
    <m/>
    <n v="196"/>
    <n v="11"/>
    <n v="4"/>
    <m/>
    <m/>
    <n v="6"/>
    <s v="https://www.jura.ch/Htdocs/Files/v/34283.xlsx/Departements/CHA/SIC/Carrousel/Coronavirus/Cornavirus/Chiffres/donnees_29_04.xlsx?download=1"/>
  </r>
  <r>
    <x v="60"/>
    <m/>
    <x v="13"/>
    <m/>
    <n v="670"/>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3"/>
    <n v="8"/>
    <m/>
    <m/>
    <n v="14"/>
    <s v="https://www.tg.ch/news/fachdossier-coronavirus.html/10552"/>
  </r>
  <r>
    <x v="60"/>
    <m/>
    <x v="8"/>
    <m/>
    <n v="5216"/>
    <n v="176"/>
    <n v="36"/>
    <m/>
    <m/>
    <n v="363"/>
    <s v="https://www.vd.ch/toutes-les-actualites/hotline-et-informations-sur-le-coronavirus/point-de-situation-statistique-dans-le-canton-de-vaud/"/>
  </r>
  <r>
    <x v="60"/>
    <m/>
    <x v="9"/>
    <m/>
    <n v="1835"/>
    <n v="68"/>
    <n v="14"/>
    <n v="10"/>
    <n v="218"/>
    <n v="129"/>
    <s v="https://www.vs.ch/documents/6756452/7008787/2020%2004%2029%20Sit%20Epid%20-%20%C3%89tat%20Stand"/>
  </r>
  <r>
    <x v="60"/>
    <n v="0"/>
    <x v="18"/>
    <m/>
    <n v="379"/>
    <n v="13"/>
    <m/>
    <m/>
    <m/>
    <n v="14"/>
    <s v="https://corona.so.ch/index.php?id=27979"/>
  </r>
  <r>
    <x v="60"/>
    <n v="6.9444444444444447E-4"/>
    <x v="15"/>
    <m/>
    <n v="287"/>
    <m/>
    <m/>
    <m/>
    <n v="215"/>
    <n v="17"/>
    <s v="https://www.sz.ch/public/upload/assets/46383/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area-media/comunicati/dettaglio-comunicato/?NEWS_ID=187687&amp;tx_tichareamedia_comunicazioni%5Baction%5D=show&amp;tx_tichareamedia_comunicazioni%5Bcontroller%5D=Comunicazioni&amp;cHash=4113a890fda2606d774861e2b936b052"/>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52b47430-c025-40dd-bc29-c70ed9b9899e"/>
  </r>
  <r>
    <x v="60"/>
    <n v="0.45833333333333331"/>
    <x v="24"/>
    <m/>
    <n v="25"/>
    <m/>
    <m/>
    <m/>
    <m/>
    <m/>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7574/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4/statistiques_situation_FR_2904.xlsx"/>
  </r>
  <r>
    <x v="61"/>
    <m/>
    <x v="0"/>
    <n v="24347"/>
    <n v="4760"/>
    <n v="271"/>
    <n v="25"/>
    <n v="24"/>
    <n v="610"/>
    <n v="241"/>
    <s v="https://www.ge.ch/document/covid-19-situation-epidemiologique-geneve/telecharger"/>
  </r>
  <r>
    <x v="61"/>
    <m/>
    <x v="26"/>
    <m/>
    <n v="802"/>
    <n v="28"/>
    <m/>
    <m/>
    <m/>
    <n v="45"/>
    <s v="https://www.gr.ch/DE/institutionen/verwaltung/djsg/ga/coronavirus/info/Seiten/Start.aspx"/>
  </r>
  <r>
    <x v="61"/>
    <m/>
    <x v="3"/>
    <m/>
    <n v="196"/>
    <n v="11"/>
    <n v="4"/>
    <m/>
    <m/>
    <n v="6"/>
    <s v="https://www.jura.ch/Htdocs/Files/v/34283.xlsx/Departements/CHA/SIC/Carrousel/Coronavirus/Cornavirus/Chiffres/donnees_29_04.xlsx?download=1"/>
  </r>
  <r>
    <x v="61"/>
    <m/>
    <x v="13"/>
    <m/>
    <n v="671"/>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21"/>
    <n v="8"/>
    <m/>
    <m/>
    <n v="16"/>
    <s v="https://www.tg.ch/news/fachdossier-coronavirus.html/10552"/>
  </r>
  <r>
    <x v="61"/>
    <m/>
    <x v="8"/>
    <m/>
    <n v="5228"/>
    <n v="184"/>
    <n v="36"/>
    <m/>
    <m/>
    <n v="366"/>
    <s v="https://www.vd.ch/toutes-les-actualites/hotline-et-informations-sur-le-coronavirus/point-de-situation-statistique-dans-le-canton-de-vaud/"/>
  </r>
  <r>
    <x v="61"/>
    <m/>
    <x v="9"/>
    <m/>
    <n v="1837"/>
    <n v="70"/>
    <n v="15"/>
    <n v="9"/>
    <n v="218"/>
    <n v="131"/>
    <s v="https://www.vs.ch/documents/6756452/7008787/2020%2004%2029%20Sit%20Epid%20-%20%C3%89tat%20Stand"/>
  </r>
  <r>
    <x v="61"/>
    <n v="0"/>
    <x v="18"/>
    <m/>
    <n v="380"/>
    <n v="12"/>
    <m/>
    <m/>
    <m/>
    <n v="15"/>
    <s v="https://corona.so.ch/index.php?id=27979"/>
  </r>
  <r>
    <x v="61"/>
    <n v="6.9444444444444447E-4"/>
    <x v="15"/>
    <m/>
    <n v="293"/>
    <m/>
    <m/>
    <m/>
    <n v="216"/>
    <n v="18"/>
    <s v="https://www.sz.ch/public/upload/assets/46383/COVID-19_Fallzahlen_Kanton_Schwyz.xlsx"/>
  </r>
  <r>
    <x v="61"/>
    <n v="0.33333333333333331"/>
    <x v="6"/>
    <m/>
    <n v="1714"/>
    <n v="54"/>
    <n v="9"/>
    <n v="9"/>
    <m/>
    <n v="83"/>
    <s v="https://www.besondere-lage.sites.be.ch/besondere-lage_sites/de/index/corona/index.html"/>
  </r>
  <r>
    <x v="61"/>
    <n v="0.33333333333333331"/>
    <x v="1"/>
    <m/>
    <n v="3161"/>
    <n v="192"/>
    <n v="37"/>
    <n v="26"/>
    <n v="704"/>
    <n v="306"/>
    <s v="https://www4.ti.ch/area-media/comunicati/dettaglio-comunicato/?NEWS_ID=187688&amp;tx_tichareamedia_comunicazioni%5Baction%5D=show&amp;tx_tichareamedia_comunicazioni%5Bcontroller%5D=Comunicazioni&amp;cHash=88b9dbc8a11bbaf69e33668cf73a2501"/>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52b47430-c025-40dd-bc29-c70ed9b9899e"/>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7574/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4/statistiques_situation_FR_2904.xlsx"/>
  </r>
  <r>
    <x v="62"/>
    <m/>
    <x v="0"/>
    <n v="24620"/>
    <n v="4769"/>
    <n v="270"/>
    <n v="26"/>
    <n v="24"/>
    <n v="610"/>
    <n v="243"/>
    <s v="https://www.ge.ch/document/covid-19-situation-epidemiologique-geneve/telecharger"/>
  </r>
  <r>
    <x v="62"/>
    <m/>
    <x v="26"/>
    <m/>
    <n v="807"/>
    <n v="29"/>
    <m/>
    <m/>
    <m/>
    <n v="45"/>
    <s v="https://www.gr.ch/DE/institutionen/verwaltung/djsg/ga/coronavirus/info/Seiten/Start.aspx"/>
  </r>
  <r>
    <x v="62"/>
    <m/>
    <x v="3"/>
    <m/>
    <n v="196"/>
    <n v="9"/>
    <n v="4"/>
    <m/>
    <m/>
    <n v="7"/>
    <s v="https://www.jura.ch/Htdocs/Files/v/34283.xlsx/Departements/CHA/SIC/Carrousel/Coronavirus/Cornavirus/Chiffres/donnees_29_04.xlsx?download=1"/>
  </r>
  <r>
    <x v="62"/>
    <m/>
    <x v="13"/>
    <m/>
    <n v="676"/>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21"/>
    <n v="8"/>
    <m/>
    <m/>
    <n v="17"/>
    <s v="https://www.tg.ch/news/fachdossier-coronavirus.html/10552"/>
  </r>
  <r>
    <x v="62"/>
    <m/>
    <x v="8"/>
    <m/>
    <n v="5252"/>
    <n v="175"/>
    <n v="34"/>
    <m/>
    <m/>
    <n v="370"/>
    <s v="https://www.vd.ch/toutes-les-actualites/hotline-et-informations-sur-le-coronavirus/point-de-situation-statistique-dans-le-canton-de-vaud/"/>
  </r>
  <r>
    <x v="62"/>
    <m/>
    <x v="9"/>
    <m/>
    <n v="1850"/>
    <n v="60"/>
    <n v="14"/>
    <n v="10"/>
    <n v="220"/>
    <n v="132"/>
    <s v="https://www.vs.ch/documents/6756452/7008787/2020%2004%2029%20Sit%20Epid%20-%20%C3%89tat%20Stand"/>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area-media/comunicati/dettaglio-comunicato/?NEWS_ID=187690&amp;tx_tichareamedia_comunicazioni%5Baction%5D=show&amp;tx_tichareamedia_comunicazioni%5Bcontroller%5D=Comunicazioni&amp;cHash=b776cbdac6ff3c231bf4c3da4ce22b7f"/>
  </r>
  <r>
    <x v="62"/>
    <n v="0.33333333333333331"/>
    <x v="11"/>
    <m/>
    <n v="185"/>
    <n v="7"/>
    <n v="3"/>
    <m/>
    <n v="134"/>
    <n v="8"/>
    <s v="https://www.zg.ch/behoerden/gesundheitsdirektion/statistikfachstelle/themen/gesundheit/corona"/>
  </r>
  <r>
    <x v="62"/>
    <n v="0.39583333333333331"/>
    <x v="21"/>
    <m/>
    <n v="73"/>
    <n v="12"/>
    <n v="3"/>
    <m/>
    <m/>
    <n v="5"/>
    <s v="https://sh.ch/CMS/get/file/52b47430-c025-40dd-bc29-c70ed9b9899e"/>
  </r>
  <r>
    <x v="62"/>
    <n v="0.41666666666666669"/>
    <x v="15"/>
    <m/>
    <n v="293"/>
    <m/>
    <m/>
    <m/>
    <n v="216"/>
    <n v="18"/>
    <s v="https://www.sz.ch/public/upload/assets/46383/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m/>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7574/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4/statistiques_situation_FR_2904.xlsx"/>
  </r>
  <r>
    <x v="63"/>
    <m/>
    <x v="0"/>
    <n v="25000"/>
    <n v="4785"/>
    <n v="277"/>
    <n v="23"/>
    <n v="21"/>
    <n v="617"/>
    <n v="244"/>
    <s v="https://www.ge.ch/document/covid-19-situation-epidemiologique-geneve/telecharger"/>
  </r>
  <r>
    <x v="63"/>
    <m/>
    <x v="26"/>
    <m/>
    <n v="809"/>
    <n v="27"/>
    <m/>
    <m/>
    <m/>
    <n v="45"/>
    <s v="https://www.gr.ch/DE/institutionen/verwaltung/djsg/ga/coronavirus/info/Seiten/Start.aspx"/>
  </r>
  <r>
    <x v="63"/>
    <m/>
    <x v="3"/>
    <m/>
    <n v="197"/>
    <n v="9"/>
    <n v="5"/>
    <m/>
    <m/>
    <n v="7"/>
    <s v="https://www.jura.ch/Htdocs/Files/v/34283.xlsx/Departements/CHA/SIC/Carrousel/Coronavirus/Cornavirus/Chiffres/donnees_29_04.xlsx?download=1"/>
  </r>
  <r>
    <x v="63"/>
    <m/>
    <x v="16"/>
    <m/>
    <n v="677"/>
    <n v="29"/>
    <n v="7"/>
    <m/>
    <m/>
    <n v="17"/>
    <s v="https://gesundheit.lu.ch/themen/Humanmedizin/Infektionskrankheiten/Coronavirus"/>
  </r>
  <r>
    <x v="63"/>
    <m/>
    <x v="13"/>
    <m/>
    <m/>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21"/>
    <n v="8"/>
    <m/>
    <m/>
    <n v="17"/>
    <s v="https://www.tg.ch/news/fachdossier-coronavirus.html/10552"/>
  </r>
  <r>
    <x v="63"/>
    <m/>
    <x v="8"/>
    <m/>
    <n v="5271"/>
    <n v="164"/>
    <n v="33"/>
    <m/>
    <m/>
    <n v="375"/>
    <s v="https://www.vd.ch/toutes-les-actualites/hotline-et-informations-sur-le-coronavirus/point-de-situation-statistique-dans-le-canton-de-vaud/"/>
  </r>
  <r>
    <x v="63"/>
    <m/>
    <x v="9"/>
    <m/>
    <n v="1852"/>
    <n v="56"/>
    <n v="13"/>
    <n v="9"/>
    <n v="233"/>
    <n v="135"/>
    <s v="https://www.vs.ch/documents/6756452/7008787/2020%2004%2029%20Sit%20Epid%20-%20%C3%89tat%20Stand"/>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area-media/comunicati/dettaglio-comunicato/?NEWS_ID=187695&amp;cHash=3d4572a26df56761bd6605aea6d65b84"/>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52b47430-c025-40dd-bc29-c70ed9b9899e"/>
  </r>
  <r>
    <x v="63"/>
    <n v="0.40277777777777779"/>
    <x v="17"/>
    <m/>
    <n v="94"/>
    <n v="4"/>
    <n v="2"/>
    <m/>
    <m/>
    <n v="3"/>
    <s v="https://www.ar.ch/verwaltung/departement-gesundheit-und-soziales/amt-fuer-gesundheit/informationsseite-coronavirus/"/>
  </r>
  <r>
    <x v="63"/>
    <n v="0.41666666666666669"/>
    <x v="15"/>
    <m/>
    <n v="295"/>
    <m/>
    <m/>
    <m/>
    <n v="223"/>
    <n v="20"/>
    <s v="https://www.sz.ch/public/upload/assets/46383/COVID-19_Fallzahlen_Kanton_Schwyz.xlsx"/>
  </r>
  <r>
    <x v="63"/>
    <n v="0.45833333333333331"/>
    <x v="24"/>
    <m/>
    <n v="25"/>
    <m/>
    <m/>
    <m/>
    <m/>
    <m/>
    <s v="https://www.ai.ch/themen/gesundheit-alter-und-soziales/gesundheitsfoerderung-und-praevention/uebertragbare-krankheiten/coronavirus"/>
  </r>
  <r>
    <x v="63"/>
    <n v="0.5"/>
    <x v="22"/>
    <m/>
    <n v="85"/>
    <n v="5"/>
    <m/>
    <m/>
    <n v="71"/>
    <n v="5"/>
    <s v="https://www.ur.ch/themen/2962"/>
  </r>
  <r>
    <x v="63"/>
    <n v="0.5625"/>
    <x v="19"/>
    <m/>
    <n v="121"/>
    <n v="3"/>
    <m/>
    <m/>
    <m/>
    <n v="8"/>
    <s v="https://www.gl.ch/public/upload/assets/27574/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4/statistiques_situation_FR_2904.xlsx"/>
  </r>
  <r>
    <x v="64"/>
    <m/>
    <x v="26"/>
    <m/>
    <n v="811"/>
    <n v="23"/>
    <m/>
    <m/>
    <m/>
    <n v="45"/>
    <s v="https://www.gr.ch/DE/institutionen/verwaltung/djsg/ga/coronavirus/info/Seiten/Start.aspx"/>
  </r>
  <r>
    <x v="64"/>
    <m/>
    <x v="3"/>
    <m/>
    <n v="197"/>
    <n v="8"/>
    <n v="5"/>
    <m/>
    <m/>
    <n v="7"/>
    <s v="https://www.jura.ch/Htdocs/Files/v/34283.xlsx/Departements/CHA/SIC/Carrousel/Coronavirus/Cornavirus/Chiffres/donnees_29_04.xlsx?download=1"/>
  </r>
  <r>
    <x v="64"/>
    <m/>
    <x v="16"/>
    <m/>
    <n v="687"/>
    <n v="31"/>
    <n v="8"/>
    <m/>
    <m/>
    <n v="17"/>
    <s v="https://gesundheit.lu.ch/themen/Humanmedizin/Infektionskrankheiten/Coronavirus"/>
  </r>
  <r>
    <x v="64"/>
    <m/>
    <x v="13"/>
    <m/>
    <m/>
    <n v="26"/>
    <n v="4"/>
    <n v="4"/>
    <m/>
    <m/>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5"/>
    <n v="7"/>
    <m/>
    <m/>
    <n v="17"/>
    <s v="https://www.tg.ch/news/fachdossier-coronavirus.html/10552"/>
  </r>
  <r>
    <x v="64"/>
    <m/>
    <x v="8"/>
    <m/>
    <n v="5274"/>
    <n v="156"/>
    <n v="33"/>
    <m/>
    <m/>
    <n v="375"/>
    <s v="https://www.vd.ch/toutes-les-actualites/hotline-et-informations-sur-le-coronavirus/point-de-situation-statistique-dans-le-canton-de-vaud/"/>
  </r>
  <r>
    <x v="64"/>
    <m/>
    <x v="9"/>
    <m/>
    <n v="1853"/>
    <n v="56"/>
    <n v="11"/>
    <n v="9"/>
    <n v="237"/>
    <n v="136"/>
    <s v="https://www.vs.ch/documents/6756452/7008787/2020%2004%2029%20Sit%20Epid%20-%20%C3%89tat%20Stand"/>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area-media/comunicati/dettaglio-comunicato/?NEWS_ID=187697&amp;tx_tichareamedia_comunicazioni%5Baction%5D=show&amp;tx_tichareamedia_comunicazioni%5Bcontroller%5D=Comunicazioni&amp;cHash=b8bc11fad760b3058475d2ff66e64b4b"/>
  </r>
  <r>
    <x v="64"/>
    <n v="0.33333333333333331"/>
    <x v="11"/>
    <m/>
    <n v="185"/>
    <n v="6"/>
    <n v="3"/>
    <m/>
    <n v="135"/>
    <n v="8"/>
    <s v="https://www.zg.ch/behoerden/gesundheitsdirektion/statistikfachstelle/themen/gesundheit/corona"/>
  </r>
  <r>
    <x v="64"/>
    <n v="0.39583333333333331"/>
    <x v="21"/>
    <m/>
    <n v="74"/>
    <n v="12"/>
    <n v="2"/>
    <m/>
    <m/>
    <n v="6"/>
    <s v="https://sh.ch/CMS/get/file/52b47430-c025-40dd-bc29-c70ed9b9899e"/>
  </r>
  <r>
    <x v="64"/>
    <n v="0.41666666666666669"/>
    <x v="15"/>
    <m/>
    <n v="295"/>
    <m/>
    <m/>
    <m/>
    <n v="224"/>
    <n v="20"/>
    <s v="https://www.sz.ch/public/upload/assets/46383/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m/>
    <s v="https://www.ai.ch/themen/gesundheit-alter-und-soziales/gesundheitsfoerderung-und-praevention/uebertragbare-krankheiten/coronavirus"/>
  </r>
  <r>
    <x v="64"/>
    <n v="0.5"/>
    <x v="0"/>
    <m/>
    <m/>
    <n v="254"/>
    <n v="21"/>
    <n v="19"/>
    <n v="634"/>
    <m/>
    <s v="https://www.ge.ch/document/covid-19-situation-epidemiologique-geneve/telecharger"/>
  </r>
  <r>
    <x v="64"/>
    <n v="0.5625"/>
    <x v="19"/>
    <m/>
    <n v="122"/>
    <n v="3"/>
    <m/>
    <m/>
    <m/>
    <n v="9"/>
    <s v="https://www.gl.ch/public/upload/assets/27574/COVID-19_Fallzahlen_Kanton_Glarus.xlsx"/>
  </r>
  <r>
    <x v="64"/>
    <n v="0.58333333333333337"/>
    <x v="22"/>
    <m/>
    <n v="85"/>
    <n v="5"/>
    <m/>
    <m/>
    <n v="71"/>
    <n v="5"/>
    <s v="https://www.ur.ch/themen/2962"/>
  </r>
  <r>
    <x v="64"/>
    <n v="0.60416666666666663"/>
    <x v="4"/>
    <m/>
    <n v="3462"/>
    <n v="82"/>
    <m/>
    <n v="19"/>
    <m/>
    <n v="119"/>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14"/>
    <m/>
    <n v="780"/>
    <n v="37"/>
    <n v="3"/>
    <m/>
    <n v="184"/>
    <n v="33"/>
    <s v="https://www.sg.ch/tools/informationen-coronavirus.html"/>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72"/>
    <n v="29"/>
    <n v="21"/>
    <n v="728"/>
    <n v="321"/>
    <s v="https://www4.ti.ch/area-media/comunicati/dettaglio-comunicato/?NEWS_ID=187697&amp;tx_tichareamedia_comunicazioni%5Baction%5D=show&amp;tx_tichareamedia_comunicazioni%5Bcontroller%5D=Comunicazioni&amp;cHash=b8bc11fad760b3058475d2ff66e64b4b"/>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17"/>
    <m/>
    <n v="94"/>
    <n v="2"/>
    <n v="2"/>
    <m/>
    <m/>
    <n v="3"/>
    <s v="https://www.ar.ch/verwaltung/departement-gesundheit-und-soziales/amt-fuer-gesundheit/informationsseite-coronavirus/"/>
  </r>
  <r>
    <x v="65"/>
    <n v="0.39583333333333331"/>
    <x v="21"/>
    <m/>
    <n v="75"/>
    <n v="8"/>
    <n v="2"/>
    <m/>
    <m/>
    <n v="6"/>
    <s v="https://sh.ch/CMS/get/file/52b47430-c025-40dd-bc29-c70ed9b9899e"/>
  </r>
  <r>
    <x v="65"/>
    <n v="0.41666666666666669"/>
    <x v="15"/>
    <m/>
    <n v="302"/>
    <m/>
    <m/>
    <m/>
    <n v="239"/>
    <n v="20"/>
    <s v="https://www.sz.ch/public/upload/assets/46383/COVID-19_Fallzahlen_Kanton_Schwyz.xlsx"/>
  </r>
  <r>
    <x v="66"/>
    <m/>
    <x v="2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3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D71" firstHeaderRow="0" firstDataRow="1" firstDataCol="1"/>
  <pivotFields count="11">
    <pivotField axis="axisRow" showAll="0">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6"/>
        <item x="64"/>
        <item x="65"/>
        <item t="default"/>
      </items>
    </pivotField>
    <pivotField showAll="0"/>
    <pivotField showAll="0"/>
    <pivotField showAll="0"/>
    <pivotField dataField="1" showAll="0"/>
    <pivotField showAll="0"/>
    <pivotField showAll="0"/>
    <pivotField showAll="0"/>
    <pivotField dataField="1" showAll="0"/>
    <pivotField dataField="1" showAll="0"/>
    <pivotField showAll="0"/>
  </pivotFields>
  <rowFields count="1">
    <field x="0"/>
  </rowFields>
  <rowItems count="6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t="grand">
      <x/>
    </i>
  </rowItems>
  <colFields count="1">
    <field x="-2"/>
  </colFields>
  <colItems count="3">
    <i>
      <x/>
    </i>
    <i i="1">
      <x v="1"/>
    </i>
    <i i="2">
      <x v="2"/>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22A137-66DA-477D-B984-D915DF0193F4}" name="PivotTable1" cacheId="3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AC71" firstHeaderRow="1" firstDataRow="2" firstDataCol="1"/>
  <pivotFields count="11">
    <pivotField axis="axisRow" showAll="0">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h="1" x="66"/>
        <item x="64"/>
        <item x="65"/>
        <item t="default"/>
      </items>
    </pivotField>
    <pivotField showAll="0"/>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dataField="1" showAll="0"/>
    <pivotField showAll="0"/>
    <pivotField showAll="0"/>
    <pivotField showAll="0"/>
    <pivotField showAll="0"/>
  </pivotFields>
  <rowFields count="1">
    <field x="0"/>
  </rowFields>
  <rowItems count="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5"/>
    </i>
    <i>
      <x v="66"/>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0" format="166" series="1">
      <pivotArea type="data" outline="0" fieldPosition="0">
        <references count="1">
          <reference field="2" count="1" selected="0">
            <x v="0"/>
          </reference>
        </references>
      </pivotArea>
    </chartFormat>
    <chartFormat chart="0" format="167" series="1">
      <pivotArea type="data" outline="0" fieldPosition="0">
        <references count="1">
          <reference field="2" count="1" selected="0">
            <x v="1"/>
          </reference>
        </references>
      </pivotArea>
    </chartFormat>
    <chartFormat chart="0" format="168" series="1">
      <pivotArea type="data" outline="0" fieldPosition="0">
        <references count="1">
          <reference field="2" count="1" selected="0">
            <x v="2"/>
          </reference>
        </references>
      </pivotArea>
    </chartFormat>
    <chartFormat chart="0" format="169" series="1">
      <pivotArea type="data" outline="0" fieldPosition="0">
        <references count="1">
          <reference field="2" count="1" selected="0">
            <x v="3"/>
          </reference>
        </references>
      </pivotArea>
    </chartFormat>
    <chartFormat chart="0" format="170" series="1">
      <pivotArea type="data" outline="0" fieldPosition="0">
        <references count="1">
          <reference field="2" count="1" selected="0">
            <x v="4"/>
          </reference>
        </references>
      </pivotArea>
    </chartFormat>
    <chartFormat chart="0" format="171" series="1">
      <pivotArea type="data" outline="0" fieldPosition="0">
        <references count="1">
          <reference field="2" count="1" selected="0">
            <x v="5"/>
          </reference>
        </references>
      </pivotArea>
    </chartFormat>
    <chartFormat chart="0" format="172" series="1">
      <pivotArea type="data" outline="0" fieldPosition="0">
        <references count="1">
          <reference field="2" count="1" selected="0">
            <x v="6"/>
          </reference>
        </references>
      </pivotArea>
    </chartFormat>
    <chartFormat chart="0" format="173" series="1">
      <pivotArea type="data" outline="0" fieldPosition="0">
        <references count="1">
          <reference field="2" count="1" selected="0">
            <x v="7"/>
          </reference>
        </references>
      </pivotArea>
    </chartFormat>
    <chartFormat chart="0" format="174" series="1">
      <pivotArea type="data" outline="0" fieldPosition="0">
        <references count="1">
          <reference field="2" count="1" selected="0">
            <x v="8"/>
          </reference>
        </references>
      </pivotArea>
    </chartFormat>
    <chartFormat chart="0" format="175" series="1">
      <pivotArea type="data" outline="0" fieldPosition="0">
        <references count="1">
          <reference field="2" count="1" selected="0">
            <x v="9"/>
          </reference>
        </references>
      </pivotArea>
    </chartFormat>
    <chartFormat chart="0" format="176" series="1">
      <pivotArea type="data" outline="0" fieldPosition="0">
        <references count="1">
          <reference field="2" count="1" selected="0">
            <x v="10"/>
          </reference>
        </references>
      </pivotArea>
    </chartFormat>
    <chartFormat chart="0" format="177" series="1">
      <pivotArea type="data" outline="0" fieldPosition="0">
        <references count="1">
          <reference field="2" count="1" selected="0">
            <x v="11"/>
          </reference>
        </references>
      </pivotArea>
    </chartFormat>
    <chartFormat chart="0" format="178" series="1">
      <pivotArea type="data" outline="0" fieldPosition="0">
        <references count="1">
          <reference field="2" count="1" selected="0">
            <x v="12"/>
          </reference>
        </references>
      </pivotArea>
    </chartFormat>
    <chartFormat chart="0" format="179" series="1">
      <pivotArea type="data" outline="0" fieldPosition="0">
        <references count="1">
          <reference field="2" count="1" selected="0">
            <x v="13"/>
          </reference>
        </references>
      </pivotArea>
    </chartFormat>
    <chartFormat chart="0" format="180" series="1">
      <pivotArea type="data" outline="0" fieldPosition="0">
        <references count="1">
          <reference field="2" count="1" selected="0">
            <x v="14"/>
          </reference>
        </references>
      </pivotArea>
    </chartFormat>
    <chartFormat chart="0" format="181" series="1">
      <pivotArea type="data" outline="0" fieldPosition="0">
        <references count="1">
          <reference field="2" count="1" selected="0">
            <x v="15"/>
          </reference>
        </references>
      </pivotArea>
    </chartFormat>
    <chartFormat chart="0" format="182" series="1">
      <pivotArea type="data" outline="0" fieldPosition="0">
        <references count="1">
          <reference field="2" count="1" selected="0">
            <x v="16"/>
          </reference>
        </references>
      </pivotArea>
    </chartFormat>
    <chartFormat chart="0" format="183" series="1">
      <pivotArea type="data" outline="0" fieldPosition="0">
        <references count="1">
          <reference field="2" count="1" selected="0">
            <x v="17"/>
          </reference>
        </references>
      </pivotArea>
    </chartFormat>
    <chartFormat chart="0" format="184" series="1">
      <pivotArea type="data" outline="0" fieldPosition="0">
        <references count="1">
          <reference field="2" count="1" selected="0">
            <x v="18"/>
          </reference>
        </references>
      </pivotArea>
    </chartFormat>
    <chartFormat chart="0" format="185" series="1">
      <pivotArea type="data" outline="0" fieldPosition="0">
        <references count="1">
          <reference field="2" count="1" selected="0">
            <x v="19"/>
          </reference>
        </references>
      </pivotArea>
    </chartFormat>
    <chartFormat chart="0" format="186" series="1">
      <pivotArea type="data" outline="0" fieldPosition="0">
        <references count="1">
          <reference field="2" count="1" selected="0">
            <x v="20"/>
          </reference>
        </references>
      </pivotArea>
    </chartFormat>
    <chartFormat chart="0" format="187" series="1">
      <pivotArea type="data" outline="0" fieldPosition="0">
        <references count="1">
          <reference field="2" count="1" selected="0">
            <x v="21"/>
          </reference>
        </references>
      </pivotArea>
    </chartFormat>
    <chartFormat chart="0" format="188" series="1">
      <pivotArea type="data" outline="0" fieldPosition="0">
        <references count="1">
          <reference field="2" count="1" selected="0">
            <x v="22"/>
          </reference>
        </references>
      </pivotArea>
    </chartFormat>
    <chartFormat chart="0" format="189" series="1">
      <pivotArea type="data" outline="0" fieldPosition="0">
        <references count="1">
          <reference field="2" count="1" selected="0">
            <x v="23"/>
          </reference>
        </references>
      </pivotArea>
    </chartFormat>
    <chartFormat chart="0" format="190" series="1">
      <pivotArea type="data" outline="0" fieldPosition="0">
        <references count="1">
          <reference field="2" count="1" selected="0">
            <x v="24"/>
          </reference>
        </references>
      </pivotArea>
    </chartFormat>
    <chartFormat chart="0" format="191" series="1">
      <pivotArea type="data" outline="0" fieldPosition="0">
        <references count="1">
          <reference field="2" count="1" selected="0">
            <x v="25"/>
          </reference>
        </references>
      </pivotArea>
    </chartFormat>
    <chartFormat chart="0" format="192" series="1">
      <pivotArea type="data" outline="0" fieldPosition="0">
        <references count="1">
          <reference field="2" count="1" selected="0">
            <x v="26"/>
          </reference>
        </references>
      </pivotArea>
    </chartFormat>
    <chartFormat chart="0" format="193" series="1">
      <pivotArea type="data" outline="0" fieldPosition="0">
        <references count="2">
          <reference field="4294967294" count="1" selected="0">
            <x v="0"/>
          </reference>
          <reference field="2" count="1" selected="0">
            <x v="0"/>
          </reference>
        </references>
      </pivotArea>
    </chartFormat>
    <chartFormat chart="0" format="194" series="1">
      <pivotArea type="data" outline="0" fieldPosition="0">
        <references count="2">
          <reference field="4294967294" count="1" selected="0">
            <x v="0"/>
          </reference>
          <reference field="2" count="1" selected="0">
            <x v="1"/>
          </reference>
        </references>
      </pivotArea>
    </chartFormat>
    <chartFormat chart="0" format="195" series="1">
      <pivotArea type="data" outline="0" fieldPosition="0">
        <references count="2">
          <reference field="4294967294" count="1" selected="0">
            <x v="0"/>
          </reference>
          <reference field="2" count="1" selected="0">
            <x v="2"/>
          </reference>
        </references>
      </pivotArea>
    </chartFormat>
    <chartFormat chart="0" format="196" series="1">
      <pivotArea type="data" outline="0" fieldPosition="0">
        <references count="2">
          <reference field="4294967294" count="1" selected="0">
            <x v="0"/>
          </reference>
          <reference field="2" count="1" selected="0">
            <x v="3"/>
          </reference>
        </references>
      </pivotArea>
    </chartFormat>
    <chartFormat chart="0" format="197" series="1">
      <pivotArea type="data" outline="0" fieldPosition="0">
        <references count="2">
          <reference field="4294967294" count="1" selected="0">
            <x v="0"/>
          </reference>
          <reference field="2" count="1" selected="0">
            <x v="4"/>
          </reference>
        </references>
      </pivotArea>
    </chartFormat>
    <chartFormat chart="0" format="198" series="1">
      <pivotArea type="data" outline="0" fieldPosition="0">
        <references count="2">
          <reference field="4294967294" count="1" selected="0">
            <x v="0"/>
          </reference>
          <reference field="2" count="1" selected="0">
            <x v="5"/>
          </reference>
        </references>
      </pivotArea>
    </chartFormat>
    <chartFormat chart="0" format="199" series="1">
      <pivotArea type="data" outline="0" fieldPosition="0">
        <references count="2">
          <reference field="4294967294" count="1" selected="0">
            <x v="0"/>
          </reference>
          <reference field="2" count="1" selected="0">
            <x v="6"/>
          </reference>
        </references>
      </pivotArea>
    </chartFormat>
    <chartFormat chart="0" format="200" series="1">
      <pivotArea type="data" outline="0" fieldPosition="0">
        <references count="2">
          <reference field="4294967294" count="1" selected="0">
            <x v="0"/>
          </reference>
          <reference field="2" count="1" selected="0">
            <x v="7"/>
          </reference>
        </references>
      </pivotArea>
    </chartFormat>
    <chartFormat chart="0" format="201" series="1">
      <pivotArea type="data" outline="0" fieldPosition="0">
        <references count="2">
          <reference field="4294967294" count="1" selected="0">
            <x v="0"/>
          </reference>
          <reference field="2" count="1" selected="0">
            <x v="8"/>
          </reference>
        </references>
      </pivotArea>
    </chartFormat>
    <chartFormat chart="0" format="202" series="1">
      <pivotArea type="data" outline="0" fieldPosition="0">
        <references count="2">
          <reference field="4294967294" count="1" selected="0">
            <x v="0"/>
          </reference>
          <reference field="2" count="1" selected="0">
            <x v="9"/>
          </reference>
        </references>
      </pivotArea>
    </chartFormat>
    <chartFormat chart="0" format="203" series="1">
      <pivotArea type="data" outline="0" fieldPosition="0">
        <references count="2">
          <reference field="4294967294" count="1" selected="0">
            <x v="0"/>
          </reference>
          <reference field="2" count="1" selected="0">
            <x v="10"/>
          </reference>
        </references>
      </pivotArea>
    </chartFormat>
    <chartFormat chart="0" format="204" series="1">
      <pivotArea type="data" outline="0" fieldPosition="0">
        <references count="2">
          <reference field="4294967294" count="1" selected="0">
            <x v="0"/>
          </reference>
          <reference field="2" count="1" selected="0">
            <x v="11"/>
          </reference>
        </references>
      </pivotArea>
    </chartFormat>
    <chartFormat chart="0" format="205" series="1">
      <pivotArea type="data" outline="0" fieldPosition="0">
        <references count="2">
          <reference field="4294967294" count="1" selected="0">
            <x v="0"/>
          </reference>
          <reference field="2" count="1" selected="0">
            <x v="12"/>
          </reference>
        </references>
      </pivotArea>
    </chartFormat>
    <chartFormat chart="0" format="206" series="1">
      <pivotArea type="data" outline="0" fieldPosition="0">
        <references count="2">
          <reference field="4294967294" count="1" selected="0">
            <x v="0"/>
          </reference>
          <reference field="2" count="1" selected="0">
            <x v="13"/>
          </reference>
        </references>
      </pivotArea>
    </chartFormat>
    <chartFormat chart="0" format="207" series="1">
      <pivotArea type="data" outline="0" fieldPosition="0">
        <references count="2">
          <reference field="4294967294" count="1" selected="0">
            <x v="0"/>
          </reference>
          <reference field="2" count="1" selected="0">
            <x v="14"/>
          </reference>
        </references>
      </pivotArea>
    </chartFormat>
    <chartFormat chart="0" format="208" series="1">
      <pivotArea type="data" outline="0" fieldPosition="0">
        <references count="2">
          <reference field="4294967294" count="1" selected="0">
            <x v="0"/>
          </reference>
          <reference field="2" count="1" selected="0">
            <x v="15"/>
          </reference>
        </references>
      </pivotArea>
    </chartFormat>
    <chartFormat chart="0" format="209" series="1">
      <pivotArea type="data" outline="0" fieldPosition="0">
        <references count="2">
          <reference field="4294967294" count="1" selected="0">
            <x v="0"/>
          </reference>
          <reference field="2" count="1" selected="0">
            <x v="16"/>
          </reference>
        </references>
      </pivotArea>
    </chartFormat>
    <chartFormat chart="0" format="210" series="1">
      <pivotArea type="data" outline="0" fieldPosition="0">
        <references count="2">
          <reference field="4294967294" count="1" selected="0">
            <x v="0"/>
          </reference>
          <reference field="2" count="1" selected="0">
            <x v="17"/>
          </reference>
        </references>
      </pivotArea>
    </chartFormat>
    <chartFormat chart="0" format="211" series="1">
      <pivotArea type="data" outline="0" fieldPosition="0">
        <references count="2">
          <reference field="4294967294" count="1" selected="0">
            <x v="0"/>
          </reference>
          <reference field="2" count="1" selected="0">
            <x v="18"/>
          </reference>
        </references>
      </pivotArea>
    </chartFormat>
    <chartFormat chart="0" format="212" series="1">
      <pivotArea type="data" outline="0" fieldPosition="0">
        <references count="2">
          <reference field="4294967294" count="1" selected="0">
            <x v="0"/>
          </reference>
          <reference field="2" count="1" selected="0">
            <x v="19"/>
          </reference>
        </references>
      </pivotArea>
    </chartFormat>
    <chartFormat chart="0" format="213" series="1">
      <pivotArea type="data" outline="0" fieldPosition="0">
        <references count="2">
          <reference field="4294967294" count="1" selected="0">
            <x v="0"/>
          </reference>
          <reference field="2" count="1" selected="0">
            <x v="20"/>
          </reference>
        </references>
      </pivotArea>
    </chartFormat>
    <chartFormat chart="0" format="214" series="1">
      <pivotArea type="data" outline="0" fieldPosition="0">
        <references count="2">
          <reference field="4294967294" count="1" selected="0">
            <x v="0"/>
          </reference>
          <reference field="2" count="1" selected="0">
            <x v="21"/>
          </reference>
        </references>
      </pivotArea>
    </chartFormat>
    <chartFormat chart="0" format="215" series="1">
      <pivotArea type="data" outline="0" fieldPosition="0">
        <references count="2">
          <reference field="4294967294" count="1" selected="0">
            <x v="0"/>
          </reference>
          <reference field="2" count="1" selected="0">
            <x v="22"/>
          </reference>
        </references>
      </pivotArea>
    </chartFormat>
    <chartFormat chart="0" format="216" series="1">
      <pivotArea type="data" outline="0" fieldPosition="0">
        <references count="2">
          <reference field="4294967294" count="1" selected="0">
            <x v="0"/>
          </reference>
          <reference field="2" count="1" selected="0">
            <x v="23"/>
          </reference>
        </references>
      </pivotArea>
    </chartFormat>
    <chartFormat chart="0" format="217" series="1">
      <pivotArea type="data" outline="0" fieldPosition="0">
        <references count="2">
          <reference field="4294967294" count="1" selected="0">
            <x v="0"/>
          </reference>
          <reference field="2" count="1" selected="0">
            <x v="24"/>
          </reference>
        </references>
      </pivotArea>
    </chartFormat>
    <chartFormat chart="0" format="218" series="1">
      <pivotArea type="data" outline="0" fieldPosition="0">
        <references count="2">
          <reference field="4294967294" count="1" selected="0">
            <x v="0"/>
          </reference>
          <reference field="2" count="1" selected="0">
            <x v="25"/>
          </reference>
        </references>
      </pivotArea>
    </chartFormat>
    <chartFormat chart="0" format="219"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7" tableType="queryTable" totalsRowShown="0">
  <autoFilter ref="A1:R67" xr:uid="{6F225EC8-7A7D-4B80-86A4-6825D487A60A}"/>
  <tableColumns count="18">
    <tableColumn id="1" xr3:uid="{6A0F9E37-4397-4ADD-8579-65A87BF278C6}" uniqueName="1" name="date" queryTableFieldId="1" dataDxfId="24"/>
    <tableColumn id="2" xr3:uid="{78ED2279-E7E4-4383-97AD-DD81455353CB}" uniqueName="2" name="last_update" queryTableFieldId="2" dataDxfId="23"/>
    <tableColumn id="3" xr3:uid="{7330173D-7C78-4290-B0C6-D6DF398A317F}" uniqueName="3" name="country" queryTableFieldId="3" dataDxfId="22"/>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403" tableType="queryTable" totalsRowShown="0" headerRowDxfId="26" dataDxfId="25">
  <autoFilter ref="A1:K1403" xr:uid="{A5098CA2-967B-441C-9EBC-5C26E6F395B9}"/>
  <sortState xmlns:xlrd2="http://schemas.microsoft.com/office/spreadsheetml/2017/richdata2" ref="A2:K1403">
    <sortCondition ref="A1:A1403"/>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autoFilter ref="A1:AF28" xr:uid="{89752692-E394-464C-BA07-8219685F2E97}"/>
  <tableColumns count="32">
    <tableColumn id="81" xr3:uid="{BD7551A6-2E54-4A0A-A512-844547126CE6}" uniqueName="81" name="last_update" queryTableFieldId="126" dataDxfId="21"/>
    <tableColumn id="82" xr3:uid="{169E8657-81D9-4121-B1E0-967EF19D08C7}" uniqueName="82" name="timestamp" queryTableFieldId="127" dataDxfId="20"/>
    <tableColumn id="83" xr3:uid="{C2548048-DA88-48AB-8D0C-7E1C32ECCEA0}" uniqueName="83" name="country" queryTableFieldId="128" dataDxfId="19"/>
    <tableColumn id="84" xr3:uid="{1962423F-2331-4CF9-B64C-90C443B6F96B}" uniqueName="84" name="abbreviation_canton" queryTableFieldId="129" dataDxfId="18"/>
    <tableColumn id="85" xr3:uid="{D933CDEF-19CE-425E-875D-93AB1A918087}" uniqueName="85" name="name_canton" queryTableFieldId="130" dataDxfId="17"/>
    <tableColumn id="86" xr3:uid="{3F8251B9-8DA4-4339-A941-C54073E55C29}" uniqueName="86" name="number_canton" queryTableFieldId="131"/>
    <tableColumn id="87" xr3:uid="{3ABD4B2E-2F3B-497F-8B32-AE24848FA5D9}" uniqueName="87" name="lat" queryTableFieldId="132"/>
    <tableColumn id="88" xr3:uid="{AC4B13B1-9F39-4494-B9A6-BCE5C12DD752}" uniqueName="88" name="long" queryTableFieldId="133"/>
    <tableColumn id="89" xr3:uid="{C6538C4F-E9E4-486A-94C3-8204FABD9475}" uniqueName="89" name="tests_performed" queryTableFieldId="134"/>
    <tableColumn id="90" xr3:uid="{41D81CB9-DE21-43F8-8FE7-2F8E7B4C26AD}" uniqueName="90" name="total_currently_positive_cases" queryTableFieldId="135"/>
    <tableColumn id="91" xr3:uid="{57E80A67-2982-48CF-A984-DDE62E123930}" uniqueName="91" name="total_positive_cases" queryTableFieldId="136"/>
    <tableColumn id="92" xr3:uid="{7681BB1C-A4EB-47B3-9393-ECAA0CAE0226}" uniqueName="92" name="new_hosp" queryTableFieldId="137"/>
    <tableColumn id="93" xr3:uid="{E9FF1802-B294-4852-80AD-8993F68F207C}" uniqueName="93" name="total_hospitalized" queryTableFieldId="138"/>
    <tableColumn id="94" xr3:uid="{C6CFE750-D3F4-4E46-BD1F-8270F8DC268D}" uniqueName="94" name="total_currently_positive_per_100k" queryTableFieldId="139"/>
    <tableColumn id="95" xr3:uid="{174B2500-501F-45F7-97B5-A65E8C5957C7}" uniqueName="95" name="deaths_per_100k" queryTableFieldId="140"/>
    <tableColumn id="96" xr3:uid="{514D0DAA-4C02-43C5-AB8C-78045220FD81}" uniqueName="96" name="released" queryTableFieldId="141"/>
    <tableColumn id="97" xr3:uid="{1A57C2DC-422E-4B27-8FFF-CB40EB8A7C7F}" uniqueName="97" name="ncumul_ICU_intub" queryTableFieldId="142"/>
    <tableColumn id="98" xr3:uid="{4D1F1B4F-CBE7-45DA-9DA6-3E03DCAE8958}" uniqueName="98" name="deaths" queryTableFieldId="143"/>
    <tableColumn id="99" xr3:uid="{0DB3B02E-03CE-40F4-96B7-14B5202719A0}" uniqueName="99" name="intensive_care" queryTableFieldId="144"/>
    <tableColumn id="100" xr3:uid="{E838FFB4-C39A-4EB6-B048-62D97341CDBE}" uniqueName="100" name="ncumul_vent" queryTableFieldId="145"/>
    <tableColumn id="101" xr3:uid="{F167F275-63C7-4B9F-8F53-129518ED56DD}" uniqueName="101" name="ncumul_confirmed_non_resident" queryTableFieldId="146"/>
    <tableColumn id="102" xr3:uid="{E39886E8-7831-4D4F-9D9A-816746CBFE29}" uniqueName="102" name="current_hosp_non_resident" queryTableFieldId="147" dataDxfId="16"/>
    <tableColumn id="103" xr3:uid="{959026E0-3966-43F3-B12C-F463827AF110}" uniqueName="103" name="TotalPosTests1" queryTableFieldId="148" dataDxfId="15"/>
    <tableColumn id="104" xr3:uid="{20F3D390-DEC6-4518-AF37-2055E2F0F4D3}" uniqueName="104" name="ninst_ICU_intub" queryTableFieldId="149" dataDxfId="14"/>
    <tableColumn id="105" xr3:uid="{1000ABBF-DE10-4DD7-B34D-251727F2D5F5}" uniqueName="105" name="ncumul_ICF" queryTableFieldId="150"/>
    <tableColumn id="106" xr3:uid="{CDA89904-DA80-4895-9355-59E3A0C7C8C4}" uniqueName="106" name="new_positive_cases" queryTableFieldId="151"/>
    <tableColumn id="107" xr3:uid="{4B673FF3-FE26-46F3-B81E-4FDC30571B56}" uniqueName="107" name="new_deaths" queryTableFieldId="152"/>
    <tableColumn id="108" xr3:uid="{B961F8C0-6F21-404B-B0DB-738E91415198}" uniqueName="108" name="doubling_time_total_positive" queryTableFieldId="153"/>
    <tableColumn id="109" xr3:uid="{102C069A-210A-4B72-9DFA-5CF96304D642}" uniqueName="109" name="doubling_time_fatalities" queryTableFieldId="154"/>
    <tableColumn id="110" xr3:uid="{94416B9E-E748-470D-A329-63CC8F663B4E}" uniqueName="110" name="source" queryTableFieldId="155" dataDxfId="13"/>
    <tableColumn id="9" xr3:uid="{3900AD70-572C-48F7-9B7A-CF71ACE86FE6}" uniqueName="9" name="Column1" queryTableFieldId="9" dataDxfId="12"/>
    <tableColumn id="111" xr3:uid="{CE08C0AD-B8FD-4809-A2F5-942C6B821EA9}" uniqueName="111" name="_1" queryTableFieldId="156" dataDxfId="11"/>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G4" sqref="G4"/>
    </sheetView>
  </sheetViews>
  <sheetFormatPr baseColWidth="10" defaultColWidth="40.6328125" defaultRowHeight="14.5"/>
  <cols>
    <col min="1" max="16384" width="40.6328125" style="13"/>
  </cols>
  <sheetData>
    <row r="1" spans="1:7" s="25" customFormat="1" ht="20" customHeight="1">
      <c r="A1" s="49" t="s">
        <v>349</v>
      </c>
      <c r="B1" s="49"/>
      <c r="C1" s="49"/>
      <c r="D1" s="49"/>
      <c r="E1" s="49"/>
      <c r="F1" s="49"/>
      <c r="G1" s="24"/>
    </row>
    <row r="2" spans="1:7" s="38" customFormat="1">
      <c r="A2" s="32" t="s">
        <v>305</v>
      </c>
      <c r="B2" s="33" t="s">
        <v>306</v>
      </c>
      <c r="C2" s="33" t="s">
        <v>429</v>
      </c>
      <c r="D2" s="34" t="s">
        <v>307</v>
      </c>
      <c r="E2" s="35" t="s">
        <v>308</v>
      </c>
      <c r="F2" s="36" t="s">
        <v>309</v>
      </c>
      <c r="G2" s="37" t="s">
        <v>348</v>
      </c>
    </row>
    <row r="3" spans="1:7" s="24" customFormat="1" ht="46">
      <c r="A3" s="26">
        <f>analyse!$B$2</f>
        <v>29393</v>
      </c>
      <c r="B3" s="27">
        <f>INDEX(ch_latest!E1:'ch_latest'!E215,COUNTA(ch_latest!E1:'ch_latest'!E215))</f>
        <v>1026</v>
      </c>
      <c r="C3" s="27">
        <f>INDEX(ch_latest!D1:'ch_latest'!D215,COUNTA(ch_latest!D1:'ch_latest'!D215))</f>
        <v>176</v>
      </c>
      <c r="D3" s="28">
        <f>MAX(ch_latest!J:J)</f>
        <v>1739</v>
      </c>
      <c r="E3" s="29">
        <f>INDEX(ch_latest!I1:'ch_latest'!I215,COUNTA(ch_latest!I1:'ch_latest'!I215))</f>
        <v>4808</v>
      </c>
      <c r="F3" s="30">
        <f>analyse!$C$5</f>
        <v>176.977924</v>
      </c>
      <c r="G3" s="31">
        <f>analyse!$B$12</f>
        <v>43951</v>
      </c>
    </row>
    <row r="4" spans="1:7" ht="31">
      <c r="A4" s="14">
        <f>analyse!B5</f>
        <v>118</v>
      </c>
      <c r="B4" s="45">
        <f>analyse!$B$17</f>
        <v>-55</v>
      </c>
      <c r="C4" s="45">
        <f>INDEX(ch_latest!D1:'ch_latest'!D215,COUNTA(ch_latest!D1:'ch_latest'!D215)+1)</f>
        <v>0</v>
      </c>
      <c r="D4" s="22">
        <f>INDEX(ch_latest!O1:'ch_latest'!O215,COUNTA(ch_latest!O1:'ch_latest'!O215)+1)</f>
        <v>9</v>
      </c>
      <c r="E4" s="48">
        <f>analyse!$B$10</f>
        <v>66</v>
      </c>
      <c r="F4" s="15"/>
      <c r="G4" s="23">
        <f>analyse!$C$12</f>
        <v>43951.627592592595</v>
      </c>
    </row>
    <row r="6" spans="1:7">
      <c r="G6" s="24"/>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0" customWidth="1"/>
    <col min="2" max="16384" width="10.90625" style="40"/>
  </cols>
  <sheetData>
    <row r="1" spans="1:1" ht="409" customHeight="1">
      <c r="A1" s="44" t="s">
        <v>350</v>
      </c>
    </row>
    <row r="2" spans="1:1" ht="409" customHeight="1">
      <c r="A2" s="39" t="s">
        <v>351</v>
      </c>
    </row>
    <row r="3" spans="1:1">
      <c r="A3" s="39"/>
    </row>
    <row r="4" spans="1:1" ht="15.5">
      <c r="A4" s="43"/>
    </row>
    <row r="5" spans="1:1">
      <c r="A5" s="39"/>
    </row>
    <row r="6" spans="1:1" ht="15.5">
      <c r="A6" s="43"/>
    </row>
    <row r="7" spans="1:1">
      <c r="A7" s="39"/>
    </row>
    <row r="8" spans="1:1">
      <c r="A8" s="39"/>
    </row>
    <row r="9" spans="1:1">
      <c r="A9" s="39"/>
    </row>
    <row r="10" spans="1:1">
      <c r="A10" s="39"/>
    </row>
    <row r="11" spans="1:1">
      <c r="A11" s="41"/>
    </row>
    <row r="12" spans="1:1">
      <c r="A12" s="39"/>
    </row>
    <row r="13" spans="1:1" ht="15.5">
      <c r="A13" s="43"/>
    </row>
    <row r="14" spans="1:1">
      <c r="A14" s="39"/>
    </row>
    <row r="15" spans="1:1" ht="15.5">
      <c r="A15" s="43"/>
    </row>
    <row r="16" spans="1:1">
      <c r="A16" s="39"/>
    </row>
    <row r="17" spans="1:1" ht="15.5">
      <c r="A17" s="43"/>
    </row>
    <row r="18" spans="1:1">
      <c r="A18" s="39"/>
    </row>
    <row r="19" spans="1:1">
      <c r="A19" s="39"/>
    </row>
    <row r="20" spans="1:1">
      <c r="A20" s="39"/>
    </row>
    <row r="21" spans="1:1" ht="15.5">
      <c r="A21" s="43"/>
    </row>
    <row r="22" spans="1:1">
      <c r="A22" s="41"/>
    </row>
    <row r="23" spans="1:1">
      <c r="A23" s="39"/>
    </row>
    <row r="24" spans="1:1">
      <c r="A24" s="39"/>
    </row>
    <row r="25" spans="1:1">
      <c r="A25" s="39"/>
    </row>
    <row r="26" spans="1:1">
      <c r="A26" s="39"/>
    </row>
    <row r="27" spans="1:1">
      <c r="A27" s="42"/>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7"/>
  <sheetViews>
    <sheetView topLeftCell="A19" workbookViewId="0">
      <selection sqref="A1:XFD1048576"/>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325</v>
      </c>
      <c r="P1" t="s">
        <v>326</v>
      </c>
      <c r="Q1" t="s">
        <v>14</v>
      </c>
      <c r="R1" t="s">
        <v>15</v>
      </c>
    </row>
    <row r="2" spans="1:18">
      <c r="A2" s="2">
        <v>43886</v>
      </c>
      <c r="B2" s="3">
        <v>43951.627592592595</v>
      </c>
      <c r="C2" s="1" t="s">
        <v>16</v>
      </c>
      <c r="D2">
        <v>0</v>
      </c>
      <c r="E2">
        <v>0</v>
      </c>
      <c r="F2">
        <v>1</v>
      </c>
      <c r="G2">
        <v>1</v>
      </c>
      <c r="H2">
        <v>72</v>
      </c>
      <c r="I2">
        <v>0</v>
      </c>
      <c r="J2">
        <v>0</v>
      </c>
      <c r="K2">
        <v>0</v>
      </c>
      <c r="M2">
        <v>0</v>
      </c>
      <c r="N2">
        <v>0</v>
      </c>
      <c r="P2">
        <v>0</v>
      </c>
      <c r="Q2">
        <v>0</v>
      </c>
      <c r="R2">
        <v>0</v>
      </c>
    </row>
    <row r="3" spans="1:18">
      <c r="A3" s="2">
        <v>43887</v>
      </c>
      <c r="B3" s="3">
        <v>43951.627592592595</v>
      </c>
      <c r="C3" s="1" t="s">
        <v>16</v>
      </c>
      <c r="D3">
        <v>0</v>
      </c>
      <c r="E3">
        <v>1</v>
      </c>
      <c r="F3">
        <v>2</v>
      </c>
      <c r="G3">
        <v>2</v>
      </c>
      <c r="H3">
        <v>177</v>
      </c>
      <c r="I3">
        <v>0</v>
      </c>
      <c r="J3">
        <v>0</v>
      </c>
      <c r="K3">
        <v>0</v>
      </c>
      <c r="L3">
        <v>1</v>
      </c>
      <c r="M3">
        <v>1</v>
      </c>
      <c r="N3">
        <v>0</v>
      </c>
      <c r="O3">
        <v>0</v>
      </c>
      <c r="P3">
        <v>0</v>
      </c>
      <c r="Q3">
        <v>0</v>
      </c>
      <c r="R3">
        <v>0</v>
      </c>
    </row>
    <row r="4" spans="1:18">
      <c r="A4" s="2">
        <v>43888</v>
      </c>
      <c r="B4" s="3">
        <v>43951.627592592595</v>
      </c>
      <c r="C4" s="1" t="s">
        <v>16</v>
      </c>
      <c r="D4">
        <v>0</v>
      </c>
      <c r="E4">
        <v>2</v>
      </c>
      <c r="F4">
        <v>6</v>
      </c>
      <c r="G4">
        <v>6</v>
      </c>
      <c r="H4">
        <v>328</v>
      </c>
      <c r="I4">
        <v>0</v>
      </c>
      <c r="J4">
        <v>0</v>
      </c>
      <c r="K4">
        <v>0</v>
      </c>
      <c r="L4">
        <v>4</v>
      </c>
      <c r="M4">
        <v>2</v>
      </c>
      <c r="N4">
        <v>0</v>
      </c>
      <c r="O4">
        <v>0</v>
      </c>
      <c r="P4">
        <v>0</v>
      </c>
      <c r="Q4">
        <v>0</v>
      </c>
      <c r="R4">
        <v>0</v>
      </c>
    </row>
    <row r="5" spans="1:18">
      <c r="A5" s="2">
        <v>43889</v>
      </c>
      <c r="B5" s="3">
        <v>43951.627592592595</v>
      </c>
      <c r="C5" s="1" t="s">
        <v>16</v>
      </c>
      <c r="D5">
        <v>0</v>
      </c>
      <c r="E5">
        <v>12</v>
      </c>
      <c r="F5">
        <v>13</v>
      </c>
      <c r="G5">
        <v>13</v>
      </c>
      <c r="H5">
        <v>535</v>
      </c>
      <c r="I5">
        <v>0</v>
      </c>
      <c r="J5">
        <v>0</v>
      </c>
      <c r="K5">
        <v>0</v>
      </c>
      <c r="L5">
        <v>7</v>
      </c>
      <c r="M5">
        <v>6</v>
      </c>
      <c r="N5">
        <v>0</v>
      </c>
      <c r="O5">
        <v>0</v>
      </c>
      <c r="P5">
        <v>0</v>
      </c>
      <c r="Q5">
        <v>0</v>
      </c>
      <c r="R5">
        <v>0</v>
      </c>
    </row>
    <row r="6" spans="1:18">
      <c r="A6" s="2">
        <v>43890</v>
      </c>
      <c r="B6" s="3">
        <v>43951.627592592595</v>
      </c>
      <c r="C6" s="1" t="s">
        <v>16</v>
      </c>
      <c r="D6">
        <v>0</v>
      </c>
      <c r="E6">
        <v>14</v>
      </c>
      <c r="F6">
        <v>20</v>
      </c>
      <c r="G6">
        <v>20</v>
      </c>
      <c r="H6">
        <v>675</v>
      </c>
      <c r="I6">
        <v>0</v>
      </c>
      <c r="J6">
        <v>0</v>
      </c>
      <c r="K6">
        <v>0</v>
      </c>
      <c r="L6">
        <v>7</v>
      </c>
      <c r="M6">
        <v>13</v>
      </c>
      <c r="N6">
        <v>0</v>
      </c>
      <c r="O6">
        <v>0</v>
      </c>
      <c r="P6">
        <v>0</v>
      </c>
      <c r="Q6">
        <v>0</v>
      </c>
      <c r="R6">
        <v>0</v>
      </c>
    </row>
    <row r="7" spans="1:18">
      <c r="A7" s="2">
        <v>43891</v>
      </c>
      <c r="B7" s="3">
        <v>43951.627592592595</v>
      </c>
      <c r="C7" s="1" t="s">
        <v>16</v>
      </c>
      <c r="D7">
        <v>0</v>
      </c>
      <c r="E7">
        <v>15</v>
      </c>
      <c r="F7">
        <v>27</v>
      </c>
      <c r="G7">
        <v>27</v>
      </c>
      <c r="H7">
        <v>811</v>
      </c>
      <c r="I7">
        <v>0</v>
      </c>
      <c r="J7">
        <v>0</v>
      </c>
      <c r="K7">
        <v>0</v>
      </c>
      <c r="L7">
        <v>7</v>
      </c>
      <c r="M7">
        <v>20</v>
      </c>
      <c r="N7">
        <v>0</v>
      </c>
      <c r="O7">
        <v>0</v>
      </c>
      <c r="P7">
        <v>0</v>
      </c>
      <c r="Q7">
        <v>1.05155</v>
      </c>
      <c r="R7">
        <v>0</v>
      </c>
    </row>
    <row r="8" spans="1:18">
      <c r="A8" s="2">
        <v>43892</v>
      </c>
      <c r="B8" s="3">
        <v>43951.627592592595</v>
      </c>
      <c r="C8" s="1" t="s">
        <v>16</v>
      </c>
      <c r="D8">
        <v>0</v>
      </c>
      <c r="E8">
        <v>21</v>
      </c>
      <c r="F8">
        <v>37</v>
      </c>
      <c r="G8">
        <v>37</v>
      </c>
      <c r="H8">
        <v>1133</v>
      </c>
      <c r="I8">
        <v>0</v>
      </c>
      <c r="J8">
        <v>0</v>
      </c>
      <c r="K8">
        <v>0</v>
      </c>
      <c r="L8">
        <v>10</v>
      </c>
      <c r="M8">
        <v>27</v>
      </c>
      <c r="N8">
        <v>0</v>
      </c>
      <c r="O8">
        <v>0</v>
      </c>
      <c r="P8">
        <v>0</v>
      </c>
      <c r="Q8">
        <v>1.1878029999999999</v>
      </c>
      <c r="R8">
        <v>0</v>
      </c>
    </row>
    <row r="9" spans="1:18">
      <c r="A9" s="2">
        <v>43893</v>
      </c>
      <c r="B9" s="3">
        <v>43951.627592592595</v>
      </c>
      <c r="C9" s="1" t="s">
        <v>16</v>
      </c>
      <c r="D9">
        <v>0</v>
      </c>
      <c r="E9">
        <v>26</v>
      </c>
      <c r="F9">
        <v>54</v>
      </c>
      <c r="G9">
        <v>54</v>
      </c>
      <c r="H9">
        <v>1254</v>
      </c>
      <c r="I9">
        <v>0</v>
      </c>
      <c r="J9">
        <v>0</v>
      </c>
      <c r="K9">
        <v>0</v>
      </c>
      <c r="L9">
        <v>17</v>
      </c>
      <c r="M9">
        <v>37</v>
      </c>
      <c r="N9">
        <v>0</v>
      </c>
      <c r="O9">
        <v>0</v>
      </c>
      <c r="P9">
        <v>0</v>
      </c>
      <c r="Q9">
        <v>1.5773239999999999</v>
      </c>
      <c r="R9">
        <v>0</v>
      </c>
    </row>
    <row r="10" spans="1:18">
      <c r="A10" s="2">
        <v>43894</v>
      </c>
      <c r="B10" s="3">
        <v>43951.627592592595</v>
      </c>
      <c r="C10" s="1" t="s">
        <v>16</v>
      </c>
      <c r="D10">
        <v>1</v>
      </c>
      <c r="E10">
        <v>34</v>
      </c>
      <c r="F10">
        <v>74</v>
      </c>
      <c r="G10">
        <v>74</v>
      </c>
      <c r="H10">
        <v>1365</v>
      </c>
      <c r="I10">
        <v>0</v>
      </c>
      <c r="J10">
        <v>0</v>
      </c>
      <c r="K10">
        <v>0</v>
      </c>
      <c r="L10">
        <v>20</v>
      </c>
      <c r="M10">
        <v>54</v>
      </c>
      <c r="N10">
        <v>0</v>
      </c>
      <c r="O10">
        <v>0</v>
      </c>
      <c r="P10">
        <v>0</v>
      </c>
      <c r="Q10">
        <v>1.992815</v>
      </c>
      <c r="R10">
        <v>0</v>
      </c>
    </row>
    <row r="11" spans="1:18">
      <c r="A11" s="2">
        <v>43895</v>
      </c>
      <c r="B11" s="3">
        <v>43951.627592592595</v>
      </c>
      <c r="C11" s="1" t="s">
        <v>16</v>
      </c>
      <c r="D11">
        <v>1</v>
      </c>
      <c r="E11">
        <v>38</v>
      </c>
      <c r="F11">
        <v>118</v>
      </c>
      <c r="G11">
        <v>118</v>
      </c>
      <c r="H11">
        <v>1432</v>
      </c>
      <c r="I11">
        <v>0</v>
      </c>
      <c r="J11">
        <v>0</v>
      </c>
      <c r="K11">
        <v>0</v>
      </c>
      <c r="L11">
        <v>44</v>
      </c>
      <c r="M11">
        <v>74</v>
      </c>
      <c r="N11">
        <v>0</v>
      </c>
      <c r="O11">
        <v>0</v>
      </c>
      <c r="P11">
        <v>0</v>
      </c>
      <c r="Q11">
        <v>1.95258</v>
      </c>
      <c r="R11">
        <v>0</v>
      </c>
    </row>
    <row r="12" spans="1:18">
      <c r="A12" s="2">
        <v>43896</v>
      </c>
      <c r="B12" s="3">
        <v>43951.627592592595</v>
      </c>
      <c r="C12" s="1" t="s">
        <v>16</v>
      </c>
      <c r="D12">
        <v>4</v>
      </c>
      <c r="E12">
        <v>46</v>
      </c>
      <c r="F12">
        <v>183</v>
      </c>
      <c r="G12">
        <v>183</v>
      </c>
      <c r="H12">
        <v>1534</v>
      </c>
      <c r="I12">
        <v>1</v>
      </c>
      <c r="J12">
        <v>1</v>
      </c>
      <c r="K12">
        <v>0</v>
      </c>
      <c r="L12">
        <v>65</v>
      </c>
      <c r="M12">
        <v>118</v>
      </c>
      <c r="N12">
        <v>0</v>
      </c>
      <c r="O12">
        <v>1</v>
      </c>
      <c r="P12">
        <v>0</v>
      </c>
      <c r="Q12">
        <v>1.811061</v>
      </c>
      <c r="R12">
        <v>0</v>
      </c>
    </row>
    <row r="13" spans="1:18">
      <c r="A13" s="2">
        <v>43897</v>
      </c>
      <c r="B13" s="3">
        <v>43951.627592592595</v>
      </c>
      <c r="C13" s="1" t="s">
        <v>16</v>
      </c>
      <c r="D13">
        <v>6</v>
      </c>
      <c r="E13">
        <v>47</v>
      </c>
      <c r="F13">
        <v>255</v>
      </c>
      <c r="G13">
        <v>255</v>
      </c>
      <c r="H13">
        <v>1609</v>
      </c>
      <c r="I13">
        <v>1</v>
      </c>
      <c r="J13">
        <v>1</v>
      </c>
      <c r="K13">
        <v>0</v>
      </c>
      <c r="L13">
        <v>72</v>
      </c>
      <c r="M13">
        <v>183</v>
      </c>
      <c r="N13">
        <v>0</v>
      </c>
      <c r="O13">
        <v>0</v>
      </c>
      <c r="P13">
        <v>1</v>
      </c>
      <c r="Q13">
        <v>1.7953969999999999</v>
      </c>
      <c r="R13">
        <v>0</v>
      </c>
    </row>
    <row r="14" spans="1:18">
      <c r="A14" s="2">
        <v>43898</v>
      </c>
      <c r="B14" s="3">
        <v>43951.627592592595</v>
      </c>
      <c r="C14" s="1" t="s">
        <v>16</v>
      </c>
      <c r="D14">
        <v>6</v>
      </c>
      <c r="E14">
        <v>60</v>
      </c>
      <c r="F14">
        <v>312</v>
      </c>
      <c r="G14">
        <v>312</v>
      </c>
      <c r="H14">
        <v>1676</v>
      </c>
      <c r="I14">
        <v>1</v>
      </c>
      <c r="J14">
        <v>2</v>
      </c>
      <c r="K14">
        <v>0</v>
      </c>
      <c r="L14">
        <v>57</v>
      </c>
      <c r="M14">
        <v>255</v>
      </c>
      <c r="N14">
        <v>0</v>
      </c>
      <c r="O14">
        <v>1</v>
      </c>
      <c r="P14">
        <v>1</v>
      </c>
      <c r="Q14">
        <v>1.9758830000000001</v>
      </c>
      <c r="R14">
        <v>0</v>
      </c>
    </row>
    <row r="15" spans="1:18">
      <c r="A15" s="2">
        <v>43899</v>
      </c>
      <c r="B15" s="3">
        <v>43951.627592592595</v>
      </c>
      <c r="C15" s="1" t="s">
        <v>16</v>
      </c>
      <c r="D15">
        <v>13</v>
      </c>
      <c r="E15">
        <v>73</v>
      </c>
      <c r="F15">
        <v>396</v>
      </c>
      <c r="G15">
        <v>396</v>
      </c>
      <c r="H15">
        <v>1783</v>
      </c>
      <c r="I15">
        <v>3</v>
      </c>
      <c r="J15">
        <v>2</v>
      </c>
      <c r="K15">
        <v>0</v>
      </c>
      <c r="L15">
        <v>84</v>
      </c>
      <c r="M15">
        <v>312</v>
      </c>
      <c r="N15">
        <v>0</v>
      </c>
      <c r="O15">
        <v>0</v>
      </c>
      <c r="P15">
        <v>2</v>
      </c>
      <c r="Q15">
        <v>2.066198</v>
      </c>
      <c r="R15">
        <v>0</v>
      </c>
    </row>
    <row r="16" spans="1:18">
      <c r="A16" s="2">
        <v>43900</v>
      </c>
      <c r="B16" s="3">
        <v>43951.627592592595</v>
      </c>
      <c r="C16" s="1" t="s">
        <v>16</v>
      </c>
      <c r="D16">
        <v>14</v>
      </c>
      <c r="E16">
        <v>101</v>
      </c>
      <c r="F16">
        <v>534</v>
      </c>
      <c r="G16">
        <v>534</v>
      </c>
      <c r="H16">
        <v>1996</v>
      </c>
      <c r="I16">
        <v>7</v>
      </c>
      <c r="J16">
        <v>4</v>
      </c>
      <c r="K16">
        <v>0</v>
      </c>
      <c r="L16">
        <v>138</v>
      </c>
      <c r="M16">
        <v>396</v>
      </c>
      <c r="N16">
        <v>0</v>
      </c>
      <c r="O16">
        <v>2</v>
      </c>
      <c r="P16">
        <v>2</v>
      </c>
      <c r="Q16">
        <v>2.2956279999999998</v>
      </c>
      <c r="R16">
        <v>0</v>
      </c>
    </row>
    <row r="17" spans="1:18">
      <c r="A17" s="2">
        <v>43901</v>
      </c>
      <c r="B17" s="3">
        <v>43951.627592592595</v>
      </c>
      <c r="C17" s="1" t="s">
        <v>16</v>
      </c>
      <c r="D17">
        <v>17</v>
      </c>
      <c r="E17">
        <v>122</v>
      </c>
      <c r="F17">
        <v>705</v>
      </c>
      <c r="G17">
        <v>705</v>
      </c>
      <c r="H17">
        <v>2247</v>
      </c>
      <c r="I17">
        <v>12</v>
      </c>
      <c r="J17">
        <v>5</v>
      </c>
      <c r="K17">
        <v>0</v>
      </c>
      <c r="L17">
        <v>171</v>
      </c>
      <c r="M17">
        <v>534</v>
      </c>
      <c r="N17">
        <v>0</v>
      </c>
      <c r="O17">
        <v>1</v>
      </c>
      <c r="P17">
        <v>4</v>
      </c>
      <c r="Q17">
        <v>2.5696639999999999</v>
      </c>
      <c r="R17">
        <v>2.1533829999999998</v>
      </c>
    </row>
    <row r="18" spans="1:18">
      <c r="A18" s="2">
        <v>43902</v>
      </c>
      <c r="B18" s="3">
        <v>43951.627592592595</v>
      </c>
      <c r="C18" s="1" t="s">
        <v>16</v>
      </c>
      <c r="D18">
        <v>18</v>
      </c>
      <c r="E18">
        <v>146</v>
      </c>
      <c r="F18">
        <v>1057</v>
      </c>
      <c r="G18">
        <v>1057</v>
      </c>
      <c r="H18">
        <v>2605</v>
      </c>
      <c r="I18">
        <v>13</v>
      </c>
      <c r="J18">
        <v>9</v>
      </c>
      <c r="K18">
        <v>0</v>
      </c>
      <c r="L18">
        <v>352</v>
      </c>
      <c r="M18">
        <v>705</v>
      </c>
      <c r="N18">
        <v>0</v>
      </c>
      <c r="O18">
        <v>4</v>
      </c>
      <c r="P18">
        <v>5</v>
      </c>
      <c r="Q18">
        <v>2.4373520000000002</v>
      </c>
      <c r="R18">
        <v>1.5773239999999999</v>
      </c>
    </row>
    <row r="19" spans="1:18">
      <c r="A19" s="2">
        <v>43903</v>
      </c>
      <c r="B19" s="3">
        <v>43951.627592592595</v>
      </c>
      <c r="C19" s="1" t="s">
        <v>16</v>
      </c>
      <c r="D19">
        <v>33</v>
      </c>
      <c r="E19">
        <v>238</v>
      </c>
      <c r="F19">
        <v>1409</v>
      </c>
      <c r="G19">
        <v>1409</v>
      </c>
      <c r="H19">
        <v>3050</v>
      </c>
      <c r="I19">
        <v>13</v>
      </c>
      <c r="J19">
        <v>10</v>
      </c>
      <c r="K19">
        <v>0</v>
      </c>
      <c r="L19">
        <v>352</v>
      </c>
      <c r="M19">
        <v>1057</v>
      </c>
      <c r="N19">
        <v>0</v>
      </c>
      <c r="O19">
        <v>1</v>
      </c>
      <c r="P19">
        <v>9</v>
      </c>
      <c r="Q19">
        <v>2.298794</v>
      </c>
      <c r="R19">
        <v>2.1533829999999998</v>
      </c>
    </row>
    <row r="20" spans="1:18">
      <c r="A20" s="2">
        <v>43904</v>
      </c>
      <c r="B20" s="3">
        <v>43951.627592592595</v>
      </c>
      <c r="C20" s="1" t="s">
        <v>16</v>
      </c>
      <c r="D20">
        <v>36</v>
      </c>
      <c r="E20">
        <v>263</v>
      </c>
      <c r="F20">
        <v>1742</v>
      </c>
      <c r="G20">
        <v>1742</v>
      </c>
      <c r="H20">
        <v>3675</v>
      </c>
      <c r="I20">
        <v>13</v>
      </c>
      <c r="J20">
        <v>13</v>
      </c>
      <c r="K20">
        <v>0</v>
      </c>
      <c r="L20">
        <v>333</v>
      </c>
      <c r="M20">
        <v>1409</v>
      </c>
      <c r="N20">
        <v>0</v>
      </c>
      <c r="O20">
        <v>3</v>
      </c>
      <c r="P20">
        <v>10</v>
      </c>
      <c r="Q20">
        <v>2.33954</v>
      </c>
      <c r="R20">
        <v>1.85155</v>
      </c>
    </row>
    <row r="21" spans="1:18">
      <c r="A21" s="2">
        <v>43905</v>
      </c>
      <c r="B21" s="3">
        <v>43951.627592592595</v>
      </c>
      <c r="C21" s="1" t="s">
        <v>16</v>
      </c>
      <c r="D21">
        <v>40</v>
      </c>
      <c r="E21">
        <v>287</v>
      </c>
      <c r="F21">
        <v>2028</v>
      </c>
      <c r="G21">
        <v>2028</v>
      </c>
      <c r="H21">
        <v>4078</v>
      </c>
      <c r="I21">
        <v>16</v>
      </c>
      <c r="J21">
        <v>21</v>
      </c>
      <c r="K21">
        <v>0</v>
      </c>
      <c r="L21">
        <v>286</v>
      </c>
      <c r="M21">
        <v>1742</v>
      </c>
      <c r="N21">
        <v>0</v>
      </c>
      <c r="O21">
        <v>8</v>
      </c>
      <c r="P21">
        <v>13</v>
      </c>
      <c r="Q21">
        <v>2.5972059999999999</v>
      </c>
      <c r="R21">
        <v>2.0900240000000001</v>
      </c>
    </row>
    <row r="22" spans="1:18">
      <c r="A22" s="2">
        <v>43906</v>
      </c>
      <c r="B22" s="3">
        <v>43951.627592592595</v>
      </c>
      <c r="C22" s="1" t="s">
        <v>16</v>
      </c>
      <c r="D22">
        <v>51</v>
      </c>
      <c r="E22">
        <v>360</v>
      </c>
      <c r="F22">
        <v>2749</v>
      </c>
      <c r="G22">
        <v>2749</v>
      </c>
      <c r="H22">
        <v>4773</v>
      </c>
      <c r="I22">
        <v>17</v>
      </c>
      <c r="J22">
        <v>30</v>
      </c>
      <c r="K22">
        <v>0</v>
      </c>
      <c r="L22">
        <v>721</v>
      </c>
      <c r="M22">
        <v>2028</v>
      </c>
      <c r="N22">
        <v>0</v>
      </c>
      <c r="O22">
        <v>9</v>
      </c>
      <c r="P22">
        <v>21</v>
      </c>
      <c r="Q22">
        <v>2.5468470000000001</v>
      </c>
      <c r="R22">
        <v>1.934264</v>
      </c>
    </row>
    <row r="23" spans="1:18">
      <c r="A23" s="2">
        <v>43907</v>
      </c>
      <c r="B23" s="3">
        <v>43951.627592592595</v>
      </c>
      <c r="C23" s="1" t="s">
        <v>16</v>
      </c>
      <c r="D23">
        <v>65</v>
      </c>
      <c r="E23">
        <v>427</v>
      </c>
      <c r="F23">
        <v>3620</v>
      </c>
      <c r="G23">
        <v>3620</v>
      </c>
      <c r="H23">
        <v>5406</v>
      </c>
      <c r="I23">
        <v>47</v>
      </c>
      <c r="J23">
        <v>37</v>
      </c>
      <c r="K23">
        <v>0</v>
      </c>
      <c r="L23">
        <v>871</v>
      </c>
      <c r="M23">
        <v>2749</v>
      </c>
      <c r="N23">
        <v>0</v>
      </c>
      <c r="O23">
        <v>7</v>
      </c>
      <c r="P23">
        <v>30</v>
      </c>
      <c r="Q23">
        <v>2.815293</v>
      </c>
      <c r="R23">
        <v>2.4515470000000001</v>
      </c>
    </row>
    <row r="24" spans="1:18">
      <c r="A24" s="2">
        <v>43908</v>
      </c>
      <c r="B24" s="3">
        <v>43951.627592592595</v>
      </c>
      <c r="C24" s="1" t="s">
        <v>16</v>
      </c>
      <c r="D24">
        <v>68</v>
      </c>
      <c r="E24">
        <v>490</v>
      </c>
      <c r="F24">
        <v>4792</v>
      </c>
      <c r="G24">
        <v>4792</v>
      </c>
      <c r="H24">
        <v>6314</v>
      </c>
      <c r="I24">
        <v>65</v>
      </c>
      <c r="J24">
        <v>48</v>
      </c>
      <c r="K24">
        <v>0</v>
      </c>
      <c r="L24">
        <v>1172</v>
      </c>
      <c r="M24">
        <v>3620</v>
      </c>
      <c r="N24">
        <v>0</v>
      </c>
      <c r="O24">
        <v>11</v>
      </c>
      <c r="P24">
        <v>37</v>
      </c>
      <c r="Q24">
        <v>2.8313269999999999</v>
      </c>
      <c r="R24">
        <v>2.2094230000000001</v>
      </c>
    </row>
    <row r="25" spans="1:18">
      <c r="A25" s="2">
        <v>43909</v>
      </c>
      <c r="B25" s="3">
        <v>43951.627592592595</v>
      </c>
      <c r="C25" s="1" t="s">
        <v>16</v>
      </c>
      <c r="D25">
        <v>107</v>
      </c>
      <c r="E25">
        <v>689</v>
      </c>
      <c r="F25">
        <v>5819</v>
      </c>
      <c r="G25">
        <v>5819</v>
      </c>
      <c r="H25">
        <v>6974</v>
      </c>
      <c r="I25">
        <v>73</v>
      </c>
      <c r="J25">
        <v>57</v>
      </c>
      <c r="K25">
        <v>0</v>
      </c>
      <c r="L25">
        <v>1027</v>
      </c>
      <c r="M25">
        <v>4792</v>
      </c>
      <c r="N25">
        <v>0</v>
      </c>
      <c r="O25">
        <v>9</v>
      </c>
      <c r="P25">
        <v>48</v>
      </c>
      <c r="Q25">
        <v>2.8735189999999999</v>
      </c>
      <c r="R25">
        <v>2.3447209999999998</v>
      </c>
    </row>
    <row r="26" spans="1:18">
      <c r="A26" s="2">
        <v>43910</v>
      </c>
      <c r="B26" s="3">
        <v>43951.627592592595</v>
      </c>
      <c r="C26" s="1" t="s">
        <v>16</v>
      </c>
      <c r="D26">
        <v>116</v>
      </c>
      <c r="E26">
        <v>797</v>
      </c>
      <c r="F26">
        <v>6954</v>
      </c>
      <c r="G26">
        <v>6954</v>
      </c>
      <c r="H26">
        <v>7388</v>
      </c>
      <c r="I26">
        <v>77</v>
      </c>
      <c r="J26">
        <v>78</v>
      </c>
      <c r="K26">
        <v>0</v>
      </c>
      <c r="L26">
        <v>1135</v>
      </c>
      <c r="M26">
        <v>5819</v>
      </c>
      <c r="N26">
        <v>0</v>
      </c>
      <c r="O26">
        <v>21</v>
      </c>
      <c r="P26">
        <v>57</v>
      </c>
      <c r="Q26">
        <v>2.8124880000000001</v>
      </c>
      <c r="R26">
        <v>2.6411920000000002</v>
      </c>
    </row>
    <row r="27" spans="1:18">
      <c r="A27" s="2">
        <v>43911</v>
      </c>
      <c r="B27" s="3">
        <v>43951.627592592595</v>
      </c>
      <c r="C27" s="1" t="s">
        <v>16</v>
      </c>
      <c r="D27">
        <v>137</v>
      </c>
      <c r="E27">
        <v>903</v>
      </c>
      <c r="F27">
        <v>7651</v>
      </c>
      <c r="G27">
        <v>7651</v>
      </c>
      <c r="H27">
        <v>7750</v>
      </c>
      <c r="I27">
        <v>91</v>
      </c>
      <c r="J27">
        <v>98</v>
      </c>
      <c r="K27">
        <v>0</v>
      </c>
      <c r="L27">
        <v>697</v>
      </c>
      <c r="M27">
        <v>6954</v>
      </c>
      <c r="N27">
        <v>0</v>
      </c>
      <c r="O27">
        <v>20</v>
      </c>
      <c r="P27">
        <v>78</v>
      </c>
      <c r="Q27">
        <v>3.3858329999999999</v>
      </c>
      <c r="R27">
        <v>2.9277099999999998</v>
      </c>
    </row>
    <row r="28" spans="1:18">
      <c r="A28" s="2">
        <v>43912</v>
      </c>
      <c r="B28" s="3">
        <v>43951.627592592595</v>
      </c>
      <c r="C28" s="1" t="s">
        <v>16</v>
      </c>
      <c r="D28">
        <v>168</v>
      </c>
      <c r="E28">
        <v>1089</v>
      </c>
      <c r="F28">
        <v>8220</v>
      </c>
      <c r="G28">
        <v>8220</v>
      </c>
      <c r="H28">
        <v>7985</v>
      </c>
      <c r="I28">
        <v>107</v>
      </c>
      <c r="J28">
        <v>113</v>
      </c>
      <c r="K28">
        <v>0</v>
      </c>
      <c r="L28">
        <v>569</v>
      </c>
      <c r="M28">
        <v>7651</v>
      </c>
      <c r="N28">
        <v>0</v>
      </c>
      <c r="O28">
        <v>15</v>
      </c>
      <c r="P28">
        <v>98</v>
      </c>
      <c r="Q28">
        <v>4.2260119999999999</v>
      </c>
      <c r="R28">
        <v>3.1041910000000001</v>
      </c>
    </row>
    <row r="29" spans="1:18">
      <c r="A29" s="2">
        <v>43913</v>
      </c>
      <c r="B29" s="3">
        <v>43951.627592592595</v>
      </c>
      <c r="C29" s="1" t="s">
        <v>16</v>
      </c>
      <c r="D29">
        <v>202</v>
      </c>
      <c r="E29">
        <v>1206</v>
      </c>
      <c r="F29">
        <v>9737</v>
      </c>
      <c r="G29">
        <v>9737</v>
      </c>
      <c r="H29">
        <v>8363</v>
      </c>
      <c r="I29">
        <v>127</v>
      </c>
      <c r="J29">
        <v>143</v>
      </c>
      <c r="K29">
        <v>0</v>
      </c>
      <c r="L29">
        <v>1517</v>
      </c>
      <c r="M29">
        <v>8220</v>
      </c>
      <c r="N29">
        <v>0</v>
      </c>
      <c r="O29">
        <v>30</v>
      </c>
      <c r="P29">
        <v>113</v>
      </c>
      <c r="Q29">
        <v>4.8883049999999999</v>
      </c>
      <c r="R29">
        <v>3.1747869999999998</v>
      </c>
    </row>
    <row r="30" spans="1:18">
      <c r="A30" s="2">
        <v>43914</v>
      </c>
      <c r="B30" s="3">
        <v>43951.627592592595</v>
      </c>
      <c r="C30" s="1" t="s">
        <v>16</v>
      </c>
      <c r="D30">
        <v>204</v>
      </c>
      <c r="E30">
        <v>1363</v>
      </c>
      <c r="F30">
        <v>10823</v>
      </c>
      <c r="G30">
        <v>10823</v>
      </c>
      <c r="H30">
        <v>8706</v>
      </c>
      <c r="I30">
        <v>279</v>
      </c>
      <c r="J30">
        <v>165</v>
      </c>
      <c r="K30">
        <v>0</v>
      </c>
      <c r="L30">
        <v>1086</v>
      </c>
      <c r="M30">
        <v>9737</v>
      </c>
      <c r="N30">
        <v>0</v>
      </c>
      <c r="O30">
        <v>22</v>
      </c>
      <c r="P30">
        <v>143</v>
      </c>
      <c r="Q30">
        <v>5.5849869999999999</v>
      </c>
      <c r="R30">
        <v>3.260659</v>
      </c>
    </row>
    <row r="31" spans="1:18">
      <c r="A31" s="2">
        <v>43915</v>
      </c>
      <c r="B31" s="3">
        <v>43951.627592592595</v>
      </c>
      <c r="C31" s="1" t="s">
        <v>16</v>
      </c>
      <c r="D31">
        <v>239</v>
      </c>
      <c r="E31">
        <v>1462</v>
      </c>
      <c r="F31">
        <v>11945</v>
      </c>
      <c r="G31">
        <v>11945</v>
      </c>
      <c r="H31">
        <v>9111</v>
      </c>
      <c r="I31">
        <v>333</v>
      </c>
      <c r="J31">
        <v>200</v>
      </c>
      <c r="K31">
        <v>0</v>
      </c>
      <c r="L31">
        <v>1122</v>
      </c>
      <c r="M31">
        <v>10823</v>
      </c>
      <c r="N31">
        <v>0</v>
      </c>
      <c r="O31">
        <v>35</v>
      </c>
      <c r="P31">
        <v>165</v>
      </c>
      <c r="Q31">
        <v>6.4062169999999998</v>
      </c>
      <c r="R31">
        <v>3.6806549999999998</v>
      </c>
    </row>
    <row r="32" spans="1:18">
      <c r="A32" s="2">
        <v>43916</v>
      </c>
      <c r="B32" s="3">
        <v>43951.627592592595</v>
      </c>
      <c r="C32" s="1" t="s">
        <v>16</v>
      </c>
      <c r="D32">
        <v>268</v>
      </c>
      <c r="E32">
        <v>1608</v>
      </c>
      <c r="F32">
        <v>13058</v>
      </c>
      <c r="G32">
        <v>13058</v>
      </c>
      <c r="H32">
        <v>10418</v>
      </c>
      <c r="I32">
        <v>412</v>
      </c>
      <c r="J32">
        <v>245</v>
      </c>
      <c r="K32">
        <v>0</v>
      </c>
      <c r="L32">
        <v>1113</v>
      </c>
      <c r="M32">
        <v>11945</v>
      </c>
      <c r="N32">
        <v>0</v>
      </c>
      <c r="O32">
        <v>45</v>
      </c>
      <c r="P32">
        <v>200</v>
      </c>
      <c r="Q32">
        <v>6.4832869999999998</v>
      </c>
      <c r="R32">
        <v>3.7823540000000002</v>
      </c>
    </row>
    <row r="33" spans="1:18">
      <c r="A33" s="2">
        <v>43917</v>
      </c>
      <c r="B33" s="3">
        <v>43951.627592592595</v>
      </c>
      <c r="C33" s="1" t="s">
        <v>16</v>
      </c>
      <c r="D33">
        <v>292</v>
      </c>
      <c r="E33">
        <v>1789</v>
      </c>
      <c r="F33">
        <v>14392</v>
      </c>
      <c r="G33">
        <v>14392</v>
      </c>
      <c r="H33">
        <v>10908</v>
      </c>
      <c r="I33">
        <v>481</v>
      </c>
      <c r="J33">
        <v>282</v>
      </c>
      <c r="K33">
        <v>0</v>
      </c>
      <c r="L33">
        <v>1334</v>
      </c>
      <c r="M33">
        <v>13058</v>
      </c>
      <c r="N33">
        <v>0</v>
      </c>
      <c r="O33">
        <v>37</v>
      </c>
      <c r="P33">
        <v>245</v>
      </c>
      <c r="Q33">
        <v>6.187684</v>
      </c>
      <c r="R33">
        <v>3.7896809999999999</v>
      </c>
    </row>
    <row r="34" spans="1:18">
      <c r="A34" s="2">
        <v>43918</v>
      </c>
      <c r="B34" s="3">
        <v>43951.627592592595</v>
      </c>
      <c r="C34" s="1" t="s">
        <v>16</v>
      </c>
      <c r="D34">
        <v>322</v>
      </c>
      <c r="E34">
        <v>1876</v>
      </c>
      <c r="F34">
        <v>15225</v>
      </c>
      <c r="G34">
        <v>15225</v>
      </c>
      <c r="H34">
        <v>11501</v>
      </c>
      <c r="I34">
        <v>551</v>
      </c>
      <c r="J34">
        <v>334</v>
      </c>
      <c r="K34">
        <v>0</v>
      </c>
      <c r="L34">
        <v>833</v>
      </c>
      <c r="M34">
        <v>14392</v>
      </c>
      <c r="N34">
        <v>0</v>
      </c>
      <c r="O34">
        <v>52</v>
      </c>
      <c r="P34">
        <v>282</v>
      </c>
      <c r="Q34">
        <v>7.7532240000000003</v>
      </c>
      <c r="R34">
        <v>4.0855249999999996</v>
      </c>
    </row>
    <row r="35" spans="1:18">
      <c r="A35" s="2">
        <v>43919</v>
      </c>
      <c r="B35" s="3">
        <v>43951.627592592595</v>
      </c>
      <c r="C35" s="1" t="s">
        <v>16</v>
      </c>
      <c r="D35">
        <v>336</v>
      </c>
      <c r="E35">
        <v>1991</v>
      </c>
      <c r="F35">
        <v>15823</v>
      </c>
      <c r="G35">
        <v>15823</v>
      </c>
      <c r="H35">
        <v>11810</v>
      </c>
      <c r="I35">
        <v>601</v>
      </c>
      <c r="J35">
        <v>378</v>
      </c>
      <c r="K35">
        <v>0</v>
      </c>
      <c r="L35">
        <v>598</v>
      </c>
      <c r="M35">
        <v>15225</v>
      </c>
      <c r="N35">
        <v>0</v>
      </c>
      <c r="O35">
        <v>44</v>
      </c>
      <c r="P35">
        <v>334</v>
      </c>
      <c r="Q35">
        <v>9.125375</v>
      </c>
      <c r="R35">
        <v>4.1808810000000003</v>
      </c>
    </row>
    <row r="36" spans="1:18">
      <c r="A36" s="2">
        <v>43920</v>
      </c>
      <c r="B36" s="3">
        <v>43951.627592592595</v>
      </c>
      <c r="C36" s="1" t="s">
        <v>16</v>
      </c>
      <c r="D36">
        <v>382</v>
      </c>
      <c r="E36">
        <v>2176</v>
      </c>
      <c r="F36">
        <v>16938</v>
      </c>
      <c r="G36">
        <v>16938</v>
      </c>
      <c r="H36">
        <v>12476</v>
      </c>
      <c r="I36">
        <v>716</v>
      </c>
      <c r="J36">
        <v>439</v>
      </c>
      <c r="K36">
        <v>0</v>
      </c>
      <c r="L36">
        <v>1115</v>
      </c>
      <c r="M36">
        <v>15823</v>
      </c>
      <c r="N36">
        <v>0</v>
      </c>
      <c r="O36">
        <v>61</v>
      </c>
      <c r="P36">
        <v>378</v>
      </c>
      <c r="Q36">
        <v>9.9234570000000009</v>
      </c>
      <c r="R36">
        <v>4.4083119999999996</v>
      </c>
    </row>
    <row r="37" spans="1:18">
      <c r="A37" s="2">
        <v>43921</v>
      </c>
      <c r="B37" s="3">
        <v>43951.627592592595</v>
      </c>
      <c r="C37" s="1" t="s">
        <v>16</v>
      </c>
      <c r="D37">
        <v>408</v>
      </c>
      <c r="E37">
        <v>2204</v>
      </c>
      <c r="F37">
        <v>17856</v>
      </c>
      <c r="G37">
        <v>17856</v>
      </c>
      <c r="H37">
        <v>13236</v>
      </c>
      <c r="I37">
        <v>1083</v>
      </c>
      <c r="J37">
        <v>504</v>
      </c>
      <c r="K37">
        <v>0</v>
      </c>
      <c r="L37">
        <v>918</v>
      </c>
      <c r="M37">
        <v>16938</v>
      </c>
      <c r="N37">
        <v>0</v>
      </c>
      <c r="O37">
        <v>65</v>
      </c>
      <c r="P37">
        <v>439</v>
      </c>
      <c r="Q37">
        <v>11.074811</v>
      </c>
      <c r="R37">
        <v>4.8047259999999996</v>
      </c>
    </row>
    <row r="38" spans="1:18">
      <c r="A38" s="2">
        <v>43922</v>
      </c>
      <c r="B38" s="3">
        <v>43951.627592592595</v>
      </c>
      <c r="C38" s="1" t="s">
        <v>16</v>
      </c>
      <c r="D38">
        <v>438</v>
      </c>
      <c r="E38">
        <v>2283</v>
      </c>
      <c r="F38">
        <v>18904</v>
      </c>
      <c r="G38">
        <v>18904</v>
      </c>
      <c r="H38">
        <v>13892</v>
      </c>
      <c r="I38">
        <v>1254</v>
      </c>
      <c r="J38">
        <v>567</v>
      </c>
      <c r="K38">
        <v>0</v>
      </c>
      <c r="L38">
        <v>1048</v>
      </c>
      <c r="M38">
        <v>17856</v>
      </c>
      <c r="N38">
        <v>0</v>
      </c>
      <c r="O38">
        <v>63</v>
      </c>
      <c r="P38">
        <v>504</v>
      </c>
      <c r="Q38">
        <v>12.708921</v>
      </c>
      <c r="R38">
        <v>4.9620230000000003</v>
      </c>
    </row>
    <row r="39" spans="1:18">
      <c r="A39" s="2">
        <v>43923</v>
      </c>
      <c r="B39" s="3">
        <v>43951.627592592595</v>
      </c>
      <c r="C39" s="1" t="s">
        <v>16</v>
      </c>
      <c r="D39">
        <v>443</v>
      </c>
      <c r="E39">
        <v>2347</v>
      </c>
      <c r="F39">
        <v>19924</v>
      </c>
      <c r="G39">
        <v>19924</v>
      </c>
      <c r="H39">
        <v>14839</v>
      </c>
      <c r="I39">
        <v>1465</v>
      </c>
      <c r="J39">
        <v>628</v>
      </c>
      <c r="K39">
        <v>0</v>
      </c>
      <c r="L39">
        <v>1020</v>
      </c>
      <c r="M39">
        <v>18904</v>
      </c>
      <c r="N39">
        <v>0</v>
      </c>
      <c r="O39">
        <v>61</v>
      </c>
      <c r="P39">
        <v>567</v>
      </c>
      <c r="Q39">
        <v>12.884437</v>
      </c>
      <c r="R39">
        <v>5.4889780000000004</v>
      </c>
    </row>
    <row r="40" spans="1:18">
      <c r="A40" s="2">
        <v>43924</v>
      </c>
      <c r="B40" s="3">
        <v>43951.627592592595</v>
      </c>
      <c r="C40" s="1" t="s">
        <v>16</v>
      </c>
      <c r="D40">
        <v>453</v>
      </c>
      <c r="E40">
        <v>2328</v>
      </c>
      <c r="F40">
        <v>20878</v>
      </c>
      <c r="G40">
        <v>20878</v>
      </c>
      <c r="H40">
        <v>15668</v>
      </c>
      <c r="I40">
        <v>1571</v>
      </c>
      <c r="J40">
        <v>689</v>
      </c>
      <c r="K40">
        <v>0</v>
      </c>
      <c r="L40">
        <v>954</v>
      </c>
      <c r="M40">
        <v>19924</v>
      </c>
      <c r="N40">
        <v>0</v>
      </c>
      <c r="O40">
        <v>61</v>
      </c>
      <c r="P40">
        <v>628</v>
      </c>
      <c r="Q40">
        <v>12.501239</v>
      </c>
      <c r="R40">
        <v>5.7728869999999999</v>
      </c>
    </row>
    <row r="41" spans="1:18">
      <c r="A41" s="2">
        <v>43925</v>
      </c>
      <c r="B41" s="3">
        <v>43951.627592592595</v>
      </c>
      <c r="C41" s="1" t="s">
        <v>16</v>
      </c>
      <c r="D41">
        <v>455</v>
      </c>
      <c r="E41">
        <v>2316</v>
      </c>
      <c r="F41">
        <v>21445</v>
      </c>
      <c r="G41">
        <v>21445</v>
      </c>
      <c r="H41">
        <v>16259</v>
      </c>
      <c r="I41">
        <v>1726</v>
      </c>
      <c r="J41">
        <v>756</v>
      </c>
      <c r="K41">
        <v>0</v>
      </c>
      <c r="L41">
        <v>567</v>
      </c>
      <c r="M41">
        <v>20878</v>
      </c>
      <c r="N41">
        <v>0</v>
      </c>
      <c r="O41">
        <v>67</v>
      </c>
      <c r="P41">
        <v>689</v>
      </c>
      <c r="Q41">
        <v>14.68956</v>
      </c>
      <c r="R41">
        <v>6.376207</v>
      </c>
    </row>
    <row r="42" spans="1:18">
      <c r="A42" s="2">
        <v>43926</v>
      </c>
      <c r="B42" s="3">
        <v>43951.627592592595</v>
      </c>
      <c r="C42" s="1" t="s">
        <v>16</v>
      </c>
      <c r="D42">
        <v>445</v>
      </c>
      <c r="E42">
        <v>2301</v>
      </c>
      <c r="F42">
        <v>21827</v>
      </c>
      <c r="G42">
        <v>21827</v>
      </c>
      <c r="H42">
        <v>16558</v>
      </c>
      <c r="I42">
        <v>1886</v>
      </c>
      <c r="J42">
        <v>808</v>
      </c>
      <c r="K42">
        <v>0</v>
      </c>
      <c r="L42">
        <v>382</v>
      </c>
      <c r="M42">
        <v>21445</v>
      </c>
      <c r="N42">
        <v>0</v>
      </c>
      <c r="O42">
        <v>52</v>
      </c>
      <c r="P42">
        <v>756</v>
      </c>
      <c r="Q42">
        <v>17.258941</v>
      </c>
      <c r="R42">
        <v>7.3428820000000004</v>
      </c>
    </row>
    <row r="43" spans="1:18">
      <c r="A43" s="2">
        <v>43927</v>
      </c>
      <c r="B43" s="3">
        <v>43951.627592592595</v>
      </c>
      <c r="C43" s="1" t="s">
        <v>16</v>
      </c>
      <c r="D43">
        <v>444</v>
      </c>
      <c r="E43">
        <v>2306</v>
      </c>
      <c r="F43">
        <v>22569</v>
      </c>
      <c r="G43">
        <v>22569</v>
      </c>
      <c r="H43">
        <v>17197</v>
      </c>
      <c r="I43">
        <v>2009</v>
      </c>
      <c r="J43">
        <v>867</v>
      </c>
      <c r="K43">
        <v>0</v>
      </c>
      <c r="L43">
        <v>742</v>
      </c>
      <c r="M43">
        <v>21827</v>
      </c>
      <c r="N43">
        <v>0</v>
      </c>
      <c r="O43">
        <v>59</v>
      </c>
      <c r="P43">
        <v>808</v>
      </c>
      <c r="Q43">
        <v>19.557915999999999</v>
      </c>
      <c r="R43">
        <v>8.1608239999999999</v>
      </c>
    </row>
    <row r="44" spans="1:18">
      <c r="A44" s="2">
        <v>43928</v>
      </c>
      <c r="B44" s="3">
        <v>43951.627592592595</v>
      </c>
      <c r="C44" s="1" t="s">
        <v>16</v>
      </c>
      <c r="D44">
        <v>438</v>
      </c>
      <c r="E44">
        <v>2224</v>
      </c>
      <c r="F44">
        <v>23221</v>
      </c>
      <c r="G44">
        <v>23221</v>
      </c>
      <c r="H44">
        <v>18038</v>
      </c>
      <c r="I44">
        <v>2370</v>
      </c>
      <c r="J44">
        <v>927</v>
      </c>
      <c r="K44">
        <v>0</v>
      </c>
      <c r="L44">
        <v>652</v>
      </c>
      <c r="M44">
        <v>22569</v>
      </c>
      <c r="N44">
        <v>0</v>
      </c>
      <c r="O44">
        <v>60</v>
      </c>
      <c r="P44">
        <v>867</v>
      </c>
      <c r="Q44">
        <v>22.632342000000001</v>
      </c>
      <c r="R44">
        <v>8.8998889999999999</v>
      </c>
    </row>
    <row r="45" spans="1:18">
      <c r="A45" s="2">
        <v>43929</v>
      </c>
      <c r="B45" s="3">
        <v>43951.627592592595</v>
      </c>
      <c r="C45" s="1" t="s">
        <v>16</v>
      </c>
      <c r="D45">
        <v>435</v>
      </c>
      <c r="E45">
        <v>2134</v>
      </c>
      <c r="F45">
        <v>23891</v>
      </c>
      <c r="G45">
        <v>23891</v>
      </c>
      <c r="H45">
        <v>18843</v>
      </c>
      <c r="I45">
        <v>2587</v>
      </c>
      <c r="J45">
        <v>995</v>
      </c>
      <c r="K45">
        <v>0</v>
      </c>
      <c r="L45">
        <v>670</v>
      </c>
      <c r="M45">
        <v>23221</v>
      </c>
      <c r="N45">
        <v>0</v>
      </c>
      <c r="O45">
        <v>68</v>
      </c>
      <c r="P45">
        <v>927</v>
      </c>
      <c r="Q45">
        <v>25.709091999999998</v>
      </c>
      <c r="R45">
        <v>9.430536</v>
      </c>
    </row>
    <row r="46" spans="1:18">
      <c r="A46" s="2">
        <v>43930</v>
      </c>
      <c r="B46" s="3">
        <v>43951.627592592595</v>
      </c>
      <c r="C46" s="1" t="s">
        <v>16</v>
      </c>
      <c r="D46">
        <v>427</v>
      </c>
      <c r="E46">
        <v>2066</v>
      </c>
      <c r="F46">
        <v>24559</v>
      </c>
      <c r="G46">
        <v>24559</v>
      </c>
      <c r="H46">
        <v>19357</v>
      </c>
      <c r="I46">
        <v>2737</v>
      </c>
      <c r="J46">
        <v>1046</v>
      </c>
      <c r="K46">
        <v>0</v>
      </c>
      <c r="L46">
        <v>668</v>
      </c>
      <c r="M46">
        <v>23891</v>
      </c>
      <c r="N46">
        <v>0</v>
      </c>
      <c r="O46">
        <v>51</v>
      </c>
      <c r="P46">
        <v>995</v>
      </c>
      <c r="Q46">
        <v>25.561</v>
      </c>
      <c r="R46">
        <v>10.674073999999999</v>
      </c>
    </row>
    <row r="47" spans="1:18">
      <c r="A47" s="2">
        <v>43931</v>
      </c>
      <c r="B47" s="3">
        <v>43951.627592592595</v>
      </c>
      <c r="C47" s="1" t="s">
        <v>16</v>
      </c>
      <c r="D47">
        <v>415</v>
      </c>
      <c r="E47">
        <v>2006</v>
      </c>
      <c r="F47">
        <v>25009</v>
      </c>
      <c r="G47">
        <v>25009</v>
      </c>
      <c r="H47">
        <v>19769</v>
      </c>
      <c r="I47">
        <v>2821</v>
      </c>
      <c r="J47">
        <v>1096</v>
      </c>
      <c r="K47">
        <v>0</v>
      </c>
      <c r="L47">
        <v>450</v>
      </c>
      <c r="M47">
        <v>24559</v>
      </c>
      <c r="N47">
        <v>0</v>
      </c>
      <c r="O47">
        <v>50</v>
      </c>
      <c r="P47">
        <v>1046</v>
      </c>
      <c r="Q47">
        <v>25.466868999999999</v>
      </c>
      <c r="R47">
        <v>11.368271999999999</v>
      </c>
    </row>
    <row r="48" spans="1:18">
      <c r="A48" s="2">
        <v>43932</v>
      </c>
      <c r="B48" s="3">
        <v>43951.627592592595</v>
      </c>
      <c r="C48" s="1" t="s">
        <v>16</v>
      </c>
      <c r="D48">
        <v>415</v>
      </c>
      <c r="E48">
        <v>1931</v>
      </c>
      <c r="F48">
        <v>25472</v>
      </c>
      <c r="G48">
        <v>25472</v>
      </c>
      <c r="H48">
        <v>20129</v>
      </c>
      <c r="I48">
        <v>2987</v>
      </c>
      <c r="J48">
        <v>1134</v>
      </c>
      <c r="K48">
        <v>0</v>
      </c>
      <c r="L48">
        <v>463</v>
      </c>
      <c r="M48">
        <v>25009</v>
      </c>
      <c r="N48">
        <v>0</v>
      </c>
      <c r="O48">
        <v>38</v>
      </c>
      <c r="P48">
        <v>1096</v>
      </c>
      <c r="Q48">
        <v>28.641846999999999</v>
      </c>
      <c r="R48">
        <v>12.909331</v>
      </c>
    </row>
    <row r="49" spans="1:18">
      <c r="A49" s="2">
        <v>43933</v>
      </c>
      <c r="B49" s="3">
        <v>43951.627592592595</v>
      </c>
      <c r="C49" s="1" t="s">
        <v>16</v>
      </c>
      <c r="D49">
        <v>404</v>
      </c>
      <c r="E49">
        <v>1908</v>
      </c>
      <c r="F49">
        <v>25745</v>
      </c>
      <c r="G49">
        <v>25745</v>
      </c>
      <c r="H49">
        <v>20304</v>
      </c>
      <c r="I49">
        <v>3089</v>
      </c>
      <c r="J49">
        <v>1190</v>
      </c>
      <c r="K49">
        <v>0</v>
      </c>
      <c r="L49">
        <v>273</v>
      </c>
      <c r="M49">
        <v>25472</v>
      </c>
      <c r="N49">
        <v>0</v>
      </c>
      <c r="O49">
        <v>56</v>
      </c>
      <c r="P49">
        <v>1134</v>
      </c>
      <c r="Q49">
        <v>33.588118000000001</v>
      </c>
      <c r="R49">
        <v>13.876541</v>
      </c>
    </row>
    <row r="50" spans="1:18">
      <c r="A50" s="2">
        <v>43934</v>
      </c>
      <c r="B50" s="3">
        <v>43951.627592592595</v>
      </c>
      <c r="C50" s="1" t="s">
        <v>16</v>
      </c>
      <c r="D50">
        <v>400</v>
      </c>
      <c r="E50">
        <v>1891</v>
      </c>
      <c r="F50">
        <v>25996</v>
      </c>
      <c r="G50">
        <v>25996</v>
      </c>
      <c r="H50">
        <v>20609</v>
      </c>
      <c r="I50">
        <v>3169</v>
      </c>
      <c r="J50">
        <v>1220</v>
      </c>
      <c r="K50">
        <v>0</v>
      </c>
      <c r="L50">
        <v>251</v>
      </c>
      <c r="M50">
        <v>25745</v>
      </c>
      <c r="N50">
        <v>0</v>
      </c>
      <c r="O50">
        <v>30</v>
      </c>
      <c r="P50">
        <v>1190</v>
      </c>
      <c r="Q50">
        <v>41.043351000000001</v>
      </c>
      <c r="R50">
        <v>17.000285000000002</v>
      </c>
    </row>
    <row r="51" spans="1:18">
      <c r="A51" s="2">
        <v>43935</v>
      </c>
      <c r="B51" s="3">
        <v>43951.627592592595</v>
      </c>
      <c r="C51" s="1" t="s">
        <v>16</v>
      </c>
      <c r="D51">
        <v>387</v>
      </c>
      <c r="E51">
        <v>1851</v>
      </c>
      <c r="F51">
        <v>26318</v>
      </c>
      <c r="G51">
        <v>26318</v>
      </c>
      <c r="H51">
        <v>21153</v>
      </c>
      <c r="I51">
        <v>3331</v>
      </c>
      <c r="J51">
        <v>1258</v>
      </c>
      <c r="K51">
        <v>0</v>
      </c>
      <c r="L51">
        <v>322</v>
      </c>
      <c r="M51">
        <v>25996</v>
      </c>
      <c r="N51">
        <v>0</v>
      </c>
      <c r="O51">
        <v>38</v>
      </c>
      <c r="P51">
        <v>1220</v>
      </c>
      <c r="Q51">
        <v>50.101184000000003</v>
      </c>
      <c r="R51">
        <v>18.779408</v>
      </c>
    </row>
    <row r="52" spans="1:18">
      <c r="A52" s="2">
        <v>43936</v>
      </c>
      <c r="B52" s="3">
        <v>43951.627592592595</v>
      </c>
      <c r="C52" s="1" t="s">
        <v>16</v>
      </c>
      <c r="D52">
        <v>365</v>
      </c>
      <c r="E52">
        <v>1729</v>
      </c>
      <c r="F52">
        <v>26636</v>
      </c>
      <c r="G52">
        <v>26636</v>
      </c>
      <c r="H52">
        <v>21611</v>
      </c>
      <c r="I52">
        <v>3495</v>
      </c>
      <c r="J52">
        <v>1311</v>
      </c>
      <c r="K52">
        <v>0</v>
      </c>
      <c r="L52">
        <v>318</v>
      </c>
      <c r="M52">
        <v>26318</v>
      </c>
      <c r="N52">
        <v>0</v>
      </c>
      <c r="O52">
        <v>53</v>
      </c>
      <c r="P52">
        <v>1258</v>
      </c>
      <c r="Q52">
        <v>54.987307999999999</v>
      </c>
      <c r="R52">
        <v>19.348355999999999</v>
      </c>
    </row>
    <row r="53" spans="1:18">
      <c r="A53" s="2">
        <v>43937</v>
      </c>
      <c r="B53" s="3">
        <v>43951.627592592595</v>
      </c>
      <c r="C53" s="1" t="s">
        <v>16</v>
      </c>
      <c r="D53">
        <v>345</v>
      </c>
      <c r="E53">
        <v>1673</v>
      </c>
      <c r="F53">
        <v>26935</v>
      </c>
      <c r="G53">
        <v>26935</v>
      </c>
      <c r="H53">
        <v>22288</v>
      </c>
      <c r="I53">
        <v>3655</v>
      </c>
      <c r="J53">
        <v>1356</v>
      </c>
      <c r="K53">
        <v>0</v>
      </c>
      <c r="L53">
        <v>299</v>
      </c>
      <c r="M53">
        <v>26636</v>
      </c>
      <c r="N53">
        <v>0</v>
      </c>
      <c r="O53">
        <v>45</v>
      </c>
      <c r="P53">
        <v>1311</v>
      </c>
      <c r="Q53">
        <v>62.057972999999997</v>
      </c>
      <c r="R53">
        <v>19.384613000000002</v>
      </c>
    </row>
    <row r="54" spans="1:18">
      <c r="A54" s="2">
        <v>43938</v>
      </c>
      <c r="B54" s="3">
        <v>43951.627592592595</v>
      </c>
      <c r="C54" s="1" t="s">
        <v>16</v>
      </c>
      <c r="D54">
        <v>333</v>
      </c>
      <c r="E54">
        <v>1574</v>
      </c>
      <c r="F54">
        <v>27258</v>
      </c>
      <c r="G54">
        <v>27258</v>
      </c>
      <c r="H54">
        <v>22727</v>
      </c>
      <c r="I54">
        <v>3763</v>
      </c>
      <c r="J54">
        <v>1402</v>
      </c>
      <c r="K54">
        <v>0</v>
      </c>
      <c r="L54">
        <v>323</v>
      </c>
      <c r="M54">
        <v>26935</v>
      </c>
      <c r="N54">
        <v>0</v>
      </c>
      <c r="O54">
        <v>46</v>
      </c>
      <c r="P54">
        <v>1356</v>
      </c>
      <c r="Q54">
        <v>60.688861000000003</v>
      </c>
      <c r="R54">
        <v>21.139434000000001</v>
      </c>
    </row>
    <row r="55" spans="1:18">
      <c r="A55" s="2">
        <v>43939</v>
      </c>
      <c r="B55" s="3">
        <v>43951.627592592595</v>
      </c>
      <c r="C55" s="1" t="s">
        <v>16</v>
      </c>
      <c r="D55">
        <v>319</v>
      </c>
      <c r="E55">
        <v>1523</v>
      </c>
      <c r="F55">
        <v>27541</v>
      </c>
      <c r="G55">
        <v>27541</v>
      </c>
      <c r="H55">
        <v>23168</v>
      </c>
      <c r="I55">
        <v>3878</v>
      </c>
      <c r="J55">
        <v>1444</v>
      </c>
      <c r="K55">
        <v>0</v>
      </c>
      <c r="L55">
        <v>283</v>
      </c>
      <c r="M55">
        <v>27258</v>
      </c>
      <c r="N55">
        <v>0</v>
      </c>
      <c r="O55">
        <v>42</v>
      </c>
      <c r="P55">
        <v>1402</v>
      </c>
      <c r="Q55">
        <v>60.030285999999997</v>
      </c>
      <c r="R55">
        <v>20.560089999999999</v>
      </c>
    </row>
    <row r="56" spans="1:18">
      <c r="A56" s="2">
        <v>43940</v>
      </c>
      <c r="B56" s="3">
        <v>43951.627592592595</v>
      </c>
      <c r="C56" s="1" t="s">
        <v>16</v>
      </c>
      <c r="D56">
        <v>311</v>
      </c>
      <c r="E56">
        <v>1516</v>
      </c>
      <c r="F56">
        <v>27718</v>
      </c>
      <c r="G56">
        <v>27718</v>
      </c>
      <c r="H56">
        <v>23350</v>
      </c>
      <c r="I56">
        <v>3948</v>
      </c>
      <c r="J56">
        <v>1468</v>
      </c>
      <c r="K56">
        <v>0</v>
      </c>
      <c r="L56">
        <v>177</v>
      </c>
      <c r="M56">
        <v>27541</v>
      </c>
      <c r="N56">
        <v>0</v>
      </c>
      <c r="O56">
        <v>24</v>
      </c>
      <c r="P56">
        <v>1444</v>
      </c>
      <c r="Q56">
        <v>66.868784000000005</v>
      </c>
      <c r="R56">
        <v>22.449708000000001</v>
      </c>
    </row>
    <row r="57" spans="1:18">
      <c r="A57" s="2">
        <v>43941</v>
      </c>
      <c r="B57" s="3">
        <v>43951.627592592595</v>
      </c>
      <c r="C57" s="1" t="s">
        <v>16</v>
      </c>
      <c r="D57">
        <v>297</v>
      </c>
      <c r="E57">
        <v>1492</v>
      </c>
      <c r="F57">
        <v>27920</v>
      </c>
      <c r="G57">
        <v>27920</v>
      </c>
      <c r="H57">
        <v>23724</v>
      </c>
      <c r="I57">
        <v>4084</v>
      </c>
      <c r="J57">
        <v>1510</v>
      </c>
      <c r="K57">
        <v>0</v>
      </c>
      <c r="L57">
        <v>202</v>
      </c>
      <c r="M57">
        <v>27718</v>
      </c>
      <c r="N57">
        <v>0</v>
      </c>
      <c r="O57">
        <v>42</v>
      </c>
      <c r="P57">
        <v>1468</v>
      </c>
      <c r="Q57">
        <v>73.614396999999997</v>
      </c>
      <c r="R57">
        <v>24.524125999999999</v>
      </c>
    </row>
    <row r="58" spans="1:18">
      <c r="A58" s="2">
        <v>43942</v>
      </c>
      <c r="B58" s="3">
        <v>43951.627592592595</v>
      </c>
      <c r="C58" s="1" t="s">
        <v>16</v>
      </c>
      <c r="D58">
        <v>283</v>
      </c>
      <c r="E58">
        <v>1414</v>
      </c>
      <c r="F58">
        <v>28079</v>
      </c>
      <c r="G58">
        <v>28079</v>
      </c>
      <c r="H58">
        <v>24135</v>
      </c>
      <c r="I58">
        <v>4206</v>
      </c>
      <c r="J58">
        <v>1551</v>
      </c>
      <c r="K58">
        <v>0</v>
      </c>
      <c r="L58">
        <v>159</v>
      </c>
      <c r="M58">
        <v>27920</v>
      </c>
      <c r="N58">
        <v>0</v>
      </c>
      <c r="O58">
        <v>41</v>
      </c>
      <c r="P58">
        <v>1510</v>
      </c>
      <c r="Q58">
        <v>83.320153000000005</v>
      </c>
      <c r="R58">
        <v>25.794269</v>
      </c>
    </row>
    <row r="59" spans="1:18">
      <c r="A59" s="2">
        <v>43943</v>
      </c>
      <c r="B59" s="3">
        <v>43951.627592592595</v>
      </c>
      <c r="C59" s="1" t="s">
        <v>16</v>
      </c>
      <c r="D59">
        <v>251</v>
      </c>
      <c r="E59">
        <v>1348</v>
      </c>
      <c r="F59">
        <v>28276</v>
      </c>
      <c r="G59">
        <v>28276</v>
      </c>
      <c r="H59">
        <v>24483</v>
      </c>
      <c r="I59">
        <v>4313</v>
      </c>
      <c r="J59">
        <v>1578</v>
      </c>
      <c r="K59">
        <v>0</v>
      </c>
      <c r="L59">
        <v>197</v>
      </c>
      <c r="M59">
        <v>28079</v>
      </c>
      <c r="N59">
        <v>0</v>
      </c>
      <c r="O59">
        <v>27</v>
      </c>
      <c r="P59">
        <v>1551</v>
      </c>
      <c r="Q59">
        <v>94.520932000000002</v>
      </c>
      <c r="R59">
        <v>29.306459</v>
      </c>
    </row>
    <row r="60" spans="1:18">
      <c r="A60" s="2">
        <v>43944</v>
      </c>
      <c r="B60" s="3">
        <v>43951.627592592595</v>
      </c>
      <c r="C60" s="1" t="s">
        <v>16</v>
      </c>
      <c r="D60">
        <v>243</v>
      </c>
      <c r="E60">
        <v>1295</v>
      </c>
      <c r="F60">
        <v>28493</v>
      </c>
      <c r="G60">
        <v>28493</v>
      </c>
      <c r="H60">
        <v>24945</v>
      </c>
      <c r="I60">
        <v>4404</v>
      </c>
      <c r="J60">
        <v>1608</v>
      </c>
      <c r="K60">
        <v>0</v>
      </c>
      <c r="L60">
        <v>217</v>
      </c>
      <c r="M60">
        <v>28276</v>
      </c>
      <c r="N60">
        <v>0</v>
      </c>
      <c r="O60">
        <v>30</v>
      </c>
      <c r="P60">
        <v>1578</v>
      </c>
      <c r="Q60">
        <v>101.985483</v>
      </c>
      <c r="R60">
        <v>32.217187000000003</v>
      </c>
    </row>
    <row r="61" spans="1:18">
      <c r="A61" s="2">
        <v>43945</v>
      </c>
      <c r="B61" s="3">
        <v>43951.627592592595</v>
      </c>
      <c r="C61" s="1" t="s">
        <v>16</v>
      </c>
      <c r="D61">
        <v>238</v>
      </c>
      <c r="E61">
        <v>1249</v>
      </c>
      <c r="F61">
        <v>28684</v>
      </c>
      <c r="G61">
        <v>28684</v>
      </c>
      <c r="H61">
        <v>25337</v>
      </c>
      <c r="I61">
        <v>4482</v>
      </c>
      <c r="J61">
        <v>1637</v>
      </c>
      <c r="K61">
        <v>0</v>
      </c>
      <c r="L61">
        <v>191</v>
      </c>
      <c r="M61">
        <v>28493</v>
      </c>
      <c r="N61">
        <v>0</v>
      </c>
      <c r="O61">
        <v>29</v>
      </c>
      <c r="P61">
        <v>1608</v>
      </c>
      <c r="Q61">
        <v>101.167351</v>
      </c>
      <c r="R61">
        <v>31.806139999999999</v>
      </c>
    </row>
    <row r="62" spans="1:18">
      <c r="A62" s="2">
        <v>43946</v>
      </c>
      <c r="B62" s="3">
        <v>43951.627592592595</v>
      </c>
      <c r="C62" s="1" t="s">
        <v>16</v>
      </c>
      <c r="D62">
        <v>229</v>
      </c>
      <c r="E62">
        <v>1220</v>
      </c>
      <c r="F62">
        <v>28823</v>
      </c>
      <c r="G62">
        <v>28823</v>
      </c>
      <c r="H62">
        <v>25695</v>
      </c>
      <c r="I62">
        <v>4519</v>
      </c>
      <c r="J62">
        <v>1661</v>
      </c>
      <c r="K62">
        <v>0</v>
      </c>
      <c r="L62">
        <v>139</v>
      </c>
      <c r="M62">
        <v>28684</v>
      </c>
      <c r="N62">
        <v>0</v>
      </c>
      <c r="O62">
        <v>24</v>
      </c>
      <c r="P62">
        <v>1637</v>
      </c>
      <c r="Q62">
        <v>108.88131199999999</v>
      </c>
      <c r="R62">
        <v>36.362704000000001</v>
      </c>
    </row>
    <row r="63" spans="1:18">
      <c r="A63" s="2">
        <v>43947</v>
      </c>
      <c r="B63" s="3">
        <v>43951.627592592595</v>
      </c>
      <c r="C63" s="1" t="s">
        <v>16</v>
      </c>
      <c r="D63">
        <v>207</v>
      </c>
      <c r="E63">
        <v>1199</v>
      </c>
      <c r="F63">
        <v>28904</v>
      </c>
      <c r="G63">
        <v>28904</v>
      </c>
      <c r="H63">
        <v>25889</v>
      </c>
      <c r="I63">
        <v>4552</v>
      </c>
      <c r="J63">
        <v>1678</v>
      </c>
      <c r="K63">
        <v>0</v>
      </c>
      <c r="L63">
        <v>81</v>
      </c>
      <c r="M63">
        <v>28823</v>
      </c>
      <c r="N63">
        <v>0</v>
      </c>
      <c r="O63">
        <v>17</v>
      </c>
      <c r="P63">
        <v>1661</v>
      </c>
      <c r="Q63">
        <v>119.68135100000001</v>
      </c>
      <c r="R63">
        <v>44.035781</v>
      </c>
    </row>
    <row r="64" spans="1:18">
      <c r="A64" s="2">
        <v>43948</v>
      </c>
      <c r="B64" s="3">
        <v>43951.627592592595</v>
      </c>
      <c r="C64" s="1" t="s">
        <v>16</v>
      </c>
      <c r="D64">
        <v>202</v>
      </c>
      <c r="E64">
        <v>1177</v>
      </c>
      <c r="F64">
        <v>29069</v>
      </c>
      <c r="G64">
        <v>29069</v>
      </c>
      <c r="H64">
        <v>26162</v>
      </c>
      <c r="I64">
        <v>4624</v>
      </c>
      <c r="J64">
        <v>1699</v>
      </c>
      <c r="K64">
        <v>0</v>
      </c>
      <c r="L64">
        <v>165</v>
      </c>
      <c r="M64">
        <v>28904</v>
      </c>
      <c r="N64">
        <v>0</v>
      </c>
      <c r="O64">
        <v>21</v>
      </c>
      <c r="P64">
        <v>1678</v>
      </c>
      <c r="Q64">
        <v>125.302621</v>
      </c>
      <c r="R64">
        <v>46.909311000000002</v>
      </c>
    </row>
    <row r="65" spans="1:18">
      <c r="A65" s="2">
        <v>43949</v>
      </c>
      <c r="B65" s="3">
        <v>43951.627592592595</v>
      </c>
      <c r="C65" s="1" t="s">
        <v>16</v>
      </c>
      <c r="D65">
        <v>183</v>
      </c>
      <c r="E65">
        <v>1148</v>
      </c>
      <c r="F65">
        <v>29177</v>
      </c>
      <c r="G65">
        <v>29177</v>
      </c>
      <c r="H65">
        <v>26542</v>
      </c>
      <c r="I65">
        <v>4676</v>
      </c>
      <c r="J65">
        <v>1724</v>
      </c>
      <c r="K65">
        <v>0</v>
      </c>
      <c r="L65">
        <v>108</v>
      </c>
      <c r="M65">
        <v>29069</v>
      </c>
      <c r="N65">
        <v>0</v>
      </c>
      <c r="O65">
        <v>25</v>
      </c>
      <c r="P65">
        <v>1699</v>
      </c>
      <c r="Q65">
        <v>146.09621100000001</v>
      </c>
      <c r="R65">
        <v>49.755021999999997</v>
      </c>
    </row>
    <row r="66" spans="1:18">
      <c r="A66" s="2">
        <v>43950</v>
      </c>
      <c r="B66" s="3">
        <v>43951.627592592595</v>
      </c>
      <c r="C66" s="1" t="s">
        <v>16</v>
      </c>
      <c r="D66">
        <v>189</v>
      </c>
      <c r="E66">
        <v>1081</v>
      </c>
      <c r="F66">
        <v>29275</v>
      </c>
      <c r="G66">
        <v>29275</v>
      </c>
      <c r="H66">
        <v>26542</v>
      </c>
      <c r="I66">
        <v>4742</v>
      </c>
      <c r="J66">
        <v>1730</v>
      </c>
      <c r="K66">
        <v>0</v>
      </c>
      <c r="L66">
        <v>98</v>
      </c>
      <c r="M66">
        <v>29177</v>
      </c>
      <c r="N66">
        <v>0</v>
      </c>
      <c r="O66">
        <v>6</v>
      </c>
      <c r="P66">
        <v>1724</v>
      </c>
      <c r="Q66">
        <v>169.935385</v>
      </c>
      <c r="R66">
        <v>62.721314999999997</v>
      </c>
    </row>
    <row r="67" spans="1:18">
      <c r="A67" s="2">
        <v>43951</v>
      </c>
      <c r="B67" s="3">
        <v>43951.627592592595</v>
      </c>
      <c r="C67" s="1" t="s">
        <v>16</v>
      </c>
      <c r="D67">
        <v>176</v>
      </c>
      <c r="E67">
        <v>1026</v>
      </c>
      <c r="F67">
        <v>29393</v>
      </c>
      <c r="G67">
        <v>29393</v>
      </c>
      <c r="H67">
        <v>26542</v>
      </c>
      <c r="I67">
        <v>4808</v>
      </c>
      <c r="J67">
        <v>1739</v>
      </c>
      <c r="K67">
        <v>0</v>
      </c>
      <c r="L67">
        <v>118</v>
      </c>
      <c r="M67">
        <v>29275</v>
      </c>
      <c r="N67">
        <v>0</v>
      </c>
      <c r="O67">
        <v>9</v>
      </c>
      <c r="P67">
        <v>1730</v>
      </c>
      <c r="Q67">
        <v>176.977924</v>
      </c>
      <c r="R67">
        <v>75.522015999999994</v>
      </c>
    </row>
  </sheetData>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403"/>
  <sheetViews>
    <sheetView topLeftCell="A2" workbookViewId="0">
      <selection activeCell="D661" sqref="D661"/>
    </sheetView>
  </sheetViews>
  <sheetFormatPr baseColWidth="10" defaultRowHeight="14.5"/>
  <cols>
    <col min="1" max="1" width="9.90625" style="2" bestFit="1" customWidth="1"/>
    <col min="2" max="2" width="6.90625" style="47" bestFit="1" customWidth="1"/>
    <col min="3" max="3" width="27" style="47" bestFit="1" customWidth="1"/>
    <col min="4" max="4" width="15.6328125" style="47" bestFit="1" customWidth="1"/>
    <col min="5" max="5" width="13.90625" style="47" bestFit="1" customWidth="1"/>
    <col min="6" max="6" width="14.36328125" style="47" bestFit="1" customWidth="1"/>
    <col min="7" max="7" width="13.1796875" style="47" bestFit="1" customWidth="1"/>
    <col min="8" max="8" width="14" style="47" bestFit="1" customWidth="1"/>
    <col min="9" max="9" width="17.36328125" style="47" bestFit="1" customWidth="1"/>
    <col min="10" max="10" width="18.1796875" style="47" bestFit="1" customWidth="1"/>
    <col min="11" max="11" width="80.7265625" style="47" bestFit="1" customWidth="1"/>
    <col min="12" max="16384" width="10.90625" style="47"/>
  </cols>
  <sheetData>
    <row r="1" spans="1:11">
      <c r="A1" s="2" t="s">
        <v>0</v>
      </c>
      <c r="B1" s="47" t="s">
        <v>107</v>
      </c>
      <c r="C1" s="47" t="s">
        <v>392</v>
      </c>
      <c r="D1" s="47" t="s">
        <v>393</v>
      </c>
      <c r="E1" s="47" t="s">
        <v>394</v>
      </c>
      <c r="F1" s="47" t="s">
        <v>401</v>
      </c>
      <c r="G1" s="47" t="s">
        <v>402</v>
      </c>
      <c r="H1" s="47" t="s">
        <v>29</v>
      </c>
      <c r="I1" s="47" t="s">
        <v>395</v>
      </c>
      <c r="J1" s="47" t="s">
        <v>396</v>
      </c>
      <c r="K1" s="47" t="s">
        <v>33</v>
      </c>
    </row>
    <row r="2" spans="1:11">
      <c r="A2" s="2">
        <v>43886</v>
      </c>
      <c r="C2" s="47" t="s">
        <v>58</v>
      </c>
      <c r="D2" s="47">
        <v>72</v>
      </c>
      <c r="E2" s="47">
        <v>0</v>
      </c>
      <c r="F2" s="47">
        <v>0</v>
      </c>
      <c r="G2" s="47">
        <v>0</v>
      </c>
      <c r="H2" s="47">
        <v>0</v>
      </c>
      <c r="J2" s="47">
        <v>0</v>
      </c>
      <c r="K2" s="47" t="s">
        <v>60</v>
      </c>
    </row>
    <row r="3" spans="1:11">
      <c r="A3" s="2">
        <v>43886</v>
      </c>
      <c r="C3" s="47" t="s">
        <v>91</v>
      </c>
      <c r="E3" s="47">
        <v>1</v>
      </c>
      <c r="K3" s="47" t="s">
        <v>108</v>
      </c>
    </row>
    <row r="4" spans="1:11">
      <c r="A4" s="2">
        <v>43887</v>
      </c>
      <c r="C4" s="47" t="s">
        <v>58</v>
      </c>
      <c r="D4" s="47">
        <v>177</v>
      </c>
      <c r="E4" s="47">
        <v>1</v>
      </c>
      <c r="F4" s="47">
        <v>1</v>
      </c>
      <c r="G4" s="47">
        <v>0</v>
      </c>
      <c r="H4" s="47">
        <v>0</v>
      </c>
      <c r="J4" s="47">
        <v>0</v>
      </c>
      <c r="K4" s="47" t="s">
        <v>60</v>
      </c>
    </row>
    <row r="5" spans="1:11">
      <c r="A5" s="2">
        <v>43887</v>
      </c>
      <c r="C5" s="47" t="s">
        <v>91</v>
      </c>
      <c r="K5" s="47" t="s">
        <v>36</v>
      </c>
    </row>
    <row r="6" spans="1:11">
      <c r="A6" s="2">
        <v>43888</v>
      </c>
      <c r="C6" s="47" t="s">
        <v>53</v>
      </c>
      <c r="D6" s="47">
        <v>3</v>
      </c>
      <c r="K6" s="47" t="s">
        <v>110</v>
      </c>
    </row>
    <row r="7" spans="1:11">
      <c r="A7" s="2">
        <v>43888</v>
      </c>
      <c r="C7" s="47" t="s">
        <v>58</v>
      </c>
      <c r="D7" s="47">
        <v>325</v>
      </c>
      <c r="E7" s="47">
        <v>1</v>
      </c>
      <c r="F7" s="47">
        <v>1</v>
      </c>
      <c r="G7" s="47">
        <v>0</v>
      </c>
      <c r="H7" s="47">
        <v>0</v>
      </c>
      <c r="J7" s="47">
        <v>0</v>
      </c>
      <c r="K7" s="47" t="s">
        <v>60</v>
      </c>
    </row>
    <row r="8" spans="1:11">
      <c r="A8" s="2">
        <v>43888</v>
      </c>
      <c r="C8" s="47" t="s">
        <v>66</v>
      </c>
      <c r="E8" s="47">
        <v>1</v>
      </c>
      <c r="F8" s="47">
        <v>1</v>
      </c>
      <c r="G8" s="47">
        <v>0</v>
      </c>
      <c r="J8" s="47">
        <v>0</v>
      </c>
      <c r="K8" s="47" t="s">
        <v>424</v>
      </c>
    </row>
    <row r="9" spans="1:11">
      <c r="A9" s="2">
        <v>43888</v>
      </c>
      <c r="C9" s="47" t="s">
        <v>91</v>
      </c>
      <c r="K9" s="47" t="s">
        <v>36</v>
      </c>
    </row>
    <row r="10" spans="1:11">
      <c r="A10" s="2">
        <v>43888</v>
      </c>
      <c r="B10" s="47">
        <v>0.60416666666666663</v>
      </c>
      <c r="C10" s="47" t="s">
        <v>104</v>
      </c>
      <c r="E10" s="47">
        <v>2</v>
      </c>
      <c r="K10" s="47" t="s">
        <v>106</v>
      </c>
    </row>
    <row r="11" spans="1:11">
      <c r="A11" s="2">
        <v>43888</v>
      </c>
      <c r="B11" s="47">
        <v>0.80347222222222225</v>
      </c>
      <c r="C11" s="47" t="s">
        <v>50</v>
      </c>
      <c r="E11" s="47">
        <v>1</v>
      </c>
      <c r="K11" s="47" t="s">
        <v>109</v>
      </c>
    </row>
    <row r="12" spans="1:11">
      <c r="A12" s="2">
        <v>43889</v>
      </c>
      <c r="C12" s="47" t="s">
        <v>44</v>
      </c>
      <c r="E12" s="47">
        <v>1</v>
      </c>
      <c r="K12" s="47" t="s">
        <v>112</v>
      </c>
    </row>
    <row r="13" spans="1:11">
      <c r="A13" s="2">
        <v>43889</v>
      </c>
      <c r="C13" s="47" t="s">
        <v>47</v>
      </c>
      <c r="E13" s="47">
        <v>1</v>
      </c>
      <c r="K13" s="47" t="s">
        <v>113</v>
      </c>
    </row>
    <row r="14" spans="1:11">
      <c r="A14" s="2">
        <v>43889</v>
      </c>
      <c r="C14" s="47" t="s">
        <v>58</v>
      </c>
      <c r="D14" s="47">
        <v>532</v>
      </c>
      <c r="E14" s="47">
        <v>4</v>
      </c>
      <c r="F14" s="47">
        <v>2</v>
      </c>
      <c r="G14" s="47">
        <v>0</v>
      </c>
      <c r="H14" s="47">
        <v>0</v>
      </c>
      <c r="J14" s="47">
        <v>0</v>
      </c>
      <c r="K14" s="47" t="s">
        <v>60</v>
      </c>
    </row>
    <row r="15" spans="1:11">
      <c r="A15" s="2">
        <v>43889</v>
      </c>
      <c r="C15" s="47" t="s">
        <v>66</v>
      </c>
      <c r="E15" s="47">
        <v>1</v>
      </c>
      <c r="F15" s="47">
        <v>1</v>
      </c>
      <c r="G15" s="47">
        <v>0</v>
      </c>
      <c r="J15" s="47">
        <v>0</v>
      </c>
      <c r="K15" s="47" t="s">
        <v>424</v>
      </c>
    </row>
    <row r="16" spans="1:11">
      <c r="A16" s="2">
        <v>43889</v>
      </c>
      <c r="C16" s="47" t="s">
        <v>91</v>
      </c>
      <c r="K16" s="47" t="s">
        <v>36</v>
      </c>
    </row>
    <row r="17" spans="1:11">
      <c r="A17" s="2">
        <v>43889</v>
      </c>
      <c r="C17" s="47" t="s">
        <v>97</v>
      </c>
      <c r="F17" s="47">
        <v>4</v>
      </c>
      <c r="K17" s="47" t="s">
        <v>115</v>
      </c>
    </row>
    <row r="18" spans="1:11">
      <c r="A18" s="2">
        <v>43889</v>
      </c>
      <c r="C18" s="47" t="s">
        <v>100</v>
      </c>
      <c r="E18" s="47">
        <v>1</v>
      </c>
      <c r="F18" s="47">
        <v>5</v>
      </c>
      <c r="G18" s="47">
        <v>0</v>
      </c>
      <c r="H18" s="47">
        <v>0</v>
      </c>
      <c r="J18" s="47">
        <v>0</v>
      </c>
      <c r="K18" s="47" t="s">
        <v>419</v>
      </c>
    </row>
    <row r="19" spans="1:11">
      <c r="A19" s="2">
        <v>43889</v>
      </c>
      <c r="B19" s="47">
        <v>0.42708333333333331</v>
      </c>
      <c r="C19" s="47" t="s">
        <v>50</v>
      </c>
      <c r="E19" s="47">
        <v>1</v>
      </c>
      <c r="K19" s="47" t="s">
        <v>114</v>
      </c>
    </row>
    <row r="20" spans="1:11">
      <c r="A20" s="2">
        <v>43889</v>
      </c>
      <c r="B20" s="47">
        <v>0.60416666666666663</v>
      </c>
      <c r="C20" s="47" t="s">
        <v>104</v>
      </c>
      <c r="E20" s="47">
        <v>2</v>
      </c>
      <c r="K20" s="47" t="s">
        <v>106</v>
      </c>
    </row>
    <row r="21" spans="1:11">
      <c r="A21" s="2">
        <v>43889</v>
      </c>
      <c r="B21" s="47">
        <v>0.625</v>
      </c>
      <c r="C21" s="47" t="s">
        <v>34</v>
      </c>
      <c r="E21" s="47">
        <v>1</v>
      </c>
      <c r="K21" s="47" t="s">
        <v>111</v>
      </c>
    </row>
    <row r="22" spans="1:11">
      <c r="A22" s="2">
        <v>43890</v>
      </c>
      <c r="C22" s="47" t="s">
        <v>47</v>
      </c>
      <c r="E22" s="47">
        <v>2</v>
      </c>
      <c r="F22" s="47">
        <v>1</v>
      </c>
      <c r="K22" s="47" t="s">
        <v>116</v>
      </c>
    </row>
    <row r="23" spans="1:11">
      <c r="A23" s="2">
        <v>43890</v>
      </c>
      <c r="C23" s="47" t="s">
        <v>58</v>
      </c>
      <c r="D23" s="47">
        <v>672</v>
      </c>
      <c r="E23" s="47">
        <v>6</v>
      </c>
      <c r="F23" s="47">
        <v>3</v>
      </c>
      <c r="G23" s="47">
        <v>0</v>
      </c>
      <c r="H23" s="47">
        <v>0</v>
      </c>
      <c r="J23" s="47">
        <v>0</v>
      </c>
      <c r="K23" s="47" t="s">
        <v>60</v>
      </c>
    </row>
    <row r="24" spans="1:11">
      <c r="A24" s="2">
        <v>43890</v>
      </c>
      <c r="C24" s="47" t="s">
        <v>66</v>
      </c>
      <c r="E24" s="47">
        <v>1</v>
      </c>
      <c r="F24" s="47">
        <v>1</v>
      </c>
      <c r="G24" s="47">
        <v>0</v>
      </c>
      <c r="J24" s="47">
        <v>0</v>
      </c>
      <c r="K24" s="47" t="s">
        <v>424</v>
      </c>
    </row>
    <row r="25" spans="1:11">
      <c r="A25" s="2">
        <v>43890</v>
      </c>
      <c r="C25" s="47" t="s">
        <v>91</v>
      </c>
      <c r="K25" s="47" t="s">
        <v>36</v>
      </c>
    </row>
    <row r="26" spans="1:11">
      <c r="A26" s="2">
        <v>43890</v>
      </c>
      <c r="C26" s="47" t="s">
        <v>97</v>
      </c>
      <c r="F26" s="47">
        <v>4</v>
      </c>
      <c r="K26" s="47" t="s">
        <v>115</v>
      </c>
    </row>
    <row r="27" spans="1:11">
      <c r="A27" s="2">
        <v>43890</v>
      </c>
      <c r="C27" s="47" t="s">
        <v>100</v>
      </c>
      <c r="E27" s="47">
        <v>1</v>
      </c>
      <c r="F27" s="47">
        <v>5</v>
      </c>
      <c r="G27" s="47">
        <v>0</v>
      </c>
      <c r="H27" s="47">
        <v>0</v>
      </c>
      <c r="J27" s="47">
        <v>0</v>
      </c>
      <c r="K27" s="47" t="s">
        <v>419</v>
      </c>
    </row>
    <row r="28" spans="1:11">
      <c r="A28" s="2">
        <v>43890</v>
      </c>
      <c r="B28" s="47">
        <v>0.33333333333333331</v>
      </c>
      <c r="C28" s="47" t="s">
        <v>102</v>
      </c>
      <c r="E28" s="47">
        <v>0</v>
      </c>
      <c r="F28" s="47">
        <v>0</v>
      </c>
      <c r="G28" s="47">
        <v>0</v>
      </c>
      <c r="J28" s="47">
        <v>0</v>
      </c>
      <c r="K28" s="47" t="s">
        <v>381</v>
      </c>
    </row>
    <row r="29" spans="1:11">
      <c r="A29" s="2">
        <v>43890</v>
      </c>
      <c r="B29" s="47">
        <v>0.60416666666666663</v>
      </c>
      <c r="C29" s="47" t="s">
        <v>104</v>
      </c>
      <c r="E29" s="47">
        <v>6</v>
      </c>
      <c r="K29" s="47" t="s">
        <v>106</v>
      </c>
    </row>
    <row r="30" spans="1:11">
      <c r="A30" s="2">
        <v>43890</v>
      </c>
      <c r="B30" s="47">
        <v>0.64097222222222228</v>
      </c>
      <c r="C30" s="47" t="s">
        <v>50</v>
      </c>
      <c r="E30" s="47">
        <v>1</v>
      </c>
      <c r="K30" s="47" t="s">
        <v>117</v>
      </c>
    </row>
    <row r="31" spans="1:11">
      <c r="A31" s="2">
        <v>43891</v>
      </c>
      <c r="C31" s="47" t="s">
        <v>44</v>
      </c>
      <c r="E31" s="47">
        <v>2</v>
      </c>
      <c r="K31" s="47" t="s">
        <v>118</v>
      </c>
    </row>
    <row r="32" spans="1:11">
      <c r="A32" s="2">
        <v>43891</v>
      </c>
      <c r="C32" s="47" t="s">
        <v>47</v>
      </c>
      <c r="E32" s="47">
        <v>2</v>
      </c>
      <c r="F32" s="47">
        <v>1</v>
      </c>
      <c r="K32" s="47" t="s">
        <v>36</v>
      </c>
    </row>
    <row r="33" spans="1:11">
      <c r="A33" s="2">
        <v>43891</v>
      </c>
      <c r="C33" s="47" t="s">
        <v>56</v>
      </c>
      <c r="D33" s="47">
        <v>30</v>
      </c>
      <c r="E33" s="47">
        <v>1</v>
      </c>
      <c r="K33" s="47" t="s">
        <v>120</v>
      </c>
    </row>
    <row r="34" spans="1:11">
      <c r="A34" s="2">
        <v>43891</v>
      </c>
      <c r="C34" s="47" t="s">
        <v>58</v>
      </c>
      <c r="D34" s="47">
        <v>778</v>
      </c>
      <c r="E34" s="47">
        <v>8</v>
      </c>
      <c r="F34" s="47">
        <v>3</v>
      </c>
      <c r="G34" s="47">
        <v>0</v>
      </c>
      <c r="H34" s="47">
        <v>0</v>
      </c>
      <c r="J34" s="47">
        <v>0</v>
      </c>
      <c r="K34" s="47" t="s">
        <v>60</v>
      </c>
    </row>
    <row r="35" spans="1:11">
      <c r="A35" s="2">
        <v>43891</v>
      </c>
      <c r="C35" s="47" t="s">
        <v>66</v>
      </c>
      <c r="E35" s="47">
        <v>1</v>
      </c>
      <c r="F35" s="47">
        <v>1</v>
      </c>
      <c r="G35" s="47">
        <v>0</v>
      </c>
      <c r="J35" s="47">
        <v>0</v>
      </c>
      <c r="K35" s="47" t="s">
        <v>424</v>
      </c>
    </row>
    <row r="36" spans="1:11">
      <c r="A36" s="2">
        <v>43891</v>
      </c>
      <c r="C36" s="47" t="s">
        <v>71</v>
      </c>
      <c r="E36" s="47">
        <v>1</v>
      </c>
      <c r="K36" s="47" t="s">
        <v>377</v>
      </c>
    </row>
    <row r="37" spans="1:11">
      <c r="A37" s="2">
        <v>43891</v>
      </c>
      <c r="C37" s="47" t="s">
        <v>91</v>
      </c>
      <c r="K37" s="47" t="s">
        <v>36</v>
      </c>
    </row>
    <row r="38" spans="1:11">
      <c r="A38" s="2">
        <v>43891</v>
      </c>
      <c r="C38" s="47" t="s">
        <v>97</v>
      </c>
      <c r="F38" s="47">
        <v>4</v>
      </c>
      <c r="K38" s="47" t="s">
        <v>115</v>
      </c>
    </row>
    <row r="39" spans="1:11">
      <c r="A39" s="2">
        <v>43891</v>
      </c>
      <c r="C39" s="47" t="s">
        <v>100</v>
      </c>
      <c r="E39" s="47">
        <v>2</v>
      </c>
      <c r="F39" s="47">
        <v>6</v>
      </c>
      <c r="G39" s="47">
        <v>0</v>
      </c>
      <c r="H39" s="47">
        <v>0</v>
      </c>
      <c r="J39" s="47">
        <v>0</v>
      </c>
      <c r="K39" s="47" t="s">
        <v>419</v>
      </c>
    </row>
    <row r="40" spans="1:11">
      <c r="A40" s="2">
        <v>43891</v>
      </c>
      <c r="B40" s="47">
        <v>0.33333333333333331</v>
      </c>
      <c r="C40" s="47" t="s">
        <v>102</v>
      </c>
      <c r="E40" s="47">
        <v>0</v>
      </c>
      <c r="F40" s="47">
        <v>0</v>
      </c>
      <c r="G40" s="47">
        <v>0</v>
      </c>
      <c r="I40" s="47">
        <v>0</v>
      </c>
      <c r="J40" s="47">
        <v>0</v>
      </c>
      <c r="K40" s="47" t="s">
        <v>381</v>
      </c>
    </row>
    <row r="41" spans="1:11">
      <c r="A41" s="2">
        <v>43891</v>
      </c>
      <c r="B41" s="47">
        <v>0.60416666666666663</v>
      </c>
      <c r="C41" s="47" t="s">
        <v>104</v>
      </c>
      <c r="E41" s="47">
        <v>7</v>
      </c>
      <c r="K41" s="47" t="s">
        <v>106</v>
      </c>
    </row>
    <row r="42" spans="1:11">
      <c r="A42" s="2">
        <v>43891</v>
      </c>
      <c r="B42" s="47">
        <v>0.72847222222222219</v>
      </c>
      <c r="C42" s="47" t="s">
        <v>50</v>
      </c>
      <c r="E42" s="47">
        <v>1</v>
      </c>
      <c r="K42" s="47" t="s">
        <v>119</v>
      </c>
    </row>
    <row r="43" spans="1:11">
      <c r="A43" s="2">
        <v>43892</v>
      </c>
      <c r="C43" s="47" t="s">
        <v>44</v>
      </c>
      <c r="E43" s="47">
        <v>4</v>
      </c>
      <c r="K43" s="47" t="s">
        <v>122</v>
      </c>
    </row>
    <row r="44" spans="1:11">
      <c r="A44" s="2">
        <v>43892</v>
      </c>
      <c r="C44" s="47" t="s">
        <v>47</v>
      </c>
      <c r="E44" s="47">
        <v>2</v>
      </c>
      <c r="F44" s="47">
        <v>1</v>
      </c>
      <c r="K44" s="47" t="s">
        <v>36</v>
      </c>
    </row>
    <row r="45" spans="1:11">
      <c r="A45" s="2">
        <v>43892</v>
      </c>
      <c r="C45" s="47" t="s">
        <v>56</v>
      </c>
      <c r="E45" s="47">
        <v>2</v>
      </c>
      <c r="K45" s="47" t="s">
        <v>124</v>
      </c>
    </row>
    <row r="46" spans="1:11">
      <c r="A46" s="2">
        <v>43892</v>
      </c>
      <c r="C46" s="47" t="s">
        <v>58</v>
      </c>
      <c r="D46" s="47">
        <v>865</v>
      </c>
      <c r="E46" s="47">
        <v>8</v>
      </c>
      <c r="F46" s="47">
        <v>3</v>
      </c>
      <c r="G46" s="47">
        <v>0</v>
      </c>
      <c r="H46" s="47">
        <v>0</v>
      </c>
      <c r="J46" s="47">
        <v>0</v>
      </c>
      <c r="K46" s="47" t="s">
        <v>60</v>
      </c>
    </row>
    <row r="47" spans="1:11">
      <c r="A47" s="2">
        <v>43892</v>
      </c>
      <c r="C47" s="47" t="s">
        <v>66</v>
      </c>
      <c r="E47" s="47">
        <v>1</v>
      </c>
      <c r="F47" s="47">
        <v>1</v>
      </c>
      <c r="G47" s="47">
        <v>0</v>
      </c>
      <c r="J47" s="47">
        <v>0</v>
      </c>
      <c r="K47" s="47" t="s">
        <v>424</v>
      </c>
    </row>
    <row r="48" spans="1:11">
      <c r="A48" s="2">
        <v>43892</v>
      </c>
      <c r="C48" s="47" t="s">
        <v>71</v>
      </c>
      <c r="E48" s="47">
        <v>1</v>
      </c>
      <c r="F48" s="47">
        <v>1</v>
      </c>
      <c r="K48" s="47" t="s">
        <v>377</v>
      </c>
    </row>
    <row r="49" spans="1:11">
      <c r="A49" s="2">
        <v>43892</v>
      </c>
      <c r="C49" s="47" t="s">
        <v>78</v>
      </c>
      <c r="E49" s="47">
        <v>0</v>
      </c>
      <c r="K49" s="47" t="s">
        <v>125</v>
      </c>
    </row>
    <row r="50" spans="1:11">
      <c r="A50" s="2">
        <v>43892</v>
      </c>
      <c r="C50" s="47" t="s">
        <v>91</v>
      </c>
      <c r="E50" s="47">
        <v>2</v>
      </c>
      <c r="K50" s="47" t="s">
        <v>126</v>
      </c>
    </row>
    <row r="51" spans="1:11">
      <c r="A51" s="2">
        <v>43892</v>
      </c>
      <c r="C51" s="47" t="s">
        <v>97</v>
      </c>
      <c r="F51" s="47">
        <v>6</v>
      </c>
      <c r="K51" s="47" t="s">
        <v>115</v>
      </c>
    </row>
    <row r="52" spans="1:11">
      <c r="A52" s="2">
        <v>43892</v>
      </c>
      <c r="C52" s="47" t="s">
        <v>100</v>
      </c>
      <c r="E52" s="47">
        <v>3</v>
      </c>
      <c r="F52" s="47">
        <v>9</v>
      </c>
      <c r="G52" s="47">
        <v>0</v>
      </c>
      <c r="H52" s="47">
        <v>0</v>
      </c>
      <c r="J52" s="47">
        <v>0</v>
      </c>
      <c r="K52" s="47" t="s">
        <v>419</v>
      </c>
    </row>
    <row r="53" spans="1:11">
      <c r="A53" s="2">
        <v>43892</v>
      </c>
      <c r="B53" s="47">
        <v>0.33333333333333331</v>
      </c>
      <c r="C53" s="47" t="s">
        <v>102</v>
      </c>
      <c r="E53" s="47">
        <v>0</v>
      </c>
      <c r="F53" s="47">
        <v>0</v>
      </c>
      <c r="G53" s="47">
        <v>0</v>
      </c>
      <c r="I53" s="47">
        <v>0</v>
      </c>
      <c r="J53" s="47">
        <v>0</v>
      </c>
      <c r="K53" s="47" t="s">
        <v>381</v>
      </c>
    </row>
    <row r="54" spans="1:11">
      <c r="A54" s="2">
        <v>43892</v>
      </c>
      <c r="B54" s="47">
        <v>0.60416666666666663</v>
      </c>
      <c r="C54" s="47" t="s">
        <v>104</v>
      </c>
      <c r="E54" s="47">
        <v>11</v>
      </c>
      <c r="K54" s="47" t="s">
        <v>106</v>
      </c>
    </row>
    <row r="55" spans="1:11">
      <c r="A55" s="2">
        <v>43892</v>
      </c>
      <c r="B55" s="47">
        <v>0.71875</v>
      </c>
      <c r="C55" s="47" t="s">
        <v>50</v>
      </c>
      <c r="D55" s="47">
        <v>235</v>
      </c>
      <c r="E55" s="47">
        <v>1</v>
      </c>
      <c r="K55" s="47" t="s">
        <v>123</v>
      </c>
    </row>
    <row r="56" spans="1:11">
      <c r="A56" s="2">
        <v>43892</v>
      </c>
      <c r="B56" s="47">
        <v>0.75</v>
      </c>
      <c r="C56" s="47" t="s">
        <v>34</v>
      </c>
      <c r="E56" s="47">
        <v>2</v>
      </c>
      <c r="K56" s="47" t="s">
        <v>121</v>
      </c>
    </row>
    <row r="57" spans="1:11">
      <c r="A57" s="2">
        <v>43893</v>
      </c>
      <c r="C57" s="47" t="s">
        <v>47</v>
      </c>
      <c r="E57" s="47">
        <v>2</v>
      </c>
      <c r="F57" s="47">
        <v>1</v>
      </c>
      <c r="K57" s="47" t="s">
        <v>36</v>
      </c>
    </row>
    <row r="58" spans="1:11">
      <c r="A58" s="2">
        <v>43893</v>
      </c>
      <c r="C58" s="47" t="s">
        <v>53</v>
      </c>
      <c r="D58" s="47">
        <v>14</v>
      </c>
      <c r="K58" s="47" t="s">
        <v>129</v>
      </c>
    </row>
    <row r="59" spans="1:11">
      <c r="A59" s="2">
        <v>43893</v>
      </c>
      <c r="C59" s="47" t="s">
        <v>58</v>
      </c>
      <c r="D59" s="47">
        <v>974</v>
      </c>
      <c r="E59" s="47">
        <v>11</v>
      </c>
      <c r="F59" s="47">
        <v>4</v>
      </c>
      <c r="G59" s="47">
        <v>0</v>
      </c>
      <c r="H59" s="47">
        <v>0</v>
      </c>
      <c r="J59" s="47">
        <v>0</v>
      </c>
      <c r="K59" s="47" t="s">
        <v>60</v>
      </c>
    </row>
    <row r="60" spans="1:11">
      <c r="A60" s="2">
        <v>43893</v>
      </c>
      <c r="C60" s="47" t="s">
        <v>66</v>
      </c>
      <c r="E60" s="47">
        <v>2</v>
      </c>
      <c r="F60" s="47">
        <v>1</v>
      </c>
      <c r="G60" s="47">
        <v>0</v>
      </c>
      <c r="J60" s="47">
        <v>0</v>
      </c>
      <c r="K60" s="47" t="s">
        <v>424</v>
      </c>
    </row>
    <row r="61" spans="1:11">
      <c r="A61" s="2">
        <v>43893</v>
      </c>
      <c r="C61" s="47" t="s">
        <v>71</v>
      </c>
      <c r="E61" s="47">
        <v>1</v>
      </c>
      <c r="F61" s="47">
        <v>1</v>
      </c>
      <c r="K61" s="47" t="s">
        <v>377</v>
      </c>
    </row>
    <row r="62" spans="1:11">
      <c r="A62" s="2">
        <v>43893</v>
      </c>
      <c r="C62" s="47" t="s">
        <v>86</v>
      </c>
      <c r="D62" s="47">
        <v>1</v>
      </c>
      <c r="E62" s="47">
        <v>1</v>
      </c>
      <c r="K62" s="47" t="s">
        <v>130</v>
      </c>
    </row>
    <row r="63" spans="1:11">
      <c r="A63" s="2">
        <v>43893</v>
      </c>
      <c r="C63" s="47" t="s">
        <v>91</v>
      </c>
      <c r="E63" s="47">
        <v>4</v>
      </c>
      <c r="K63" s="47" t="s">
        <v>131</v>
      </c>
    </row>
    <row r="64" spans="1:11">
      <c r="A64" s="2">
        <v>43893</v>
      </c>
      <c r="C64" s="47" t="s">
        <v>97</v>
      </c>
      <c r="F64" s="47">
        <v>8</v>
      </c>
      <c r="K64" s="47" t="s">
        <v>115</v>
      </c>
    </row>
    <row r="65" spans="1:11">
      <c r="A65" s="2">
        <v>43893</v>
      </c>
      <c r="C65" s="47" t="s">
        <v>100</v>
      </c>
      <c r="E65" s="47">
        <v>3</v>
      </c>
      <c r="F65" s="47">
        <v>11</v>
      </c>
      <c r="G65" s="47">
        <v>0</v>
      </c>
      <c r="H65" s="47">
        <v>0</v>
      </c>
      <c r="J65" s="47">
        <v>0</v>
      </c>
      <c r="K65" s="47" t="s">
        <v>419</v>
      </c>
    </row>
    <row r="66" spans="1:11">
      <c r="A66" s="2">
        <v>43893</v>
      </c>
      <c r="B66" s="47">
        <v>0.33333333333333331</v>
      </c>
      <c r="C66" s="47" t="s">
        <v>102</v>
      </c>
      <c r="E66" s="47">
        <v>1</v>
      </c>
      <c r="F66" s="47">
        <v>0</v>
      </c>
      <c r="G66" s="47">
        <v>0</v>
      </c>
      <c r="I66" s="47">
        <v>0</v>
      </c>
      <c r="J66" s="47">
        <v>0</v>
      </c>
      <c r="K66" s="47" t="s">
        <v>381</v>
      </c>
    </row>
    <row r="67" spans="1:11">
      <c r="A67" s="2">
        <v>43893</v>
      </c>
      <c r="B67" s="47">
        <v>0.60416666666666663</v>
      </c>
      <c r="C67" s="47" t="s">
        <v>104</v>
      </c>
      <c r="E67" s="47">
        <v>14</v>
      </c>
      <c r="K67" s="47" t="s">
        <v>106</v>
      </c>
    </row>
    <row r="68" spans="1:11">
      <c r="A68" s="2">
        <v>43893</v>
      </c>
      <c r="B68" s="47">
        <v>0.625</v>
      </c>
      <c r="C68" s="47" t="s">
        <v>34</v>
      </c>
      <c r="E68" s="47">
        <v>6</v>
      </c>
      <c r="K68" s="47" t="s">
        <v>127</v>
      </c>
    </row>
    <row r="69" spans="1:11">
      <c r="A69" s="2">
        <v>43893</v>
      </c>
      <c r="B69" s="47">
        <v>0.72916666666666663</v>
      </c>
      <c r="C69" s="47" t="s">
        <v>50</v>
      </c>
      <c r="E69" s="47">
        <v>3</v>
      </c>
      <c r="K69" s="47" t="s">
        <v>128</v>
      </c>
    </row>
    <row r="70" spans="1:11">
      <c r="A70" s="2">
        <v>43894</v>
      </c>
      <c r="C70" s="47" t="s">
        <v>44</v>
      </c>
      <c r="E70" s="47">
        <v>6</v>
      </c>
      <c r="K70" s="47" t="s">
        <v>133</v>
      </c>
    </row>
    <row r="71" spans="1:11">
      <c r="A71" s="2">
        <v>43894</v>
      </c>
      <c r="C71" s="47" t="s">
        <v>47</v>
      </c>
      <c r="E71" s="47">
        <v>2</v>
      </c>
      <c r="F71" s="47">
        <v>1</v>
      </c>
      <c r="K71" s="47" t="s">
        <v>36</v>
      </c>
    </row>
    <row r="72" spans="1:11">
      <c r="A72" s="2">
        <v>43894</v>
      </c>
      <c r="C72" s="47" t="s">
        <v>53</v>
      </c>
      <c r="D72" s="47">
        <v>16</v>
      </c>
      <c r="E72" s="47">
        <v>1</v>
      </c>
      <c r="K72" s="47" t="s">
        <v>135</v>
      </c>
    </row>
    <row r="73" spans="1:11">
      <c r="A73" s="2">
        <v>43894</v>
      </c>
      <c r="C73" s="47" t="s">
        <v>56</v>
      </c>
      <c r="E73" s="47">
        <v>4</v>
      </c>
      <c r="K73" s="47" t="s">
        <v>136</v>
      </c>
    </row>
    <row r="74" spans="1:11">
      <c r="A74" s="2">
        <v>43894</v>
      </c>
      <c r="C74" s="47" t="s">
        <v>58</v>
      </c>
      <c r="D74" s="47">
        <v>1081</v>
      </c>
      <c r="E74" s="47">
        <v>11</v>
      </c>
      <c r="F74" s="47">
        <v>4</v>
      </c>
      <c r="G74" s="47">
        <v>0</v>
      </c>
      <c r="H74" s="47">
        <v>0</v>
      </c>
      <c r="J74" s="47">
        <v>0</v>
      </c>
      <c r="K74" s="47" t="s">
        <v>60</v>
      </c>
    </row>
    <row r="75" spans="1:11">
      <c r="A75" s="2">
        <v>43894</v>
      </c>
      <c r="C75" s="47" t="s">
        <v>66</v>
      </c>
      <c r="E75" s="47">
        <v>2</v>
      </c>
      <c r="F75" s="47">
        <v>1</v>
      </c>
      <c r="G75" s="47">
        <v>0</v>
      </c>
      <c r="J75" s="47">
        <v>0</v>
      </c>
      <c r="K75" s="47" t="s">
        <v>424</v>
      </c>
    </row>
    <row r="76" spans="1:11">
      <c r="A76" s="2">
        <v>43894</v>
      </c>
      <c r="C76" s="47" t="s">
        <v>71</v>
      </c>
      <c r="E76" s="47">
        <v>8</v>
      </c>
      <c r="F76" s="47">
        <v>4</v>
      </c>
      <c r="K76" s="47" t="s">
        <v>377</v>
      </c>
    </row>
    <row r="77" spans="1:11">
      <c r="A77" s="2">
        <v>43894</v>
      </c>
      <c r="C77" s="47" t="s">
        <v>86</v>
      </c>
      <c r="D77" s="47">
        <v>3</v>
      </c>
      <c r="E77" s="47">
        <v>3</v>
      </c>
      <c r="F77" s="47">
        <v>1</v>
      </c>
      <c r="K77" s="47" t="s">
        <v>130</v>
      </c>
    </row>
    <row r="78" spans="1:11">
      <c r="A78" s="2">
        <v>43894</v>
      </c>
      <c r="C78" s="47" t="s">
        <v>91</v>
      </c>
      <c r="E78" s="47">
        <v>5</v>
      </c>
      <c r="K78" s="47" t="s">
        <v>139</v>
      </c>
    </row>
    <row r="79" spans="1:11">
      <c r="A79" s="2">
        <v>43894</v>
      </c>
      <c r="C79" s="47" t="s">
        <v>97</v>
      </c>
      <c r="F79" s="47">
        <v>11</v>
      </c>
      <c r="G79" s="47">
        <v>1</v>
      </c>
      <c r="K79" s="47" t="s">
        <v>115</v>
      </c>
    </row>
    <row r="80" spans="1:11">
      <c r="A80" s="2">
        <v>43894</v>
      </c>
      <c r="C80" s="47" t="s">
        <v>100</v>
      </c>
      <c r="E80" s="47">
        <v>4</v>
      </c>
      <c r="F80" s="47">
        <v>12</v>
      </c>
      <c r="G80" s="47">
        <v>0</v>
      </c>
      <c r="H80" s="47">
        <v>0</v>
      </c>
      <c r="J80" s="47">
        <v>0</v>
      </c>
      <c r="K80" s="47" t="s">
        <v>419</v>
      </c>
    </row>
    <row r="81" spans="1:11">
      <c r="A81" s="2">
        <v>43894</v>
      </c>
      <c r="B81" s="47">
        <v>0.27430555555555558</v>
      </c>
      <c r="C81" s="47" t="s">
        <v>78</v>
      </c>
      <c r="E81" s="47">
        <v>1</v>
      </c>
      <c r="K81" s="47" t="s">
        <v>138</v>
      </c>
    </row>
    <row r="82" spans="1:11">
      <c r="A82" s="2">
        <v>43894</v>
      </c>
      <c r="B82" s="47">
        <v>0.33333333333333331</v>
      </c>
      <c r="C82" s="47" t="s">
        <v>102</v>
      </c>
      <c r="E82" s="47">
        <v>1</v>
      </c>
      <c r="F82" s="47">
        <v>0</v>
      </c>
      <c r="G82" s="47">
        <v>0</v>
      </c>
      <c r="I82" s="47">
        <v>0</v>
      </c>
      <c r="J82" s="47">
        <v>0</v>
      </c>
      <c r="K82" s="47" t="s">
        <v>381</v>
      </c>
    </row>
    <row r="83" spans="1:11">
      <c r="A83" s="2">
        <v>43894</v>
      </c>
      <c r="B83" s="47">
        <v>0.60416666666666663</v>
      </c>
      <c r="C83" s="47" t="s">
        <v>104</v>
      </c>
      <c r="E83" s="47">
        <v>16</v>
      </c>
      <c r="K83" s="47" t="s">
        <v>106</v>
      </c>
    </row>
    <row r="84" spans="1:11">
      <c r="A84" s="2">
        <v>43894</v>
      </c>
      <c r="B84" s="47">
        <v>0.625</v>
      </c>
      <c r="C84" s="47" t="s">
        <v>34</v>
      </c>
      <c r="E84" s="47">
        <v>7</v>
      </c>
      <c r="K84" s="47" t="s">
        <v>132</v>
      </c>
    </row>
    <row r="85" spans="1:11">
      <c r="A85" s="2">
        <v>43894</v>
      </c>
      <c r="B85" s="47">
        <v>0.72222222222222221</v>
      </c>
      <c r="C85" s="47" t="s">
        <v>50</v>
      </c>
      <c r="E85" s="47">
        <v>3</v>
      </c>
      <c r="K85" s="47" t="s">
        <v>134</v>
      </c>
    </row>
    <row r="86" spans="1:11">
      <c r="A86" s="2">
        <v>43894</v>
      </c>
      <c r="B86" s="47">
        <v>0.75</v>
      </c>
      <c r="C86" s="47" t="s">
        <v>68</v>
      </c>
      <c r="E86" s="47">
        <v>0</v>
      </c>
      <c r="K86" s="47" t="s">
        <v>137</v>
      </c>
    </row>
    <row r="87" spans="1:11">
      <c r="A87" s="2">
        <v>43895</v>
      </c>
      <c r="C87" s="47" t="s">
        <v>41</v>
      </c>
      <c r="E87" s="47">
        <v>1</v>
      </c>
      <c r="K87" s="47" t="s">
        <v>141</v>
      </c>
    </row>
    <row r="88" spans="1:11">
      <c r="A88" s="2">
        <v>43895</v>
      </c>
      <c r="C88" s="47" t="s">
        <v>47</v>
      </c>
      <c r="E88" s="47">
        <v>6</v>
      </c>
      <c r="F88" s="47">
        <v>1</v>
      </c>
      <c r="K88" s="47" t="s">
        <v>142</v>
      </c>
    </row>
    <row r="89" spans="1:11">
      <c r="A89" s="2">
        <v>43895</v>
      </c>
      <c r="C89" s="47" t="s">
        <v>53</v>
      </c>
      <c r="D89" s="47">
        <v>18</v>
      </c>
      <c r="E89" s="47">
        <v>1</v>
      </c>
      <c r="K89" s="47" t="s">
        <v>144</v>
      </c>
    </row>
    <row r="90" spans="1:11">
      <c r="A90" s="2">
        <v>43895</v>
      </c>
      <c r="C90" s="47" t="s">
        <v>56</v>
      </c>
      <c r="E90" s="47">
        <v>6</v>
      </c>
      <c r="K90" s="47" t="s">
        <v>145</v>
      </c>
    </row>
    <row r="91" spans="1:11">
      <c r="A91" s="2">
        <v>43895</v>
      </c>
      <c r="C91" s="47" t="s">
        <v>58</v>
      </c>
      <c r="D91" s="47">
        <v>1146</v>
      </c>
      <c r="E91" s="47">
        <v>15</v>
      </c>
      <c r="F91" s="47">
        <v>5</v>
      </c>
      <c r="G91" s="47">
        <v>0</v>
      </c>
      <c r="H91" s="47">
        <v>0</v>
      </c>
      <c r="J91" s="47">
        <v>0</v>
      </c>
      <c r="K91" s="47" t="s">
        <v>60</v>
      </c>
    </row>
    <row r="92" spans="1:11">
      <c r="A92" s="2">
        <v>43895</v>
      </c>
      <c r="C92" s="47" t="s">
        <v>66</v>
      </c>
      <c r="E92" s="47">
        <v>4</v>
      </c>
      <c r="F92" s="47">
        <v>2</v>
      </c>
      <c r="G92" s="47">
        <v>0</v>
      </c>
      <c r="J92" s="47">
        <v>0</v>
      </c>
      <c r="K92" s="47" t="s">
        <v>424</v>
      </c>
    </row>
    <row r="93" spans="1:11">
      <c r="A93" s="2">
        <v>43895</v>
      </c>
      <c r="C93" s="47" t="s">
        <v>71</v>
      </c>
      <c r="E93" s="47">
        <v>9</v>
      </c>
      <c r="F93" s="47">
        <v>4</v>
      </c>
      <c r="K93" s="47" t="s">
        <v>377</v>
      </c>
    </row>
    <row r="94" spans="1:11">
      <c r="A94" s="2">
        <v>43895</v>
      </c>
      <c r="C94" s="47" t="s">
        <v>91</v>
      </c>
      <c r="E94" s="47">
        <v>18</v>
      </c>
      <c r="K94" s="47" t="s">
        <v>146</v>
      </c>
    </row>
    <row r="95" spans="1:11">
      <c r="A95" s="2">
        <v>43895</v>
      </c>
      <c r="C95" s="47" t="s">
        <v>97</v>
      </c>
      <c r="F95" s="47">
        <v>14</v>
      </c>
      <c r="G95" s="47">
        <v>1</v>
      </c>
      <c r="K95" s="47" t="s">
        <v>115</v>
      </c>
    </row>
    <row r="96" spans="1:11">
      <c r="A96" s="2">
        <v>43895</v>
      </c>
      <c r="C96" s="47" t="s">
        <v>100</v>
      </c>
      <c r="E96" s="47">
        <v>5</v>
      </c>
      <c r="F96" s="47">
        <v>10</v>
      </c>
      <c r="G96" s="47">
        <v>0</v>
      </c>
      <c r="H96" s="47">
        <v>0</v>
      </c>
      <c r="J96" s="47">
        <v>0</v>
      </c>
      <c r="K96" s="47" t="s">
        <v>419</v>
      </c>
    </row>
    <row r="97" spans="1:11">
      <c r="A97" s="2">
        <v>43895</v>
      </c>
      <c r="B97" s="47">
        <v>0.33333333333333331</v>
      </c>
      <c r="C97" s="47" t="s">
        <v>102</v>
      </c>
      <c r="E97" s="47">
        <v>2</v>
      </c>
      <c r="F97" s="47">
        <v>0</v>
      </c>
      <c r="G97" s="47">
        <v>0</v>
      </c>
      <c r="I97" s="47">
        <v>0</v>
      </c>
      <c r="J97" s="47">
        <v>0</v>
      </c>
      <c r="K97" s="47" t="s">
        <v>381</v>
      </c>
    </row>
    <row r="98" spans="1:11">
      <c r="A98" s="2">
        <v>43895</v>
      </c>
      <c r="B98" s="47">
        <v>0.60416666666666663</v>
      </c>
      <c r="C98" s="47" t="s">
        <v>104</v>
      </c>
      <c r="E98" s="47">
        <v>24</v>
      </c>
      <c r="K98" s="47" t="s">
        <v>106</v>
      </c>
    </row>
    <row r="99" spans="1:11">
      <c r="A99" s="2">
        <v>43895</v>
      </c>
      <c r="B99" s="47">
        <v>0.625</v>
      </c>
      <c r="C99" s="47" t="s">
        <v>34</v>
      </c>
      <c r="E99" s="47">
        <v>9</v>
      </c>
      <c r="K99" s="47" t="s">
        <v>140</v>
      </c>
    </row>
    <row r="100" spans="1:11">
      <c r="A100" s="2">
        <v>43895</v>
      </c>
      <c r="B100" s="47">
        <v>0.71875</v>
      </c>
      <c r="C100" s="47" t="s">
        <v>50</v>
      </c>
      <c r="E100" s="47">
        <v>8</v>
      </c>
      <c r="F100" s="47">
        <v>1</v>
      </c>
      <c r="K100" s="47" t="s">
        <v>143</v>
      </c>
    </row>
    <row r="101" spans="1:11">
      <c r="A101" s="2">
        <v>43896</v>
      </c>
      <c r="C101" s="47" t="s">
        <v>44</v>
      </c>
      <c r="E101" s="47">
        <v>17</v>
      </c>
      <c r="K101" s="47" t="s">
        <v>148</v>
      </c>
    </row>
    <row r="102" spans="1:11">
      <c r="A102" s="2">
        <v>43896</v>
      </c>
      <c r="C102" s="47" t="s">
        <v>47</v>
      </c>
      <c r="E102" s="47">
        <v>6</v>
      </c>
      <c r="F102" s="47">
        <v>4</v>
      </c>
      <c r="G102" s="47">
        <v>2</v>
      </c>
      <c r="K102" s="47" t="s">
        <v>36</v>
      </c>
    </row>
    <row r="103" spans="1:11">
      <c r="A103" s="2">
        <v>43896</v>
      </c>
      <c r="C103" s="47" t="s">
        <v>53</v>
      </c>
      <c r="D103" s="47">
        <v>22</v>
      </c>
      <c r="E103" s="47">
        <v>1</v>
      </c>
      <c r="K103" s="47" t="s">
        <v>150</v>
      </c>
    </row>
    <row r="104" spans="1:11">
      <c r="A104" s="2">
        <v>43896</v>
      </c>
      <c r="C104" s="47" t="s">
        <v>58</v>
      </c>
      <c r="D104" s="47">
        <v>1241</v>
      </c>
      <c r="E104" s="47">
        <v>19</v>
      </c>
      <c r="F104" s="47">
        <v>7</v>
      </c>
      <c r="G104" s="47">
        <v>0</v>
      </c>
      <c r="H104" s="47">
        <v>0</v>
      </c>
      <c r="J104" s="47">
        <v>0</v>
      </c>
      <c r="K104" s="47" t="s">
        <v>60</v>
      </c>
    </row>
    <row r="105" spans="1:11">
      <c r="A105" s="2">
        <v>43896</v>
      </c>
      <c r="C105" s="47" t="s">
        <v>66</v>
      </c>
      <c r="E105" s="47">
        <v>4</v>
      </c>
      <c r="F105" s="47">
        <v>5</v>
      </c>
      <c r="G105" s="47">
        <v>0</v>
      </c>
      <c r="J105" s="47">
        <v>0</v>
      </c>
      <c r="K105" s="47" t="s">
        <v>424</v>
      </c>
    </row>
    <row r="106" spans="1:11">
      <c r="A106" s="2">
        <v>43896</v>
      </c>
      <c r="C106" s="47" t="s">
        <v>71</v>
      </c>
      <c r="E106" s="47">
        <v>13</v>
      </c>
      <c r="F106" s="47">
        <v>2</v>
      </c>
      <c r="K106" s="47" t="s">
        <v>377</v>
      </c>
    </row>
    <row r="107" spans="1:11">
      <c r="A107" s="2">
        <v>43896</v>
      </c>
      <c r="C107" s="47" t="s">
        <v>86</v>
      </c>
      <c r="D107" s="47">
        <v>6</v>
      </c>
      <c r="E107" s="47">
        <v>6</v>
      </c>
      <c r="K107" s="47" t="s">
        <v>153</v>
      </c>
    </row>
    <row r="108" spans="1:11">
      <c r="A108" s="2">
        <v>43896</v>
      </c>
      <c r="C108" s="47" t="s">
        <v>91</v>
      </c>
      <c r="K108" s="47" t="s">
        <v>36</v>
      </c>
    </row>
    <row r="109" spans="1:11">
      <c r="A109" s="2">
        <v>43896</v>
      </c>
      <c r="C109" s="47" t="s">
        <v>97</v>
      </c>
      <c r="E109" s="47">
        <v>23</v>
      </c>
      <c r="F109" s="47">
        <v>15</v>
      </c>
      <c r="G109" s="47">
        <v>2</v>
      </c>
      <c r="J109" s="47">
        <v>1</v>
      </c>
      <c r="K109" s="47" t="s">
        <v>115</v>
      </c>
    </row>
    <row r="110" spans="1:11">
      <c r="A110" s="2">
        <v>43896</v>
      </c>
      <c r="C110" s="47" t="s">
        <v>100</v>
      </c>
      <c r="E110" s="47">
        <v>6</v>
      </c>
      <c r="F110" s="47">
        <v>11</v>
      </c>
      <c r="G110" s="47">
        <v>0</v>
      </c>
      <c r="H110" s="47">
        <v>0</v>
      </c>
      <c r="J110" s="47">
        <v>0</v>
      </c>
      <c r="K110" s="47" t="s">
        <v>419</v>
      </c>
    </row>
    <row r="111" spans="1:11">
      <c r="A111" s="2">
        <v>43896</v>
      </c>
      <c r="B111" s="47">
        <v>0.33333333333333331</v>
      </c>
      <c r="C111" s="47" t="s">
        <v>102</v>
      </c>
      <c r="E111" s="47">
        <v>3</v>
      </c>
      <c r="F111" s="47">
        <v>0</v>
      </c>
      <c r="G111" s="47">
        <v>0</v>
      </c>
      <c r="I111" s="47">
        <v>0</v>
      </c>
      <c r="J111" s="47">
        <v>0</v>
      </c>
      <c r="K111" s="47" t="s">
        <v>381</v>
      </c>
    </row>
    <row r="112" spans="1:11">
      <c r="A112" s="2">
        <v>43896</v>
      </c>
      <c r="B112" s="47">
        <v>0.5</v>
      </c>
      <c r="C112" s="47" t="s">
        <v>83</v>
      </c>
      <c r="E112" s="47">
        <v>1</v>
      </c>
      <c r="K112" s="47" t="s">
        <v>152</v>
      </c>
    </row>
    <row r="113" spans="1:11">
      <c r="A113" s="2">
        <v>43896</v>
      </c>
      <c r="B113" s="47">
        <v>0.58333333333333337</v>
      </c>
      <c r="C113" s="47" t="s">
        <v>50</v>
      </c>
      <c r="E113" s="47">
        <v>15</v>
      </c>
      <c r="F113" s="47">
        <v>1</v>
      </c>
      <c r="K113" s="47" t="s">
        <v>149</v>
      </c>
    </row>
    <row r="114" spans="1:11">
      <c r="A114" s="2">
        <v>43896</v>
      </c>
      <c r="B114" s="47">
        <v>0.60416666666666663</v>
      </c>
      <c r="C114" s="47" t="s">
        <v>104</v>
      </c>
      <c r="E114" s="47">
        <v>30</v>
      </c>
      <c r="K114" s="47" t="s">
        <v>106</v>
      </c>
    </row>
    <row r="115" spans="1:11">
      <c r="A115" s="2">
        <v>43896</v>
      </c>
      <c r="B115" s="47">
        <v>0.625</v>
      </c>
      <c r="C115" s="47" t="s">
        <v>34</v>
      </c>
      <c r="E115" s="47">
        <v>12</v>
      </c>
      <c r="I115" s="47">
        <v>1</v>
      </c>
      <c r="K115" s="47" t="s">
        <v>147</v>
      </c>
    </row>
    <row r="116" spans="1:11">
      <c r="A116" s="2">
        <v>43896</v>
      </c>
      <c r="B116" s="47">
        <v>0.65138888888888891</v>
      </c>
      <c r="C116" s="47" t="s">
        <v>78</v>
      </c>
      <c r="E116" s="47">
        <v>2</v>
      </c>
      <c r="K116" s="47" t="s">
        <v>151</v>
      </c>
    </row>
    <row r="117" spans="1:11">
      <c r="A117" s="2">
        <v>43897</v>
      </c>
      <c r="C117" s="47" t="s">
        <v>47</v>
      </c>
      <c r="E117" s="47">
        <v>15</v>
      </c>
      <c r="F117" s="47">
        <v>4</v>
      </c>
      <c r="G117" s="47">
        <v>2</v>
      </c>
      <c r="K117" s="47" t="s">
        <v>154</v>
      </c>
    </row>
    <row r="118" spans="1:11">
      <c r="A118" s="2">
        <v>43897</v>
      </c>
      <c r="C118" s="47" t="s">
        <v>58</v>
      </c>
      <c r="D118" s="47">
        <v>1316</v>
      </c>
      <c r="E118" s="47">
        <v>30</v>
      </c>
      <c r="F118" s="47">
        <v>7</v>
      </c>
      <c r="G118" s="47">
        <v>0</v>
      </c>
      <c r="H118" s="47">
        <v>0</v>
      </c>
      <c r="J118" s="47">
        <v>0</v>
      </c>
      <c r="K118" s="47" t="s">
        <v>60</v>
      </c>
    </row>
    <row r="119" spans="1:11">
      <c r="A119" s="2">
        <v>43897</v>
      </c>
      <c r="C119" s="47" t="s">
        <v>66</v>
      </c>
      <c r="E119" s="47">
        <v>5</v>
      </c>
      <c r="F119" s="47">
        <v>5</v>
      </c>
      <c r="G119" s="47">
        <v>0</v>
      </c>
      <c r="J119" s="47">
        <v>0</v>
      </c>
      <c r="K119" s="47" t="s">
        <v>424</v>
      </c>
    </row>
    <row r="120" spans="1:11">
      <c r="A120" s="2">
        <v>43897</v>
      </c>
      <c r="C120" s="47" t="s">
        <v>71</v>
      </c>
      <c r="E120" s="47">
        <v>18</v>
      </c>
      <c r="F120" s="47">
        <v>2</v>
      </c>
      <c r="K120" s="47" t="s">
        <v>377</v>
      </c>
    </row>
    <row r="121" spans="1:11">
      <c r="A121" s="2">
        <v>43897</v>
      </c>
      <c r="C121" s="47" t="s">
        <v>91</v>
      </c>
      <c r="E121" s="47">
        <v>45</v>
      </c>
      <c r="K121" s="47" t="s">
        <v>156</v>
      </c>
    </row>
    <row r="122" spans="1:11">
      <c r="A122" s="2">
        <v>43897</v>
      </c>
      <c r="C122" s="47" t="s">
        <v>97</v>
      </c>
      <c r="E122" s="47">
        <v>30</v>
      </c>
      <c r="F122" s="47">
        <v>16</v>
      </c>
      <c r="G122" s="47">
        <v>4</v>
      </c>
      <c r="J122" s="47">
        <v>1</v>
      </c>
      <c r="K122" s="47" t="s">
        <v>115</v>
      </c>
    </row>
    <row r="123" spans="1:11">
      <c r="A123" s="2">
        <v>43897</v>
      </c>
      <c r="C123" s="47" t="s">
        <v>100</v>
      </c>
      <c r="E123" s="47">
        <v>7</v>
      </c>
      <c r="F123" s="47">
        <v>11</v>
      </c>
      <c r="G123" s="47">
        <v>0</v>
      </c>
      <c r="H123" s="47">
        <v>0</v>
      </c>
      <c r="J123" s="47">
        <v>0</v>
      </c>
      <c r="K123" s="47" t="s">
        <v>419</v>
      </c>
    </row>
    <row r="124" spans="1:11">
      <c r="A124" s="2">
        <v>43897</v>
      </c>
      <c r="B124" s="47">
        <v>0.33333333333333331</v>
      </c>
      <c r="C124" s="47" t="s">
        <v>102</v>
      </c>
      <c r="E124" s="47">
        <v>3</v>
      </c>
      <c r="F124" s="47">
        <v>0</v>
      </c>
      <c r="G124" s="47">
        <v>0</v>
      </c>
      <c r="I124" s="47">
        <v>0</v>
      </c>
      <c r="J124" s="47">
        <v>0</v>
      </c>
      <c r="K124" s="47" t="s">
        <v>381</v>
      </c>
    </row>
    <row r="125" spans="1:11">
      <c r="A125" s="2">
        <v>43897</v>
      </c>
      <c r="B125" s="47">
        <v>0.5</v>
      </c>
      <c r="C125" s="47" t="s">
        <v>50</v>
      </c>
      <c r="E125" s="47">
        <v>21</v>
      </c>
      <c r="F125" s="47">
        <v>1</v>
      </c>
      <c r="K125" s="47" t="s">
        <v>155</v>
      </c>
    </row>
    <row r="126" spans="1:11">
      <c r="A126" s="2">
        <v>43897</v>
      </c>
      <c r="B126" s="47">
        <v>0.60416666666666663</v>
      </c>
      <c r="C126" s="47" t="s">
        <v>104</v>
      </c>
      <c r="E126" s="47">
        <v>35</v>
      </c>
      <c r="K126" s="47" t="s">
        <v>106</v>
      </c>
    </row>
    <row r="127" spans="1:11">
      <c r="A127" s="2">
        <v>43898</v>
      </c>
      <c r="C127" s="47" t="s">
        <v>47</v>
      </c>
      <c r="E127" s="47">
        <v>19</v>
      </c>
      <c r="F127" s="47">
        <v>4</v>
      </c>
      <c r="G127" s="47">
        <v>2</v>
      </c>
      <c r="J127" s="47">
        <v>1</v>
      </c>
      <c r="K127" s="47" t="s">
        <v>157</v>
      </c>
    </row>
    <row r="128" spans="1:11">
      <c r="A128" s="2">
        <v>43898</v>
      </c>
      <c r="C128" s="47" t="s">
        <v>56</v>
      </c>
      <c r="E128" s="47">
        <v>8</v>
      </c>
      <c r="K128" s="47" t="s">
        <v>145</v>
      </c>
    </row>
    <row r="129" spans="1:11">
      <c r="A129" s="2">
        <v>43898</v>
      </c>
      <c r="C129" s="47" t="s">
        <v>58</v>
      </c>
      <c r="D129" s="47">
        <v>1383</v>
      </c>
      <c r="E129" s="47">
        <v>38</v>
      </c>
      <c r="F129" s="47">
        <v>9</v>
      </c>
      <c r="G129" s="47">
        <v>0</v>
      </c>
      <c r="H129" s="47">
        <v>0</v>
      </c>
      <c r="J129" s="47">
        <v>0</v>
      </c>
      <c r="K129" s="47" t="s">
        <v>60</v>
      </c>
    </row>
    <row r="130" spans="1:11">
      <c r="A130" s="2">
        <v>43898</v>
      </c>
      <c r="C130" s="47" t="s">
        <v>66</v>
      </c>
      <c r="E130" s="47">
        <v>5</v>
      </c>
      <c r="F130" s="47">
        <v>5</v>
      </c>
      <c r="G130" s="47">
        <v>0</v>
      </c>
      <c r="J130" s="47">
        <v>0</v>
      </c>
      <c r="K130" s="47" t="s">
        <v>424</v>
      </c>
    </row>
    <row r="131" spans="1:11">
      <c r="A131" s="2">
        <v>43898</v>
      </c>
      <c r="C131" s="47" t="s">
        <v>71</v>
      </c>
      <c r="E131" s="47">
        <v>24</v>
      </c>
      <c r="F131" s="47">
        <v>3</v>
      </c>
      <c r="K131" s="47" t="s">
        <v>377</v>
      </c>
    </row>
    <row r="132" spans="1:11">
      <c r="A132" s="2">
        <v>43898</v>
      </c>
      <c r="C132" s="47" t="s">
        <v>91</v>
      </c>
      <c r="E132" s="47">
        <v>58</v>
      </c>
      <c r="K132" s="47" t="s">
        <v>159</v>
      </c>
    </row>
    <row r="133" spans="1:11">
      <c r="A133" s="2">
        <v>43898</v>
      </c>
      <c r="C133" s="47" t="s">
        <v>97</v>
      </c>
      <c r="E133" s="47">
        <v>40</v>
      </c>
      <c r="F133" s="47">
        <v>22</v>
      </c>
      <c r="G133" s="47">
        <v>3</v>
      </c>
      <c r="J133" s="47">
        <v>1</v>
      </c>
      <c r="K133" s="47" t="s">
        <v>115</v>
      </c>
    </row>
    <row r="134" spans="1:11">
      <c r="A134" s="2">
        <v>43898</v>
      </c>
      <c r="C134" s="47" t="s">
        <v>100</v>
      </c>
      <c r="E134" s="47">
        <v>12</v>
      </c>
      <c r="F134" s="47">
        <v>15</v>
      </c>
      <c r="G134" s="47">
        <v>1</v>
      </c>
      <c r="H134" s="47">
        <v>1</v>
      </c>
      <c r="J134" s="47">
        <v>0</v>
      </c>
      <c r="K134" s="47" t="s">
        <v>419</v>
      </c>
    </row>
    <row r="135" spans="1:11">
      <c r="A135" s="2">
        <v>43898</v>
      </c>
      <c r="B135" s="47">
        <v>0.33333333333333331</v>
      </c>
      <c r="C135" s="47" t="s">
        <v>102</v>
      </c>
      <c r="E135" s="47">
        <v>3</v>
      </c>
      <c r="F135" s="47">
        <v>0</v>
      </c>
      <c r="G135" s="47">
        <v>0</v>
      </c>
      <c r="I135" s="47">
        <v>0</v>
      </c>
      <c r="J135" s="47">
        <v>0</v>
      </c>
      <c r="K135" s="47" t="s">
        <v>381</v>
      </c>
    </row>
    <row r="136" spans="1:11">
      <c r="A136" s="2">
        <v>43898</v>
      </c>
      <c r="B136" s="47">
        <v>0.5</v>
      </c>
      <c r="C136" s="47" t="s">
        <v>50</v>
      </c>
      <c r="E136" s="47">
        <v>24</v>
      </c>
      <c r="F136" s="47">
        <v>1</v>
      </c>
      <c r="K136" s="47" t="s">
        <v>158</v>
      </c>
    </row>
    <row r="137" spans="1:11">
      <c r="A137" s="2">
        <v>43898</v>
      </c>
      <c r="B137" s="47">
        <v>0.60416666666666663</v>
      </c>
      <c r="C137" s="47" t="s">
        <v>104</v>
      </c>
      <c r="E137" s="47">
        <v>41</v>
      </c>
      <c r="K137" s="47" t="s">
        <v>106</v>
      </c>
    </row>
    <row r="138" spans="1:11">
      <c r="A138" s="2">
        <v>43899</v>
      </c>
      <c r="C138" s="47" t="s">
        <v>41</v>
      </c>
      <c r="E138" s="47">
        <v>2</v>
      </c>
      <c r="K138" s="47" t="s">
        <v>161</v>
      </c>
    </row>
    <row r="139" spans="1:11">
      <c r="A139" s="2">
        <v>43899</v>
      </c>
      <c r="C139" s="47" t="s">
        <v>44</v>
      </c>
      <c r="E139" s="47">
        <v>34</v>
      </c>
      <c r="K139" s="47" t="s">
        <v>162</v>
      </c>
    </row>
    <row r="140" spans="1:11">
      <c r="A140" s="2">
        <v>43899</v>
      </c>
      <c r="C140" s="47" t="s">
        <v>47</v>
      </c>
      <c r="E140" s="47">
        <v>20</v>
      </c>
      <c r="F140" s="47">
        <v>4</v>
      </c>
      <c r="G140" s="47">
        <v>4</v>
      </c>
      <c r="I140" s="47">
        <v>1</v>
      </c>
      <c r="J140" s="47">
        <v>1</v>
      </c>
      <c r="K140" s="47" t="s">
        <v>163</v>
      </c>
    </row>
    <row r="141" spans="1:11">
      <c r="A141" s="2">
        <v>43899</v>
      </c>
      <c r="C141" s="47" t="s">
        <v>53</v>
      </c>
      <c r="D141" s="47">
        <v>24</v>
      </c>
      <c r="E141" s="47">
        <v>1</v>
      </c>
      <c r="K141" s="47" t="s">
        <v>165</v>
      </c>
    </row>
    <row r="142" spans="1:11">
      <c r="A142" s="2">
        <v>43899</v>
      </c>
      <c r="C142" s="47" t="s">
        <v>56</v>
      </c>
      <c r="E142" s="47">
        <v>11</v>
      </c>
      <c r="K142" s="47" t="s">
        <v>145</v>
      </c>
    </row>
    <row r="143" spans="1:11">
      <c r="A143" s="2">
        <v>43899</v>
      </c>
      <c r="C143" s="47" t="s">
        <v>58</v>
      </c>
      <c r="D143" s="47">
        <v>1488</v>
      </c>
      <c r="E143" s="47">
        <v>47</v>
      </c>
      <c r="F143" s="47">
        <v>13</v>
      </c>
      <c r="G143" s="47">
        <v>3</v>
      </c>
      <c r="H143" s="47">
        <v>1</v>
      </c>
      <c r="J143" s="47">
        <v>0</v>
      </c>
      <c r="K143" s="47" t="s">
        <v>60</v>
      </c>
    </row>
    <row r="144" spans="1:11">
      <c r="A144" s="2">
        <v>43899</v>
      </c>
      <c r="C144" s="47" t="s">
        <v>66</v>
      </c>
      <c r="E144" s="47">
        <v>7</v>
      </c>
      <c r="F144" s="47">
        <v>5</v>
      </c>
      <c r="G144" s="47">
        <v>0</v>
      </c>
      <c r="J144" s="47">
        <v>0</v>
      </c>
      <c r="K144" s="47" t="s">
        <v>424</v>
      </c>
    </row>
    <row r="145" spans="1:11">
      <c r="A145" s="2">
        <v>43899</v>
      </c>
      <c r="C145" s="47" t="s">
        <v>71</v>
      </c>
      <c r="E145" s="47">
        <v>27</v>
      </c>
      <c r="F145" s="47">
        <v>4</v>
      </c>
      <c r="K145" s="47" t="s">
        <v>377</v>
      </c>
    </row>
    <row r="146" spans="1:11">
      <c r="A146" s="2">
        <v>43899</v>
      </c>
      <c r="C146" s="47" t="s">
        <v>91</v>
      </c>
      <c r="E146" s="47">
        <v>68</v>
      </c>
      <c r="K146" s="47" t="s">
        <v>166</v>
      </c>
    </row>
    <row r="147" spans="1:11">
      <c r="A147" s="2">
        <v>43899</v>
      </c>
      <c r="C147" s="47" t="s">
        <v>97</v>
      </c>
      <c r="E147" s="47">
        <v>51</v>
      </c>
      <c r="F147" s="47">
        <v>29</v>
      </c>
      <c r="G147" s="47">
        <v>5</v>
      </c>
      <c r="J147" s="47">
        <v>1</v>
      </c>
      <c r="K147" s="47" t="s">
        <v>115</v>
      </c>
    </row>
    <row r="148" spans="1:11">
      <c r="A148" s="2">
        <v>43899</v>
      </c>
      <c r="C148" s="47" t="s">
        <v>100</v>
      </c>
      <c r="E148" s="47">
        <v>17</v>
      </c>
      <c r="F148" s="47">
        <v>16</v>
      </c>
      <c r="G148" s="47">
        <v>1</v>
      </c>
      <c r="H148" s="47">
        <v>1</v>
      </c>
      <c r="J148" s="47">
        <v>0</v>
      </c>
      <c r="K148" s="47" t="s">
        <v>419</v>
      </c>
    </row>
    <row r="149" spans="1:11">
      <c r="A149" s="2">
        <v>43899</v>
      </c>
      <c r="B149" s="47">
        <v>0.33333333333333331</v>
      </c>
      <c r="C149" s="47" t="s">
        <v>102</v>
      </c>
      <c r="E149" s="47">
        <v>10</v>
      </c>
      <c r="F149" s="47">
        <v>0</v>
      </c>
      <c r="G149" s="47">
        <v>0</v>
      </c>
      <c r="I149" s="47">
        <v>0</v>
      </c>
      <c r="J149" s="47">
        <v>0</v>
      </c>
      <c r="K149" s="47" t="s">
        <v>381</v>
      </c>
    </row>
    <row r="150" spans="1:11">
      <c r="A150" s="2">
        <v>43899</v>
      </c>
      <c r="B150" s="47">
        <v>0.5</v>
      </c>
      <c r="C150" s="47" t="s">
        <v>50</v>
      </c>
      <c r="E150" s="47">
        <v>28</v>
      </c>
      <c r="F150" s="47">
        <v>1</v>
      </c>
      <c r="K150" s="47" t="s">
        <v>164</v>
      </c>
    </row>
    <row r="151" spans="1:11">
      <c r="A151" s="2">
        <v>43899</v>
      </c>
      <c r="B151" s="47">
        <v>0.60416666666666663</v>
      </c>
      <c r="C151" s="47" t="s">
        <v>104</v>
      </c>
      <c r="E151" s="47">
        <v>50</v>
      </c>
      <c r="K151" s="47" t="s">
        <v>106</v>
      </c>
    </row>
    <row r="152" spans="1:11">
      <c r="A152" s="2">
        <v>43899</v>
      </c>
      <c r="B152" s="47">
        <v>0.625</v>
      </c>
      <c r="C152" s="47" t="s">
        <v>34</v>
      </c>
      <c r="E152" s="47">
        <v>14</v>
      </c>
      <c r="I152" s="47">
        <v>2</v>
      </c>
      <c r="K152" s="47" t="s">
        <v>160</v>
      </c>
    </row>
    <row r="153" spans="1:11">
      <c r="A153" s="2">
        <v>43900</v>
      </c>
      <c r="C153" s="47" t="s">
        <v>47</v>
      </c>
      <c r="E153" s="47">
        <v>22</v>
      </c>
      <c r="F153" s="47">
        <v>5</v>
      </c>
      <c r="G153" s="47">
        <v>1</v>
      </c>
      <c r="I153" s="47">
        <v>2</v>
      </c>
      <c r="J153" s="47">
        <v>1</v>
      </c>
      <c r="K153" s="47" t="s">
        <v>168</v>
      </c>
    </row>
    <row r="154" spans="1:11">
      <c r="A154" s="2">
        <v>43900</v>
      </c>
      <c r="C154" s="47" t="s">
        <v>53</v>
      </c>
      <c r="D154" s="47">
        <v>37</v>
      </c>
      <c r="E154" s="47">
        <v>1</v>
      </c>
      <c r="K154" s="47" t="s">
        <v>170</v>
      </c>
    </row>
    <row r="155" spans="1:11">
      <c r="A155" s="2">
        <v>43900</v>
      </c>
      <c r="C155" s="47" t="s">
        <v>58</v>
      </c>
      <c r="D155" s="47">
        <v>1688</v>
      </c>
      <c r="E155" s="47">
        <v>73</v>
      </c>
      <c r="F155" s="47">
        <v>18</v>
      </c>
      <c r="G155" s="47">
        <v>4</v>
      </c>
      <c r="H155" s="47">
        <v>1</v>
      </c>
      <c r="J155" s="47">
        <v>1</v>
      </c>
      <c r="K155" s="47" t="s">
        <v>60</v>
      </c>
    </row>
    <row r="156" spans="1:11">
      <c r="A156" s="2">
        <v>43900</v>
      </c>
      <c r="C156" s="47" t="s">
        <v>61</v>
      </c>
      <c r="E156" s="47">
        <v>1</v>
      </c>
      <c r="F156" s="47">
        <v>0</v>
      </c>
      <c r="J156" s="47">
        <v>0</v>
      </c>
      <c r="K156" s="47" t="s">
        <v>430</v>
      </c>
    </row>
    <row r="157" spans="1:11">
      <c r="A157" s="2">
        <v>43900</v>
      </c>
      <c r="C157" s="47" t="s">
        <v>66</v>
      </c>
      <c r="E157" s="47">
        <v>7</v>
      </c>
      <c r="F157" s="47">
        <v>5</v>
      </c>
      <c r="G157" s="47">
        <v>0</v>
      </c>
      <c r="J157" s="47">
        <v>0</v>
      </c>
      <c r="K157" s="47" t="s">
        <v>424</v>
      </c>
    </row>
    <row r="158" spans="1:11">
      <c r="A158" s="2">
        <v>43900</v>
      </c>
      <c r="C158" s="47" t="s">
        <v>71</v>
      </c>
      <c r="E158" s="47">
        <v>31</v>
      </c>
      <c r="F158" s="47">
        <v>4</v>
      </c>
      <c r="K158" s="47" t="s">
        <v>377</v>
      </c>
    </row>
    <row r="159" spans="1:11">
      <c r="A159" s="2">
        <v>43900</v>
      </c>
      <c r="C159" s="47" t="s">
        <v>91</v>
      </c>
      <c r="J159" s="47">
        <v>1</v>
      </c>
      <c r="K159" s="47" t="s">
        <v>171</v>
      </c>
    </row>
    <row r="160" spans="1:11">
      <c r="A160" s="2">
        <v>43900</v>
      </c>
      <c r="C160" s="47" t="s">
        <v>97</v>
      </c>
      <c r="E160" s="47">
        <v>130</v>
      </c>
      <c r="F160" s="47">
        <v>48</v>
      </c>
      <c r="G160" s="47">
        <v>8</v>
      </c>
      <c r="J160" s="47">
        <v>1</v>
      </c>
      <c r="K160" s="47" t="s">
        <v>99</v>
      </c>
    </row>
    <row r="161" spans="1:11">
      <c r="A161" s="2">
        <v>43900</v>
      </c>
      <c r="C161" s="47" t="s">
        <v>100</v>
      </c>
      <c r="E161" s="47">
        <v>22</v>
      </c>
      <c r="F161" s="47">
        <v>19</v>
      </c>
      <c r="G161" s="47">
        <v>1</v>
      </c>
      <c r="H161" s="47">
        <v>1</v>
      </c>
      <c r="I161" s="47">
        <v>3</v>
      </c>
      <c r="J161" s="47">
        <v>0</v>
      </c>
      <c r="K161" s="47" t="s">
        <v>419</v>
      </c>
    </row>
    <row r="162" spans="1:11">
      <c r="A162" s="2">
        <v>43900</v>
      </c>
      <c r="B162" s="47">
        <v>0.33333333333333331</v>
      </c>
      <c r="C162" s="47" t="s">
        <v>102</v>
      </c>
      <c r="E162" s="47">
        <v>10</v>
      </c>
      <c r="F162" s="47">
        <v>0</v>
      </c>
      <c r="G162" s="47">
        <v>0</v>
      </c>
      <c r="I162" s="47">
        <v>0</v>
      </c>
      <c r="J162" s="47">
        <v>0</v>
      </c>
      <c r="K162" s="47" t="s">
        <v>381</v>
      </c>
    </row>
    <row r="163" spans="1:11">
      <c r="A163" s="2">
        <v>43900</v>
      </c>
      <c r="B163" s="47">
        <v>0.5</v>
      </c>
      <c r="C163" s="47" t="s">
        <v>50</v>
      </c>
      <c r="E163" s="47">
        <v>33</v>
      </c>
      <c r="F163" s="47">
        <v>1</v>
      </c>
      <c r="K163" s="47" t="s">
        <v>169</v>
      </c>
    </row>
    <row r="164" spans="1:11">
      <c r="A164" s="2">
        <v>43900</v>
      </c>
      <c r="B164" s="47">
        <v>0.60416666666666663</v>
      </c>
      <c r="C164" s="47" t="s">
        <v>104</v>
      </c>
      <c r="E164" s="47">
        <v>63</v>
      </c>
      <c r="K164" s="47" t="s">
        <v>106</v>
      </c>
    </row>
    <row r="165" spans="1:11">
      <c r="A165" s="2">
        <v>43900</v>
      </c>
      <c r="B165" s="47">
        <v>0.625</v>
      </c>
      <c r="C165" s="47" t="s">
        <v>34</v>
      </c>
      <c r="E165" s="47">
        <v>17</v>
      </c>
      <c r="I165" s="47">
        <v>2</v>
      </c>
      <c r="K165" s="47" t="s">
        <v>167</v>
      </c>
    </row>
    <row r="166" spans="1:11">
      <c r="A166" s="2">
        <v>43901</v>
      </c>
      <c r="C166" s="47" t="s">
        <v>47</v>
      </c>
      <c r="E166" s="47">
        <v>26</v>
      </c>
      <c r="F166" s="47">
        <v>3</v>
      </c>
      <c r="G166" s="47">
        <v>1</v>
      </c>
      <c r="I166" s="47">
        <v>2</v>
      </c>
      <c r="J166" s="47">
        <v>2</v>
      </c>
      <c r="K166" s="47" t="s">
        <v>173</v>
      </c>
    </row>
    <row r="167" spans="1:11">
      <c r="A167" s="2">
        <v>43901</v>
      </c>
      <c r="C167" s="47" t="s">
        <v>53</v>
      </c>
      <c r="D167" s="47">
        <v>50</v>
      </c>
      <c r="E167" s="47">
        <v>3</v>
      </c>
      <c r="I167" s="47">
        <v>1</v>
      </c>
      <c r="K167" s="47" t="s">
        <v>175</v>
      </c>
    </row>
    <row r="168" spans="1:11">
      <c r="A168" s="2">
        <v>43901</v>
      </c>
      <c r="C168" s="47" t="s">
        <v>56</v>
      </c>
      <c r="E168" s="47">
        <v>16</v>
      </c>
      <c r="J168" s="47">
        <v>0</v>
      </c>
      <c r="K168" s="47" t="s">
        <v>434</v>
      </c>
    </row>
    <row r="169" spans="1:11">
      <c r="A169" s="2">
        <v>43901</v>
      </c>
      <c r="C169" s="47" t="s">
        <v>58</v>
      </c>
      <c r="D169" s="47">
        <v>1926</v>
      </c>
      <c r="E169" s="47">
        <v>84</v>
      </c>
      <c r="F169" s="47">
        <v>20</v>
      </c>
      <c r="G169" s="47">
        <v>6</v>
      </c>
      <c r="H169" s="47">
        <v>4</v>
      </c>
      <c r="J169" s="47">
        <v>1</v>
      </c>
      <c r="K169" s="47" t="s">
        <v>60</v>
      </c>
    </row>
    <row r="170" spans="1:11">
      <c r="A170" s="2">
        <v>43901</v>
      </c>
      <c r="C170" s="47" t="s">
        <v>61</v>
      </c>
      <c r="E170" s="47">
        <v>1</v>
      </c>
      <c r="F170" s="47">
        <v>0</v>
      </c>
      <c r="J170" s="47">
        <v>0</v>
      </c>
      <c r="K170" s="47" t="s">
        <v>430</v>
      </c>
    </row>
    <row r="171" spans="1:11">
      <c r="A171" s="2">
        <v>43901</v>
      </c>
      <c r="C171" s="47" t="s">
        <v>66</v>
      </c>
      <c r="E171" s="47">
        <v>7</v>
      </c>
      <c r="F171" s="47">
        <v>6</v>
      </c>
      <c r="G171" s="47">
        <v>0</v>
      </c>
      <c r="J171" s="47">
        <v>0</v>
      </c>
      <c r="K171" s="47" t="s">
        <v>424</v>
      </c>
    </row>
    <row r="172" spans="1:11">
      <c r="A172" s="2">
        <v>43901</v>
      </c>
      <c r="C172" s="47" t="s">
        <v>71</v>
      </c>
      <c r="E172" s="47">
        <v>37</v>
      </c>
      <c r="F172" s="47">
        <v>6</v>
      </c>
      <c r="K172" s="47" t="s">
        <v>377</v>
      </c>
    </row>
    <row r="173" spans="1:11">
      <c r="A173" s="2">
        <v>43901</v>
      </c>
      <c r="C173" s="47" t="s">
        <v>73</v>
      </c>
      <c r="E173" s="47">
        <v>4</v>
      </c>
      <c r="F173" s="47">
        <v>2</v>
      </c>
      <c r="K173" s="47" t="s">
        <v>357</v>
      </c>
    </row>
    <row r="174" spans="1:11">
      <c r="A174" s="2">
        <v>43901</v>
      </c>
      <c r="C174" s="47" t="s">
        <v>81</v>
      </c>
      <c r="E174" s="47">
        <v>1</v>
      </c>
      <c r="J174" s="47">
        <v>0</v>
      </c>
      <c r="K174" s="47" t="s">
        <v>426</v>
      </c>
    </row>
    <row r="175" spans="1:11">
      <c r="A175" s="2">
        <v>43901</v>
      </c>
      <c r="C175" s="47" t="s">
        <v>91</v>
      </c>
      <c r="K175" s="47" t="s">
        <v>36</v>
      </c>
    </row>
    <row r="176" spans="1:11">
      <c r="A176" s="2">
        <v>43901</v>
      </c>
      <c r="C176" s="47" t="s">
        <v>97</v>
      </c>
      <c r="E176" s="47">
        <v>203</v>
      </c>
      <c r="F176" s="47">
        <v>51</v>
      </c>
      <c r="G176" s="47">
        <v>7</v>
      </c>
      <c r="J176" s="47">
        <v>1</v>
      </c>
      <c r="K176" s="47" t="s">
        <v>99</v>
      </c>
    </row>
    <row r="177" spans="1:11">
      <c r="A177" s="2">
        <v>43901</v>
      </c>
      <c r="C177" s="47" t="s">
        <v>100</v>
      </c>
      <c r="E177" s="47">
        <v>30</v>
      </c>
      <c r="F177" s="47">
        <v>20</v>
      </c>
      <c r="G177" s="47">
        <v>1</v>
      </c>
      <c r="H177" s="47">
        <v>1</v>
      </c>
      <c r="J177" s="47">
        <v>0</v>
      </c>
      <c r="K177" s="47" t="s">
        <v>419</v>
      </c>
    </row>
    <row r="178" spans="1:11">
      <c r="A178" s="2">
        <v>43901</v>
      </c>
      <c r="B178" s="47">
        <v>0.33333333333333331</v>
      </c>
      <c r="C178" s="47" t="s">
        <v>102</v>
      </c>
      <c r="E178" s="47">
        <v>11</v>
      </c>
      <c r="F178" s="47">
        <v>0</v>
      </c>
      <c r="G178" s="47">
        <v>0</v>
      </c>
      <c r="I178" s="47">
        <v>0</v>
      </c>
      <c r="J178" s="47">
        <v>0</v>
      </c>
      <c r="K178" s="47" t="s">
        <v>381</v>
      </c>
    </row>
    <row r="179" spans="1:11">
      <c r="A179" s="2">
        <v>43901</v>
      </c>
      <c r="B179" s="47">
        <v>0.5</v>
      </c>
      <c r="C179" s="47" t="s">
        <v>50</v>
      </c>
      <c r="E179" s="47">
        <v>49</v>
      </c>
      <c r="F179" s="47">
        <v>13</v>
      </c>
      <c r="G179" s="47">
        <v>2</v>
      </c>
      <c r="I179" s="47">
        <v>4</v>
      </c>
      <c r="K179" s="47" t="s">
        <v>174</v>
      </c>
    </row>
    <row r="180" spans="1:11">
      <c r="A180" s="2">
        <v>43901</v>
      </c>
      <c r="B180" s="47">
        <v>0.60416666666666663</v>
      </c>
      <c r="C180" s="47" t="s">
        <v>104</v>
      </c>
      <c r="E180" s="47">
        <v>102</v>
      </c>
      <c r="K180" s="47" t="s">
        <v>106</v>
      </c>
    </row>
    <row r="181" spans="1:11">
      <c r="A181" s="2">
        <v>43901</v>
      </c>
      <c r="B181" s="47">
        <v>0.625</v>
      </c>
      <c r="C181" s="47" t="s">
        <v>34</v>
      </c>
      <c r="E181" s="47">
        <v>18</v>
      </c>
      <c r="I181" s="47">
        <v>2</v>
      </c>
      <c r="K181" s="47" t="s">
        <v>172</v>
      </c>
    </row>
    <row r="182" spans="1:11">
      <c r="A182" s="2">
        <v>43902</v>
      </c>
      <c r="C182" s="47" t="s">
        <v>41</v>
      </c>
      <c r="E182" s="47">
        <v>5</v>
      </c>
      <c r="K182" s="47" t="s">
        <v>177</v>
      </c>
    </row>
    <row r="183" spans="1:11">
      <c r="A183" s="2">
        <v>43902</v>
      </c>
      <c r="C183" s="47" t="s">
        <v>47</v>
      </c>
      <c r="E183" s="47">
        <v>26</v>
      </c>
      <c r="F183" s="47">
        <v>9</v>
      </c>
      <c r="G183" s="47">
        <v>3</v>
      </c>
      <c r="I183" s="47">
        <v>2</v>
      </c>
      <c r="J183" s="47">
        <v>2</v>
      </c>
      <c r="K183" s="47" t="s">
        <v>36</v>
      </c>
    </row>
    <row r="184" spans="1:11">
      <c r="A184" s="2">
        <v>43902</v>
      </c>
      <c r="C184" s="47" t="s">
        <v>53</v>
      </c>
      <c r="D184" s="47">
        <v>57</v>
      </c>
      <c r="E184" s="47">
        <v>3</v>
      </c>
      <c r="I184" s="47">
        <v>1</v>
      </c>
      <c r="K184" s="47" t="s">
        <v>179</v>
      </c>
    </row>
    <row r="185" spans="1:11">
      <c r="A185" s="2">
        <v>43902</v>
      </c>
      <c r="C185" s="47" t="s">
        <v>56</v>
      </c>
      <c r="E185" s="47">
        <v>22</v>
      </c>
      <c r="J185" s="47">
        <v>0</v>
      </c>
      <c r="K185" s="47" t="s">
        <v>434</v>
      </c>
    </row>
    <row r="186" spans="1:11">
      <c r="A186" s="2">
        <v>43902</v>
      </c>
      <c r="C186" s="47" t="s">
        <v>58</v>
      </c>
      <c r="D186" s="47">
        <v>2277</v>
      </c>
      <c r="E186" s="47">
        <v>114</v>
      </c>
      <c r="F186" s="47">
        <v>23</v>
      </c>
      <c r="G186" s="47">
        <v>6</v>
      </c>
      <c r="H186" s="47">
        <v>4</v>
      </c>
      <c r="J186" s="47">
        <v>2</v>
      </c>
      <c r="K186" s="47" t="s">
        <v>60</v>
      </c>
    </row>
    <row r="187" spans="1:11">
      <c r="A187" s="2">
        <v>43902</v>
      </c>
      <c r="C187" s="47" t="s">
        <v>61</v>
      </c>
      <c r="E187" s="47">
        <v>3</v>
      </c>
      <c r="F187" s="47">
        <v>0</v>
      </c>
      <c r="J187" s="47">
        <v>0</v>
      </c>
      <c r="K187" s="47" t="s">
        <v>430</v>
      </c>
    </row>
    <row r="188" spans="1:11">
      <c r="A188" s="2">
        <v>43902</v>
      </c>
      <c r="C188" s="47" t="s">
        <v>66</v>
      </c>
      <c r="E188" s="47">
        <v>12</v>
      </c>
      <c r="F188" s="47">
        <v>6</v>
      </c>
      <c r="G188" s="47">
        <v>0</v>
      </c>
      <c r="J188" s="47">
        <v>0</v>
      </c>
      <c r="K188" s="47" t="s">
        <v>424</v>
      </c>
    </row>
    <row r="189" spans="1:11">
      <c r="A189" s="2">
        <v>43902</v>
      </c>
      <c r="C189" s="47" t="s">
        <v>71</v>
      </c>
      <c r="E189" s="47">
        <v>46</v>
      </c>
      <c r="F189" s="47">
        <v>6</v>
      </c>
      <c r="K189" s="47" t="s">
        <v>377</v>
      </c>
    </row>
    <row r="190" spans="1:11">
      <c r="A190" s="2">
        <v>43902</v>
      </c>
      <c r="C190" s="47" t="s">
        <v>73</v>
      </c>
      <c r="E190" s="47">
        <v>5</v>
      </c>
      <c r="F190" s="47">
        <v>5</v>
      </c>
      <c r="K190" s="47" t="s">
        <v>357</v>
      </c>
    </row>
    <row r="191" spans="1:11">
      <c r="A191" s="2">
        <v>43902</v>
      </c>
      <c r="C191" s="47" t="s">
        <v>78</v>
      </c>
      <c r="E191" s="47">
        <v>15</v>
      </c>
      <c r="K191" s="47" t="s">
        <v>80</v>
      </c>
    </row>
    <row r="192" spans="1:11">
      <c r="A192" s="2">
        <v>43902</v>
      </c>
      <c r="C192" s="47" t="s">
        <v>81</v>
      </c>
      <c r="E192" s="47">
        <v>1</v>
      </c>
      <c r="J192" s="47">
        <v>0</v>
      </c>
      <c r="K192" s="47" t="s">
        <v>426</v>
      </c>
    </row>
    <row r="193" spans="1:11">
      <c r="A193" s="2">
        <v>43902</v>
      </c>
      <c r="C193" s="47" t="s">
        <v>91</v>
      </c>
      <c r="E193" s="47">
        <v>180</v>
      </c>
      <c r="K193" s="47" t="s">
        <v>180</v>
      </c>
    </row>
    <row r="194" spans="1:11">
      <c r="A194" s="2">
        <v>43902</v>
      </c>
      <c r="C194" s="47" t="s">
        <v>94</v>
      </c>
      <c r="E194" s="47">
        <v>2</v>
      </c>
      <c r="K194" s="47" t="s">
        <v>36</v>
      </c>
    </row>
    <row r="195" spans="1:11">
      <c r="A195" s="2">
        <v>43902</v>
      </c>
      <c r="C195" s="47" t="s">
        <v>97</v>
      </c>
      <c r="E195" s="47">
        <v>277</v>
      </c>
      <c r="F195" s="47">
        <v>55</v>
      </c>
      <c r="G195" s="47">
        <v>6</v>
      </c>
      <c r="J195" s="47">
        <v>3</v>
      </c>
      <c r="K195" s="47" t="s">
        <v>99</v>
      </c>
    </row>
    <row r="196" spans="1:11">
      <c r="A196" s="2">
        <v>43902</v>
      </c>
      <c r="C196" s="47" t="s">
        <v>100</v>
      </c>
      <c r="E196" s="47">
        <v>53</v>
      </c>
      <c r="F196" s="47">
        <v>27</v>
      </c>
      <c r="G196" s="47">
        <v>1</v>
      </c>
      <c r="H196" s="47">
        <v>1</v>
      </c>
      <c r="J196" s="47">
        <v>0</v>
      </c>
      <c r="K196" s="47" t="s">
        <v>419</v>
      </c>
    </row>
    <row r="197" spans="1:11">
      <c r="A197" s="2">
        <v>43902</v>
      </c>
      <c r="B197" s="47">
        <v>0.33333333333333331</v>
      </c>
      <c r="C197" s="47" t="s">
        <v>102</v>
      </c>
      <c r="E197" s="47">
        <v>11</v>
      </c>
      <c r="F197" s="47">
        <v>0</v>
      </c>
      <c r="G197" s="47">
        <v>0</v>
      </c>
      <c r="I197" s="47">
        <v>0</v>
      </c>
      <c r="J197" s="47">
        <v>0</v>
      </c>
      <c r="K197" s="47" t="s">
        <v>381</v>
      </c>
    </row>
    <row r="198" spans="1:11">
      <c r="A198" s="2">
        <v>43902</v>
      </c>
      <c r="B198" s="47">
        <v>0.5</v>
      </c>
      <c r="C198" s="47" t="s">
        <v>50</v>
      </c>
      <c r="E198" s="47">
        <v>73</v>
      </c>
      <c r="F198" s="47">
        <v>13</v>
      </c>
      <c r="I198" s="47">
        <v>4</v>
      </c>
      <c r="J198" s="47">
        <v>1</v>
      </c>
      <c r="K198" s="47" t="s">
        <v>178</v>
      </c>
    </row>
    <row r="199" spans="1:11">
      <c r="A199" s="2">
        <v>43902</v>
      </c>
      <c r="B199" s="47">
        <v>0.60416666666666663</v>
      </c>
      <c r="C199" s="47" t="s">
        <v>104</v>
      </c>
      <c r="E199" s="47">
        <v>141</v>
      </c>
      <c r="K199" s="47" t="s">
        <v>106</v>
      </c>
    </row>
    <row r="200" spans="1:11">
      <c r="A200" s="2">
        <v>43902</v>
      </c>
      <c r="B200" s="47">
        <v>0.625</v>
      </c>
      <c r="C200" s="47" t="s">
        <v>34</v>
      </c>
      <c r="E200" s="47">
        <v>27</v>
      </c>
      <c r="F200" s="47">
        <v>1</v>
      </c>
      <c r="I200" s="47">
        <v>3</v>
      </c>
      <c r="K200" s="47" t="s">
        <v>176</v>
      </c>
    </row>
    <row r="201" spans="1:11">
      <c r="A201" s="2">
        <v>43903</v>
      </c>
      <c r="C201" s="47" t="s">
        <v>47</v>
      </c>
      <c r="E201" s="47">
        <v>42</v>
      </c>
      <c r="F201" s="47">
        <v>12</v>
      </c>
      <c r="G201" s="47">
        <v>3</v>
      </c>
      <c r="I201" s="47">
        <v>2</v>
      </c>
      <c r="J201" s="47">
        <v>2</v>
      </c>
      <c r="K201" s="47" t="s">
        <v>182</v>
      </c>
    </row>
    <row r="202" spans="1:11">
      <c r="A202" s="2">
        <v>43903</v>
      </c>
      <c r="C202" s="47" t="s">
        <v>56</v>
      </c>
      <c r="E202" s="47">
        <v>29</v>
      </c>
      <c r="J202" s="47">
        <v>0</v>
      </c>
      <c r="K202" s="47" t="s">
        <v>434</v>
      </c>
    </row>
    <row r="203" spans="1:11">
      <c r="A203" s="2">
        <v>43903</v>
      </c>
      <c r="C203" s="47" t="s">
        <v>58</v>
      </c>
      <c r="D203" s="47">
        <v>2712</v>
      </c>
      <c r="E203" s="47">
        <v>178</v>
      </c>
      <c r="F203" s="47">
        <v>33</v>
      </c>
      <c r="G203" s="47">
        <v>7</v>
      </c>
      <c r="H203" s="47">
        <v>5</v>
      </c>
      <c r="J203" s="47">
        <v>2</v>
      </c>
      <c r="K203" s="47" t="s">
        <v>60</v>
      </c>
    </row>
    <row r="204" spans="1:11">
      <c r="A204" s="2">
        <v>43903</v>
      </c>
      <c r="C204" s="47" t="s">
        <v>61</v>
      </c>
      <c r="E204" s="47">
        <v>6</v>
      </c>
      <c r="F204" s="47">
        <v>0</v>
      </c>
      <c r="J204" s="47">
        <v>0</v>
      </c>
      <c r="K204" s="47" t="s">
        <v>430</v>
      </c>
    </row>
    <row r="205" spans="1:11">
      <c r="A205" s="2">
        <v>43903</v>
      </c>
      <c r="C205" s="47" t="s">
        <v>66</v>
      </c>
      <c r="E205" s="47">
        <v>17</v>
      </c>
      <c r="F205" s="47">
        <v>8</v>
      </c>
      <c r="G205" s="47">
        <v>0</v>
      </c>
      <c r="J205" s="47">
        <v>0</v>
      </c>
      <c r="K205" s="47" t="s">
        <v>424</v>
      </c>
    </row>
    <row r="206" spans="1:11">
      <c r="A206" s="2">
        <v>43903</v>
      </c>
      <c r="C206" s="47" t="s">
        <v>71</v>
      </c>
      <c r="E206" s="47">
        <v>59</v>
      </c>
      <c r="F206" s="47">
        <v>9</v>
      </c>
      <c r="K206" s="47" t="s">
        <v>377</v>
      </c>
    </row>
    <row r="207" spans="1:11">
      <c r="A207" s="2">
        <v>43903</v>
      </c>
      <c r="C207" s="47" t="s">
        <v>73</v>
      </c>
      <c r="E207" s="47">
        <v>5</v>
      </c>
      <c r="F207" s="47">
        <v>6</v>
      </c>
      <c r="K207" s="47" t="s">
        <v>357</v>
      </c>
    </row>
    <row r="208" spans="1:11">
      <c r="A208" s="2">
        <v>43903</v>
      </c>
      <c r="C208" s="47" t="s">
        <v>81</v>
      </c>
      <c r="E208" s="47">
        <v>1</v>
      </c>
      <c r="J208" s="47">
        <v>0</v>
      </c>
      <c r="K208" s="47" t="s">
        <v>426</v>
      </c>
    </row>
    <row r="209" spans="1:11">
      <c r="A209" s="2">
        <v>43903</v>
      </c>
      <c r="C209" s="47" t="s">
        <v>91</v>
      </c>
      <c r="E209" s="47">
        <v>258</v>
      </c>
      <c r="F209" s="47">
        <v>65</v>
      </c>
      <c r="G209" s="47">
        <v>13</v>
      </c>
      <c r="K209" s="47" t="s">
        <v>186</v>
      </c>
    </row>
    <row r="210" spans="1:11">
      <c r="A210" s="2">
        <v>43903</v>
      </c>
      <c r="C210" s="47" t="s">
        <v>97</v>
      </c>
      <c r="E210" s="47">
        <v>369</v>
      </c>
      <c r="F210" s="47">
        <v>61</v>
      </c>
      <c r="G210" s="47">
        <v>7</v>
      </c>
      <c r="J210" s="47">
        <v>3</v>
      </c>
      <c r="K210" s="47" t="s">
        <v>99</v>
      </c>
    </row>
    <row r="211" spans="1:11">
      <c r="A211" s="2">
        <v>43903</v>
      </c>
      <c r="C211" s="47" t="s">
        <v>100</v>
      </c>
      <c r="E211" s="47">
        <v>76</v>
      </c>
      <c r="F211" s="47">
        <v>29</v>
      </c>
      <c r="G211" s="47">
        <v>1</v>
      </c>
      <c r="H211" s="47">
        <v>1</v>
      </c>
      <c r="J211" s="47">
        <v>1</v>
      </c>
      <c r="K211" s="47" t="s">
        <v>419</v>
      </c>
    </row>
    <row r="212" spans="1:11">
      <c r="A212" s="2">
        <v>43903</v>
      </c>
      <c r="B212" s="47">
        <v>0.33333333333333331</v>
      </c>
      <c r="C212" s="47" t="s">
        <v>102</v>
      </c>
      <c r="E212" s="47">
        <v>11</v>
      </c>
      <c r="F212" s="47">
        <v>0</v>
      </c>
      <c r="G212" s="47">
        <v>0</v>
      </c>
      <c r="I212" s="47">
        <v>0</v>
      </c>
      <c r="J212" s="47">
        <v>0</v>
      </c>
      <c r="K212" s="47" t="s">
        <v>381</v>
      </c>
    </row>
    <row r="213" spans="1:11">
      <c r="A213" s="2">
        <v>43903</v>
      </c>
      <c r="B213" s="47">
        <v>0.5</v>
      </c>
      <c r="C213" s="47" t="s">
        <v>75</v>
      </c>
      <c r="D213" s="47">
        <v>6</v>
      </c>
      <c r="E213" s="47">
        <v>1</v>
      </c>
      <c r="K213" s="47" t="s">
        <v>184</v>
      </c>
    </row>
    <row r="214" spans="1:11">
      <c r="A214" s="2">
        <v>43903</v>
      </c>
      <c r="B214" s="47">
        <v>0.5</v>
      </c>
      <c r="C214" s="47" t="s">
        <v>86</v>
      </c>
      <c r="D214" s="47">
        <v>10</v>
      </c>
      <c r="E214" s="47">
        <v>9</v>
      </c>
      <c r="K214" s="47" t="s">
        <v>185</v>
      </c>
    </row>
    <row r="215" spans="1:11">
      <c r="A215" s="2">
        <v>43903</v>
      </c>
      <c r="B215" s="47">
        <v>0.52083333333333337</v>
      </c>
      <c r="C215" s="47" t="s">
        <v>50</v>
      </c>
      <c r="E215" s="47">
        <v>92</v>
      </c>
      <c r="F215" s="47">
        <v>13</v>
      </c>
      <c r="I215" s="47">
        <v>4</v>
      </c>
      <c r="J215" s="47">
        <v>1</v>
      </c>
      <c r="K215" s="47" t="s">
        <v>183</v>
      </c>
    </row>
    <row r="216" spans="1:11">
      <c r="A216" s="2">
        <v>43903</v>
      </c>
      <c r="B216" s="47">
        <v>0.54166666666666663</v>
      </c>
      <c r="C216" s="47" t="s">
        <v>34</v>
      </c>
      <c r="E216" s="47">
        <v>32</v>
      </c>
      <c r="I216" s="47">
        <v>3</v>
      </c>
      <c r="K216" s="47" t="s">
        <v>181</v>
      </c>
    </row>
    <row r="217" spans="1:11">
      <c r="A217" s="2">
        <v>43903</v>
      </c>
      <c r="B217" s="47">
        <v>0.60416666666666663</v>
      </c>
      <c r="C217" s="47" t="s">
        <v>104</v>
      </c>
      <c r="E217" s="47">
        <v>164</v>
      </c>
      <c r="K217" s="47" t="s">
        <v>106</v>
      </c>
    </row>
    <row r="218" spans="1:11">
      <c r="A218" s="2">
        <v>43904</v>
      </c>
      <c r="C218" s="47" t="s">
        <v>38</v>
      </c>
      <c r="E218" s="47">
        <v>2</v>
      </c>
      <c r="K218" s="47" t="s">
        <v>187</v>
      </c>
    </row>
    <row r="219" spans="1:11">
      <c r="A219" s="2">
        <v>43904</v>
      </c>
      <c r="C219" s="47" t="s">
        <v>47</v>
      </c>
      <c r="E219" s="47">
        <v>47</v>
      </c>
      <c r="F219" s="47">
        <v>8</v>
      </c>
      <c r="G219" s="47">
        <v>2</v>
      </c>
      <c r="I219" s="47">
        <v>2</v>
      </c>
      <c r="J219" s="47">
        <v>2</v>
      </c>
      <c r="K219" s="47" t="s">
        <v>188</v>
      </c>
    </row>
    <row r="220" spans="1:11">
      <c r="A220" s="2">
        <v>43904</v>
      </c>
      <c r="C220" s="47" t="s">
        <v>53</v>
      </c>
      <c r="D220" s="47">
        <v>99</v>
      </c>
      <c r="E220" s="47">
        <v>3</v>
      </c>
      <c r="I220" s="47">
        <v>1</v>
      </c>
      <c r="K220" s="47" t="s">
        <v>190</v>
      </c>
    </row>
    <row r="221" spans="1:11">
      <c r="A221" s="2">
        <v>43904</v>
      </c>
      <c r="C221" s="47" t="s">
        <v>56</v>
      </c>
      <c r="E221" s="47">
        <v>36</v>
      </c>
      <c r="J221" s="47">
        <v>0</v>
      </c>
      <c r="K221" s="47" t="s">
        <v>434</v>
      </c>
    </row>
    <row r="222" spans="1:11">
      <c r="A222" s="2">
        <v>43904</v>
      </c>
      <c r="C222" s="47" t="s">
        <v>58</v>
      </c>
      <c r="D222" s="47">
        <v>3295</v>
      </c>
      <c r="E222" s="47">
        <v>281</v>
      </c>
      <c r="F222" s="47">
        <v>43</v>
      </c>
      <c r="G222" s="47">
        <v>8</v>
      </c>
      <c r="H222" s="47">
        <v>5</v>
      </c>
      <c r="J222" s="47">
        <v>2</v>
      </c>
      <c r="K222" s="47" t="s">
        <v>60</v>
      </c>
    </row>
    <row r="223" spans="1:11">
      <c r="A223" s="2">
        <v>43904</v>
      </c>
      <c r="C223" s="47" t="s">
        <v>61</v>
      </c>
      <c r="E223" s="47">
        <v>8</v>
      </c>
      <c r="F223" s="47">
        <v>0</v>
      </c>
      <c r="J223" s="47">
        <v>0</v>
      </c>
      <c r="K223" s="47" t="s">
        <v>430</v>
      </c>
    </row>
    <row r="224" spans="1:11">
      <c r="A224" s="2">
        <v>43904</v>
      </c>
      <c r="C224" s="47" t="s">
        <v>66</v>
      </c>
      <c r="E224" s="47">
        <v>18</v>
      </c>
      <c r="F224" s="47">
        <v>8</v>
      </c>
      <c r="G224" s="47">
        <v>0</v>
      </c>
      <c r="J224" s="47">
        <v>0</v>
      </c>
      <c r="K224" s="47" t="s">
        <v>424</v>
      </c>
    </row>
    <row r="225" spans="1:11">
      <c r="A225" s="2">
        <v>43904</v>
      </c>
      <c r="C225" s="47" t="s">
        <v>71</v>
      </c>
      <c r="E225" s="47">
        <v>68</v>
      </c>
      <c r="F225" s="47">
        <v>10</v>
      </c>
      <c r="K225" s="47" t="s">
        <v>377</v>
      </c>
    </row>
    <row r="226" spans="1:11">
      <c r="A226" s="2">
        <v>43904</v>
      </c>
      <c r="C226" s="47" t="s">
        <v>73</v>
      </c>
      <c r="E226" s="47">
        <v>5</v>
      </c>
      <c r="F226" s="47">
        <v>6</v>
      </c>
      <c r="K226" s="47" t="s">
        <v>357</v>
      </c>
    </row>
    <row r="227" spans="1:11">
      <c r="A227" s="2">
        <v>43904</v>
      </c>
      <c r="C227" s="47" t="s">
        <v>81</v>
      </c>
      <c r="E227" s="47">
        <v>1</v>
      </c>
      <c r="J227" s="47">
        <v>0</v>
      </c>
      <c r="K227" s="47" t="s">
        <v>426</v>
      </c>
    </row>
    <row r="228" spans="1:11">
      <c r="A228" s="2">
        <v>43904</v>
      </c>
      <c r="C228" s="47" t="s">
        <v>91</v>
      </c>
      <c r="E228" s="47">
        <v>265</v>
      </c>
      <c r="J228" s="47">
        <v>3</v>
      </c>
      <c r="K228" s="47" t="s">
        <v>191</v>
      </c>
    </row>
    <row r="229" spans="1:11">
      <c r="A229" s="2">
        <v>43904</v>
      </c>
      <c r="C229" s="47" t="s">
        <v>97</v>
      </c>
      <c r="E229" s="47">
        <v>476</v>
      </c>
      <c r="F229" s="47">
        <v>75</v>
      </c>
      <c r="G229" s="47">
        <v>10</v>
      </c>
      <c r="J229" s="47">
        <v>4</v>
      </c>
      <c r="K229" s="47" t="s">
        <v>99</v>
      </c>
    </row>
    <row r="230" spans="1:11">
      <c r="A230" s="2">
        <v>43904</v>
      </c>
      <c r="C230" s="47" t="s">
        <v>100</v>
      </c>
      <c r="E230" s="47">
        <v>98</v>
      </c>
      <c r="F230" s="47">
        <v>33</v>
      </c>
      <c r="G230" s="47">
        <v>1</v>
      </c>
      <c r="H230" s="47">
        <v>1</v>
      </c>
      <c r="J230" s="47">
        <v>1</v>
      </c>
      <c r="K230" s="47" t="s">
        <v>419</v>
      </c>
    </row>
    <row r="231" spans="1:11">
      <c r="A231" s="2">
        <v>43904</v>
      </c>
      <c r="B231" s="47">
        <v>0.12708333333333333</v>
      </c>
      <c r="C231" s="47" t="s">
        <v>86</v>
      </c>
      <c r="D231" s="47">
        <v>10</v>
      </c>
      <c r="E231" s="47">
        <v>12</v>
      </c>
      <c r="K231" s="47" t="s">
        <v>388</v>
      </c>
    </row>
    <row r="232" spans="1:11">
      <c r="A232" s="2">
        <v>43904</v>
      </c>
      <c r="B232" s="47">
        <v>0.33333333333333331</v>
      </c>
      <c r="C232" s="47" t="s">
        <v>102</v>
      </c>
      <c r="E232" s="47">
        <v>13</v>
      </c>
      <c r="F232" s="47">
        <v>0</v>
      </c>
      <c r="G232" s="47">
        <v>0</v>
      </c>
      <c r="I232" s="47">
        <v>0</v>
      </c>
      <c r="J232" s="47">
        <v>0</v>
      </c>
      <c r="K232" s="47" t="s">
        <v>381</v>
      </c>
    </row>
    <row r="233" spans="1:11">
      <c r="A233" s="2">
        <v>43904</v>
      </c>
      <c r="B233" s="47">
        <v>0.47708333333333336</v>
      </c>
      <c r="C233" s="47" t="s">
        <v>50</v>
      </c>
      <c r="E233" s="47">
        <v>100</v>
      </c>
      <c r="F233" s="47">
        <v>13</v>
      </c>
      <c r="I233" s="47">
        <v>4</v>
      </c>
      <c r="J233" s="47">
        <v>1</v>
      </c>
      <c r="K233" s="47" t="s">
        <v>189</v>
      </c>
    </row>
    <row r="234" spans="1:11">
      <c r="A234" s="2">
        <v>43904</v>
      </c>
      <c r="B234" s="47">
        <v>0.60416666666666663</v>
      </c>
      <c r="C234" s="47" t="s">
        <v>104</v>
      </c>
      <c r="E234" s="47">
        <v>219</v>
      </c>
      <c r="K234" s="47" t="s">
        <v>106</v>
      </c>
    </row>
    <row r="235" spans="1:11">
      <c r="A235" s="2">
        <v>43905</v>
      </c>
      <c r="C235" s="47" t="s">
        <v>47</v>
      </c>
      <c r="E235" s="47">
        <v>54</v>
      </c>
      <c r="F235" s="47">
        <v>12</v>
      </c>
      <c r="G235" s="47">
        <v>2</v>
      </c>
      <c r="I235" s="47">
        <v>5</v>
      </c>
      <c r="J235" s="47">
        <v>2</v>
      </c>
      <c r="K235" s="47" t="s">
        <v>192</v>
      </c>
    </row>
    <row r="236" spans="1:11">
      <c r="A236" s="2">
        <v>43905</v>
      </c>
      <c r="C236" s="47" t="s">
        <v>53</v>
      </c>
      <c r="E236" s="47">
        <v>7</v>
      </c>
      <c r="I236" s="47">
        <v>1</v>
      </c>
      <c r="K236" s="47" t="s">
        <v>193</v>
      </c>
    </row>
    <row r="237" spans="1:11">
      <c r="A237" s="2">
        <v>43905</v>
      </c>
      <c r="C237" s="47" t="s">
        <v>56</v>
      </c>
      <c r="E237" s="47">
        <v>40</v>
      </c>
      <c r="J237" s="47">
        <v>0</v>
      </c>
      <c r="K237" s="47" t="s">
        <v>434</v>
      </c>
    </row>
    <row r="238" spans="1:11">
      <c r="A238" s="2">
        <v>43905</v>
      </c>
      <c r="C238" s="47" t="s">
        <v>58</v>
      </c>
      <c r="D238" s="47">
        <v>3698</v>
      </c>
      <c r="E238" s="47">
        <v>374</v>
      </c>
      <c r="F238" s="47">
        <v>46</v>
      </c>
      <c r="G238" s="47">
        <v>12</v>
      </c>
      <c r="H238" s="47">
        <v>8</v>
      </c>
      <c r="J238" s="47">
        <v>4</v>
      </c>
      <c r="K238" s="47" t="s">
        <v>60</v>
      </c>
    </row>
    <row r="239" spans="1:11">
      <c r="A239" s="2">
        <v>43905</v>
      </c>
      <c r="C239" s="47" t="s">
        <v>61</v>
      </c>
      <c r="E239" s="47">
        <v>10</v>
      </c>
      <c r="F239" s="47">
        <v>0</v>
      </c>
      <c r="J239" s="47">
        <v>0</v>
      </c>
      <c r="K239" s="47" t="s">
        <v>430</v>
      </c>
    </row>
    <row r="240" spans="1:11">
      <c r="A240" s="2">
        <v>43905</v>
      </c>
      <c r="C240" s="47" t="s">
        <v>66</v>
      </c>
      <c r="E240" s="47">
        <v>19</v>
      </c>
      <c r="F240" s="47">
        <v>9</v>
      </c>
      <c r="G240" s="47">
        <v>0</v>
      </c>
      <c r="J240" s="47">
        <v>0</v>
      </c>
      <c r="K240" s="47" t="s">
        <v>424</v>
      </c>
    </row>
    <row r="241" spans="1:11">
      <c r="A241" s="2">
        <v>43905</v>
      </c>
      <c r="C241" s="47" t="s">
        <v>71</v>
      </c>
      <c r="E241" s="47">
        <v>74</v>
      </c>
      <c r="F241" s="47">
        <v>9</v>
      </c>
      <c r="K241" s="47" t="s">
        <v>377</v>
      </c>
    </row>
    <row r="242" spans="1:11">
      <c r="A242" s="2">
        <v>43905</v>
      </c>
      <c r="C242" s="47" t="s">
        <v>73</v>
      </c>
      <c r="E242" s="47">
        <v>8</v>
      </c>
      <c r="F242" s="47">
        <v>6</v>
      </c>
      <c r="K242" s="47" t="s">
        <v>357</v>
      </c>
    </row>
    <row r="243" spans="1:11">
      <c r="A243" s="2">
        <v>43905</v>
      </c>
      <c r="C243" s="47" t="s">
        <v>81</v>
      </c>
      <c r="E243" s="47">
        <v>1</v>
      </c>
      <c r="J243" s="47">
        <v>0</v>
      </c>
      <c r="K243" s="47" t="s">
        <v>426</v>
      </c>
    </row>
    <row r="244" spans="1:11">
      <c r="A244" s="2">
        <v>43905</v>
      </c>
      <c r="C244" s="47" t="s">
        <v>86</v>
      </c>
      <c r="E244" s="47">
        <v>13</v>
      </c>
      <c r="K244" s="47" t="s">
        <v>194</v>
      </c>
    </row>
    <row r="245" spans="1:11">
      <c r="A245" s="2">
        <v>43905</v>
      </c>
      <c r="C245" s="47" t="s">
        <v>91</v>
      </c>
      <c r="E245" s="47">
        <v>291</v>
      </c>
      <c r="J245" s="47">
        <v>6</v>
      </c>
      <c r="K245" s="47" t="s">
        <v>195</v>
      </c>
    </row>
    <row r="246" spans="1:11">
      <c r="A246" s="2">
        <v>43905</v>
      </c>
      <c r="C246" s="47" t="s">
        <v>97</v>
      </c>
      <c r="E246" s="47">
        <v>566</v>
      </c>
      <c r="F246" s="47">
        <v>90</v>
      </c>
      <c r="G246" s="47">
        <v>10</v>
      </c>
      <c r="J246" s="47">
        <v>5</v>
      </c>
      <c r="K246" s="47" t="s">
        <v>99</v>
      </c>
    </row>
    <row r="247" spans="1:11">
      <c r="A247" s="2">
        <v>43905</v>
      </c>
      <c r="C247" s="47" t="s">
        <v>100</v>
      </c>
      <c r="E247" s="47">
        <v>115</v>
      </c>
      <c r="F247" s="47">
        <v>35</v>
      </c>
      <c r="G247" s="47">
        <v>1</v>
      </c>
      <c r="H247" s="47">
        <v>1</v>
      </c>
      <c r="J247" s="47">
        <v>2</v>
      </c>
      <c r="K247" s="47" t="s">
        <v>419</v>
      </c>
    </row>
    <row r="248" spans="1:11">
      <c r="A248" s="2">
        <v>43905</v>
      </c>
      <c r="B248" s="47">
        <v>0.33333333333333331</v>
      </c>
      <c r="C248" s="47" t="s">
        <v>102</v>
      </c>
      <c r="E248" s="47">
        <v>13</v>
      </c>
      <c r="F248" s="47">
        <v>0</v>
      </c>
      <c r="G248" s="47">
        <v>0</v>
      </c>
      <c r="I248" s="47">
        <v>0</v>
      </c>
      <c r="J248" s="47">
        <v>0</v>
      </c>
      <c r="K248" s="47" t="s">
        <v>381</v>
      </c>
    </row>
    <row r="249" spans="1:11">
      <c r="A249" s="2">
        <v>43905</v>
      </c>
      <c r="B249" s="47">
        <v>0.60416666666666663</v>
      </c>
      <c r="C249" s="47" t="s">
        <v>104</v>
      </c>
      <c r="E249" s="47">
        <v>251</v>
      </c>
      <c r="J249" s="47">
        <v>1</v>
      </c>
      <c r="K249" s="47" t="s">
        <v>106</v>
      </c>
    </row>
    <row r="250" spans="1:11">
      <c r="A250" s="2">
        <v>43906</v>
      </c>
      <c r="C250" s="47" t="s">
        <v>38</v>
      </c>
      <c r="E250" s="47">
        <v>4</v>
      </c>
      <c r="K250" s="47" t="s">
        <v>197</v>
      </c>
    </row>
    <row r="251" spans="1:11">
      <c r="A251" s="2">
        <v>43906</v>
      </c>
      <c r="C251" s="47" t="s">
        <v>44</v>
      </c>
      <c r="E251" s="47">
        <v>123</v>
      </c>
      <c r="J251" s="47">
        <v>1</v>
      </c>
      <c r="K251" s="47" t="s">
        <v>46</v>
      </c>
    </row>
    <row r="252" spans="1:11">
      <c r="A252" s="2">
        <v>43906</v>
      </c>
      <c r="C252" s="47" t="s">
        <v>47</v>
      </c>
      <c r="E252" s="47">
        <v>76</v>
      </c>
      <c r="F252" s="47">
        <v>17</v>
      </c>
      <c r="G252" s="47">
        <v>4</v>
      </c>
      <c r="I252" s="47">
        <v>5</v>
      </c>
      <c r="J252" s="47">
        <v>2</v>
      </c>
      <c r="K252" s="47" t="s">
        <v>198</v>
      </c>
    </row>
    <row r="253" spans="1:11">
      <c r="A253" s="2">
        <v>43906</v>
      </c>
      <c r="C253" s="47" t="s">
        <v>56</v>
      </c>
      <c r="E253" s="47">
        <v>45</v>
      </c>
      <c r="J253" s="47">
        <v>0</v>
      </c>
      <c r="K253" s="47" t="s">
        <v>434</v>
      </c>
    </row>
    <row r="254" spans="1:11">
      <c r="A254" s="2">
        <v>43906</v>
      </c>
      <c r="C254" s="47" t="s">
        <v>58</v>
      </c>
      <c r="D254" s="47">
        <v>4147</v>
      </c>
      <c r="E254" s="47">
        <v>460</v>
      </c>
      <c r="F254" s="47">
        <v>66</v>
      </c>
      <c r="G254" s="47">
        <v>10</v>
      </c>
      <c r="H254" s="47">
        <v>9</v>
      </c>
      <c r="J254" s="47">
        <v>4</v>
      </c>
      <c r="K254" s="47" t="s">
        <v>60</v>
      </c>
    </row>
    <row r="255" spans="1:11">
      <c r="A255" s="2">
        <v>43906</v>
      </c>
      <c r="C255" s="47" t="s">
        <v>61</v>
      </c>
      <c r="E255" s="47">
        <v>10</v>
      </c>
      <c r="F255" s="47">
        <v>0</v>
      </c>
      <c r="J255" s="47">
        <v>0</v>
      </c>
      <c r="K255" s="47" t="s">
        <v>430</v>
      </c>
    </row>
    <row r="256" spans="1:11">
      <c r="A256" s="2">
        <v>43906</v>
      </c>
      <c r="C256" s="47" t="s">
        <v>66</v>
      </c>
      <c r="E256" s="47">
        <v>25</v>
      </c>
      <c r="F256" s="47">
        <v>9</v>
      </c>
      <c r="G256" s="47">
        <v>0</v>
      </c>
      <c r="J256" s="47">
        <v>0</v>
      </c>
      <c r="K256" s="47" t="s">
        <v>424</v>
      </c>
    </row>
    <row r="257" spans="1:11">
      <c r="A257" s="2">
        <v>43906</v>
      </c>
      <c r="C257" s="47" t="s">
        <v>71</v>
      </c>
      <c r="E257" s="47">
        <v>93</v>
      </c>
      <c r="F257" s="47">
        <v>13</v>
      </c>
      <c r="K257" s="47" t="s">
        <v>377</v>
      </c>
    </row>
    <row r="258" spans="1:11">
      <c r="A258" s="2">
        <v>43906</v>
      </c>
      <c r="C258" s="47" t="s">
        <v>73</v>
      </c>
      <c r="E258" s="47">
        <v>10</v>
      </c>
      <c r="F258" s="47">
        <v>7</v>
      </c>
      <c r="K258" s="47" t="s">
        <v>357</v>
      </c>
    </row>
    <row r="259" spans="1:11">
      <c r="A259" s="2">
        <v>43906</v>
      </c>
      <c r="C259" s="47" t="s">
        <v>81</v>
      </c>
      <c r="E259" s="47">
        <v>2</v>
      </c>
      <c r="J259" s="47">
        <v>0</v>
      </c>
      <c r="K259" s="47" t="s">
        <v>426</v>
      </c>
    </row>
    <row r="260" spans="1:11">
      <c r="A260" s="2">
        <v>43906</v>
      </c>
      <c r="C260" s="47" t="s">
        <v>88</v>
      </c>
      <c r="D260" s="47">
        <v>246</v>
      </c>
      <c r="E260" s="47">
        <v>17</v>
      </c>
      <c r="K260" s="47" t="s">
        <v>36</v>
      </c>
    </row>
    <row r="261" spans="1:11">
      <c r="A261" s="2">
        <v>43906</v>
      </c>
      <c r="C261" s="47" t="s">
        <v>91</v>
      </c>
      <c r="E261" s="47">
        <v>330</v>
      </c>
      <c r="J261" s="47">
        <v>8</v>
      </c>
      <c r="K261" s="47" t="s">
        <v>200</v>
      </c>
    </row>
    <row r="262" spans="1:11">
      <c r="A262" s="2">
        <v>43906</v>
      </c>
      <c r="C262" s="47" t="s">
        <v>97</v>
      </c>
      <c r="E262" s="47">
        <v>796</v>
      </c>
      <c r="F262" s="47">
        <v>126</v>
      </c>
      <c r="G262" s="47">
        <v>20</v>
      </c>
      <c r="J262" s="47">
        <v>7</v>
      </c>
      <c r="K262" s="47" t="s">
        <v>99</v>
      </c>
    </row>
    <row r="263" spans="1:11">
      <c r="A263" s="2">
        <v>43906</v>
      </c>
      <c r="C263" s="47" t="s">
        <v>100</v>
      </c>
      <c r="E263" s="47">
        <v>172</v>
      </c>
      <c r="F263" s="47">
        <v>41</v>
      </c>
      <c r="G263" s="47">
        <v>2</v>
      </c>
      <c r="H263" s="47">
        <v>1</v>
      </c>
      <c r="J263" s="47">
        <v>3</v>
      </c>
      <c r="K263" s="47" t="s">
        <v>419</v>
      </c>
    </row>
    <row r="264" spans="1:11">
      <c r="A264" s="2">
        <v>43906</v>
      </c>
      <c r="B264" s="47">
        <v>0.33333333333333331</v>
      </c>
      <c r="C264" s="47" t="s">
        <v>102</v>
      </c>
      <c r="E264" s="47">
        <v>20</v>
      </c>
      <c r="F264" s="47">
        <v>0</v>
      </c>
      <c r="G264" s="47">
        <v>0</v>
      </c>
      <c r="I264" s="47">
        <v>0</v>
      </c>
      <c r="J264" s="47">
        <v>0</v>
      </c>
      <c r="K264" s="47" t="s">
        <v>381</v>
      </c>
    </row>
    <row r="265" spans="1:11">
      <c r="A265" s="2">
        <v>43906</v>
      </c>
      <c r="B265" s="47">
        <v>0.5</v>
      </c>
      <c r="C265" s="47" t="s">
        <v>50</v>
      </c>
      <c r="E265" s="47">
        <v>143</v>
      </c>
      <c r="F265" s="47">
        <v>13</v>
      </c>
      <c r="I265" s="47">
        <v>4</v>
      </c>
      <c r="J265" s="47">
        <v>4</v>
      </c>
      <c r="K265" s="47" t="s">
        <v>199</v>
      </c>
    </row>
    <row r="266" spans="1:11">
      <c r="A266" s="2">
        <v>43906</v>
      </c>
      <c r="B266" s="47">
        <v>0.60416666666666663</v>
      </c>
      <c r="C266" s="47" t="s">
        <v>104</v>
      </c>
      <c r="E266" s="47">
        <v>327</v>
      </c>
      <c r="J266" s="47">
        <v>1</v>
      </c>
      <c r="K266" s="47" t="s">
        <v>106</v>
      </c>
    </row>
    <row r="267" spans="1:11">
      <c r="A267" s="2">
        <v>43906</v>
      </c>
      <c r="B267" s="47">
        <v>0.625</v>
      </c>
      <c r="C267" s="47" t="s">
        <v>34</v>
      </c>
      <c r="E267" s="47">
        <v>52</v>
      </c>
      <c r="F267" s="47">
        <v>2</v>
      </c>
      <c r="I267" s="47">
        <v>4</v>
      </c>
      <c r="K267" s="47" t="s">
        <v>196</v>
      </c>
    </row>
    <row r="268" spans="1:11">
      <c r="A268" s="2">
        <v>43907</v>
      </c>
      <c r="C268" s="47" t="s">
        <v>38</v>
      </c>
      <c r="E268" s="47">
        <v>5</v>
      </c>
      <c r="K268" s="47" t="s">
        <v>197</v>
      </c>
    </row>
    <row r="269" spans="1:11">
      <c r="A269" s="2">
        <v>43907</v>
      </c>
      <c r="C269" s="47" t="s">
        <v>47</v>
      </c>
      <c r="E269" s="47">
        <v>89</v>
      </c>
      <c r="F269" s="47">
        <v>26</v>
      </c>
      <c r="G269" s="47">
        <v>5</v>
      </c>
      <c r="I269" s="47">
        <v>13</v>
      </c>
      <c r="J269" s="47">
        <v>2</v>
      </c>
      <c r="K269" s="47" t="s">
        <v>202</v>
      </c>
    </row>
    <row r="270" spans="1:11">
      <c r="A270" s="2">
        <v>43907</v>
      </c>
      <c r="C270" s="47" t="s">
        <v>53</v>
      </c>
      <c r="E270" s="47">
        <v>19</v>
      </c>
      <c r="I270" s="47">
        <v>1</v>
      </c>
      <c r="K270" s="47" t="s">
        <v>204</v>
      </c>
    </row>
    <row r="271" spans="1:11">
      <c r="A271" s="2">
        <v>43907</v>
      </c>
      <c r="C271" s="47" t="s">
        <v>56</v>
      </c>
      <c r="E271" s="47">
        <v>59</v>
      </c>
      <c r="J271" s="47">
        <v>0</v>
      </c>
      <c r="K271" s="47" t="s">
        <v>434</v>
      </c>
    </row>
    <row r="272" spans="1:11">
      <c r="A272" s="2">
        <v>43907</v>
      </c>
      <c r="C272" s="47" t="s">
        <v>58</v>
      </c>
      <c r="D272" s="47">
        <v>4750</v>
      </c>
      <c r="E272" s="47">
        <v>587</v>
      </c>
      <c r="F272" s="47">
        <v>75</v>
      </c>
      <c r="G272" s="47">
        <v>19</v>
      </c>
      <c r="H272" s="47">
        <v>17</v>
      </c>
      <c r="J272" s="47">
        <v>5</v>
      </c>
      <c r="K272" s="47" t="s">
        <v>60</v>
      </c>
    </row>
    <row r="273" spans="1:11">
      <c r="A273" s="2">
        <v>43907</v>
      </c>
      <c r="C273" s="47" t="s">
        <v>61</v>
      </c>
      <c r="E273" s="47">
        <v>12</v>
      </c>
      <c r="F273" s="47">
        <v>0</v>
      </c>
      <c r="J273" s="47">
        <v>0</v>
      </c>
      <c r="K273" s="47" t="s">
        <v>430</v>
      </c>
    </row>
    <row r="274" spans="1:11">
      <c r="A274" s="2">
        <v>43907</v>
      </c>
      <c r="C274" s="47" t="s">
        <v>63</v>
      </c>
      <c r="E274" s="47">
        <v>101</v>
      </c>
      <c r="F274" s="47">
        <v>9</v>
      </c>
      <c r="J274" s="47">
        <v>1</v>
      </c>
      <c r="K274" s="47" t="s">
        <v>65</v>
      </c>
    </row>
    <row r="275" spans="1:11">
      <c r="A275" s="2">
        <v>43907</v>
      </c>
      <c r="C275" s="47" t="s">
        <v>66</v>
      </c>
      <c r="E275" s="47">
        <v>29</v>
      </c>
      <c r="F275" s="47">
        <v>11</v>
      </c>
      <c r="G275" s="47">
        <v>0</v>
      </c>
      <c r="J275" s="47">
        <v>0</v>
      </c>
      <c r="K275" s="47" t="s">
        <v>424</v>
      </c>
    </row>
    <row r="276" spans="1:11">
      <c r="A276" s="2">
        <v>43907</v>
      </c>
      <c r="C276" s="47" t="s">
        <v>71</v>
      </c>
      <c r="E276" s="47">
        <v>114</v>
      </c>
      <c r="F276" s="47">
        <v>16</v>
      </c>
      <c r="J276" s="47">
        <v>1</v>
      </c>
      <c r="K276" s="47" t="s">
        <v>377</v>
      </c>
    </row>
    <row r="277" spans="1:11">
      <c r="A277" s="2">
        <v>43907</v>
      </c>
      <c r="C277" s="47" t="s">
        <v>73</v>
      </c>
      <c r="E277" s="47">
        <v>12</v>
      </c>
      <c r="F277" s="47">
        <v>6</v>
      </c>
      <c r="K277" s="47" t="s">
        <v>357</v>
      </c>
    </row>
    <row r="278" spans="1:11">
      <c r="A278" s="2">
        <v>43907</v>
      </c>
      <c r="C278" s="47" t="s">
        <v>78</v>
      </c>
      <c r="E278" s="47">
        <v>47</v>
      </c>
      <c r="K278" s="47" t="s">
        <v>80</v>
      </c>
    </row>
    <row r="279" spans="1:11">
      <c r="A279" s="2">
        <v>43907</v>
      </c>
      <c r="C279" s="47" t="s">
        <v>81</v>
      </c>
      <c r="E279" s="47">
        <v>2</v>
      </c>
      <c r="J279" s="47">
        <v>0</v>
      </c>
      <c r="K279" s="47" t="s">
        <v>426</v>
      </c>
    </row>
    <row r="280" spans="1:11">
      <c r="A280" s="2">
        <v>43907</v>
      </c>
      <c r="C280" s="47" t="s">
        <v>88</v>
      </c>
      <c r="D280" s="47">
        <v>276</v>
      </c>
      <c r="E280" s="47">
        <v>23</v>
      </c>
      <c r="K280" s="47" t="s">
        <v>36</v>
      </c>
    </row>
    <row r="281" spans="1:11">
      <c r="A281" s="2">
        <v>43907</v>
      </c>
      <c r="C281" s="47" t="s">
        <v>91</v>
      </c>
      <c r="E281" s="47">
        <v>422</v>
      </c>
      <c r="J281" s="47">
        <v>10</v>
      </c>
      <c r="K281" s="47" t="s">
        <v>205</v>
      </c>
    </row>
    <row r="282" spans="1:11">
      <c r="A282" s="2">
        <v>43907</v>
      </c>
      <c r="C282" s="47" t="s">
        <v>97</v>
      </c>
      <c r="E282" s="47">
        <v>1039</v>
      </c>
      <c r="F282" s="47">
        <v>140</v>
      </c>
      <c r="G282" s="47">
        <v>24</v>
      </c>
      <c r="J282" s="47">
        <v>9</v>
      </c>
      <c r="K282" s="47" t="s">
        <v>99</v>
      </c>
    </row>
    <row r="283" spans="1:11">
      <c r="A283" s="2">
        <v>43907</v>
      </c>
      <c r="C283" s="47" t="s">
        <v>100</v>
      </c>
      <c r="E283" s="47">
        <v>225</v>
      </c>
      <c r="F283" s="47">
        <v>46</v>
      </c>
      <c r="G283" s="47">
        <v>2</v>
      </c>
      <c r="H283" s="47">
        <v>2</v>
      </c>
      <c r="J283" s="47">
        <v>3</v>
      </c>
      <c r="K283" s="47" t="s">
        <v>419</v>
      </c>
    </row>
    <row r="284" spans="1:11">
      <c r="A284" s="2">
        <v>43907</v>
      </c>
      <c r="B284" s="47">
        <v>0.33333333333333331</v>
      </c>
      <c r="C284" s="47" t="s">
        <v>102</v>
      </c>
      <c r="E284" s="47">
        <v>29</v>
      </c>
      <c r="F284" s="47">
        <v>0</v>
      </c>
      <c r="G284" s="47">
        <v>0</v>
      </c>
      <c r="I284" s="47">
        <v>1</v>
      </c>
      <c r="J284" s="47">
        <v>0</v>
      </c>
      <c r="K284" s="47" t="s">
        <v>381</v>
      </c>
    </row>
    <row r="285" spans="1:11">
      <c r="A285" s="2">
        <v>43907</v>
      </c>
      <c r="B285" s="47">
        <v>0.5</v>
      </c>
      <c r="C285" s="47" t="s">
        <v>50</v>
      </c>
      <c r="E285" s="47">
        <v>164</v>
      </c>
      <c r="F285" s="47">
        <v>30</v>
      </c>
      <c r="I285" s="47">
        <v>25</v>
      </c>
      <c r="J285" s="47">
        <v>4</v>
      </c>
      <c r="K285" s="47" t="s">
        <v>203</v>
      </c>
    </row>
    <row r="286" spans="1:11">
      <c r="A286" s="2">
        <v>43907</v>
      </c>
      <c r="B286" s="47">
        <v>0.60416666666666663</v>
      </c>
      <c r="C286" s="47" t="s">
        <v>104</v>
      </c>
      <c r="E286" s="47">
        <v>430</v>
      </c>
      <c r="J286" s="47">
        <v>1</v>
      </c>
      <c r="K286" s="47" t="s">
        <v>106</v>
      </c>
    </row>
    <row r="287" spans="1:11">
      <c r="A287" s="2">
        <v>43907</v>
      </c>
      <c r="B287" s="47">
        <v>0.66666666666666663</v>
      </c>
      <c r="C287" s="47" t="s">
        <v>34</v>
      </c>
      <c r="E287" s="47">
        <v>67</v>
      </c>
      <c r="F287" s="47">
        <v>2</v>
      </c>
      <c r="I287" s="47">
        <v>4</v>
      </c>
      <c r="K287" s="47" t="s">
        <v>201</v>
      </c>
    </row>
    <row r="288" spans="1:11">
      <c r="A288" s="2">
        <v>43908</v>
      </c>
      <c r="C288" s="47" t="s">
        <v>41</v>
      </c>
      <c r="E288" s="47">
        <v>11</v>
      </c>
      <c r="F288" s="47">
        <v>3</v>
      </c>
      <c r="K288" s="47" t="s">
        <v>207</v>
      </c>
    </row>
    <row r="289" spans="1:11">
      <c r="A289" s="2">
        <v>43908</v>
      </c>
      <c r="C289" s="47" t="s">
        <v>44</v>
      </c>
      <c r="E289" s="47">
        <v>193</v>
      </c>
      <c r="J289" s="47">
        <v>1</v>
      </c>
      <c r="K289" s="47" t="s">
        <v>46</v>
      </c>
    </row>
    <row r="290" spans="1:11">
      <c r="A290" s="2">
        <v>43908</v>
      </c>
      <c r="C290" s="47" t="s">
        <v>47</v>
      </c>
      <c r="E290" s="47">
        <v>116</v>
      </c>
      <c r="F290" s="47">
        <v>27</v>
      </c>
      <c r="G290" s="47">
        <v>2</v>
      </c>
      <c r="I290" s="47">
        <v>16</v>
      </c>
      <c r="J290" s="47">
        <v>2</v>
      </c>
      <c r="K290" s="47" t="s">
        <v>208</v>
      </c>
    </row>
    <row r="291" spans="1:11">
      <c r="A291" s="2">
        <v>43908</v>
      </c>
      <c r="C291" s="47" t="s">
        <v>53</v>
      </c>
      <c r="E291" s="47">
        <v>28</v>
      </c>
      <c r="I291" s="47">
        <v>1</v>
      </c>
      <c r="K291" s="47" t="s">
        <v>210</v>
      </c>
    </row>
    <row r="292" spans="1:11">
      <c r="A292" s="2">
        <v>43908</v>
      </c>
      <c r="C292" s="47" t="s">
        <v>56</v>
      </c>
      <c r="E292" s="47">
        <v>86</v>
      </c>
      <c r="F292" s="47">
        <v>11</v>
      </c>
      <c r="G292" s="47">
        <v>5</v>
      </c>
      <c r="J292" s="47">
        <v>0</v>
      </c>
      <c r="K292" s="47" t="s">
        <v>434</v>
      </c>
    </row>
    <row r="293" spans="1:11">
      <c r="A293" s="2">
        <v>43908</v>
      </c>
      <c r="C293" s="47" t="s">
        <v>58</v>
      </c>
      <c r="D293" s="47">
        <v>5573</v>
      </c>
      <c r="E293" s="47">
        <v>775</v>
      </c>
      <c r="F293" s="47">
        <v>78</v>
      </c>
      <c r="G293" s="47">
        <v>20</v>
      </c>
      <c r="H293" s="47">
        <v>17</v>
      </c>
      <c r="J293" s="47">
        <v>6</v>
      </c>
      <c r="K293" s="47" t="s">
        <v>60</v>
      </c>
    </row>
    <row r="294" spans="1:11">
      <c r="A294" s="2">
        <v>43908</v>
      </c>
      <c r="C294" s="47" t="s">
        <v>61</v>
      </c>
      <c r="E294" s="47">
        <v>14</v>
      </c>
      <c r="F294" s="47">
        <v>0</v>
      </c>
      <c r="J294" s="47">
        <v>0</v>
      </c>
      <c r="K294" s="47" t="s">
        <v>430</v>
      </c>
    </row>
    <row r="295" spans="1:11">
      <c r="A295" s="2">
        <v>43908</v>
      </c>
      <c r="C295" s="47" t="s">
        <v>63</v>
      </c>
      <c r="E295" s="47">
        <v>128</v>
      </c>
      <c r="F295" s="47">
        <v>13</v>
      </c>
      <c r="J295" s="47">
        <v>1</v>
      </c>
      <c r="K295" s="47" t="s">
        <v>65</v>
      </c>
    </row>
    <row r="296" spans="1:11">
      <c r="A296" s="2">
        <v>43908</v>
      </c>
      <c r="C296" s="47" t="s">
        <v>66</v>
      </c>
      <c r="E296" s="47">
        <v>32</v>
      </c>
      <c r="F296" s="47">
        <v>11</v>
      </c>
      <c r="G296" s="47">
        <v>0</v>
      </c>
      <c r="J296" s="47">
        <v>0</v>
      </c>
      <c r="K296" s="47" t="s">
        <v>424</v>
      </c>
    </row>
    <row r="297" spans="1:11">
      <c r="A297" s="2">
        <v>43908</v>
      </c>
      <c r="C297" s="47" t="s">
        <v>71</v>
      </c>
      <c r="E297" s="47">
        <v>146</v>
      </c>
      <c r="F297" s="47">
        <v>18</v>
      </c>
      <c r="J297" s="47">
        <v>2</v>
      </c>
      <c r="K297" s="47" t="s">
        <v>377</v>
      </c>
    </row>
    <row r="298" spans="1:11">
      <c r="A298" s="2">
        <v>43908</v>
      </c>
      <c r="C298" s="47" t="s">
        <v>73</v>
      </c>
      <c r="E298" s="47">
        <v>18</v>
      </c>
      <c r="F298" s="47">
        <v>6</v>
      </c>
      <c r="K298" s="47" t="s">
        <v>357</v>
      </c>
    </row>
    <row r="299" spans="1:11">
      <c r="A299" s="2">
        <v>43908</v>
      </c>
      <c r="C299" s="47" t="s">
        <v>78</v>
      </c>
      <c r="E299" s="47">
        <v>61</v>
      </c>
      <c r="K299" s="47" t="s">
        <v>80</v>
      </c>
    </row>
    <row r="300" spans="1:11">
      <c r="A300" s="2">
        <v>43908</v>
      </c>
      <c r="C300" s="47" t="s">
        <v>81</v>
      </c>
      <c r="E300" s="47">
        <v>8</v>
      </c>
      <c r="J300" s="47">
        <v>0</v>
      </c>
      <c r="K300" s="47" t="s">
        <v>426</v>
      </c>
    </row>
    <row r="301" spans="1:11">
      <c r="A301" s="2">
        <v>43908</v>
      </c>
      <c r="C301" s="47" t="s">
        <v>83</v>
      </c>
      <c r="E301" s="47">
        <v>43</v>
      </c>
      <c r="K301" s="47" t="s">
        <v>212</v>
      </c>
    </row>
    <row r="302" spans="1:11">
      <c r="A302" s="2">
        <v>43908</v>
      </c>
      <c r="C302" s="47" t="s">
        <v>88</v>
      </c>
      <c r="E302" s="47">
        <v>32</v>
      </c>
      <c r="K302" s="47" t="s">
        <v>90</v>
      </c>
    </row>
    <row r="303" spans="1:11">
      <c r="A303" s="2">
        <v>43908</v>
      </c>
      <c r="C303" s="47" t="s">
        <v>91</v>
      </c>
      <c r="E303" s="47">
        <v>511</v>
      </c>
      <c r="J303" s="47">
        <v>14</v>
      </c>
      <c r="K303" s="47" t="s">
        <v>213</v>
      </c>
    </row>
    <row r="304" spans="1:11">
      <c r="A304" s="2">
        <v>43908</v>
      </c>
      <c r="C304" s="47" t="s">
        <v>94</v>
      </c>
      <c r="D304" s="47">
        <v>85</v>
      </c>
      <c r="E304" s="47">
        <v>5</v>
      </c>
      <c r="K304" s="47" t="s">
        <v>214</v>
      </c>
    </row>
    <row r="305" spans="1:11">
      <c r="A305" s="2">
        <v>43908</v>
      </c>
      <c r="C305" s="47" t="s">
        <v>97</v>
      </c>
      <c r="E305" s="47">
        <v>1305</v>
      </c>
      <c r="F305" s="47">
        <v>153</v>
      </c>
      <c r="G305" s="47">
        <v>24</v>
      </c>
      <c r="J305" s="47">
        <v>12</v>
      </c>
      <c r="K305" s="47" t="s">
        <v>99</v>
      </c>
    </row>
    <row r="306" spans="1:11">
      <c r="A306" s="2">
        <v>43908</v>
      </c>
      <c r="C306" s="47" t="s">
        <v>100</v>
      </c>
      <c r="E306" s="47">
        <v>312</v>
      </c>
      <c r="F306" s="47">
        <v>58</v>
      </c>
      <c r="G306" s="47">
        <v>2</v>
      </c>
      <c r="H306" s="47">
        <v>2</v>
      </c>
      <c r="J306" s="47">
        <v>4</v>
      </c>
      <c r="K306" s="47" t="s">
        <v>419</v>
      </c>
    </row>
    <row r="307" spans="1:11">
      <c r="A307" s="2">
        <v>43908</v>
      </c>
      <c r="B307" s="47">
        <v>0.33333333333333331</v>
      </c>
      <c r="C307" s="47" t="s">
        <v>102</v>
      </c>
      <c r="E307" s="47">
        <v>33</v>
      </c>
      <c r="F307" s="47">
        <v>0</v>
      </c>
      <c r="G307" s="47">
        <v>0</v>
      </c>
      <c r="I307" s="47">
        <v>5</v>
      </c>
      <c r="J307" s="47">
        <v>0</v>
      </c>
      <c r="K307" s="47" t="s">
        <v>381</v>
      </c>
    </row>
    <row r="308" spans="1:11">
      <c r="A308" s="2">
        <v>43908</v>
      </c>
      <c r="B308" s="47">
        <v>0.46875</v>
      </c>
      <c r="C308" s="47" t="s">
        <v>50</v>
      </c>
      <c r="E308" s="47">
        <v>181</v>
      </c>
      <c r="F308" s="47">
        <v>40</v>
      </c>
      <c r="I308" s="47">
        <v>36</v>
      </c>
      <c r="J308" s="47">
        <v>4</v>
      </c>
      <c r="K308" s="47" t="s">
        <v>209</v>
      </c>
    </row>
    <row r="309" spans="1:11">
      <c r="A309" s="2">
        <v>43908</v>
      </c>
      <c r="B309" s="47">
        <v>0.60416666666666663</v>
      </c>
      <c r="C309" s="47" t="s">
        <v>104</v>
      </c>
      <c r="E309" s="47">
        <v>569</v>
      </c>
      <c r="J309" s="47">
        <v>2</v>
      </c>
      <c r="K309" s="47" t="s">
        <v>106</v>
      </c>
    </row>
    <row r="310" spans="1:11">
      <c r="A310" s="2">
        <v>43908</v>
      </c>
      <c r="B310" s="47">
        <v>0.66666666666666663</v>
      </c>
      <c r="C310" s="47" t="s">
        <v>34</v>
      </c>
      <c r="E310" s="47">
        <v>101</v>
      </c>
      <c r="F310" s="47">
        <v>6</v>
      </c>
      <c r="I310" s="47">
        <v>4</v>
      </c>
      <c r="K310" s="47" t="s">
        <v>206</v>
      </c>
    </row>
    <row r="311" spans="1:11">
      <c r="A311" s="2">
        <v>43908</v>
      </c>
      <c r="B311" s="47">
        <v>0.66666666666666663</v>
      </c>
      <c r="C311" s="47" t="s">
        <v>68</v>
      </c>
      <c r="E311" s="47">
        <v>65</v>
      </c>
      <c r="K311" s="47" t="s">
        <v>211</v>
      </c>
    </row>
    <row r="312" spans="1:11">
      <c r="A312" s="2">
        <v>43909</v>
      </c>
      <c r="C312" s="47" t="s">
        <v>38</v>
      </c>
      <c r="E312" s="47">
        <v>6</v>
      </c>
      <c r="F312" s="47">
        <v>1</v>
      </c>
      <c r="K312" s="47" t="s">
        <v>197</v>
      </c>
    </row>
    <row r="313" spans="1:11">
      <c r="A313" s="2">
        <v>43909</v>
      </c>
      <c r="C313" s="47" t="s">
        <v>44</v>
      </c>
      <c r="E313" s="47">
        <v>282</v>
      </c>
      <c r="J313" s="47">
        <v>1</v>
      </c>
      <c r="K313" s="47" t="s">
        <v>46</v>
      </c>
    </row>
    <row r="314" spans="1:11">
      <c r="A314" s="2">
        <v>43909</v>
      </c>
      <c r="C314" s="47" t="s">
        <v>47</v>
      </c>
      <c r="E314" s="47">
        <v>134</v>
      </c>
      <c r="F314" s="47">
        <v>19</v>
      </c>
      <c r="G314" s="47">
        <v>2</v>
      </c>
      <c r="I314" s="47">
        <v>16</v>
      </c>
      <c r="J314" s="47">
        <v>2</v>
      </c>
      <c r="K314" s="47" t="s">
        <v>216</v>
      </c>
    </row>
    <row r="315" spans="1:11">
      <c r="A315" s="2">
        <v>43909</v>
      </c>
      <c r="C315" s="47" t="s">
        <v>56</v>
      </c>
      <c r="E315" s="47">
        <v>111</v>
      </c>
      <c r="F315" s="47">
        <v>12</v>
      </c>
      <c r="G315" s="47">
        <v>5</v>
      </c>
      <c r="J315" s="47">
        <v>1</v>
      </c>
      <c r="K315" s="47" t="s">
        <v>434</v>
      </c>
    </row>
    <row r="316" spans="1:11">
      <c r="A316" s="2">
        <v>43909</v>
      </c>
      <c r="C316" s="47" t="s">
        <v>58</v>
      </c>
      <c r="D316" s="47">
        <v>6233</v>
      </c>
      <c r="E316" s="47">
        <v>994</v>
      </c>
      <c r="F316" s="47">
        <v>92</v>
      </c>
      <c r="G316" s="47">
        <v>19</v>
      </c>
      <c r="H316" s="47">
        <v>18</v>
      </c>
      <c r="J316" s="47">
        <v>7</v>
      </c>
      <c r="K316" s="47" t="s">
        <v>60</v>
      </c>
    </row>
    <row r="317" spans="1:11">
      <c r="A317" s="2">
        <v>43909</v>
      </c>
      <c r="C317" s="47" t="s">
        <v>61</v>
      </c>
      <c r="E317" s="47">
        <v>16</v>
      </c>
      <c r="F317" s="47">
        <v>0</v>
      </c>
      <c r="J317" s="47">
        <v>0</v>
      </c>
      <c r="K317" s="47" t="s">
        <v>430</v>
      </c>
    </row>
    <row r="318" spans="1:11">
      <c r="A318" s="2">
        <v>43909</v>
      </c>
      <c r="C318" s="47" t="s">
        <v>63</v>
      </c>
      <c r="E318" s="47">
        <v>182</v>
      </c>
      <c r="F318" s="47">
        <v>18</v>
      </c>
      <c r="J318" s="47">
        <v>2</v>
      </c>
      <c r="K318" s="47" t="s">
        <v>65</v>
      </c>
    </row>
    <row r="319" spans="1:11">
      <c r="A319" s="2">
        <v>43909</v>
      </c>
      <c r="C319" s="47" t="s">
        <v>66</v>
      </c>
      <c r="E319" s="47">
        <v>36</v>
      </c>
      <c r="F319" s="47">
        <v>12</v>
      </c>
      <c r="G319" s="47">
        <v>0</v>
      </c>
      <c r="J319" s="47">
        <v>0</v>
      </c>
      <c r="K319" s="47" t="s">
        <v>424</v>
      </c>
    </row>
    <row r="320" spans="1:11">
      <c r="A320" s="2">
        <v>43909</v>
      </c>
      <c r="C320" s="47" t="s">
        <v>71</v>
      </c>
      <c r="E320" s="47">
        <v>175</v>
      </c>
      <c r="F320" s="47">
        <v>19</v>
      </c>
      <c r="J320" s="47">
        <v>3</v>
      </c>
      <c r="K320" s="47" t="s">
        <v>377</v>
      </c>
    </row>
    <row r="321" spans="1:11">
      <c r="A321" s="2">
        <v>43909</v>
      </c>
      <c r="C321" s="47" t="s">
        <v>73</v>
      </c>
      <c r="E321" s="47">
        <v>25</v>
      </c>
      <c r="F321" s="47">
        <v>5</v>
      </c>
      <c r="K321" s="47" t="s">
        <v>357</v>
      </c>
    </row>
    <row r="322" spans="1:11">
      <c r="A322" s="2">
        <v>43909</v>
      </c>
      <c r="C322" s="47" t="s">
        <v>78</v>
      </c>
      <c r="E322" s="47">
        <v>85</v>
      </c>
      <c r="K322" s="47" t="s">
        <v>80</v>
      </c>
    </row>
    <row r="323" spans="1:11">
      <c r="A323" s="2">
        <v>43909</v>
      </c>
      <c r="C323" s="47" t="s">
        <v>81</v>
      </c>
      <c r="E323" s="47">
        <v>12</v>
      </c>
      <c r="J323" s="47">
        <v>0</v>
      </c>
      <c r="K323" s="47" t="s">
        <v>426</v>
      </c>
    </row>
    <row r="324" spans="1:11">
      <c r="A324" s="2">
        <v>43909</v>
      </c>
      <c r="C324" s="47" t="s">
        <v>88</v>
      </c>
      <c r="E324" s="47">
        <v>37</v>
      </c>
      <c r="K324" s="47" t="s">
        <v>90</v>
      </c>
    </row>
    <row r="325" spans="1:11">
      <c r="A325" s="2">
        <v>43909</v>
      </c>
      <c r="C325" s="47" t="s">
        <v>91</v>
      </c>
      <c r="E325" s="47">
        <v>638</v>
      </c>
      <c r="F325" s="47">
        <v>155</v>
      </c>
      <c r="G325" s="47">
        <v>33</v>
      </c>
      <c r="J325" s="47">
        <v>15</v>
      </c>
      <c r="K325" s="47" t="s">
        <v>218</v>
      </c>
    </row>
    <row r="326" spans="1:11">
      <c r="A326" s="2">
        <v>43909</v>
      </c>
      <c r="C326" s="47" t="s">
        <v>94</v>
      </c>
      <c r="E326" s="47">
        <v>7</v>
      </c>
      <c r="K326" s="47" t="s">
        <v>219</v>
      </c>
    </row>
    <row r="327" spans="1:11">
      <c r="A327" s="2">
        <v>43909</v>
      </c>
      <c r="C327" s="47" t="s">
        <v>97</v>
      </c>
      <c r="E327" s="47">
        <v>1514</v>
      </c>
      <c r="F327" s="47">
        <v>170</v>
      </c>
      <c r="G327" s="47">
        <v>23</v>
      </c>
      <c r="J327" s="47">
        <v>13</v>
      </c>
      <c r="K327" s="47" t="s">
        <v>99</v>
      </c>
    </row>
    <row r="328" spans="1:11">
      <c r="A328" s="2">
        <v>43909</v>
      </c>
      <c r="C328" s="47" t="s">
        <v>100</v>
      </c>
      <c r="E328" s="47">
        <v>349</v>
      </c>
      <c r="F328" s="47">
        <v>64</v>
      </c>
      <c r="G328" s="47">
        <v>5</v>
      </c>
      <c r="H328" s="47">
        <v>5</v>
      </c>
      <c r="J328" s="47">
        <v>6</v>
      </c>
      <c r="K328" s="47" t="s">
        <v>419</v>
      </c>
    </row>
    <row r="329" spans="1:11">
      <c r="A329" s="2">
        <v>43909</v>
      </c>
      <c r="B329" s="47">
        <v>0.33333333333333331</v>
      </c>
      <c r="C329" s="47" t="s">
        <v>102</v>
      </c>
      <c r="E329" s="47">
        <v>37</v>
      </c>
      <c r="F329" s="47">
        <v>1</v>
      </c>
      <c r="G329" s="47">
        <v>0</v>
      </c>
      <c r="I329" s="47">
        <v>5</v>
      </c>
      <c r="J329" s="47">
        <v>0</v>
      </c>
      <c r="K329" s="47" t="s">
        <v>381</v>
      </c>
    </row>
    <row r="330" spans="1:11">
      <c r="A330" s="2">
        <v>43909</v>
      </c>
      <c r="B330" s="47">
        <v>0.45833333333333331</v>
      </c>
      <c r="C330" s="47" t="s">
        <v>50</v>
      </c>
      <c r="E330" s="47">
        <v>220</v>
      </c>
      <c r="F330" s="47">
        <v>40</v>
      </c>
      <c r="I330" s="47">
        <v>44</v>
      </c>
      <c r="J330" s="47">
        <v>4</v>
      </c>
      <c r="K330" s="47" t="s">
        <v>217</v>
      </c>
    </row>
    <row r="331" spans="1:11">
      <c r="A331" s="2">
        <v>43909</v>
      </c>
      <c r="B331" s="47">
        <v>0.60416666666666663</v>
      </c>
      <c r="C331" s="47" t="s">
        <v>104</v>
      </c>
      <c r="E331" s="47">
        <v>680</v>
      </c>
      <c r="F331" s="47">
        <v>60</v>
      </c>
      <c r="H331" s="47">
        <v>12</v>
      </c>
      <c r="J331" s="47">
        <v>3</v>
      </c>
      <c r="K331" s="47" t="s">
        <v>106</v>
      </c>
    </row>
    <row r="332" spans="1:11">
      <c r="A332" s="2">
        <v>43909</v>
      </c>
      <c r="B332" s="47">
        <v>0.625</v>
      </c>
      <c r="C332" s="47" t="s">
        <v>34</v>
      </c>
      <c r="E332" s="47">
        <v>118</v>
      </c>
      <c r="F332" s="47">
        <v>17</v>
      </c>
      <c r="G332" s="47">
        <v>6</v>
      </c>
      <c r="H332" s="47">
        <v>3</v>
      </c>
      <c r="K332" s="47" t="s">
        <v>215</v>
      </c>
    </row>
    <row r="333" spans="1:11">
      <c r="A333" s="2">
        <v>43910</v>
      </c>
      <c r="C333" s="47" t="s">
        <v>44</v>
      </c>
      <c r="E333" s="47">
        <v>377</v>
      </c>
      <c r="J333" s="47">
        <v>2</v>
      </c>
      <c r="K333" s="47" t="s">
        <v>46</v>
      </c>
    </row>
    <row r="334" spans="1:11">
      <c r="A334" s="2">
        <v>43910</v>
      </c>
      <c r="C334" s="47" t="s">
        <v>47</v>
      </c>
      <c r="E334" s="47">
        <v>184</v>
      </c>
      <c r="F334" s="47">
        <v>27</v>
      </c>
      <c r="G334" s="47">
        <v>2</v>
      </c>
      <c r="I334" s="47">
        <v>18</v>
      </c>
      <c r="J334" s="47">
        <v>3</v>
      </c>
      <c r="K334" s="47" t="s">
        <v>221</v>
      </c>
    </row>
    <row r="335" spans="1:11">
      <c r="A335" s="2">
        <v>43910</v>
      </c>
      <c r="C335" s="47" t="s">
        <v>53</v>
      </c>
      <c r="E335" s="47">
        <v>37</v>
      </c>
      <c r="I335" s="47">
        <v>1</v>
      </c>
      <c r="K335" s="47" t="s">
        <v>223</v>
      </c>
    </row>
    <row r="336" spans="1:11">
      <c r="A336" s="2">
        <v>43910</v>
      </c>
      <c r="C336" s="47" t="s">
        <v>56</v>
      </c>
      <c r="E336" s="47">
        <v>145</v>
      </c>
      <c r="F336" s="47">
        <v>20</v>
      </c>
      <c r="G336" s="47">
        <v>6</v>
      </c>
      <c r="J336" s="47">
        <v>1</v>
      </c>
      <c r="K336" s="47" t="s">
        <v>434</v>
      </c>
    </row>
    <row r="337" spans="1:11">
      <c r="A337" s="2">
        <v>43910</v>
      </c>
      <c r="C337" s="47" t="s">
        <v>58</v>
      </c>
      <c r="D337" s="47">
        <v>6647</v>
      </c>
      <c r="E337" s="47">
        <v>1119</v>
      </c>
      <c r="F337" s="47">
        <v>109</v>
      </c>
      <c r="G337" s="47">
        <v>22</v>
      </c>
      <c r="H337" s="47">
        <v>21</v>
      </c>
      <c r="J337" s="47">
        <v>9</v>
      </c>
      <c r="K337" s="47" t="s">
        <v>60</v>
      </c>
    </row>
    <row r="338" spans="1:11">
      <c r="A338" s="2">
        <v>43910</v>
      </c>
      <c r="C338" s="47" t="s">
        <v>61</v>
      </c>
      <c r="E338" s="47">
        <v>20</v>
      </c>
      <c r="F338" s="47">
        <v>0</v>
      </c>
      <c r="J338" s="47">
        <v>0</v>
      </c>
      <c r="K338" s="47" t="s">
        <v>430</v>
      </c>
    </row>
    <row r="339" spans="1:11">
      <c r="A339" s="2">
        <v>43910</v>
      </c>
      <c r="C339" s="47" t="s">
        <v>63</v>
      </c>
      <c r="E339" s="47">
        <v>226</v>
      </c>
      <c r="F339" s="47">
        <v>24</v>
      </c>
      <c r="J339" s="47">
        <v>3</v>
      </c>
      <c r="K339" s="47" t="s">
        <v>65</v>
      </c>
    </row>
    <row r="340" spans="1:11">
      <c r="A340" s="2">
        <v>43910</v>
      </c>
      <c r="C340" s="47" t="s">
        <v>66</v>
      </c>
      <c r="E340" s="47">
        <v>44</v>
      </c>
      <c r="F340" s="47">
        <v>14</v>
      </c>
      <c r="G340" s="47">
        <v>1</v>
      </c>
      <c r="J340" s="47">
        <v>0</v>
      </c>
      <c r="K340" s="47" t="s">
        <v>424</v>
      </c>
    </row>
    <row r="341" spans="1:11">
      <c r="A341" s="2">
        <v>43910</v>
      </c>
      <c r="C341" s="47" t="s">
        <v>71</v>
      </c>
      <c r="E341" s="47">
        <v>189</v>
      </c>
      <c r="F341" s="47">
        <v>21</v>
      </c>
      <c r="J341" s="47">
        <v>3</v>
      </c>
      <c r="K341" s="47" t="s">
        <v>377</v>
      </c>
    </row>
    <row r="342" spans="1:11">
      <c r="A342" s="2">
        <v>43910</v>
      </c>
      <c r="C342" s="47" t="s">
        <v>73</v>
      </c>
      <c r="E342" s="47">
        <v>28</v>
      </c>
      <c r="F342" s="47">
        <v>5</v>
      </c>
      <c r="K342" s="47" t="s">
        <v>357</v>
      </c>
    </row>
    <row r="343" spans="1:11">
      <c r="A343" s="2">
        <v>43910</v>
      </c>
      <c r="C343" s="47" t="s">
        <v>78</v>
      </c>
      <c r="E343" s="47">
        <v>98</v>
      </c>
      <c r="K343" s="47" t="s">
        <v>80</v>
      </c>
    </row>
    <row r="344" spans="1:11">
      <c r="A344" s="2">
        <v>43910</v>
      </c>
      <c r="C344" s="47" t="s">
        <v>81</v>
      </c>
      <c r="E344" s="47">
        <v>17</v>
      </c>
      <c r="J344" s="47">
        <v>0</v>
      </c>
      <c r="K344" s="47" t="s">
        <v>426</v>
      </c>
    </row>
    <row r="345" spans="1:11">
      <c r="A345" s="2">
        <v>43910</v>
      </c>
      <c r="C345" s="47" t="s">
        <v>88</v>
      </c>
      <c r="E345" s="47">
        <v>50</v>
      </c>
      <c r="K345" s="47" t="s">
        <v>90</v>
      </c>
    </row>
    <row r="346" spans="1:11">
      <c r="A346" s="2">
        <v>43910</v>
      </c>
      <c r="C346" s="47" t="s">
        <v>97</v>
      </c>
      <c r="E346" s="47">
        <v>1756</v>
      </c>
      <c r="F346" s="47">
        <v>182</v>
      </c>
      <c r="G346" s="47">
        <v>23</v>
      </c>
      <c r="J346" s="47">
        <v>19</v>
      </c>
      <c r="K346" s="47" t="s">
        <v>99</v>
      </c>
    </row>
    <row r="347" spans="1:11">
      <c r="A347" s="2">
        <v>43910</v>
      </c>
      <c r="C347" s="47" t="s">
        <v>100</v>
      </c>
      <c r="E347" s="47">
        <v>436</v>
      </c>
      <c r="F347" s="47">
        <v>73</v>
      </c>
      <c r="G347" s="47">
        <v>6</v>
      </c>
      <c r="H347" s="47">
        <v>5</v>
      </c>
      <c r="J347" s="47">
        <v>7</v>
      </c>
      <c r="K347" s="47" t="s">
        <v>419</v>
      </c>
    </row>
    <row r="348" spans="1:11">
      <c r="A348" s="2">
        <v>43910</v>
      </c>
      <c r="B348" s="47">
        <v>0.33333333333333331</v>
      </c>
      <c r="C348" s="47" t="s">
        <v>91</v>
      </c>
      <c r="E348" s="47">
        <v>834</v>
      </c>
      <c r="F348" s="47">
        <v>168</v>
      </c>
      <c r="G348" s="47">
        <v>35</v>
      </c>
      <c r="J348" s="47">
        <v>22</v>
      </c>
      <c r="K348" s="47" t="s">
        <v>225</v>
      </c>
    </row>
    <row r="349" spans="1:11">
      <c r="A349" s="2">
        <v>43910</v>
      </c>
      <c r="B349" s="47">
        <v>0.33333333333333331</v>
      </c>
      <c r="C349" s="47" t="s">
        <v>102</v>
      </c>
      <c r="E349" s="47">
        <v>48</v>
      </c>
      <c r="F349" s="47">
        <v>1</v>
      </c>
      <c r="G349" s="47">
        <v>0</v>
      </c>
      <c r="I349" s="47">
        <v>5</v>
      </c>
      <c r="J349" s="47">
        <v>0</v>
      </c>
      <c r="K349" s="47" t="s">
        <v>381</v>
      </c>
    </row>
    <row r="350" spans="1:11">
      <c r="A350" s="2">
        <v>43910</v>
      </c>
      <c r="B350" s="47">
        <v>0.40277777777777779</v>
      </c>
      <c r="C350" s="47" t="s">
        <v>68</v>
      </c>
      <c r="E350" s="47">
        <v>92</v>
      </c>
      <c r="K350" s="47" t="s">
        <v>70</v>
      </c>
    </row>
    <row r="351" spans="1:11">
      <c r="A351" s="2">
        <v>43910</v>
      </c>
      <c r="B351" s="47">
        <v>0.41666666666666669</v>
      </c>
      <c r="C351" s="47" t="s">
        <v>50</v>
      </c>
      <c r="E351" s="47">
        <v>270</v>
      </c>
      <c r="F351" s="47">
        <v>45</v>
      </c>
      <c r="I351" s="47">
        <v>46</v>
      </c>
      <c r="J351" s="47">
        <v>4</v>
      </c>
      <c r="K351" s="47" t="s">
        <v>222</v>
      </c>
    </row>
    <row r="352" spans="1:11">
      <c r="A352" s="2">
        <v>43910</v>
      </c>
      <c r="B352" s="47">
        <v>0.5</v>
      </c>
      <c r="C352" s="47" t="s">
        <v>94</v>
      </c>
      <c r="E352" s="47">
        <v>7</v>
      </c>
      <c r="K352" s="47" t="s">
        <v>226</v>
      </c>
    </row>
    <row r="353" spans="1:11">
      <c r="A353" s="2">
        <v>43910</v>
      </c>
      <c r="B353" s="47">
        <v>0.60416666666666663</v>
      </c>
      <c r="C353" s="47" t="s">
        <v>104</v>
      </c>
      <c r="E353" s="47">
        <v>712</v>
      </c>
      <c r="F353" s="47">
        <v>78</v>
      </c>
      <c r="H353" s="47">
        <v>15</v>
      </c>
      <c r="J353" s="47">
        <v>4</v>
      </c>
      <c r="K353" s="47" t="s">
        <v>106</v>
      </c>
    </row>
    <row r="354" spans="1:11">
      <c r="A354" s="2">
        <v>43910</v>
      </c>
      <c r="B354" s="47">
        <v>0.625</v>
      </c>
      <c r="C354" s="47" t="s">
        <v>34</v>
      </c>
      <c r="E354" s="47">
        <v>168</v>
      </c>
      <c r="F354" s="47">
        <v>25</v>
      </c>
      <c r="G354" s="47">
        <v>4</v>
      </c>
      <c r="H354" s="47">
        <v>2</v>
      </c>
      <c r="J354" s="47">
        <v>1</v>
      </c>
      <c r="K354" s="47" t="s">
        <v>220</v>
      </c>
    </row>
    <row r="355" spans="1:11">
      <c r="A355" s="2">
        <v>43910</v>
      </c>
      <c r="B355" s="47">
        <v>0.73402777777777772</v>
      </c>
      <c r="C355" s="47" t="s">
        <v>83</v>
      </c>
      <c r="E355" s="47">
        <v>66</v>
      </c>
      <c r="K355" s="47" t="s">
        <v>224</v>
      </c>
    </row>
    <row r="356" spans="1:11">
      <c r="A356" s="2">
        <v>43911</v>
      </c>
      <c r="C356" s="47" t="s">
        <v>41</v>
      </c>
      <c r="J356" s="47">
        <v>1</v>
      </c>
      <c r="K356" s="47" t="s">
        <v>227</v>
      </c>
    </row>
    <row r="357" spans="1:11">
      <c r="A357" s="2">
        <v>43911</v>
      </c>
      <c r="C357" s="47" t="s">
        <v>44</v>
      </c>
      <c r="E357" s="47">
        <v>418</v>
      </c>
      <c r="J357" s="47">
        <v>3</v>
      </c>
      <c r="K357" s="47" t="s">
        <v>46</v>
      </c>
    </row>
    <row r="358" spans="1:11">
      <c r="A358" s="2">
        <v>43911</v>
      </c>
      <c r="C358" s="47" t="s">
        <v>47</v>
      </c>
      <c r="E358" s="47">
        <v>282</v>
      </c>
      <c r="F358" s="47">
        <v>30</v>
      </c>
      <c r="G358" s="47">
        <v>4</v>
      </c>
      <c r="I358" s="47">
        <v>21</v>
      </c>
      <c r="J358" s="47">
        <v>3</v>
      </c>
      <c r="K358" s="47" t="s">
        <v>228</v>
      </c>
    </row>
    <row r="359" spans="1:11">
      <c r="A359" s="2">
        <v>43911</v>
      </c>
      <c r="C359" s="47" t="s">
        <v>53</v>
      </c>
      <c r="E359" s="47">
        <v>44</v>
      </c>
      <c r="K359" s="47" t="s">
        <v>230</v>
      </c>
    </row>
    <row r="360" spans="1:11">
      <c r="A360" s="2">
        <v>43911</v>
      </c>
      <c r="C360" s="47" t="s">
        <v>56</v>
      </c>
      <c r="E360" s="47">
        <v>167</v>
      </c>
      <c r="F360" s="47">
        <v>28</v>
      </c>
      <c r="G360" s="47">
        <v>6</v>
      </c>
      <c r="J360" s="47">
        <v>2</v>
      </c>
      <c r="K360" s="47" t="s">
        <v>434</v>
      </c>
    </row>
    <row r="361" spans="1:11">
      <c r="A361" s="2">
        <v>43911</v>
      </c>
      <c r="C361" s="47" t="s">
        <v>58</v>
      </c>
      <c r="D361" s="47">
        <v>7009</v>
      </c>
      <c r="E361" s="47">
        <v>1248</v>
      </c>
      <c r="F361" s="47">
        <v>145</v>
      </c>
      <c r="G361" s="47">
        <v>25</v>
      </c>
      <c r="H361" s="47">
        <v>24</v>
      </c>
      <c r="J361" s="47">
        <v>9</v>
      </c>
      <c r="K361" s="47" t="s">
        <v>60</v>
      </c>
    </row>
    <row r="362" spans="1:11">
      <c r="A362" s="2">
        <v>43911</v>
      </c>
      <c r="C362" s="47" t="s">
        <v>61</v>
      </c>
      <c r="E362" s="47">
        <v>25</v>
      </c>
      <c r="F362" s="47">
        <v>0</v>
      </c>
      <c r="J362" s="47">
        <v>0</v>
      </c>
      <c r="K362" s="47" t="s">
        <v>430</v>
      </c>
    </row>
    <row r="363" spans="1:11">
      <c r="A363" s="2">
        <v>43911</v>
      </c>
      <c r="C363" s="47" t="s">
        <v>63</v>
      </c>
      <c r="E363" s="47">
        <v>258</v>
      </c>
      <c r="F363" s="47">
        <v>24</v>
      </c>
      <c r="J363" s="47">
        <v>4</v>
      </c>
      <c r="K363" s="47" t="s">
        <v>65</v>
      </c>
    </row>
    <row r="364" spans="1:11">
      <c r="A364" s="2">
        <v>43911</v>
      </c>
      <c r="C364" s="47" t="s">
        <v>66</v>
      </c>
      <c r="E364" s="47">
        <v>54</v>
      </c>
      <c r="F364" s="47">
        <v>13</v>
      </c>
      <c r="G364" s="47">
        <v>1</v>
      </c>
      <c r="J364" s="47">
        <v>0</v>
      </c>
      <c r="K364" s="47" t="s">
        <v>424</v>
      </c>
    </row>
    <row r="365" spans="1:11">
      <c r="A365" s="2">
        <v>43911</v>
      </c>
      <c r="C365" s="47" t="s">
        <v>71</v>
      </c>
      <c r="E365" s="47">
        <v>200</v>
      </c>
      <c r="F365" s="47">
        <v>20</v>
      </c>
      <c r="J365" s="47">
        <v>4</v>
      </c>
      <c r="K365" s="47" t="s">
        <v>377</v>
      </c>
    </row>
    <row r="366" spans="1:11">
      <c r="A366" s="2">
        <v>43911</v>
      </c>
      <c r="C366" s="47" t="s">
        <v>73</v>
      </c>
      <c r="E366" s="47">
        <v>33</v>
      </c>
      <c r="F366" s="47">
        <v>5</v>
      </c>
      <c r="K366" s="47" t="s">
        <v>357</v>
      </c>
    </row>
    <row r="367" spans="1:11">
      <c r="A367" s="2">
        <v>43911</v>
      </c>
      <c r="C367" s="47" t="s">
        <v>81</v>
      </c>
      <c r="E367" s="47">
        <v>28</v>
      </c>
      <c r="J367" s="47">
        <v>0</v>
      </c>
      <c r="K367" s="47" t="s">
        <v>426</v>
      </c>
    </row>
    <row r="368" spans="1:11">
      <c r="A368" s="2">
        <v>43911</v>
      </c>
      <c r="C368" s="47" t="s">
        <v>88</v>
      </c>
      <c r="E368" s="47">
        <v>57</v>
      </c>
      <c r="K368" s="47" t="s">
        <v>90</v>
      </c>
    </row>
    <row r="369" spans="1:11">
      <c r="A369" s="2">
        <v>43911</v>
      </c>
      <c r="C369" s="47" t="s">
        <v>97</v>
      </c>
      <c r="E369" s="47">
        <v>1875</v>
      </c>
      <c r="F369" s="47">
        <v>209</v>
      </c>
      <c r="G369" s="47">
        <v>24</v>
      </c>
      <c r="J369" s="47">
        <v>22</v>
      </c>
      <c r="K369" s="47" t="s">
        <v>99</v>
      </c>
    </row>
    <row r="370" spans="1:11">
      <c r="A370" s="2">
        <v>43911</v>
      </c>
      <c r="C370" s="47" t="s">
        <v>100</v>
      </c>
      <c r="E370" s="47">
        <v>498</v>
      </c>
      <c r="F370" s="47">
        <v>83</v>
      </c>
      <c r="G370" s="47">
        <v>8</v>
      </c>
      <c r="H370" s="47">
        <v>6</v>
      </c>
      <c r="J370" s="47">
        <v>10</v>
      </c>
      <c r="K370" s="47" t="s">
        <v>419</v>
      </c>
    </row>
    <row r="371" spans="1:11">
      <c r="A371" s="2">
        <v>43911</v>
      </c>
      <c r="B371" s="47">
        <v>0.33333333333333331</v>
      </c>
      <c r="C371" s="47" t="s">
        <v>91</v>
      </c>
      <c r="E371" s="47">
        <v>918</v>
      </c>
      <c r="F371" s="47">
        <v>184</v>
      </c>
      <c r="G371" s="47">
        <v>40</v>
      </c>
      <c r="H371" s="47">
        <v>37</v>
      </c>
      <c r="J371" s="47">
        <v>28</v>
      </c>
      <c r="K371" s="47" t="s">
        <v>232</v>
      </c>
    </row>
    <row r="372" spans="1:11">
      <c r="A372" s="2">
        <v>43911</v>
      </c>
      <c r="B372" s="47">
        <v>0.33333333333333331</v>
      </c>
      <c r="C372" s="47" t="s">
        <v>94</v>
      </c>
      <c r="E372" s="47">
        <v>12</v>
      </c>
      <c r="K372" s="47" t="s">
        <v>226</v>
      </c>
    </row>
    <row r="373" spans="1:11">
      <c r="A373" s="2">
        <v>43911</v>
      </c>
      <c r="B373" s="47">
        <v>0.33333333333333331</v>
      </c>
      <c r="C373" s="47" t="s">
        <v>102</v>
      </c>
      <c r="E373" s="47">
        <v>53</v>
      </c>
      <c r="F373" s="47">
        <v>3</v>
      </c>
      <c r="G373" s="47">
        <v>0</v>
      </c>
      <c r="I373" s="47">
        <v>5</v>
      </c>
      <c r="J373" s="47">
        <v>0</v>
      </c>
      <c r="K373" s="47" t="s">
        <v>381</v>
      </c>
    </row>
    <row r="374" spans="1:11">
      <c r="A374" s="2">
        <v>43911</v>
      </c>
      <c r="B374" s="47">
        <v>0.41666666666666669</v>
      </c>
      <c r="C374" s="47" t="s">
        <v>50</v>
      </c>
      <c r="E374" s="47">
        <v>297</v>
      </c>
      <c r="F374" s="47">
        <v>46</v>
      </c>
      <c r="I374" s="47">
        <v>57</v>
      </c>
      <c r="J374" s="47">
        <v>5</v>
      </c>
      <c r="K374" s="47" t="s">
        <v>229</v>
      </c>
    </row>
    <row r="375" spans="1:11">
      <c r="A375" s="2">
        <v>43911</v>
      </c>
      <c r="B375" s="47">
        <v>0.45833333333333331</v>
      </c>
      <c r="C375" s="47" t="s">
        <v>68</v>
      </c>
      <c r="E375" s="47">
        <v>109</v>
      </c>
      <c r="J375" s="47">
        <v>1</v>
      </c>
      <c r="K375" s="47" t="s">
        <v>231</v>
      </c>
    </row>
    <row r="376" spans="1:11">
      <c r="A376" s="2">
        <v>43911</v>
      </c>
      <c r="B376" s="47">
        <v>0.60416666666666663</v>
      </c>
      <c r="C376" s="47" t="s">
        <v>104</v>
      </c>
      <c r="E376" s="47">
        <v>712</v>
      </c>
      <c r="F376" s="47">
        <v>83</v>
      </c>
      <c r="H376" s="47">
        <v>23</v>
      </c>
      <c r="J376" s="47">
        <v>5</v>
      </c>
      <c r="K376" s="47" t="s">
        <v>106</v>
      </c>
    </row>
    <row r="377" spans="1:11">
      <c r="A377" s="2">
        <v>43912</v>
      </c>
      <c r="C377" s="47" t="s">
        <v>47</v>
      </c>
      <c r="E377" s="47">
        <v>289</v>
      </c>
      <c r="F377" s="47">
        <v>40</v>
      </c>
      <c r="G377" s="47">
        <v>7</v>
      </c>
      <c r="I377" s="47">
        <v>21</v>
      </c>
      <c r="J377" s="47">
        <v>3</v>
      </c>
      <c r="K377" s="47" t="s">
        <v>234</v>
      </c>
    </row>
    <row r="378" spans="1:11">
      <c r="A378" s="2">
        <v>43912</v>
      </c>
      <c r="C378" s="47" t="s">
        <v>53</v>
      </c>
      <c r="E378" s="47">
        <v>46</v>
      </c>
      <c r="K378" s="47" t="s">
        <v>236</v>
      </c>
    </row>
    <row r="379" spans="1:11">
      <c r="A379" s="2">
        <v>43912</v>
      </c>
      <c r="C379" s="47" t="s">
        <v>56</v>
      </c>
      <c r="E379" s="47">
        <v>202</v>
      </c>
      <c r="F379" s="47">
        <v>32</v>
      </c>
      <c r="G379" s="47">
        <v>8</v>
      </c>
      <c r="J379" s="47">
        <v>3</v>
      </c>
      <c r="K379" s="47" t="s">
        <v>434</v>
      </c>
    </row>
    <row r="380" spans="1:11">
      <c r="A380" s="2">
        <v>43912</v>
      </c>
      <c r="C380" s="47" t="s">
        <v>58</v>
      </c>
      <c r="D380" s="47">
        <v>7244</v>
      </c>
      <c r="E380" s="47">
        <v>1391</v>
      </c>
      <c r="F380" s="47">
        <v>179</v>
      </c>
      <c r="G380" s="47">
        <v>36</v>
      </c>
      <c r="H380" s="47">
        <v>36</v>
      </c>
      <c r="J380" s="47">
        <v>10</v>
      </c>
      <c r="K380" s="47" t="s">
        <v>60</v>
      </c>
    </row>
    <row r="381" spans="1:11">
      <c r="A381" s="2">
        <v>43912</v>
      </c>
      <c r="C381" s="47" t="s">
        <v>61</v>
      </c>
      <c r="E381" s="47">
        <v>29</v>
      </c>
      <c r="F381" s="47">
        <v>0</v>
      </c>
      <c r="J381" s="47">
        <v>0</v>
      </c>
      <c r="K381" s="47" t="s">
        <v>430</v>
      </c>
    </row>
    <row r="382" spans="1:11">
      <c r="A382" s="2">
        <v>43912</v>
      </c>
      <c r="C382" s="47" t="s">
        <v>63</v>
      </c>
      <c r="E382" s="47">
        <v>284</v>
      </c>
      <c r="F382" s="47">
        <v>27</v>
      </c>
      <c r="J382" s="47">
        <v>4</v>
      </c>
      <c r="K382" s="47" t="s">
        <v>65</v>
      </c>
    </row>
    <row r="383" spans="1:11">
      <c r="A383" s="2">
        <v>43912</v>
      </c>
      <c r="C383" s="47" t="s">
        <v>66</v>
      </c>
      <c r="E383" s="47">
        <v>61</v>
      </c>
      <c r="F383" s="47">
        <v>18</v>
      </c>
      <c r="G383" s="47">
        <v>2</v>
      </c>
      <c r="J383" s="47">
        <v>0</v>
      </c>
      <c r="K383" s="47" t="s">
        <v>424</v>
      </c>
    </row>
    <row r="384" spans="1:11">
      <c r="A384" s="2">
        <v>43912</v>
      </c>
      <c r="C384" s="47" t="s">
        <v>71</v>
      </c>
      <c r="E384" s="47">
        <v>216</v>
      </c>
      <c r="F384" s="47">
        <v>28</v>
      </c>
      <c r="J384" s="47">
        <v>4</v>
      </c>
      <c r="K384" s="47" t="s">
        <v>377</v>
      </c>
    </row>
    <row r="385" spans="1:11">
      <c r="A385" s="2">
        <v>43912</v>
      </c>
      <c r="C385" s="47" t="s">
        <v>73</v>
      </c>
      <c r="E385" s="47">
        <v>36</v>
      </c>
      <c r="F385" s="47">
        <v>5</v>
      </c>
      <c r="K385" s="47" t="s">
        <v>357</v>
      </c>
    </row>
    <row r="386" spans="1:11">
      <c r="A386" s="2">
        <v>43912</v>
      </c>
      <c r="C386" s="47" t="s">
        <v>81</v>
      </c>
      <c r="E386" s="47">
        <v>30</v>
      </c>
      <c r="J386" s="47">
        <v>0</v>
      </c>
      <c r="K386" s="47" t="s">
        <v>426</v>
      </c>
    </row>
    <row r="387" spans="1:11">
      <c r="A387" s="2">
        <v>43912</v>
      </c>
      <c r="C387" s="47" t="s">
        <v>88</v>
      </c>
      <c r="E387" s="47">
        <v>76</v>
      </c>
      <c r="K387" s="47" t="s">
        <v>90</v>
      </c>
    </row>
    <row r="388" spans="1:11">
      <c r="A388" s="2">
        <v>43912</v>
      </c>
      <c r="C388" s="47" t="s">
        <v>97</v>
      </c>
      <c r="E388" s="47">
        <v>1977</v>
      </c>
      <c r="F388" s="47">
        <v>229</v>
      </c>
      <c r="G388" s="47">
        <v>30</v>
      </c>
      <c r="J388" s="47">
        <v>24</v>
      </c>
      <c r="K388" s="47" t="s">
        <v>99</v>
      </c>
    </row>
    <row r="389" spans="1:11">
      <c r="A389" s="2">
        <v>43912</v>
      </c>
      <c r="C389" s="47" t="s">
        <v>100</v>
      </c>
      <c r="E389" s="47">
        <v>535</v>
      </c>
      <c r="F389" s="47">
        <v>92</v>
      </c>
      <c r="G389" s="47">
        <v>11</v>
      </c>
      <c r="H389" s="47">
        <v>7</v>
      </c>
      <c r="J389" s="47">
        <v>11</v>
      </c>
      <c r="K389" s="47" t="s">
        <v>419</v>
      </c>
    </row>
    <row r="390" spans="1:11">
      <c r="A390" s="2">
        <v>43912</v>
      </c>
      <c r="B390" s="47">
        <v>0.33333333333333331</v>
      </c>
      <c r="C390" s="47" t="s">
        <v>91</v>
      </c>
      <c r="E390" s="47">
        <v>939</v>
      </c>
      <c r="F390" s="47">
        <v>246</v>
      </c>
      <c r="G390" s="47">
        <v>46</v>
      </c>
      <c r="H390" s="47">
        <v>43</v>
      </c>
      <c r="J390" s="47">
        <v>37</v>
      </c>
      <c r="K390" s="47" t="s">
        <v>237</v>
      </c>
    </row>
    <row r="391" spans="1:11">
      <c r="A391" s="2">
        <v>43912</v>
      </c>
      <c r="B391" s="47">
        <v>0.33333333333333331</v>
      </c>
      <c r="C391" s="47" t="s">
        <v>102</v>
      </c>
      <c r="E391" s="47">
        <v>53</v>
      </c>
      <c r="F391" s="47">
        <v>3</v>
      </c>
      <c r="G391" s="47">
        <v>0</v>
      </c>
      <c r="I391" s="47">
        <v>5</v>
      </c>
      <c r="J391" s="47">
        <v>0</v>
      </c>
      <c r="K391" s="47" t="s">
        <v>381</v>
      </c>
    </row>
    <row r="392" spans="1:11">
      <c r="A392" s="2">
        <v>43912</v>
      </c>
      <c r="B392" s="47">
        <v>0.4375</v>
      </c>
      <c r="C392" s="47" t="s">
        <v>50</v>
      </c>
      <c r="E392" s="47">
        <v>356</v>
      </c>
      <c r="F392" s="47">
        <v>50</v>
      </c>
      <c r="I392" s="47">
        <v>73</v>
      </c>
      <c r="J392" s="47">
        <v>5</v>
      </c>
      <c r="K392" s="47" t="s">
        <v>235</v>
      </c>
    </row>
    <row r="393" spans="1:11">
      <c r="A393" s="2">
        <v>43912</v>
      </c>
      <c r="B393" s="47">
        <v>0.45833333333333331</v>
      </c>
      <c r="C393" s="47" t="s">
        <v>68</v>
      </c>
      <c r="E393" s="47">
        <v>131</v>
      </c>
      <c r="J393" s="47">
        <v>1</v>
      </c>
      <c r="K393" s="47" t="s">
        <v>70</v>
      </c>
    </row>
    <row r="394" spans="1:11">
      <c r="A394" s="2">
        <v>43912</v>
      </c>
      <c r="B394" s="47">
        <v>0.5</v>
      </c>
      <c r="C394" s="47" t="s">
        <v>34</v>
      </c>
      <c r="E394" s="47">
        <v>232</v>
      </c>
      <c r="J394" s="47">
        <v>1</v>
      </c>
      <c r="K394" s="47" t="s">
        <v>233</v>
      </c>
    </row>
    <row r="395" spans="1:11">
      <c r="A395" s="2">
        <v>43912</v>
      </c>
      <c r="B395" s="47">
        <v>0.60416666666666663</v>
      </c>
      <c r="C395" s="47" t="s">
        <v>104</v>
      </c>
      <c r="E395" s="47">
        <v>712</v>
      </c>
      <c r="F395" s="47">
        <v>110</v>
      </c>
      <c r="H395" s="47">
        <v>22</v>
      </c>
      <c r="J395" s="47">
        <v>6</v>
      </c>
      <c r="K395" s="47" t="s">
        <v>106</v>
      </c>
    </row>
    <row r="396" spans="1:11">
      <c r="A396" s="2">
        <v>43913</v>
      </c>
      <c r="C396" s="47" t="s">
        <v>44</v>
      </c>
      <c r="E396" s="47">
        <v>470</v>
      </c>
      <c r="J396" s="47">
        <v>5</v>
      </c>
      <c r="K396" s="47" t="s">
        <v>46</v>
      </c>
    </row>
    <row r="397" spans="1:11">
      <c r="A397" s="2">
        <v>43913</v>
      </c>
      <c r="C397" s="47" t="s">
        <v>47</v>
      </c>
      <c r="E397" s="47">
        <v>302</v>
      </c>
      <c r="F397" s="47">
        <v>51</v>
      </c>
      <c r="G397" s="47">
        <v>10</v>
      </c>
      <c r="I397" s="47">
        <v>35</v>
      </c>
      <c r="J397" s="47">
        <v>3</v>
      </c>
      <c r="K397" s="47" t="s">
        <v>239</v>
      </c>
    </row>
    <row r="398" spans="1:11">
      <c r="A398" s="2">
        <v>43913</v>
      </c>
      <c r="C398" s="47" t="s">
        <v>56</v>
      </c>
      <c r="E398" s="47">
        <v>226</v>
      </c>
      <c r="F398" s="47">
        <v>35</v>
      </c>
      <c r="G398" s="47">
        <v>7</v>
      </c>
      <c r="J398" s="47">
        <v>4</v>
      </c>
      <c r="K398" s="47" t="s">
        <v>434</v>
      </c>
    </row>
    <row r="399" spans="1:11">
      <c r="A399" s="2">
        <v>43913</v>
      </c>
      <c r="C399" s="47" t="s">
        <v>58</v>
      </c>
      <c r="D399" s="47">
        <v>7622</v>
      </c>
      <c r="E399" s="47">
        <v>1536</v>
      </c>
      <c r="F399" s="47">
        <v>214</v>
      </c>
      <c r="G399" s="47">
        <v>43</v>
      </c>
      <c r="H399" s="47">
        <v>41</v>
      </c>
      <c r="J399" s="47">
        <v>16</v>
      </c>
      <c r="K399" s="47" t="s">
        <v>60</v>
      </c>
    </row>
    <row r="400" spans="1:11">
      <c r="A400" s="2">
        <v>43913</v>
      </c>
      <c r="C400" s="47" t="s">
        <v>61</v>
      </c>
      <c r="E400" s="47">
        <v>31</v>
      </c>
      <c r="F400" s="47">
        <v>3</v>
      </c>
      <c r="J400" s="47">
        <v>0</v>
      </c>
      <c r="K400" s="47" t="s">
        <v>430</v>
      </c>
    </row>
    <row r="401" spans="1:11">
      <c r="A401" s="2">
        <v>43913</v>
      </c>
      <c r="C401" s="47" t="s">
        <v>63</v>
      </c>
      <c r="E401" s="47">
        <v>300</v>
      </c>
      <c r="F401" s="47">
        <v>29</v>
      </c>
      <c r="J401" s="47">
        <v>5</v>
      </c>
      <c r="K401" s="47" t="s">
        <v>65</v>
      </c>
    </row>
    <row r="402" spans="1:11">
      <c r="A402" s="2">
        <v>43913</v>
      </c>
      <c r="C402" s="47" t="s">
        <v>66</v>
      </c>
      <c r="E402" s="47">
        <v>69</v>
      </c>
      <c r="F402" s="47">
        <v>18</v>
      </c>
      <c r="G402" s="47">
        <v>3</v>
      </c>
      <c r="J402" s="47">
        <v>0</v>
      </c>
      <c r="K402" s="47" t="s">
        <v>424</v>
      </c>
    </row>
    <row r="403" spans="1:11">
      <c r="A403" s="2">
        <v>43913</v>
      </c>
      <c r="C403" s="47" t="s">
        <v>71</v>
      </c>
      <c r="E403" s="47">
        <v>247</v>
      </c>
      <c r="F403" s="47">
        <v>33</v>
      </c>
      <c r="G403" s="47">
        <v>11</v>
      </c>
      <c r="H403" s="47">
        <v>6</v>
      </c>
      <c r="J403" s="47">
        <v>5</v>
      </c>
      <c r="K403" s="47" t="s">
        <v>377</v>
      </c>
    </row>
    <row r="404" spans="1:11">
      <c r="A404" s="2">
        <v>43913</v>
      </c>
      <c r="C404" s="47" t="s">
        <v>73</v>
      </c>
      <c r="E404" s="47">
        <v>39</v>
      </c>
      <c r="F404" s="47">
        <v>5</v>
      </c>
      <c r="K404" s="47" t="s">
        <v>357</v>
      </c>
    </row>
    <row r="405" spans="1:11">
      <c r="A405" s="2">
        <v>43913</v>
      </c>
      <c r="C405" s="47" t="s">
        <v>75</v>
      </c>
      <c r="E405" s="47">
        <v>25</v>
      </c>
      <c r="K405" s="47" t="s">
        <v>77</v>
      </c>
    </row>
    <row r="406" spans="1:11">
      <c r="A406" s="2">
        <v>43913</v>
      </c>
      <c r="C406" s="47" t="s">
        <v>78</v>
      </c>
      <c r="E406" s="47">
        <v>185</v>
      </c>
      <c r="J406" s="47">
        <v>1</v>
      </c>
      <c r="K406" s="47" t="s">
        <v>80</v>
      </c>
    </row>
    <row r="407" spans="1:11">
      <c r="A407" s="2">
        <v>43913</v>
      </c>
      <c r="C407" s="47" t="s">
        <v>81</v>
      </c>
      <c r="E407" s="47">
        <v>32</v>
      </c>
      <c r="J407" s="47">
        <v>0</v>
      </c>
      <c r="K407" s="47" t="s">
        <v>426</v>
      </c>
    </row>
    <row r="408" spans="1:11">
      <c r="A408" s="2">
        <v>43913</v>
      </c>
      <c r="C408" s="47" t="s">
        <v>88</v>
      </c>
      <c r="E408" s="47">
        <v>82</v>
      </c>
      <c r="K408" s="47" t="s">
        <v>90</v>
      </c>
    </row>
    <row r="409" spans="1:11">
      <c r="A409" s="2">
        <v>43913</v>
      </c>
      <c r="C409" s="47" t="s">
        <v>94</v>
      </c>
      <c r="E409" s="47">
        <v>22</v>
      </c>
      <c r="F409" s="47">
        <v>1</v>
      </c>
      <c r="I409" s="47">
        <v>1</v>
      </c>
      <c r="K409" s="47" t="s">
        <v>226</v>
      </c>
    </row>
    <row r="410" spans="1:11">
      <c r="A410" s="2">
        <v>43913</v>
      </c>
      <c r="C410" s="47" t="s">
        <v>97</v>
      </c>
      <c r="E410" s="47">
        <v>2283</v>
      </c>
      <c r="F410" s="47">
        <v>247</v>
      </c>
      <c r="G410" s="47">
        <v>39</v>
      </c>
      <c r="J410" s="47">
        <v>28</v>
      </c>
      <c r="K410" s="47" t="s">
        <v>99</v>
      </c>
    </row>
    <row r="411" spans="1:11">
      <c r="A411" s="2">
        <v>43913</v>
      </c>
      <c r="C411" s="47" t="s">
        <v>100</v>
      </c>
      <c r="E411" s="47">
        <v>628</v>
      </c>
      <c r="F411" s="47">
        <v>104</v>
      </c>
      <c r="G411" s="47">
        <v>12</v>
      </c>
      <c r="H411" s="47">
        <v>9</v>
      </c>
      <c r="J411" s="47">
        <v>13</v>
      </c>
      <c r="K411" s="47" t="s">
        <v>419</v>
      </c>
    </row>
    <row r="412" spans="1:11">
      <c r="A412" s="2">
        <v>43913</v>
      </c>
      <c r="B412" s="47">
        <v>0.33333333333333331</v>
      </c>
      <c r="C412" s="47" t="s">
        <v>91</v>
      </c>
      <c r="E412" s="47">
        <v>1165</v>
      </c>
      <c r="F412" s="47">
        <v>261</v>
      </c>
      <c r="G412" s="47">
        <v>45</v>
      </c>
      <c r="H412" s="47">
        <v>43</v>
      </c>
      <c r="J412" s="47">
        <v>48</v>
      </c>
      <c r="K412" s="47" t="s">
        <v>242</v>
      </c>
    </row>
    <row r="413" spans="1:11">
      <c r="A413" s="2">
        <v>43913</v>
      </c>
      <c r="B413" s="47">
        <v>0.33333333333333331</v>
      </c>
      <c r="C413" s="47" t="s">
        <v>102</v>
      </c>
      <c r="E413" s="47">
        <v>53</v>
      </c>
      <c r="F413" s="47">
        <v>3</v>
      </c>
      <c r="G413" s="47">
        <v>0</v>
      </c>
      <c r="I413" s="47">
        <v>5</v>
      </c>
      <c r="J413" s="47">
        <v>0</v>
      </c>
      <c r="K413" s="47" t="s">
        <v>381</v>
      </c>
    </row>
    <row r="414" spans="1:11">
      <c r="A414" s="2">
        <v>43913</v>
      </c>
      <c r="B414" s="47">
        <v>0.41666666666666669</v>
      </c>
      <c r="C414" s="47" t="s">
        <v>41</v>
      </c>
      <c r="E414" s="47">
        <v>30</v>
      </c>
      <c r="F414" s="47">
        <v>7</v>
      </c>
      <c r="J414" s="47">
        <v>1</v>
      </c>
      <c r="K414" s="47" t="s">
        <v>43</v>
      </c>
    </row>
    <row r="415" spans="1:11">
      <c r="A415" s="2">
        <v>43913</v>
      </c>
      <c r="B415" s="47">
        <v>0.41666666666666669</v>
      </c>
      <c r="C415" s="47" t="s">
        <v>50</v>
      </c>
      <c r="E415" s="47">
        <v>374</v>
      </c>
      <c r="F415" s="47">
        <v>56</v>
      </c>
      <c r="I415" s="47">
        <v>78</v>
      </c>
      <c r="J415" s="47">
        <v>5</v>
      </c>
      <c r="K415" s="47" t="s">
        <v>240</v>
      </c>
    </row>
    <row r="416" spans="1:11">
      <c r="A416" s="2">
        <v>43913</v>
      </c>
      <c r="B416" s="47">
        <v>0.45833333333333331</v>
      </c>
      <c r="C416" s="47" t="s">
        <v>68</v>
      </c>
      <c r="E416" s="47">
        <v>156</v>
      </c>
      <c r="J416" s="47">
        <v>1</v>
      </c>
      <c r="K416" s="47" t="s">
        <v>70</v>
      </c>
    </row>
    <row r="417" spans="1:11">
      <c r="A417" s="2">
        <v>43913</v>
      </c>
      <c r="B417" s="47">
        <v>0.5</v>
      </c>
      <c r="C417" s="47" t="s">
        <v>83</v>
      </c>
      <c r="E417" s="47">
        <v>95</v>
      </c>
      <c r="J417" s="47">
        <v>1</v>
      </c>
      <c r="K417" s="47" t="s">
        <v>85</v>
      </c>
    </row>
    <row r="418" spans="1:11">
      <c r="A418" s="2">
        <v>43913</v>
      </c>
      <c r="B418" s="47">
        <v>0.60416666666666663</v>
      </c>
      <c r="C418" s="47" t="s">
        <v>104</v>
      </c>
      <c r="E418" s="47">
        <v>1076</v>
      </c>
      <c r="F418" s="47">
        <v>127</v>
      </c>
      <c r="H418" s="47">
        <v>27</v>
      </c>
      <c r="J418" s="47">
        <v>6</v>
      </c>
      <c r="K418" s="47" t="s">
        <v>106</v>
      </c>
    </row>
    <row r="419" spans="1:11">
      <c r="A419" s="2">
        <v>43913</v>
      </c>
      <c r="B419" s="47">
        <v>0.625</v>
      </c>
      <c r="C419" s="47" t="s">
        <v>34</v>
      </c>
      <c r="E419" s="47">
        <v>241</v>
      </c>
      <c r="F419" s="47">
        <v>10</v>
      </c>
      <c r="G419" s="47">
        <v>3</v>
      </c>
      <c r="H419" s="47">
        <v>2</v>
      </c>
      <c r="J419" s="47">
        <v>1</v>
      </c>
      <c r="K419" s="47" t="s">
        <v>238</v>
      </c>
    </row>
    <row r="420" spans="1:11">
      <c r="A420" s="2">
        <v>43913</v>
      </c>
      <c r="B420" s="47">
        <v>0.75</v>
      </c>
      <c r="C420" s="47" t="s">
        <v>53</v>
      </c>
      <c r="E420" s="47">
        <v>51</v>
      </c>
      <c r="K420" s="47" t="s">
        <v>241</v>
      </c>
    </row>
    <row r="421" spans="1:11">
      <c r="A421" s="2">
        <v>43914</v>
      </c>
      <c r="C421" s="47" t="s">
        <v>44</v>
      </c>
      <c r="E421" s="47">
        <v>532</v>
      </c>
      <c r="J421" s="47">
        <v>6</v>
      </c>
      <c r="K421" s="47" t="s">
        <v>46</v>
      </c>
    </row>
    <row r="422" spans="1:11">
      <c r="A422" s="2">
        <v>43914</v>
      </c>
      <c r="C422" s="47" t="s">
        <v>47</v>
      </c>
      <c r="E422" s="47">
        <v>306</v>
      </c>
      <c r="F422" s="47">
        <v>66</v>
      </c>
      <c r="G422" s="47">
        <v>11</v>
      </c>
      <c r="I422" s="47">
        <v>40</v>
      </c>
      <c r="J422" s="47">
        <v>4</v>
      </c>
      <c r="K422" s="47" t="s">
        <v>49</v>
      </c>
    </row>
    <row r="423" spans="1:11">
      <c r="A423" s="2">
        <v>43914</v>
      </c>
      <c r="C423" s="47" t="s">
        <v>53</v>
      </c>
      <c r="E423" s="47">
        <v>51</v>
      </c>
      <c r="K423" s="47" t="s">
        <v>245</v>
      </c>
    </row>
    <row r="424" spans="1:11">
      <c r="A424" s="2">
        <v>43914</v>
      </c>
      <c r="C424" s="47" t="s">
        <v>56</v>
      </c>
      <c r="E424" s="47">
        <v>255</v>
      </c>
      <c r="F424" s="47">
        <v>35</v>
      </c>
      <c r="G424" s="47">
        <v>7</v>
      </c>
      <c r="J424" s="47">
        <v>5</v>
      </c>
      <c r="K424" s="47" t="s">
        <v>434</v>
      </c>
    </row>
    <row r="425" spans="1:11">
      <c r="A425" s="2">
        <v>43914</v>
      </c>
      <c r="C425" s="47" t="s">
        <v>58</v>
      </c>
      <c r="D425" s="47">
        <v>7965</v>
      </c>
      <c r="E425" s="47">
        <v>1636</v>
      </c>
      <c r="F425" s="47">
        <v>238</v>
      </c>
      <c r="G425" s="47">
        <v>41</v>
      </c>
      <c r="H425" s="47">
        <v>41</v>
      </c>
      <c r="I425" s="47">
        <v>103</v>
      </c>
      <c r="J425" s="47">
        <v>17</v>
      </c>
      <c r="K425" s="47" t="s">
        <v>60</v>
      </c>
    </row>
    <row r="426" spans="1:11">
      <c r="A426" s="2">
        <v>43914</v>
      </c>
      <c r="C426" s="47" t="s">
        <v>61</v>
      </c>
      <c r="E426" s="47">
        <v>33</v>
      </c>
      <c r="F426" s="47">
        <v>3</v>
      </c>
      <c r="J426" s="47">
        <v>0</v>
      </c>
      <c r="K426" s="47" t="s">
        <v>430</v>
      </c>
    </row>
    <row r="427" spans="1:11">
      <c r="A427" s="2">
        <v>43914</v>
      </c>
      <c r="C427" s="47" t="s">
        <v>63</v>
      </c>
      <c r="E427" s="47">
        <v>343</v>
      </c>
      <c r="F427" s="47">
        <v>43</v>
      </c>
      <c r="J427" s="47">
        <v>6</v>
      </c>
      <c r="K427" s="47" t="s">
        <v>65</v>
      </c>
    </row>
    <row r="428" spans="1:11">
      <c r="A428" s="2">
        <v>43914</v>
      </c>
      <c r="C428" s="47" t="s">
        <v>66</v>
      </c>
      <c r="E428" s="47">
        <v>82</v>
      </c>
      <c r="F428" s="47">
        <v>22</v>
      </c>
      <c r="G428" s="47">
        <v>4</v>
      </c>
      <c r="J428" s="47">
        <v>0</v>
      </c>
      <c r="K428" s="47" t="s">
        <v>424</v>
      </c>
    </row>
    <row r="429" spans="1:11">
      <c r="A429" s="2">
        <v>43914</v>
      </c>
      <c r="C429" s="47" t="s">
        <v>71</v>
      </c>
      <c r="E429" s="47">
        <v>265</v>
      </c>
      <c r="F429" s="47">
        <v>32</v>
      </c>
      <c r="G429" s="47">
        <v>8</v>
      </c>
      <c r="H429" s="47">
        <v>6</v>
      </c>
      <c r="J429" s="47">
        <v>6</v>
      </c>
      <c r="K429" s="47" t="s">
        <v>377</v>
      </c>
    </row>
    <row r="430" spans="1:11">
      <c r="A430" s="2">
        <v>43914</v>
      </c>
      <c r="C430" s="47" t="s">
        <v>73</v>
      </c>
      <c r="E430" s="47">
        <v>42</v>
      </c>
      <c r="F430" s="47">
        <v>4</v>
      </c>
      <c r="K430" s="47" t="s">
        <v>357</v>
      </c>
    </row>
    <row r="431" spans="1:11">
      <c r="A431" s="2">
        <v>43914</v>
      </c>
      <c r="C431" s="47" t="s">
        <v>75</v>
      </c>
      <c r="E431" s="47">
        <v>25</v>
      </c>
      <c r="K431" s="47" t="s">
        <v>77</v>
      </c>
    </row>
    <row r="432" spans="1:11">
      <c r="A432" s="2">
        <v>43914</v>
      </c>
      <c r="C432" s="47" t="s">
        <v>78</v>
      </c>
      <c r="E432" s="47">
        <v>200</v>
      </c>
      <c r="J432" s="47">
        <v>1</v>
      </c>
      <c r="K432" s="47" t="s">
        <v>80</v>
      </c>
    </row>
    <row r="433" spans="1:11">
      <c r="A433" s="2">
        <v>43914</v>
      </c>
      <c r="C433" s="47" t="s">
        <v>81</v>
      </c>
      <c r="E433" s="47">
        <v>34</v>
      </c>
      <c r="J433" s="47">
        <v>0</v>
      </c>
      <c r="K433" s="47" t="s">
        <v>426</v>
      </c>
    </row>
    <row r="434" spans="1:11">
      <c r="A434" s="2">
        <v>43914</v>
      </c>
      <c r="C434" s="47" t="s">
        <v>86</v>
      </c>
      <c r="E434" s="47">
        <v>97</v>
      </c>
      <c r="I434" s="47">
        <v>10</v>
      </c>
      <c r="J434" s="47">
        <v>0</v>
      </c>
      <c r="K434" s="47" t="s">
        <v>427</v>
      </c>
    </row>
    <row r="435" spans="1:11">
      <c r="A435" s="2">
        <v>43914</v>
      </c>
      <c r="C435" s="47" t="s">
        <v>88</v>
      </c>
      <c r="E435" s="47">
        <v>88</v>
      </c>
      <c r="J435" s="47">
        <v>1</v>
      </c>
      <c r="K435" s="47" t="s">
        <v>246</v>
      </c>
    </row>
    <row r="436" spans="1:11">
      <c r="A436" s="2">
        <v>43914</v>
      </c>
      <c r="C436" s="47" t="s">
        <v>97</v>
      </c>
      <c r="E436" s="47">
        <v>2548</v>
      </c>
      <c r="F436" s="47">
        <v>283</v>
      </c>
      <c r="G436" s="47">
        <v>40</v>
      </c>
      <c r="J436" s="47">
        <v>32</v>
      </c>
      <c r="K436" s="47" t="s">
        <v>99</v>
      </c>
    </row>
    <row r="437" spans="1:11">
      <c r="A437" s="2">
        <v>43914</v>
      </c>
      <c r="C437" s="47" t="s">
        <v>100</v>
      </c>
      <c r="E437" s="47">
        <v>728</v>
      </c>
      <c r="F437" s="47">
        <v>117</v>
      </c>
      <c r="G437" s="47">
        <v>13</v>
      </c>
      <c r="H437" s="47">
        <v>12</v>
      </c>
      <c r="J437" s="47">
        <v>14</v>
      </c>
      <c r="K437" s="47" t="s">
        <v>419</v>
      </c>
    </row>
    <row r="438" spans="1:11">
      <c r="A438" s="2">
        <v>43914</v>
      </c>
      <c r="B438" s="47">
        <v>0</v>
      </c>
      <c r="C438" s="47" t="s">
        <v>83</v>
      </c>
      <c r="E438" s="47">
        <v>104</v>
      </c>
      <c r="J438" s="47">
        <v>1</v>
      </c>
      <c r="K438" s="47" t="s">
        <v>85</v>
      </c>
    </row>
    <row r="439" spans="1:11">
      <c r="A439" s="2">
        <v>43914</v>
      </c>
      <c r="B439" s="47">
        <v>0.33333333333333331</v>
      </c>
      <c r="C439" s="47" t="s">
        <v>91</v>
      </c>
      <c r="E439" s="47">
        <v>1211</v>
      </c>
      <c r="F439" s="47">
        <v>285</v>
      </c>
      <c r="G439" s="47">
        <v>50</v>
      </c>
      <c r="H439" s="47">
        <v>48</v>
      </c>
      <c r="J439" s="47">
        <v>53</v>
      </c>
      <c r="K439" s="47" t="s">
        <v>247</v>
      </c>
    </row>
    <row r="440" spans="1:11">
      <c r="A440" s="2">
        <v>43914</v>
      </c>
      <c r="B440" s="47">
        <v>0.33333333333333331</v>
      </c>
      <c r="C440" s="47" t="s">
        <v>102</v>
      </c>
      <c r="E440" s="47">
        <v>72</v>
      </c>
      <c r="F440" s="47">
        <v>6</v>
      </c>
      <c r="G440" s="47">
        <v>0</v>
      </c>
      <c r="I440" s="47">
        <v>12</v>
      </c>
      <c r="J440" s="47">
        <v>0</v>
      </c>
      <c r="K440" s="47" t="s">
        <v>381</v>
      </c>
    </row>
    <row r="441" spans="1:11">
      <c r="A441" s="2">
        <v>43914</v>
      </c>
      <c r="B441" s="47">
        <v>0.375</v>
      </c>
      <c r="C441" s="47" t="s">
        <v>50</v>
      </c>
      <c r="E441" s="47">
        <v>410</v>
      </c>
      <c r="F441" s="47">
        <v>58</v>
      </c>
      <c r="I441" s="47">
        <v>105</v>
      </c>
      <c r="J441" s="47">
        <v>5</v>
      </c>
      <c r="K441" s="47" t="s">
        <v>244</v>
      </c>
    </row>
    <row r="442" spans="1:11">
      <c r="A442" s="2">
        <v>43914</v>
      </c>
      <c r="B442" s="47">
        <v>0.41666666666666669</v>
      </c>
      <c r="C442" s="47" t="s">
        <v>41</v>
      </c>
      <c r="E442" s="47">
        <v>33</v>
      </c>
      <c r="F442" s="47">
        <v>6</v>
      </c>
      <c r="J442" s="47">
        <v>2</v>
      </c>
      <c r="K442" s="47" t="s">
        <v>43</v>
      </c>
    </row>
    <row r="443" spans="1:11">
      <c r="A443" s="2">
        <v>43914</v>
      </c>
      <c r="B443" s="47">
        <v>0.45833333333333331</v>
      </c>
      <c r="C443" s="47" t="s">
        <v>68</v>
      </c>
      <c r="E443" s="47">
        <v>205</v>
      </c>
      <c r="J443" s="47">
        <v>2</v>
      </c>
      <c r="K443" s="47" t="s">
        <v>70</v>
      </c>
    </row>
    <row r="444" spans="1:11">
      <c r="A444" s="2">
        <v>43914</v>
      </c>
      <c r="B444" s="47">
        <v>0.5</v>
      </c>
      <c r="C444" s="47" t="s">
        <v>94</v>
      </c>
      <c r="E444" s="47">
        <v>25</v>
      </c>
      <c r="F444" s="47">
        <v>1</v>
      </c>
      <c r="I444" s="47">
        <v>1</v>
      </c>
      <c r="K444" s="47" t="s">
        <v>226</v>
      </c>
    </row>
    <row r="445" spans="1:11">
      <c r="A445" s="2">
        <v>43914</v>
      </c>
      <c r="B445" s="47">
        <v>0.60416666666666663</v>
      </c>
      <c r="C445" s="47" t="s">
        <v>104</v>
      </c>
      <c r="E445" s="47">
        <v>1224</v>
      </c>
      <c r="F445" s="47">
        <v>138</v>
      </c>
      <c r="H445" s="47">
        <v>26</v>
      </c>
      <c r="J445" s="47">
        <v>8</v>
      </c>
      <c r="K445" s="47" t="s">
        <v>106</v>
      </c>
    </row>
    <row r="446" spans="1:11">
      <c r="A446" s="2">
        <v>43914</v>
      </c>
      <c r="B446" s="47">
        <v>0.625</v>
      </c>
      <c r="C446" s="47" t="s">
        <v>34</v>
      </c>
      <c r="E446" s="47">
        <v>266</v>
      </c>
      <c r="F446" s="47">
        <v>24</v>
      </c>
      <c r="G446" s="47">
        <v>2</v>
      </c>
      <c r="H446" s="47">
        <v>2</v>
      </c>
      <c r="J446" s="47">
        <v>2</v>
      </c>
      <c r="K446" s="47" t="s">
        <v>243</v>
      </c>
    </row>
    <row r="447" spans="1:11">
      <c r="A447" s="2">
        <v>43914</v>
      </c>
      <c r="B447" s="47">
        <v>0.70833333333333337</v>
      </c>
      <c r="C447" s="47" t="s">
        <v>38</v>
      </c>
      <c r="E447" s="47">
        <v>8</v>
      </c>
      <c r="K447" s="47" t="s">
        <v>40</v>
      </c>
    </row>
    <row r="448" spans="1:11">
      <c r="A448" s="2">
        <v>43915</v>
      </c>
      <c r="C448" s="47" t="s">
        <v>44</v>
      </c>
      <c r="E448" s="47">
        <v>624</v>
      </c>
      <c r="J448" s="47">
        <v>6</v>
      </c>
      <c r="K448" s="47" t="s">
        <v>46</v>
      </c>
    </row>
    <row r="449" spans="1:11">
      <c r="A449" s="2">
        <v>43915</v>
      </c>
      <c r="C449" s="47" t="s">
        <v>47</v>
      </c>
      <c r="E449" s="47">
        <v>341</v>
      </c>
      <c r="F449" s="47">
        <v>68</v>
      </c>
      <c r="G449" s="47">
        <v>8</v>
      </c>
      <c r="I449" s="47">
        <v>46</v>
      </c>
      <c r="J449" s="47">
        <v>5</v>
      </c>
      <c r="K449" s="47" t="s">
        <v>49</v>
      </c>
    </row>
    <row r="450" spans="1:11">
      <c r="A450" s="2">
        <v>43915</v>
      </c>
      <c r="C450" s="47" t="s">
        <v>53</v>
      </c>
      <c r="E450" s="47">
        <v>53</v>
      </c>
      <c r="K450" s="47" t="s">
        <v>250</v>
      </c>
    </row>
    <row r="451" spans="1:11">
      <c r="A451" s="2">
        <v>43915</v>
      </c>
      <c r="C451" s="47" t="s">
        <v>56</v>
      </c>
      <c r="E451" s="47">
        <v>293</v>
      </c>
      <c r="F451" s="47">
        <v>39</v>
      </c>
      <c r="G451" s="47">
        <v>7</v>
      </c>
      <c r="J451" s="47">
        <v>6</v>
      </c>
      <c r="K451" s="47" t="s">
        <v>434</v>
      </c>
    </row>
    <row r="452" spans="1:11">
      <c r="A452" s="2">
        <v>43915</v>
      </c>
      <c r="C452" s="47" t="s">
        <v>58</v>
      </c>
      <c r="D452" s="47">
        <v>8370</v>
      </c>
      <c r="E452" s="47">
        <v>1757</v>
      </c>
      <c r="F452" s="47">
        <v>258</v>
      </c>
      <c r="G452" s="47">
        <v>50</v>
      </c>
      <c r="H452" s="47">
        <v>48</v>
      </c>
      <c r="I452" s="47">
        <v>122</v>
      </c>
      <c r="J452" s="47">
        <v>24</v>
      </c>
      <c r="K452" s="47" t="s">
        <v>60</v>
      </c>
    </row>
    <row r="453" spans="1:11">
      <c r="A453" s="2">
        <v>43915</v>
      </c>
      <c r="C453" s="47" t="s">
        <v>61</v>
      </c>
      <c r="E453" s="47">
        <v>40</v>
      </c>
      <c r="F453" s="47">
        <v>2</v>
      </c>
      <c r="J453" s="47">
        <v>0</v>
      </c>
      <c r="K453" s="47" t="s">
        <v>430</v>
      </c>
    </row>
    <row r="454" spans="1:11">
      <c r="A454" s="2">
        <v>43915</v>
      </c>
      <c r="C454" s="47" t="s">
        <v>63</v>
      </c>
      <c r="E454" s="47">
        <v>393</v>
      </c>
      <c r="F454" s="47">
        <v>45</v>
      </c>
      <c r="J454" s="47">
        <v>8</v>
      </c>
      <c r="K454" s="47" t="s">
        <v>65</v>
      </c>
    </row>
    <row r="455" spans="1:11">
      <c r="A455" s="2">
        <v>43915</v>
      </c>
      <c r="C455" s="47" t="s">
        <v>66</v>
      </c>
      <c r="E455" s="47">
        <v>92</v>
      </c>
      <c r="F455" s="47">
        <v>23</v>
      </c>
      <c r="G455" s="47">
        <v>4</v>
      </c>
      <c r="J455" s="47">
        <v>0</v>
      </c>
      <c r="K455" s="47" t="s">
        <v>424</v>
      </c>
    </row>
    <row r="456" spans="1:11">
      <c r="A456" s="2">
        <v>43915</v>
      </c>
      <c r="C456" s="47" t="s">
        <v>71</v>
      </c>
      <c r="E456" s="47">
        <v>280</v>
      </c>
      <c r="F456" s="47">
        <v>41</v>
      </c>
      <c r="G456" s="47">
        <v>10</v>
      </c>
      <c r="H456" s="47">
        <v>7</v>
      </c>
      <c r="J456" s="47">
        <v>9</v>
      </c>
      <c r="K456" s="47" t="s">
        <v>377</v>
      </c>
    </row>
    <row r="457" spans="1:11">
      <c r="A457" s="2">
        <v>43915</v>
      </c>
      <c r="C457" s="47" t="s">
        <v>73</v>
      </c>
      <c r="E457" s="47">
        <v>44</v>
      </c>
      <c r="F457" s="47">
        <v>3</v>
      </c>
      <c r="K457" s="47" t="s">
        <v>357</v>
      </c>
    </row>
    <row r="458" spans="1:11">
      <c r="A458" s="2">
        <v>43915</v>
      </c>
      <c r="C458" s="47" t="s">
        <v>75</v>
      </c>
      <c r="E458" s="47">
        <v>27</v>
      </c>
      <c r="K458" s="47" t="s">
        <v>77</v>
      </c>
    </row>
    <row r="459" spans="1:11">
      <c r="A459" s="2">
        <v>43915</v>
      </c>
      <c r="C459" s="47" t="s">
        <v>78</v>
      </c>
      <c r="E459" s="47">
        <v>228</v>
      </c>
      <c r="J459" s="47">
        <v>1</v>
      </c>
      <c r="K459" s="47" t="s">
        <v>80</v>
      </c>
    </row>
    <row r="460" spans="1:11">
      <c r="A460" s="2">
        <v>43915</v>
      </c>
      <c r="C460" s="47" t="s">
        <v>81</v>
      </c>
      <c r="E460" s="47">
        <v>35</v>
      </c>
      <c r="F460" s="47">
        <v>10</v>
      </c>
      <c r="G460" s="47">
        <v>1</v>
      </c>
      <c r="J460" s="47">
        <v>0</v>
      </c>
      <c r="K460" s="47" t="s">
        <v>426</v>
      </c>
    </row>
    <row r="461" spans="1:11">
      <c r="A461" s="2">
        <v>43915</v>
      </c>
      <c r="C461" s="47" t="s">
        <v>86</v>
      </c>
      <c r="I461" s="47">
        <v>10</v>
      </c>
      <c r="J461" s="47">
        <v>0</v>
      </c>
      <c r="K461" s="47" t="s">
        <v>427</v>
      </c>
    </row>
    <row r="462" spans="1:11">
      <c r="A462" s="2">
        <v>43915</v>
      </c>
      <c r="C462" s="47" t="s">
        <v>88</v>
      </c>
      <c r="E462" s="47">
        <v>97</v>
      </c>
      <c r="J462" s="47">
        <v>1</v>
      </c>
      <c r="K462" s="47" t="s">
        <v>90</v>
      </c>
    </row>
    <row r="463" spans="1:11">
      <c r="A463" s="2">
        <v>43915</v>
      </c>
      <c r="C463" s="47" t="s">
        <v>97</v>
      </c>
      <c r="E463" s="47">
        <v>2740</v>
      </c>
      <c r="F463" s="47">
        <v>311</v>
      </c>
      <c r="G463" s="47">
        <v>51</v>
      </c>
      <c r="J463" s="47">
        <v>40</v>
      </c>
      <c r="K463" s="47" t="s">
        <v>99</v>
      </c>
    </row>
    <row r="464" spans="1:11">
      <c r="A464" s="2">
        <v>43915</v>
      </c>
      <c r="C464" s="47" t="s">
        <v>100</v>
      </c>
      <c r="E464" s="47">
        <v>793</v>
      </c>
      <c r="F464" s="47">
        <v>118</v>
      </c>
      <c r="G464" s="47">
        <v>15</v>
      </c>
      <c r="H464" s="47">
        <v>14</v>
      </c>
      <c r="J464" s="47">
        <v>15</v>
      </c>
      <c r="K464" s="47" t="s">
        <v>419</v>
      </c>
    </row>
    <row r="465" spans="1:11">
      <c r="A465" s="2">
        <v>43915</v>
      </c>
      <c r="B465" s="47">
        <v>0</v>
      </c>
      <c r="C465" s="47" t="s">
        <v>83</v>
      </c>
      <c r="E465" s="47">
        <v>129</v>
      </c>
      <c r="J465" s="47">
        <v>1</v>
      </c>
      <c r="K465" s="47" t="s">
        <v>85</v>
      </c>
    </row>
    <row r="466" spans="1:11">
      <c r="A466" s="2">
        <v>43915</v>
      </c>
      <c r="B466" s="47">
        <v>0.33333333333333331</v>
      </c>
      <c r="C466" s="47" t="s">
        <v>41</v>
      </c>
      <c r="E466" s="47">
        <v>34</v>
      </c>
      <c r="J466" s="47">
        <v>2</v>
      </c>
      <c r="K466" s="47" t="s">
        <v>43</v>
      </c>
    </row>
    <row r="467" spans="1:11">
      <c r="A467" s="2">
        <v>43915</v>
      </c>
      <c r="B467" s="47">
        <v>0.33333333333333331</v>
      </c>
      <c r="C467" s="47" t="s">
        <v>91</v>
      </c>
      <c r="E467" s="47">
        <v>1354</v>
      </c>
      <c r="F467" s="47">
        <v>306</v>
      </c>
      <c r="G467" s="47">
        <v>57</v>
      </c>
      <c r="H467" s="47">
        <v>55</v>
      </c>
      <c r="J467" s="47">
        <v>60</v>
      </c>
      <c r="K467" s="47" t="s">
        <v>251</v>
      </c>
    </row>
    <row r="468" spans="1:11">
      <c r="A468" s="2">
        <v>43915</v>
      </c>
      <c r="B468" s="47">
        <v>0.33333333333333331</v>
      </c>
      <c r="C468" s="47" t="s">
        <v>102</v>
      </c>
      <c r="E468" s="47">
        <v>80</v>
      </c>
      <c r="F468" s="47">
        <v>9</v>
      </c>
      <c r="G468" s="47">
        <v>1</v>
      </c>
      <c r="I468" s="47">
        <v>18</v>
      </c>
      <c r="J468" s="47">
        <v>0</v>
      </c>
      <c r="K468" s="47" t="s">
        <v>381</v>
      </c>
    </row>
    <row r="469" spans="1:11">
      <c r="A469" s="2">
        <v>43915</v>
      </c>
      <c r="B469" s="47">
        <v>0.41666666666666669</v>
      </c>
      <c r="C469" s="47" t="s">
        <v>50</v>
      </c>
      <c r="E469" s="47">
        <v>462</v>
      </c>
      <c r="F469" s="47">
        <v>58</v>
      </c>
      <c r="I469" s="47">
        <v>128</v>
      </c>
      <c r="J469" s="47">
        <v>8</v>
      </c>
      <c r="K469" s="47" t="s">
        <v>249</v>
      </c>
    </row>
    <row r="470" spans="1:11">
      <c r="A470" s="2">
        <v>43915</v>
      </c>
      <c r="B470" s="47">
        <v>0.45833333333333331</v>
      </c>
      <c r="C470" s="47" t="s">
        <v>68</v>
      </c>
      <c r="E470" s="47">
        <v>228</v>
      </c>
      <c r="J470" s="47">
        <v>2</v>
      </c>
      <c r="K470" s="47" t="s">
        <v>70</v>
      </c>
    </row>
    <row r="471" spans="1:11">
      <c r="A471" s="2">
        <v>43915</v>
      </c>
      <c r="B471" s="47">
        <v>0.60416666666666663</v>
      </c>
      <c r="C471" s="47" t="s">
        <v>104</v>
      </c>
      <c r="E471" s="47">
        <v>1371</v>
      </c>
      <c r="F471" s="47">
        <v>146</v>
      </c>
      <c r="H471" s="47">
        <v>28</v>
      </c>
      <c r="J471" s="47">
        <v>10</v>
      </c>
      <c r="K471" s="47" t="s">
        <v>106</v>
      </c>
    </row>
    <row r="472" spans="1:11">
      <c r="A472" s="2">
        <v>43915</v>
      </c>
      <c r="B472" s="47">
        <v>0.625</v>
      </c>
      <c r="C472" s="47" t="s">
        <v>34</v>
      </c>
      <c r="E472" s="47">
        <v>319</v>
      </c>
      <c r="F472" s="47">
        <v>16</v>
      </c>
      <c r="G472" s="47">
        <v>5</v>
      </c>
      <c r="H472" s="47">
        <v>5</v>
      </c>
      <c r="J472" s="47">
        <v>2</v>
      </c>
      <c r="K472" s="47" t="s">
        <v>248</v>
      </c>
    </row>
    <row r="473" spans="1:11">
      <c r="A473" s="2">
        <v>43915</v>
      </c>
      <c r="B473" s="47">
        <v>0.70833333333333337</v>
      </c>
      <c r="C473" s="47" t="s">
        <v>38</v>
      </c>
      <c r="E473" s="47">
        <v>9</v>
      </c>
      <c r="K473" s="47" t="s">
        <v>40</v>
      </c>
    </row>
    <row r="474" spans="1:11">
      <c r="A474" s="2">
        <v>43916</v>
      </c>
      <c r="C474" s="47" t="s">
        <v>44</v>
      </c>
      <c r="E474" s="47">
        <v>660</v>
      </c>
      <c r="J474" s="47">
        <v>7</v>
      </c>
      <c r="K474" s="47" t="s">
        <v>46</v>
      </c>
    </row>
    <row r="475" spans="1:11">
      <c r="A475" s="2">
        <v>43916</v>
      </c>
      <c r="C475" s="47" t="s">
        <v>47</v>
      </c>
      <c r="E475" s="47">
        <v>422</v>
      </c>
      <c r="F475" s="47">
        <v>68</v>
      </c>
      <c r="G475" s="47">
        <v>9</v>
      </c>
      <c r="I475" s="47">
        <v>65</v>
      </c>
      <c r="J475" s="47">
        <v>5</v>
      </c>
      <c r="K475" s="47" t="s">
        <v>49</v>
      </c>
    </row>
    <row r="476" spans="1:11">
      <c r="A476" s="2">
        <v>43916</v>
      </c>
      <c r="C476" s="47" t="s">
        <v>53</v>
      </c>
      <c r="D476" s="47">
        <v>900</v>
      </c>
      <c r="E476" s="47">
        <v>56</v>
      </c>
      <c r="K476" s="47" t="s">
        <v>254</v>
      </c>
    </row>
    <row r="477" spans="1:11">
      <c r="A477" s="2">
        <v>43916</v>
      </c>
      <c r="C477" s="47" t="s">
        <v>56</v>
      </c>
      <c r="E477" s="47">
        <v>309</v>
      </c>
      <c r="F477" s="47">
        <v>44</v>
      </c>
      <c r="G477" s="47">
        <v>5</v>
      </c>
      <c r="J477" s="47">
        <v>11</v>
      </c>
      <c r="K477" s="47" t="s">
        <v>434</v>
      </c>
    </row>
    <row r="478" spans="1:11">
      <c r="A478" s="2">
        <v>43916</v>
      </c>
      <c r="C478" s="47" t="s">
        <v>58</v>
      </c>
      <c r="D478" s="47">
        <v>8876</v>
      </c>
      <c r="E478" s="47">
        <v>1979</v>
      </c>
      <c r="F478" s="47">
        <v>272</v>
      </c>
      <c r="G478" s="47">
        <v>52</v>
      </c>
      <c r="H478" s="47">
        <v>48</v>
      </c>
      <c r="I478" s="47">
        <v>144</v>
      </c>
      <c r="J478" s="47">
        <v>26</v>
      </c>
      <c r="K478" s="47" t="s">
        <v>60</v>
      </c>
    </row>
    <row r="479" spans="1:11">
      <c r="A479" s="2">
        <v>43916</v>
      </c>
      <c r="C479" s="47" t="s">
        <v>61</v>
      </c>
      <c r="E479" s="47">
        <v>43</v>
      </c>
      <c r="F479" s="47">
        <v>2</v>
      </c>
      <c r="J479" s="47">
        <v>0</v>
      </c>
      <c r="K479" s="47" t="s">
        <v>430</v>
      </c>
    </row>
    <row r="480" spans="1:11">
      <c r="A480" s="2">
        <v>43916</v>
      </c>
      <c r="C480" s="47" t="s">
        <v>63</v>
      </c>
      <c r="E480" s="47">
        <v>433</v>
      </c>
      <c r="F480" s="47">
        <v>52</v>
      </c>
      <c r="J480" s="47">
        <v>8</v>
      </c>
      <c r="K480" s="47" t="s">
        <v>65</v>
      </c>
    </row>
    <row r="481" spans="1:11">
      <c r="A481" s="2">
        <v>43916</v>
      </c>
      <c r="C481" s="47" t="s">
        <v>66</v>
      </c>
      <c r="E481" s="47">
        <v>100</v>
      </c>
      <c r="F481" s="47">
        <v>22</v>
      </c>
      <c r="G481" s="47">
        <v>4</v>
      </c>
      <c r="J481" s="47">
        <v>0</v>
      </c>
      <c r="K481" s="47" t="s">
        <v>424</v>
      </c>
    </row>
    <row r="482" spans="1:11">
      <c r="A482" s="2">
        <v>43916</v>
      </c>
      <c r="C482" s="47" t="s">
        <v>71</v>
      </c>
      <c r="E482" s="47">
        <v>299</v>
      </c>
      <c r="F482" s="47">
        <v>42</v>
      </c>
      <c r="G482" s="47">
        <v>9</v>
      </c>
      <c r="H482" s="47">
        <v>7</v>
      </c>
      <c r="J482" s="47">
        <v>12</v>
      </c>
      <c r="K482" s="47" t="s">
        <v>377</v>
      </c>
    </row>
    <row r="483" spans="1:11">
      <c r="A483" s="2">
        <v>43916</v>
      </c>
      <c r="C483" s="47" t="s">
        <v>73</v>
      </c>
      <c r="E483" s="47">
        <v>48</v>
      </c>
      <c r="F483" s="47">
        <v>2</v>
      </c>
      <c r="K483" s="47" t="s">
        <v>357</v>
      </c>
    </row>
    <row r="484" spans="1:11">
      <c r="A484" s="2">
        <v>43916</v>
      </c>
      <c r="C484" s="47" t="s">
        <v>75</v>
      </c>
      <c r="E484" s="47">
        <v>30</v>
      </c>
      <c r="K484" s="47" t="s">
        <v>77</v>
      </c>
    </row>
    <row r="485" spans="1:11">
      <c r="A485" s="2">
        <v>43916</v>
      </c>
      <c r="C485" s="47" t="s">
        <v>78</v>
      </c>
      <c r="E485" s="47">
        <v>280</v>
      </c>
      <c r="J485" s="47">
        <v>1</v>
      </c>
      <c r="K485" s="47" t="s">
        <v>80</v>
      </c>
    </row>
    <row r="486" spans="1:11">
      <c r="A486" s="2">
        <v>43916</v>
      </c>
      <c r="C486" s="47" t="s">
        <v>81</v>
      </c>
      <c r="E486" s="47">
        <v>36</v>
      </c>
      <c r="F486" s="47">
        <v>6</v>
      </c>
      <c r="G486" s="47">
        <v>1</v>
      </c>
      <c r="J486" s="47">
        <v>0</v>
      </c>
      <c r="K486" s="47" t="s">
        <v>426</v>
      </c>
    </row>
    <row r="487" spans="1:11">
      <c r="A487" s="2">
        <v>43916</v>
      </c>
      <c r="C487" s="47" t="s">
        <v>86</v>
      </c>
      <c r="E487" s="47">
        <v>107</v>
      </c>
      <c r="I487" s="47">
        <v>20</v>
      </c>
      <c r="J487" s="47">
        <v>0</v>
      </c>
      <c r="K487" s="47" t="s">
        <v>427</v>
      </c>
    </row>
    <row r="488" spans="1:11">
      <c r="A488" s="2">
        <v>43916</v>
      </c>
      <c r="C488" s="47" t="s">
        <v>88</v>
      </c>
      <c r="E488" s="47">
        <v>111</v>
      </c>
      <c r="J488" s="47">
        <v>1</v>
      </c>
      <c r="K488" s="47" t="s">
        <v>90</v>
      </c>
    </row>
    <row r="489" spans="1:11">
      <c r="A489" s="2">
        <v>43916</v>
      </c>
      <c r="C489" s="47" t="s">
        <v>94</v>
      </c>
      <c r="E489" s="47">
        <v>38</v>
      </c>
      <c r="F489" s="47">
        <v>4</v>
      </c>
      <c r="I489" s="47">
        <v>2</v>
      </c>
      <c r="K489" s="47" t="s">
        <v>226</v>
      </c>
    </row>
    <row r="490" spans="1:11">
      <c r="A490" s="2">
        <v>43916</v>
      </c>
      <c r="C490" s="47" t="s">
        <v>97</v>
      </c>
      <c r="E490" s="47">
        <v>2945</v>
      </c>
      <c r="F490" s="47">
        <v>322</v>
      </c>
      <c r="G490" s="47">
        <v>55</v>
      </c>
      <c r="J490" s="47">
        <v>57</v>
      </c>
      <c r="K490" s="47" t="s">
        <v>99</v>
      </c>
    </row>
    <row r="491" spans="1:11">
      <c r="A491" s="2">
        <v>43916</v>
      </c>
      <c r="C491" s="47" t="s">
        <v>100</v>
      </c>
      <c r="E491" s="47">
        <v>874</v>
      </c>
      <c r="F491" s="47">
        <v>128</v>
      </c>
      <c r="G491" s="47">
        <v>19</v>
      </c>
      <c r="H491" s="47">
        <v>17</v>
      </c>
      <c r="J491" s="47">
        <v>17</v>
      </c>
      <c r="K491" s="47" t="s">
        <v>419</v>
      </c>
    </row>
    <row r="492" spans="1:11">
      <c r="A492" s="2">
        <v>43916</v>
      </c>
      <c r="B492" s="47">
        <v>0</v>
      </c>
      <c r="C492" s="47" t="s">
        <v>83</v>
      </c>
      <c r="E492" s="47">
        <v>141</v>
      </c>
      <c r="J492" s="47">
        <v>1</v>
      </c>
      <c r="K492" s="47" t="s">
        <v>85</v>
      </c>
    </row>
    <row r="493" spans="1:11">
      <c r="A493" s="2">
        <v>43916</v>
      </c>
      <c r="B493" s="47">
        <v>0.33333333333333331</v>
      </c>
      <c r="C493" s="47" t="s">
        <v>91</v>
      </c>
      <c r="E493" s="47">
        <v>1401</v>
      </c>
      <c r="F493" s="47">
        <v>358</v>
      </c>
      <c r="G493" s="47">
        <v>60</v>
      </c>
      <c r="H493" s="47">
        <v>56</v>
      </c>
      <c r="J493" s="47">
        <v>67</v>
      </c>
      <c r="K493" s="47" t="s">
        <v>255</v>
      </c>
    </row>
    <row r="494" spans="1:11">
      <c r="A494" s="2">
        <v>43916</v>
      </c>
      <c r="B494" s="47">
        <v>0.33333333333333331</v>
      </c>
      <c r="C494" s="47" t="s">
        <v>102</v>
      </c>
      <c r="E494" s="47">
        <v>87</v>
      </c>
      <c r="F494" s="47">
        <v>10</v>
      </c>
      <c r="G494" s="47">
        <v>1</v>
      </c>
      <c r="I494" s="47">
        <v>18</v>
      </c>
      <c r="J494" s="47">
        <v>0</v>
      </c>
      <c r="K494" s="47" t="s">
        <v>381</v>
      </c>
    </row>
    <row r="495" spans="1:11">
      <c r="A495" s="2">
        <v>43916</v>
      </c>
      <c r="B495" s="47">
        <v>0.4375</v>
      </c>
      <c r="C495" s="47" t="s">
        <v>50</v>
      </c>
      <c r="E495" s="47">
        <v>501</v>
      </c>
      <c r="F495" s="47">
        <v>74</v>
      </c>
      <c r="G495" s="47">
        <v>8</v>
      </c>
      <c r="I495" s="47">
        <v>155</v>
      </c>
      <c r="J495" s="47">
        <v>12</v>
      </c>
      <c r="K495" s="47" t="s">
        <v>253</v>
      </c>
    </row>
    <row r="496" spans="1:11">
      <c r="A496" s="2">
        <v>43916</v>
      </c>
      <c r="B496" s="47">
        <v>0.45833333333333331</v>
      </c>
      <c r="C496" s="47" t="s">
        <v>68</v>
      </c>
      <c r="E496" s="47">
        <v>253</v>
      </c>
      <c r="J496" s="47">
        <v>3</v>
      </c>
      <c r="K496" s="47" t="s">
        <v>70</v>
      </c>
    </row>
    <row r="497" spans="1:11">
      <c r="A497" s="2">
        <v>43916</v>
      </c>
      <c r="B497" s="47">
        <v>0.60416666666666663</v>
      </c>
      <c r="C497" s="47" t="s">
        <v>104</v>
      </c>
      <c r="E497" s="47">
        <v>1503</v>
      </c>
      <c r="F497" s="47">
        <v>156</v>
      </c>
      <c r="H497" s="47">
        <v>35</v>
      </c>
      <c r="J497" s="47">
        <v>13</v>
      </c>
      <c r="K497" s="47" t="s">
        <v>106</v>
      </c>
    </row>
    <row r="498" spans="1:11">
      <c r="A498" s="2">
        <v>43916</v>
      </c>
      <c r="B498" s="47">
        <v>0.625</v>
      </c>
      <c r="C498" s="47" t="s">
        <v>34</v>
      </c>
      <c r="E498" s="47">
        <v>349</v>
      </c>
      <c r="F498" s="47">
        <v>38</v>
      </c>
      <c r="G498" s="47">
        <v>10</v>
      </c>
      <c r="H498" s="47">
        <v>9</v>
      </c>
      <c r="J498" s="47">
        <v>2</v>
      </c>
      <c r="K498" s="47" t="s">
        <v>252</v>
      </c>
    </row>
    <row r="499" spans="1:11">
      <c r="A499" s="2">
        <v>43916</v>
      </c>
      <c r="B499" s="47">
        <v>0.66666666666666663</v>
      </c>
      <c r="C499" s="47" t="s">
        <v>41</v>
      </c>
      <c r="E499" s="47">
        <v>42</v>
      </c>
      <c r="J499" s="47">
        <v>2</v>
      </c>
      <c r="K499" s="47" t="s">
        <v>43</v>
      </c>
    </row>
    <row r="500" spans="1:11">
      <c r="A500" s="2">
        <v>43916</v>
      </c>
      <c r="B500" s="47">
        <v>0.75</v>
      </c>
      <c r="C500" s="47" t="s">
        <v>38</v>
      </c>
      <c r="E500" s="47">
        <v>11</v>
      </c>
      <c r="K500" s="47" t="s">
        <v>40</v>
      </c>
    </row>
    <row r="501" spans="1:11">
      <c r="A501" s="2">
        <v>43917</v>
      </c>
      <c r="C501" s="47" t="s">
        <v>44</v>
      </c>
      <c r="E501" s="47">
        <v>718</v>
      </c>
      <c r="J501" s="47">
        <v>8</v>
      </c>
      <c r="K501" s="47" t="s">
        <v>46</v>
      </c>
    </row>
    <row r="502" spans="1:11">
      <c r="A502" s="2">
        <v>43917</v>
      </c>
      <c r="C502" s="47" t="s">
        <v>47</v>
      </c>
      <c r="E502" s="47">
        <v>466</v>
      </c>
      <c r="F502" s="47">
        <v>79</v>
      </c>
      <c r="G502" s="47">
        <v>11</v>
      </c>
      <c r="I502" s="47">
        <v>76</v>
      </c>
      <c r="J502" s="47">
        <v>5</v>
      </c>
      <c r="K502" s="47" t="s">
        <v>49</v>
      </c>
    </row>
    <row r="503" spans="1:11">
      <c r="A503" s="2">
        <v>43917</v>
      </c>
      <c r="C503" s="47" t="s">
        <v>53</v>
      </c>
      <c r="E503" s="47">
        <v>60</v>
      </c>
      <c r="K503" s="47" t="s">
        <v>258</v>
      </c>
    </row>
    <row r="504" spans="1:11">
      <c r="A504" s="2">
        <v>43917</v>
      </c>
      <c r="C504" s="47" t="s">
        <v>56</v>
      </c>
      <c r="E504" s="47">
        <v>369</v>
      </c>
      <c r="F504" s="47">
        <v>50</v>
      </c>
      <c r="G504" s="47">
        <v>8</v>
      </c>
      <c r="J504" s="47">
        <v>14</v>
      </c>
      <c r="K504" s="47" t="s">
        <v>434</v>
      </c>
    </row>
    <row r="505" spans="1:11">
      <c r="A505" s="2">
        <v>43917</v>
      </c>
      <c r="C505" s="47" t="s">
        <v>58</v>
      </c>
      <c r="D505" s="47">
        <v>9366</v>
      </c>
      <c r="E505" s="47">
        <v>2164</v>
      </c>
      <c r="F505" s="47">
        <v>313</v>
      </c>
      <c r="G505" s="47">
        <v>54</v>
      </c>
      <c r="H505" s="47">
        <v>54</v>
      </c>
      <c r="I505" s="47">
        <v>153</v>
      </c>
      <c r="J505" s="47">
        <v>33</v>
      </c>
      <c r="K505" s="47" t="s">
        <v>60</v>
      </c>
    </row>
    <row r="506" spans="1:11">
      <c r="A506" s="2">
        <v>43917</v>
      </c>
      <c r="C506" s="47" t="s">
        <v>61</v>
      </c>
      <c r="E506" s="47">
        <v>47</v>
      </c>
      <c r="F506" s="47">
        <v>3</v>
      </c>
      <c r="J506" s="47">
        <v>0</v>
      </c>
      <c r="K506" s="47" t="s">
        <v>430</v>
      </c>
    </row>
    <row r="507" spans="1:11">
      <c r="A507" s="2">
        <v>43917</v>
      </c>
      <c r="C507" s="47" t="s">
        <v>63</v>
      </c>
      <c r="E507" s="47">
        <v>474</v>
      </c>
      <c r="F507" s="47">
        <v>58</v>
      </c>
      <c r="J507" s="47">
        <v>9</v>
      </c>
      <c r="K507" s="47" t="s">
        <v>65</v>
      </c>
    </row>
    <row r="508" spans="1:11">
      <c r="A508" s="2">
        <v>43917</v>
      </c>
      <c r="C508" s="47" t="s">
        <v>66</v>
      </c>
      <c r="E508" s="47">
        <v>114</v>
      </c>
      <c r="F508" s="47">
        <v>25</v>
      </c>
      <c r="G508" s="47">
        <v>6</v>
      </c>
      <c r="J508" s="47">
        <v>0</v>
      </c>
      <c r="K508" s="47" t="s">
        <v>424</v>
      </c>
    </row>
    <row r="509" spans="1:11">
      <c r="A509" s="2">
        <v>43917</v>
      </c>
      <c r="C509" s="47" t="s">
        <v>71</v>
      </c>
      <c r="E509" s="47">
        <v>316</v>
      </c>
      <c r="F509" s="47">
        <v>45</v>
      </c>
      <c r="G509" s="47">
        <v>9</v>
      </c>
      <c r="H509" s="47">
        <v>7</v>
      </c>
      <c r="J509" s="47">
        <v>13</v>
      </c>
      <c r="K509" s="47" t="s">
        <v>377</v>
      </c>
    </row>
    <row r="510" spans="1:11">
      <c r="A510" s="2">
        <v>43917</v>
      </c>
      <c r="C510" s="47" t="s">
        <v>73</v>
      </c>
      <c r="E510" s="47">
        <v>54</v>
      </c>
      <c r="F510" s="47">
        <v>3</v>
      </c>
      <c r="K510" s="47" t="s">
        <v>357</v>
      </c>
    </row>
    <row r="511" spans="1:11">
      <c r="A511" s="2">
        <v>43917</v>
      </c>
      <c r="C511" s="47" t="s">
        <v>75</v>
      </c>
      <c r="E511" s="47">
        <v>37</v>
      </c>
      <c r="K511" s="47" t="s">
        <v>77</v>
      </c>
    </row>
    <row r="512" spans="1:11">
      <c r="A512" s="2">
        <v>43917</v>
      </c>
      <c r="C512" s="47" t="s">
        <v>78</v>
      </c>
      <c r="E512" s="47">
        <v>306</v>
      </c>
      <c r="J512" s="47">
        <v>2</v>
      </c>
      <c r="K512" s="47" t="s">
        <v>80</v>
      </c>
    </row>
    <row r="513" spans="1:11">
      <c r="A513" s="2">
        <v>43917</v>
      </c>
      <c r="C513" s="47" t="s">
        <v>81</v>
      </c>
      <c r="E513" s="47">
        <v>37</v>
      </c>
      <c r="F513" s="47">
        <v>10</v>
      </c>
      <c r="G513" s="47">
        <v>1</v>
      </c>
      <c r="J513" s="47">
        <v>0</v>
      </c>
      <c r="K513" s="47" t="s">
        <v>426</v>
      </c>
    </row>
    <row r="514" spans="1:11">
      <c r="A514" s="2">
        <v>43917</v>
      </c>
      <c r="C514" s="47" t="s">
        <v>86</v>
      </c>
      <c r="E514" s="47">
        <v>119</v>
      </c>
      <c r="I514" s="47">
        <v>32</v>
      </c>
      <c r="J514" s="47">
        <v>1</v>
      </c>
      <c r="K514" s="47" t="s">
        <v>427</v>
      </c>
    </row>
    <row r="515" spans="1:11">
      <c r="A515" s="2">
        <v>43917</v>
      </c>
      <c r="C515" s="47" t="s">
        <v>88</v>
      </c>
      <c r="E515" s="47">
        <v>118</v>
      </c>
      <c r="J515" s="47">
        <v>2</v>
      </c>
      <c r="K515" s="47" t="s">
        <v>259</v>
      </c>
    </row>
    <row r="516" spans="1:11">
      <c r="A516" s="2">
        <v>43917</v>
      </c>
      <c r="C516" s="47" t="s">
        <v>94</v>
      </c>
      <c r="E516" s="47">
        <v>40</v>
      </c>
      <c r="F516" s="47">
        <v>7</v>
      </c>
      <c r="I516" s="47">
        <v>3</v>
      </c>
      <c r="K516" s="47" t="s">
        <v>226</v>
      </c>
    </row>
    <row r="517" spans="1:11">
      <c r="A517" s="2">
        <v>43917</v>
      </c>
      <c r="C517" s="47" t="s">
        <v>97</v>
      </c>
      <c r="E517" s="47">
        <v>3179</v>
      </c>
      <c r="F517" s="47">
        <v>356</v>
      </c>
      <c r="G517" s="47">
        <v>59</v>
      </c>
      <c r="J517" s="47">
        <v>61</v>
      </c>
      <c r="K517" s="47" t="s">
        <v>99</v>
      </c>
    </row>
    <row r="518" spans="1:11">
      <c r="A518" s="2">
        <v>43917</v>
      </c>
      <c r="C518" s="47" t="s">
        <v>100</v>
      </c>
      <c r="E518" s="47">
        <v>968</v>
      </c>
      <c r="F518" s="47">
        <v>137</v>
      </c>
      <c r="G518" s="47">
        <v>20</v>
      </c>
      <c r="H518" s="47">
        <v>16</v>
      </c>
      <c r="J518" s="47">
        <v>21</v>
      </c>
      <c r="K518" s="47" t="s">
        <v>419</v>
      </c>
    </row>
    <row r="519" spans="1:11">
      <c r="A519" s="2">
        <v>43917</v>
      </c>
      <c r="B519" s="47">
        <v>0</v>
      </c>
      <c r="C519" s="47" t="s">
        <v>83</v>
      </c>
      <c r="E519" s="47">
        <v>157</v>
      </c>
      <c r="J519" s="47">
        <v>1</v>
      </c>
      <c r="K519" s="47" t="s">
        <v>85</v>
      </c>
    </row>
    <row r="520" spans="1:11">
      <c r="A520" s="2">
        <v>43917</v>
      </c>
      <c r="B520" s="47">
        <v>0.33333333333333331</v>
      </c>
      <c r="C520" s="47" t="s">
        <v>91</v>
      </c>
      <c r="E520" s="47">
        <v>1688</v>
      </c>
      <c r="F520" s="47">
        <v>386</v>
      </c>
      <c r="G520" s="47">
        <v>61</v>
      </c>
      <c r="H520" s="47">
        <v>51</v>
      </c>
      <c r="J520" s="47">
        <v>76</v>
      </c>
      <c r="K520" s="47" t="s">
        <v>260</v>
      </c>
    </row>
    <row r="521" spans="1:11">
      <c r="A521" s="2">
        <v>43917</v>
      </c>
      <c r="B521" s="47">
        <v>0.33333333333333331</v>
      </c>
      <c r="C521" s="47" t="s">
        <v>102</v>
      </c>
      <c r="E521" s="47">
        <v>94</v>
      </c>
      <c r="F521" s="47">
        <v>12</v>
      </c>
      <c r="G521" s="47">
        <v>5</v>
      </c>
      <c r="I521" s="47">
        <v>18</v>
      </c>
      <c r="J521" s="47">
        <v>0</v>
      </c>
      <c r="K521" s="47" t="s">
        <v>381</v>
      </c>
    </row>
    <row r="522" spans="1:11">
      <c r="A522" s="2">
        <v>43917</v>
      </c>
      <c r="B522" s="47">
        <v>0.41666666666666669</v>
      </c>
      <c r="C522" s="47" t="s">
        <v>50</v>
      </c>
      <c r="E522" s="47">
        <v>530</v>
      </c>
      <c r="F522" s="47">
        <v>76</v>
      </c>
      <c r="G522" s="47">
        <v>8</v>
      </c>
      <c r="I522" s="47">
        <v>191</v>
      </c>
      <c r="J522" s="47">
        <v>13</v>
      </c>
      <c r="K522" s="47" t="s">
        <v>257</v>
      </c>
    </row>
    <row r="523" spans="1:11">
      <c r="A523" s="2">
        <v>43917</v>
      </c>
      <c r="B523" s="47">
        <v>0.45833333333333331</v>
      </c>
      <c r="C523" s="47" t="s">
        <v>68</v>
      </c>
      <c r="E523" s="47">
        <v>287</v>
      </c>
      <c r="J523" s="47">
        <v>3</v>
      </c>
      <c r="K523" s="47" t="s">
        <v>70</v>
      </c>
    </row>
    <row r="524" spans="1:11">
      <c r="A524" s="2">
        <v>43917</v>
      </c>
      <c r="B524" s="47">
        <v>0.54166666666666663</v>
      </c>
      <c r="C524" s="47" t="s">
        <v>41</v>
      </c>
      <c r="E524" s="47">
        <v>44</v>
      </c>
      <c r="J524" s="47">
        <v>2</v>
      </c>
      <c r="K524" s="47" t="s">
        <v>43</v>
      </c>
    </row>
    <row r="525" spans="1:11">
      <c r="A525" s="2">
        <v>43917</v>
      </c>
      <c r="B525" s="47">
        <v>0.60416666666666663</v>
      </c>
      <c r="C525" s="47" t="s">
        <v>104</v>
      </c>
      <c r="E525" s="47">
        <v>1630</v>
      </c>
      <c r="F525" s="47">
        <v>171</v>
      </c>
      <c r="H525" s="47">
        <v>38</v>
      </c>
      <c r="J525" s="47">
        <v>15</v>
      </c>
      <c r="K525" s="47" t="s">
        <v>106</v>
      </c>
    </row>
    <row r="526" spans="1:11">
      <c r="A526" s="2">
        <v>43917</v>
      </c>
      <c r="B526" s="47">
        <v>0.625</v>
      </c>
      <c r="C526" s="47" t="s">
        <v>34</v>
      </c>
      <c r="E526" s="47">
        <v>364</v>
      </c>
      <c r="F526" s="47">
        <v>50</v>
      </c>
      <c r="G526" s="47">
        <v>12</v>
      </c>
      <c r="H526" s="47">
        <v>10</v>
      </c>
      <c r="J526" s="47">
        <v>3</v>
      </c>
      <c r="K526" s="47" t="s">
        <v>256</v>
      </c>
    </row>
    <row r="527" spans="1:11">
      <c r="A527" s="2">
        <v>43917</v>
      </c>
      <c r="B527" s="47">
        <v>0.75</v>
      </c>
      <c r="C527" s="47" t="s">
        <v>38</v>
      </c>
      <c r="E527" s="47">
        <v>12</v>
      </c>
      <c r="K527" s="47" t="s">
        <v>40</v>
      </c>
    </row>
    <row r="528" spans="1:11">
      <c r="A528" s="2">
        <v>43918</v>
      </c>
      <c r="C528" s="47" t="s">
        <v>44</v>
      </c>
      <c r="E528" s="47">
        <v>767</v>
      </c>
      <c r="J528" s="47">
        <v>9</v>
      </c>
      <c r="K528" s="47" t="s">
        <v>46</v>
      </c>
    </row>
    <row r="529" spans="1:11">
      <c r="A529" s="2">
        <v>43918</v>
      </c>
      <c r="C529" s="47" t="s">
        <v>47</v>
      </c>
      <c r="E529" s="47">
        <v>502</v>
      </c>
      <c r="F529" s="47">
        <v>75</v>
      </c>
      <c r="G529" s="47">
        <v>14</v>
      </c>
      <c r="H529" s="47">
        <v>13</v>
      </c>
      <c r="I529" s="47">
        <v>100</v>
      </c>
      <c r="J529" s="47">
        <v>6</v>
      </c>
      <c r="K529" s="47" t="s">
        <v>49</v>
      </c>
    </row>
    <row r="530" spans="1:11">
      <c r="A530" s="2">
        <v>43918</v>
      </c>
      <c r="C530" s="47" t="s">
        <v>53</v>
      </c>
      <c r="E530" s="47">
        <v>61</v>
      </c>
      <c r="K530" s="47" t="s">
        <v>262</v>
      </c>
    </row>
    <row r="531" spans="1:11">
      <c r="A531" s="2">
        <v>43918</v>
      </c>
      <c r="C531" s="47" t="s">
        <v>56</v>
      </c>
      <c r="E531" s="47">
        <v>421</v>
      </c>
      <c r="F531" s="47">
        <v>67</v>
      </c>
      <c r="G531" s="47">
        <v>12</v>
      </c>
      <c r="J531" s="47">
        <v>15</v>
      </c>
      <c r="K531" s="47" t="s">
        <v>434</v>
      </c>
    </row>
    <row r="532" spans="1:11">
      <c r="A532" s="2">
        <v>43918</v>
      </c>
      <c r="C532" s="47" t="s">
        <v>58</v>
      </c>
      <c r="D532" s="47">
        <v>9959</v>
      </c>
      <c r="E532" s="47">
        <v>2360</v>
      </c>
      <c r="F532" s="47">
        <v>339</v>
      </c>
      <c r="G532" s="47">
        <v>59</v>
      </c>
      <c r="H532" s="47">
        <v>54</v>
      </c>
      <c r="I532" s="47">
        <v>175</v>
      </c>
      <c r="J532" s="47">
        <v>41</v>
      </c>
      <c r="K532" s="47" t="s">
        <v>60</v>
      </c>
    </row>
    <row r="533" spans="1:11">
      <c r="A533" s="2">
        <v>43918</v>
      </c>
      <c r="C533" s="47" t="s">
        <v>61</v>
      </c>
      <c r="E533" s="47">
        <v>47</v>
      </c>
      <c r="F533" s="47">
        <v>3</v>
      </c>
      <c r="J533" s="47">
        <v>1</v>
      </c>
      <c r="K533" s="47" t="s">
        <v>430</v>
      </c>
    </row>
    <row r="534" spans="1:11">
      <c r="A534" s="2">
        <v>43918</v>
      </c>
      <c r="C534" s="47" t="s">
        <v>63</v>
      </c>
      <c r="E534" s="47">
        <v>495</v>
      </c>
      <c r="F534" s="47">
        <v>63</v>
      </c>
      <c r="J534" s="47">
        <v>12</v>
      </c>
      <c r="K534" s="47" t="s">
        <v>65</v>
      </c>
    </row>
    <row r="535" spans="1:11">
      <c r="A535" s="2">
        <v>43918</v>
      </c>
      <c r="C535" s="47" t="s">
        <v>66</v>
      </c>
      <c r="E535" s="47">
        <v>119</v>
      </c>
      <c r="F535" s="47">
        <v>27</v>
      </c>
      <c r="G535" s="47">
        <v>5</v>
      </c>
      <c r="J535" s="47">
        <v>0</v>
      </c>
      <c r="K535" s="47" t="s">
        <v>424</v>
      </c>
    </row>
    <row r="536" spans="1:11">
      <c r="A536" s="2">
        <v>43918</v>
      </c>
      <c r="C536" s="47" t="s">
        <v>71</v>
      </c>
      <c r="E536" s="47">
        <v>337</v>
      </c>
      <c r="F536" s="47">
        <v>50</v>
      </c>
      <c r="G536" s="47">
        <v>11</v>
      </c>
      <c r="H536" s="47">
        <v>8</v>
      </c>
      <c r="J536" s="47">
        <v>15</v>
      </c>
      <c r="K536" s="47" t="s">
        <v>377</v>
      </c>
    </row>
    <row r="537" spans="1:11">
      <c r="A537" s="2">
        <v>43918</v>
      </c>
      <c r="C537" s="47" t="s">
        <v>73</v>
      </c>
      <c r="E537" s="47">
        <v>55</v>
      </c>
      <c r="F537" s="47">
        <v>4</v>
      </c>
      <c r="K537" s="47" t="s">
        <v>357</v>
      </c>
    </row>
    <row r="538" spans="1:11">
      <c r="A538" s="2">
        <v>43918</v>
      </c>
      <c r="C538" s="47" t="s">
        <v>78</v>
      </c>
      <c r="E538" s="47">
        <v>339</v>
      </c>
      <c r="J538" s="47">
        <v>5</v>
      </c>
      <c r="K538" s="47" t="s">
        <v>80</v>
      </c>
    </row>
    <row r="539" spans="1:11">
      <c r="A539" s="2">
        <v>43918</v>
      </c>
      <c r="C539" s="47" t="s">
        <v>81</v>
      </c>
      <c r="E539" s="47">
        <v>40</v>
      </c>
      <c r="F539" s="47">
        <v>14</v>
      </c>
      <c r="G539" s="47">
        <v>1</v>
      </c>
      <c r="J539" s="47">
        <v>0</v>
      </c>
      <c r="K539" s="47" t="s">
        <v>426</v>
      </c>
    </row>
    <row r="540" spans="1:11">
      <c r="A540" s="2">
        <v>43918</v>
      </c>
      <c r="C540" s="47" t="s">
        <v>86</v>
      </c>
      <c r="E540" s="47">
        <v>122</v>
      </c>
      <c r="I540" s="47">
        <v>33</v>
      </c>
      <c r="J540" s="47">
        <v>1</v>
      </c>
      <c r="K540" s="47" t="s">
        <v>427</v>
      </c>
    </row>
    <row r="541" spans="1:11">
      <c r="A541" s="2">
        <v>43918</v>
      </c>
      <c r="C541" s="47" t="s">
        <v>88</v>
      </c>
      <c r="E541" s="47">
        <v>135</v>
      </c>
      <c r="J541" s="47">
        <v>2</v>
      </c>
      <c r="K541" s="47" t="s">
        <v>90</v>
      </c>
    </row>
    <row r="542" spans="1:11">
      <c r="A542" s="2">
        <v>43918</v>
      </c>
      <c r="C542" s="47" t="s">
        <v>94</v>
      </c>
      <c r="E542" s="47">
        <v>48</v>
      </c>
      <c r="F542" s="47">
        <v>7</v>
      </c>
      <c r="I542" s="47">
        <v>3</v>
      </c>
      <c r="K542" s="47" t="s">
        <v>226</v>
      </c>
    </row>
    <row r="543" spans="1:11">
      <c r="A543" s="2">
        <v>43918</v>
      </c>
      <c r="C543" s="47" t="s">
        <v>97</v>
      </c>
      <c r="E543" s="47">
        <v>3310</v>
      </c>
      <c r="F543" s="47">
        <v>364</v>
      </c>
      <c r="G543" s="47">
        <v>60</v>
      </c>
      <c r="J543" s="47">
        <v>72</v>
      </c>
      <c r="K543" s="47" t="s">
        <v>99</v>
      </c>
    </row>
    <row r="544" spans="1:11">
      <c r="A544" s="2">
        <v>43918</v>
      </c>
      <c r="C544" s="47" t="s">
        <v>100</v>
      </c>
      <c r="E544" s="47">
        <v>1017</v>
      </c>
      <c r="F544" s="47">
        <v>142</v>
      </c>
      <c r="G544" s="47">
        <v>21</v>
      </c>
      <c r="H544" s="47">
        <v>19</v>
      </c>
      <c r="J544" s="47">
        <v>25</v>
      </c>
      <c r="K544" s="47" t="s">
        <v>419</v>
      </c>
    </row>
    <row r="545" spans="1:11">
      <c r="A545" s="2">
        <v>43918</v>
      </c>
      <c r="B545" s="47">
        <v>0</v>
      </c>
      <c r="C545" s="47" t="s">
        <v>83</v>
      </c>
      <c r="E545" s="47">
        <v>173</v>
      </c>
      <c r="J545" s="47">
        <v>1</v>
      </c>
      <c r="K545" s="47" t="s">
        <v>85</v>
      </c>
    </row>
    <row r="546" spans="1:11">
      <c r="A546" s="2">
        <v>43918</v>
      </c>
      <c r="B546" s="47">
        <v>0.33333333333333331</v>
      </c>
      <c r="C546" s="47" t="s">
        <v>41</v>
      </c>
      <c r="E546" s="47">
        <v>45</v>
      </c>
      <c r="J546" s="47">
        <v>2</v>
      </c>
      <c r="K546" s="47" t="s">
        <v>43</v>
      </c>
    </row>
    <row r="547" spans="1:11">
      <c r="A547" s="2">
        <v>43918</v>
      </c>
      <c r="B547" s="47">
        <v>0.33333333333333331</v>
      </c>
      <c r="C547" s="47" t="s">
        <v>91</v>
      </c>
      <c r="E547" s="47">
        <v>1727</v>
      </c>
      <c r="F547" s="47">
        <v>385</v>
      </c>
      <c r="G547" s="47">
        <v>69</v>
      </c>
      <c r="H547" s="47">
        <v>60</v>
      </c>
      <c r="J547" s="47">
        <v>87</v>
      </c>
      <c r="K547" s="47" t="s">
        <v>263</v>
      </c>
    </row>
    <row r="548" spans="1:11">
      <c r="A548" s="2">
        <v>43918</v>
      </c>
      <c r="B548" s="47">
        <v>0.33333333333333331</v>
      </c>
      <c r="C548" s="47" t="s">
        <v>102</v>
      </c>
      <c r="E548" s="47">
        <v>101</v>
      </c>
      <c r="F548" s="47">
        <v>12</v>
      </c>
      <c r="G548" s="47">
        <v>5</v>
      </c>
      <c r="I548" s="47">
        <v>21</v>
      </c>
      <c r="J548" s="47">
        <v>1</v>
      </c>
      <c r="K548" s="47" t="s">
        <v>381</v>
      </c>
    </row>
    <row r="549" spans="1:11">
      <c r="A549" s="2">
        <v>43918</v>
      </c>
      <c r="B549" s="47">
        <v>0.41666666666666669</v>
      </c>
      <c r="C549" s="47" t="s">
        <v>50</v>
      </c>
      <c r="E549" s="47">
        <v>569</v>
      </c>
      <c r="F549" s="47">
        <v>79</v>
      </c>
      <c r="G549" s="47">
        <v>11</v>
      </c>
      <c r="I549" s="47">
        <v>211</v>
      </c>
      <c r="J549" s="47">
        <v>13</v>
      </c>
      <c r="K549" s="47" t="s">
        <v>261</v>
      </c>
    </row>
    <row r="550" spans="1:11">
      <c r="A550" s="2">
        <v>43918</v>
      </c>
      <c r="B550" s="47">
        <v>0.45833333333333331</v>
      </c>
      <c r="C550" s="47" t="s">
        <v>68</v>
      </c>
      <c r="E550" s="47">
        <v>317</v>
      </c>
      <c r="J550" s="47">
        <v>4</v>
      </c>
      <c r="K550" s="47" t="s">
        <v>70</v>
      </c>
    </row>
    <row r="551" spans="1:11">
      <c r="A551" s="2">
        <v>43918</v>
      </c>
      <c r="B551" s="47">
        <v>0.60416666666666663</v>
      </c>
      <c r="C551" s="47" t="s">
        <v>104</v>
      </c>
      <c r="E551" s="47">
        <v>1704</v>
      </c>
      <c r="F551" s="47">
        <v>187</v>
      </c>
      <c r="H551" s="47">
        <v>42</v>
      </c>
      <c r="J551" s="47">
        <v>19</v>
      </c>
      <c r="K551" s="47" t="s">
        <v>106</v>
      </c>
    </row>
    <row r="552" spans="1:11">
      <c r="A552" s="2">
        <v>43918</v>
      </c>
      <c r="B552" s="47">
        <v>0.75</v>
      </c>
      <c r="C552" s="47" t="s">
        <v>38</v>
      </c>
      <c r="E552" s="47">
        <v>13</v>
      </c>
      <c r="K552" s="47" t="s">
        <v>40</v>
      </c>
    </row>
    <row r="553" spans="1:11">
      <c r="A553" s="2">
        <v>43919</v>
      </c>
      <c r="C553" s="47" t="s">
        <v>44</v>
      </c>
      <c r="E553" s="47">
        <v>798</v>
      </c>
      <c r="J553" s="47">
        <v>10</v>
      </c>
      <c r="K553" s="47" t="s">
        <v>46</v>
      </c>
    </row>
    <row r="554" spans="1:11">
      <c r="A554" s="2">
        <v>43919</v>
      </c>
      <c r="C554" s="47" t="s">
        <v>47</v>
      </c>
      <c r="E554" s="47">
        <v>511</v>
      </c>
      <c r="F554" s="47">
        <v>99</v>
      </c>
      <c r="G554" s="47">
        <v>15</v>
      </c>
      <c r="H554" s="47">
        <v>14</v>
      </c>
      <c r="I554" s="47">
        <v>115</v>
      </c>
      <c r="J554" s="47">
        <v>6</v>
      </c>
      <c r="K554" s="47" t="s">
        <v>49</v>
      </c>
    </row>
    <row r="555" spans="1:11">
      <c r="A555" s="2">
        <v>43919</v>
      </c>
      <c r="C555" s="47" t="s">
        <v>53</v>
      </c>
      <c r="E555" s="47">
        <v>62</v>
      </c>
      <c r="K555" s="47" t="s">
        <v>265</v>
      </c>
    </row>
    <row r="556" spans="1:11">
      <c r="A556" s="2">
        <v>43919</v>
      </c>
      <c r="C556" s="47" t="s">
        <v>56</v>
      </c>
      <c r="E556" s="47">
        <v>442</v>
      </c>
      <c r="F556" s="47">
        <v>76</v>
      </c>
      <c r="G556" s="47">
        <v>13</v>
      </c>
      <c r="J556" s="47">
        <v>15</v>
      </c>
      <c r="K556" s="47" t="s">
        <v>434</v>
      </c>
    </row>
    <row r="557" spans="1:11">
      <c r="A557" s="2">
        <v>43919</v>
      </c>
      <c r="C557" s="47" t="s">
        <v>58</v>
      </c>
      <c r="D557" s="47">
        <v>10268</v>
      </c>
      <c r="E557" s="47">
        <v>2466</v>
      </c>
      <c r="F557" s="47">
        <v>365</v>
      </c>
      <c r="G557" s="47">
        <v>59</v>
      </c>
      <c r="H557" s="47">
        <v>55</v>
      </c>
      <c r="I557" s="47">
        <v>193</v>
      </c>
      <c r="J557" s="47">
        <v>49</v>
      </c>
      <c r="K557" s="47" t="s">
        <v>60</v>
      </c>
    </row>
    <row r="558" spans="1:11">
      <c r="A558" s="2">
        <v>43919</v>
      </c>
      <c r="C558" s="47" t="s">
        <v>61</v>
      </c>
      <c r="E558" s="47">
        <v>50</v>
      </c>
      <c r="F558" s="47">
        <v>2</v>
      </c>
      <c r="J558" s="47">
        <v>1</v>
      </c>
      <c r="K558" s="47" t="s">
        <v>430</v>
      </c>
    </row>
    <row r="559" spans="1:11">
      <c r="A559" s="2">
        <v>43919</v>
      </c>
      <c r="C559" s="47" t="s">
        <v>63</v>
      </c>
      <c r="E559" s="47">
        <v>519</v>
      </c>
      <c r="F559" s="47">
        <v>63</v>
      </c>
      <c r="J559" s="47">
        <v>15</v>
      </c>
      <c r="K559" s="47" t="s">
        <v>65</v>
      </c>
    </row>
    <row r="560" spans="1:11">
      <c r="A560" s="2">
        <v>43919</v>
      </c>
      <c r="C560" s="47" t="s">
        <v>66</v>
      </c>
      <c r="E560" s="47">
        <v>127</v>
      </c>
      <c r="F560" s="47">
        <v>28</v>
      </c>
      <c r="G560" s="47">
        <v>5</v>
      </c>
      <c r="J560" s="47">
        <v>0</v>
      </c>
      <c r="K560" s="47" t="s">
        <v>424</v>
      </c>
    </row>
    <row r="561" spans="1:11">
      <c r="A561" s="2">
        <v>43919</v>
      </c>
      <c r="C561" s="47" t="s">
        <v>71</v>
      </c>
      <c r="E561" s="47">
        <v>346</v>
      </c>
      <c r="F561" s="47">
        <v>60</v>
      </c>
      <c r="G561" s="47">
        <v>16</v>
      </c>
      <c r="H561" s="47">
        <v>6</v>
      </c>
      <c r="J561" s="47">
        <v>18</v>
      </c>
      <c r="K561" s="47" t="s">
        <v>377</v>
      </c>
    </row>
    <row r="562" spans="1:11">
      <c r="A562" s="2">
        <v>43919</v>
      </c>
      <c r="C562" s="47" t="s">
        <v>73</v>
      </c>
      <c r="E562" s="47">
        <v>59</v>
      </c>
      <c r="F562" s="47">
        <v>4</v>
      </c>
      <c r="K562" s="47" t="s">
        <v>357</v>
      </c>
    </row>
    <row r="563" spans="1:11">
      <c r="A563" s="2">
        <v>43919</v>
      </c>
      <c r="C563" s="47" t="s">
        <v>78</v>
      </c>
      <c r="E563" s="47">
        <v>365</v>
      </c>
      <c r="J563" s="47">
        <v>5</v>
      </c>
      <c r="K563" s="47" t="s">
        <v>80</v>
      </c>
    </row>
    <row r="564" spans="1:11">
      <c r="A564" s="2">
        <v>43919</v>
      </c>
      <c r="C564" s="47" t="s">
        <v>81</v>
      </c>
      <c r="E564" s="47">
        <v>41</v>
      </c>
      <c r="F564" s="47">
        <v>15</v>
      </c>
      <c r="G564" s="47">
        <v>1</v>
      </c>
      <c r="J564" s="47">
        <v>0</v>
      </c>
      <c r="K564" s="47" t="s">
        <v>426</v>
      </c>
    </row>
    <row r="565" spans="1:11">
      <c r="A565" s="2">
        <v>43919</v>
      </c>
      <c r="C565" s="47" t="s">
        <v>86</v>
      </c>
      <c r="E565" s="47">
        <v>128</v>
      </c>
      <c r="I565" s="47">
        <v>33</v>
      </c>
      <c r="J565" s="47">
        <v>2</v>
      </c>
      <c r="K565" s="47" t="s">
        <v>427</v>
      </c>
    </row>
    <row r="566" spans="1:11">
      <c r="A566" s="2">
        <v>43919</v>
      </c>
      <c r="C566" s="47" t="s">
        <v>88</v>
      </c>
      <c r="E566" s="47">
        <v>139</v>
      </c>
      <c r="J566" s="47">
        <v>2</v>
      </c>
      <c r="K566" s="47" t="s">
        <v>90</v>
      </c>
    </row>
    <row r="567" spans="1:11">
      <c r="A567" s="2">
        <v>43919</v>
      </c>
      <c r="C567" s="47" t="s">
        <v>94</v>
      </c>
      <c r="E567" s="47">
        <v>50</v>
      </c>
      <c r="F567" s="47">
        <v>7</v>
      </c>
      <c r="I567" s="47">
        <v>3</v>
      </c>
      <c r="K567" s="47" t="s">
        <v>226</v>
      </c>
    </row>
    <row r="568" spans="1:11">
      <c r="A568" s="2">
        <v>43919</v>
      </c>
      <c r="C568" s="47" t="s">
        <v>97</v>
      </c>
      <c r="E568" s="47">
        <v>3395</v>
      </c>
      <c r="F568" s="47">
        <v>367</v>
      </c>
      <c r="G568" s="47">
        <v>61</v>
      </c>
      <c r="J568" s="47">
        <v>81</v>
      </c>
      <c r="K568" s="47" t="s">
        <v>99</v>
      </c>
    </row>
    <row r="569" spans="1:11">
      <c r="A569" s="2">
        <v>43919</v>
      </c>
      <c r="C569" s="47" t="s">
        <v>100</v>
      </c>
      <c r="E569" s="47">
        <v>1055</v>
      </c>
      <c r="F569" s="47">
        <v>152</v>
      </c>
      <c r="G569" s="47">
        <v>22</v>
      </c>
      <c r="H569" s="47">
        <v>21</v>
      </c>
      <c r="J569" s="47">
        <v>31</v>
      </c>
      <c r="K569" s="47" t="s">
        <v>419</v>
      </c>
    </row>
    <row r="570" spans="1:11">
      <c r="A570" s="2">
        <v>43919</v>
      </c>
      <c r="B570" s="47">
        <v>0</v>
      </c>
      <c r="C570" s="47" t="s">
        <v>83</v>
      </c>
      <c r="E570" s="47">
        <v>190</v>
      </c>
      <c r="J570" s="47">
        <v>2</v>
      </c>
      <c r="K570" s="47" t="s">
        <v>85</v>
      </c>
    </row>
    <row r="571" spans="1:11">
      <c r="A571" s="2">
        <v>43919</v>
      </c>
      <c r="B571" s="47">
        <v>0.33333333333333331</v>
      </c>
      <c r="C571" s="47" t="s">
        <v>41</v>
      </c>
      <c r="E571" s="47">
        <v>48</v>
      </c>
      <c r="J571" s="47">
        <v>2</v>
      </c>
      <c r="K571" s="47" t="s">
        <v>43</v>
      </c>
    </row>
    <row r="572" spans="1:11">
      <c r="A572" s="2">
        <v>43919</v>
      </c>
      <c r="B572" s="47">
        <v>0.33333333333333331</v>
      </c>
      <c r="C572" s="47" t="s">
        <v>91</v>
      </c>
      <c r="E572" s="47">
        <v>1837</v>
      </c>
      <c r="F572" s="47">
        <v>402</v>
      </c>
      <c r="G572" s="47">
        <v>69</v>
      </c>
      <c r="H572" s="47">
        <v>59</v>
      </c>
      <c r="J572" s="47">
        <v>93</v>
      </c>
      <c r="K572" s="47" t="s">
        <v>266</v>
      </c>
    </row>
    <row r="573" spans="1:11">
      <c r="A573" s="2">
        <v>43919</v>
      </c>
      <c r="B573" s="47">
        <v>0.33333333333333331</v>
      </c>
      <c r="C573" s="47" t="s">
        <v>102</v>
      </c>
      <c r="E573" s="47">
        <v>101</v>
      </c>
      <c r="F573" s="47">
        <v>12</v>
      </c>
      <c r="G573" s="47">
        <v>5</v>
      </c>
      <c r="I573" s="47">
        <v>21</v>
      </c>
      <c r="J573" s="47">
        <v>1</v>
      </c>
      <c r="K573" s="47" t="s">
        <v>381</v>
      </c>
    </row>
    <row r="574" spans="1:11">
      <c r="A574" s="2">
        <v>43919</v>
      </c>
      <c r="B574" s="47">
        <v>0.41666666666666669</v>
      </c>
      <c r="C574" s="47" t="s">
        <v>50</v>
      </c>
      <c r="E574" s="47">
        <v>605</v>
      </c>
      <c r="F574" s="47">
        <v>87</v>
      </c>
      <c r="G574" s="47">
        <v>12</v>
      </c>
      <c r="I574" s="47">
        <v>228</v>
      </c>
      <c r="J574" s="47">
        <v>15</v>
      </c>
      <c r="K574" s="47" t="s">
        <v>264</v>
      </c>
    </row>
    <row r="575" spans="1:11">
      <c r="A575" s="2">
        <v>43919</v>
      </c>
      <c r="B575" s="47">
        <v>0.45833333333333331</v>
      </c>
      <c r="C575" s="47" t="s">
        <v>68</v>
      </c>
      <c r="E575" s="47">
        <v>339</v>
      </c>
      <c r="J575" s="47">
        <v>5</v>
      </c>
      <c r="K575" s="47" t="s">
        <v>70</v>
      </c>
    </row>
    <row r="576" spans="1:11">
      <c r="A576" s="2">
        <v>43919</v>
      </c>
      <c r="B576" s="47">
        <v>0.60416666666666663</v>
      </c>
      <c r="C576" s="47" t="s">
        <v>104</v>
      </c>
      <c r="E576" s="47">
        <v>1736</v>
      </c>
      <c r="F576" s="47">
        <v>194</v>
      </c>
      <c r="H576" s="47">
        <v>46</v>
      </c>
      <c r="J576" s="47">
        <v>22</v>
      </c>
      <c r="K576" s="47" t="s">
        <v>106</v>
      </c>
    </row>
    <row r="577" spans="1:11">
      <c r="A577" s="2">
        <v>43920</v>
      </c>
      <c r="C577" s="47" t="s">
        <v>47</v>
      </c>
      <c r="E577" s="47">
        <v>539</v>
      </c>
      <c r="F577" s="47">
        <v>86</v>
      </c>
      <c r="G577" s="47">
        <v>17</v>
      </c>
      <c r="H577" s="47">
        <v>16</v>
      </c>
      <c r="I577" s="47">
        <v>158</v>
      </c>
      <c r="J577" s="47">
        <v>7</v>
      </c>
      <c r="K577" s="47" t="s">
        <v>49</v>
      </c>
    </row>
    <row r="578" spans="1:11">
      <c r="A578" s="2">
        <v>43920</v>
      </c>
      <c r="C578" s="47" t="s">
        <v>53</v>
      </c>
      <c r="E578" s="47">
        <v>64</v>
      </c>
      <c r="K578" s="47" t="s">
        <v>269</v>
      </c>
    </row>
    <row r="579" spans="1:11">
      <c r="A579" s="2">
        <v>43920</v>
      </c>
      <c r="C579" s="47" t="s">
        <v>56</v>
      </c>
      <c r="E579" s="47">
        <v>477</v>
      </c>
      <c r="F579" s="47">
        <v>77</v>
      </c>
      <c r="G579" s="47">
        <v>16</v>
      </c>
      <c r="J579" s="47">
        <v>17</v>
      </c>
      <c r="K579" s="47" t="s">
        <v>434</v>
      </c>
    </row>
    <row r="580" spans="1:11">
      <c r="A580" s="2">
        <v>43920</v>
      </c>
      <c r="C580" s="47" t="s">
        <v>58</v>
      </c>
      <c r="D580" s="47">
        <v>10934</v>
      </c>
      <c r="E580" s="47">
        <v>2673</v>
      </c>
      <c r="F580" s="47">
        <v>382</v>
      </c>
      <c r="G580" s="47">
        <v>57</v>
      </c>
      <c r="H580" s="47">
        <v>54</v>
      </c>
      <c r="I580" s="47">
        <v>216</v>
      </c>
      <c r="J580" s="47">
        <v>59</v>
      </c>
      <c r="K580" s="47" t="s">
        <v>60</v>
      </c>
    </row>
    <row r="581" spans="1:11">
      <c r="A581" s="2">
        <v>43920</v>
      </c>
      <c r="C581" s="47" t="s">
        <v>61</v>
      </c>
      <c r="E581" s="47">
        <v>51</v>
      </c>
      <c r="F581" s="47">
        <v>3</v>
      </c>
      <c r="J581" s="47">
        <v>2</v>
      </c>
      <c r="K581" s="47" t="s">
        <v>430</v>
      </c>
    </row>
    <row r="582" spans="1:11">
      <c r="A582" s="2">
        <v>43920</v>
      </c>
      <c r="C582" s="47" t="s">
        <v>63</v>
      </c>
      <c r="E582" s="47">
        <v>535</v>
      </c>
      <c r="F582" s="47">
        <v>58</v>
      </c>
      <c r="J582" s="47">
        <v>19</v>
      </c>
      <c r="K582" s="47" t="s">
        <v>65</v>
      </c>
    </row>
    <row r="583" spans="1:11">
      <c r="A583" s="2">
        <v>43920</v>
      </c>
      <c r="C583" s="47" t="s">
        <v>66</v>
      </c>
      <c r="E583" s="47">
        <v>128</v>
      </c>
      <c r="F583" s="47">
        <v>28</v>
      </c>
      <c r="G583" s="47">
        <v>5</v>
      </c>
      <c r="J583" s="47">
        <v>0</v>
      </c>
      <c r="K583" s="47" t="s">
        <v>424</v>
      </c>
    </row>
    <row r="584" spans="1:11">
      <c r="A584" s="2">
        <v>43920</v>
      </c>
      <c r="C584" s="47" t="s">
        <v>71</v>
      </c>
      <c r="E584" s="47">
        <v>378</v>
      </c>
      <c r="F584" s="47">
        <v>57</v>
      </c>
      <c r="G584" s="47">
        <v>12</v>
      </c>
      <c r="H584" s="47">
        <v>6</v>
      </c>
      <c r="J584" s="47">
        <v>20</v>
      </c>
      <c r="K584" s="47" t="s">
        <v>377</v>
      </c>
    </row>
    <row r="585" spans="1:11">
      <c r="A585" s="2">
        <v>43920</v>
      </c>
      <c r="C585" s="47" t="s">
        <v>73</v>
      </c>
      <c r="E585" s="47">
        <v>63</v>
      </c>
      <c r="F585" s="47">
        <v>8</v>
      </c>
      <c r="K585" s="47" t="s">
        <v>357</v>
      </c>
    </row>
    <row r="586" spans="1:11">
      <c r="A586" s="2">
        <v>43920</v>
      </c>
      <c r="C586" s="47" t="s">
        <v>75</v>
      </c>
      <c r="E586" s="47">
        <v>46</v>
      </c>
      <c r="K586" s="47" t="s">
        <v>77</v>
      </c>
    </row>
    <row r="587" spans="1:11">
      <c r="A587" s="2">
        <v>43920</v>
      </c>
      <c r="C587" s="47" t="s">
        <v>78</v>
      </c>
      <c r="E587" s="47">
        <v>389</v>
      </c>
      <c r="J587" s="47">
        <v>7</v>
      </c>
      <c r="K587" s="47" t="s">
        <v>80</v>
      </c>
    </row>
    <row r="588" spans="1:11">
      <c r="A588" s="2">
        <v>43920</v>
      </c>
      <c r="C588" s="47" t="s">
        <v>81</v>
      </c>
      <c r="E588" s="47">
        <v>42</v>
      </c>
      <c r="F588" s="47">
        <v>19</v>
      </c>
      <c r="G588" s="47">
        <v>3</v>
      </c>
      <c r="J588" s="47">
        <v>0</v>
      </c>
      <c r="K588" s="47" t="s">
        <v>426</v>
      </c>
    </row>
    <row r="589" spans="1:11">
      <c r="A589" s="2">
        <v>43920</v>
      </c>
      <c r="C589" s="47" t="s">
        <v>86</v>
      </c>
      <c r="E589" s="47">
        <v>135</v>
      </c>
      <c r="I589" s="47">
        <v>33</v>
      </c>
      <c r="J589" s="47">
        <v>2</v>
      </c>
      <c r="K589" s="47" t="s">
        <v>427</v>
      </c>
    </row>
    <row r="590" spans="1:11">
      <c r="A590" s="2">
        <v>43920</v>
      </c>
      <c r="C590" s="47" t="s">
        <v>88</v>
      </c>
      <c r="E590" s="47">
        <v>149</v>
      </c>
      <c r="J590" s="47">
        <v>2</v>
      </c>
      <c r="K590" s="47" t="s">
        <v>90</v>
      </c>
    </row>
    <row r="591" spans="1:11">
      <c r="A591" s="2">
        <v>43920</v>
      </c>
      <c r="C591" s="47" t="s">
        <v>94</v>
      </c>
      <c r="E591" s="47">
        <v>53</v>
      </c>
      <c r="F591" s="47">
        <v>7</v>
      </c>
      <c r="I591" s="47">
        <v>9</v>
      </c>
      <c r="K591" s="47" t="s">
        <v>226</v>
      </c>
    </row>
    <row r="592" spans="1:11">
      <c r="A592" s="2">
        <v>43920</v>
      </c>
      <c r="C592" s="47" t="s">
        <v>97</v>
      </c>
      <c r="E592" s="47">
        <v>3607</v>
      </c>
      <c r="F592" s="47">
        <v>370</v>
      </c>
      <c r="G592" s="47">
        <v>63</v>
      </c>
      <c r="J592" s="47">
        <v>93</v>
      </c>
      <c r="K592" s="47" t="s">
        <v>99</v>
      </c>
    </row>
    <row r="593" spans="1:11">
      <c r="A593" s="2">
        <v>43920</v>
      </c>
      <c r="C593" s="47" t="s">
        <v>100</v>
      </c>
      <c r="E593" s="47">
        <v>1144</v>
      </c>
      <c r="F593" s="47">
        <v>152</v>
      </c>
      <c r="G593" s="47">
        <v>25</v>
      </c>
      <c r="H593" s="47">
        <v>23</v>
      </c>
      <c r="J593" s="47">
        <v>35</v>
      </c>
      <c r="K593" s="47" t="s">
        <v>419</v>
      </c>
    </row>
    <row r="594" spans="1:11">
      <c r="A594" s="2">
        <v>43920</v>
      </c>
      <c r="B594" s="47">
        <v>0.29166666666666669</v>
      </c>
      <c r="C594" s="47" t="s">
        <v>44</v>
      </c>
      <c r="E594" s="47">
        <v>826</v>
      </c>
      <c r="F594" s="47">
        <v>112</v>
      </c>
      <c r="G594" s="47">
        <v>21</v>
      </c>
      <c r="H594" s="47">
        <v>17</v>
      </c>
      <c r="J594" s="47">
        <v>13</v>
      </c>
      <c r="K594" s="47" t="s">
        <v>46</v>
      </c>
    </row>
    <row r="595" spans="1:11">
      <c r="A595" s="2">
        <v>43920</v>
      </c>
      <c r="B595" s="47">
        <v>0.33333333333333331</v>
      </c>
      <c r="C595" s="47" t="s">
        <v>91</v>
      </c>
      <c r="E595" s="47">
        <v>1962</v>
      </c>
      <c r="F595" s="47">
        <v>415</v>
      </c>
      <c r="G595" s="47">
        <v>75</v>
      </c>
      <c r="H595" s="47">
        <v>61</v>
      </c>
      <c r="J595" s="47">
        <v>105</v>
      </c>
      <c r="K595" s="47" t="s">
        <v>270</v>
      </c>
    </row>
    <row r="596" spans="1:11">
      <c r="A596" s="2">
        <v>43920</v>
      </c>
      <c r="B596" s="47">
        <v>0.33333333333333331</v>
      </c>
      <c r="C596" s="47" t="s">
        <v>102</v>
      </c>
      <c r="E596" s="47">
        <v>112</v>
      </c>
      <c r="F596" s="47">
        <v>13</v>
      </c>
      <c r="G596" s="47">
        <v>5</v>
      </c>
      <c r="I596" s="47">
        <v>29</v>
      </c>
      <c r="J596" s="47">
        <v>1</v>
      </c>
      <c r="K596" s="47" t="s">
        <v>381</v>
      </c>
    </row>
    <row r="597" spans="1:11">
      <c r="A597" s="2">
        <v>43920</v>
      </c>
      <c r="B597" s="47">
        <v>0.41666666666666669</v>
      </c>
      <c r="C597" s="47" t="s">
        <v>50</v>
      </c>
      <c r="E597" s="47">
        <v>617</v>
      </c>
      <c r="F597" s="47">
        <v>90</v>
      </c>
      <c r="G597" s="47">
        <v>12</v>
      </c>
      <c r="I597" s="47">
        <v>263</v>
      </c>
      <c r="J597" s="47">
        <v>15</v>
      </c>
      <c r="K597" s="47" t="s">
        <v>268</v>
      </c>
    </row>
    <row r="598" spans="1:11">
      <c r="A598" s="2">
        <v>43920</v>
      </c>
      <c r="B598" s="47">
        <v>0.45833333333333331</v>
      </c>
      <c r="C598" s="47" t="s">
        <v>68</v>
      </c>
      <c r="E598" s="47">
        <v>351</v>
      </c>
      <c r="J598" s="47">
        <v>6</v>
      </c>
      <c r="K598" s="47" t="s">
        <v>70</v>
      </c>
    </row>
    <row r="599" spans="1:11">
      <c r="A599" s="2">
        <v>43920</v>
      </c>
      <c r="B599" s="47">
        <v>0.5</v>
      </c>
      <c r="C599" s="47" t="s">
        <v>38</v>
      </c>
      <c r="E599" s="47">
        <v>14</v>
      </c>
      <c r="K599" s="47" t="s">
        <v>40</v>
      </c>
    </row>
    <row r="600" spans="1:11">
      <c r="A600" s="2">
        <v>43920</v>
      </c>
      <c r="B600" s="47">
        <v>0.60416666666666663</v>
      </c>
      <c r="C600" s="47" t="s">
        <v>104</v>
      </c>
      <c r="E600" s="47">
        <v>1862</v>
      </c>
      <c r="F600" s="47">
        <v>197</v>
      </c>
      <c r="H600" s="47">
        <v>46</v>
      </c>
      <c r="J600" s="47">
        <v>24</v>
      </c>
      <c r="K600" s="47" t="s">
        <v>106</v>
      </c>
    </row>
    <row r="601" spans="1:11">
      <c r="A601" s="2">
        <v>43920</v>
      </c>
      <c r="B601" s="47">
        <v>0.625</v>
      </c>
      <c r="C601" s="47" t="s">
        <v>34</v>
      </c>
      <c r="E601" s="47">
        <v>481</v>
      </c>
      <c r="F601" s="47">
        <v>94</v>
      </c>
      <c r="G601" s="47">
        <v>25</v>
      </c>
      <c r="H601" s="47">
        <v>23</v>
      </c>
      <c r="J601" s="47">
        <v>8</v>
      </c>
      <c r="K601" s="47" t="s">
        <v>267</v>
      </c>
    </row>
    <row r="602" spans="1:11">
      <c r="A602" s="2">
        <v>43920</v>
      </c>
      <c r="B602" s="47">
        <v>0.75</v>
      </c>
      <c r="C602" s="47" t="s">
        <v>41</v>
      </c>
      <c r="E602" s="47">
        <v>50</v>
      </c>
      <c r="J602" s="47">
        <v>2</v>
      </c>
      <c r="K602" s="47" t="s">
        <v>43</v>
      </c>
    </row>
    <row r="603" spans="1:11">
      <c r="A603" s="2">
        <v>43921</v>
      </c>
      <c r="C603" s="47" t="s">
        <v>47</v>
      </c>
      <c r="E603" s="47">
        <v>561</v>
      </c>
      <c r="F603" s="47">
        <v>88</v>
      </c>
      <c r="G603" s="47">
        <v>18</v>
      </c>
      <c r="H603" s="47">
        <v>16</v>
      </c>
      <c r="I603" s="47">
        <v>242</v>
      </c>
      <c r="J603" s="47">
        <v>10</v>
      </c>
      <c r="K603" s="47" t="s">
        <v>49</v>
      </c>
    </row>
    <row r="604" spans="1:11">
      <c r="A604" s="2">
        <v>43921</v>
      </c>
      <c r="C604" s="47" t="s">
        <v>53</v>
      </c>
      <c r="E604" s="47">
        <v>68</v>
      </c>
      <c r="K604" s="47" t="s">
        <v>273</v>
      </c>
    </row>
    <row r="605" spans="1:11">
      <c r="A605" s="2">
        <v>43921</v>
      </c>
      <c r="C605" s="47" t="s">
        <v>56</v>
      </c>
      <c r="E605" s="47">
        <v>491</v>
      </c>
      <c r="F605" s="47">
        <v>77</v>
      </c>
      <c r="G605" s="47">
        <v>20</v>
      </c>
      <c r="J605" s="47">
        <v>20</v>
      </c>
      <c r="K605" s="47" t="s">
        <v>434</v>
      </c>
    </row>
    <row r="606" spans="1:11">
      <c r="A606" s="2">
        <v>43921</v>
      </c>
      <c r="C606" s="47" t="s">
        <v>58</v>
      </c>
      <c r="D606" s="47">
        <v>11694</v>
      </c>
      <c r="E606" s="47">
        <v>2902</v>
      </c>
      <c r="F606" s="47">
        <v>405</v>
      </c>
      <c r="G606" s="47">
        <v>64</v>
      </c>
      <c r="H606" s="47">
        <v>49</v>
      </c>
      <c r="I606" s="47">
        <v>241</v>
      </c>
      <c r="J606" s="47">
        <v>68</v>
      </c>
      <c r="K606" s="47" t="s">
        <v>60</v>
      </c>
    </row>
    <row r="607" spans="1:11">
      <c r="A607" s="2">
        <v>43921</v>
      </c>
      <c r="C607" s="47" t="s">
        <v>61</v>
      </c>
      <c r="E607" s="47">
        <v>53</v>
      </c>
      <c r="F607" s="47">
        <v>5</v>
      </c>
      <c r="J607" s="47">
        <v>2</v>
      </c>
      <c r="K607" s="47" t="s">
        <v>430</v>
      </c>
    </row>
    <row r="608" spans="1:11">
      <c r="A608" s="2">
        <v>43921</v>
      </c>
      <c r="C608" s="47" t="s">
        <v>63</v>
      </c>
      <c r="E608" s="47">
        <v>547</v>
      </c>
      <c r="F608" s="47">
        <v>58</v>
      </c>
      <c r="J608" s="47">
        <v>23</v>
      </c>
      <c r="K608" s="47" t="s">
        <v>65</v>
      </c>
    </row>
    <row r="609" spans="1:11">
      <c r="A609" s="2">
        <v>43921</v>
      </c>
      <c r="C609" s="47" t="s">
        <v>66</v>
      </c>
      <c r="E609" s="47">
        <v>140</v>
      </c>
      <c r="F609" s="47">
        <v>29</v>
      </c>
      <c r="G609" s="47">
        <v>5</v>
      </c>
      <c r="J609" s="47">
        <v>0</v>
      </c>
      <c r="K609" s="47" t="s">
        <v>424</v>
      </c>
    </row>
    <row r="610" spans="1:11">
      <c r="A610" s="2">
        <v>43921</v>
      </c>
      <c r="C610" s="47" t="s">
        <v>71</v>
      </c>
      <c r="E610" s="47">
        <v>402</v>
      </c>
      <c r="F610" s="47">
        <v>59</v>
      </c>
      <c r="G610" s="47">
        <v>14</v>
      </c>
      <c r="H610" s="47">
        <v>8</v>
      </c>
      <c r="J610" s="47">
        <v>22</v>
      </c>
      <c r="K610" s="47" t="s">
        <v>377</v>
      </c>
    </row>
    <row r="611" spans="1:11">
      <c r="A611" s="2">
        <v>43921</v>
      </c>
      <c r="C611" s="47" t="s">
        <v>73</v>
      </c>
      <c r="E611" s="47">
        <v>70</v>
      </c>
      <c r="F611" s="47">
        <v>7</v>
      </c>
      <c r="G611" s="47">
        <v>1</v>
      </c>
      <c r="K611" s="47" t="s">
        <v>357</v>
      </c>
    </row>
    <row r="612" spans="1:11">
      <c r="A612" s="2">
        <v>43921</v>
      </c>
      <c r="C612" s="47" t="s">
        <v>75</v>
      </c>
      <c r="E612" s="47">
        <v>46</v>
      </c>
      <c r="K612" s="47" t="s">
        <v>77</v>
      </c>
    </row>
    <row r="613" spans="1:11">
      <c r="A613" s="2">
        <v>43921</v>
      </c>
      <c r="C613" s="47" t="s">
        <v>78</v>
      </c>
      <c r="E613" s="47">
        <v>394</v>
      </c>
      <c r="J613" s="47">
        <v>7</v>
      </c>
      <c r="K613" s="47" t="s">
        <v>80</v>
      </c>
    </row>
    <row r="614" spans="1:11">
      <c r="A614" s="2">
        <v>43921</v>
      </c>
      <c r="C614" s="47" t="s">
        <v>81</v>
      </c>
      <c r="E614" s="47">
        <v>44</v>
      </c>
      <c r="F614" s="47">
        <v>18</v>
      </c>
      <c r="G614" s="47">
        <v>3</v>
      </c>
      <c r="J614" s="47">
        <v>1</v>
      </c>
      <c r="K614" s="47" t="s">
        <v>426</v>
      </c>
    </row>
    <row r="615" spans="1:11">
      <c r="A615" s="2">
        <v>43921</v>
      </c>
      <c r="C615" s="47" t="s">
        <v>86</v>
      </c>
      <c r="E615" s="47">
        <v>140</v>
      </c>
      <c r="I615" s="47">
        <v>48</v>
      </c>
      <c r="J615" s="47">
        <v>4</v>
      </c>
      <c r="K615" s="47" t="s">
        <v>427</v>
      </c>
    </row>
    <row r="616" spans="1:11">
      <c r="A616" s="2">
        <v>43921</v>
      </c>
      <c r="C616" s="47" t="s">
        <v>88</v>
      </c>
      <c r="E616" s="47">
        <v>155</v>
      </c>
      <c r="J616" s="47">
        <v>3</v>
      </c>
      <c r="K616" s="47" t="s">
        <v>90</v>
      </c>
    </row>
    <row r="617" spans="1:11">
      <c r="A617" s="2">
        <v>43921</v>
      </c>
      <c r="C617" s="47" t="s">
        <v>94</v>
      </c>
      <c r="E617" s="47">
        <v>57</v>
      </c>
      <c r="F617" s="47">
        <v>9</v>
      </c>
      <c r="I617" s="47">
        <v>11</v>
      </c>
      <c r="K617" s="47" t="s">
        <v>226</v>
      </c>
    </row>
    <row r="618" spans="1:11">
      <c r="A618" s="2">
        <v>43921</v>
      </c>
      <c r="C618" s="47" t="s">
        <v>97</v>
      </c>
      <c r="E618" s="47">
        <v>3766</v>
      </c>
      <c r="F618" s="47">
        <v>378</v>
      </c>
      <c r="G618" s="47">
        <v>66</v>
      </c>
      <c r="J618" s="47">
        <v>105</v>
      </c>
      <c r="K618" s="47" t="s">
        <v>99</v>
      </c>
    </row>
    <row r="619" spans="1:11">
      <c r="A619" s="2">
        <v>43921</v>
      </c>
      <c r="C619" s="47" t="s">
        <v>100</v>
      </c>
      <c r="E619" s="47">
        <v>1211</v>
      </c>
      <c r="F619" s="47">
        <v>151</v>
      </c>
      <c r="G619" s="47">
        <v>24</v>
      </c>
      <c r="H619" s="47">
        <v>23</v>
      </c>
      <c r="J619" s="47">
        <v>37</v>
      </c>
      <c r="K619" s="47" t="s">
        <v>419</v>
      </c>
    </row>
    <row r="620" spans="1:11">
      <c r="A620" s="2">
        <v>43921</v>
      </c>
      <c r="B620" s="47">
        <v>0</v>
      </c>
      <c r="C620" s="47" t="s">
        <v>83</v>
      </c>
      <c r="E620" s="47">
        <v>196</v>
      </c>
      <c r="J620" s="47">
        <v>2</v>
      </c>
      <c r="K620" s="47" t="s">
        <v>387</v>
      </c>
    </row>
    <row r="621" spans="1:11">
      <c r="A621" s="2">
        <v>43921</v>
      </c>
      <c r="B621" s="47">
        <v>0.33333333333333331</v>
      </c>
      <c r="C621" s="47" t="s">
        <v>44</v>
      </c>
      <c r="E621" s="47">
        <v>856</v>
      </c>
      <c r="F621" s="47">
        <v>111</v>
      </c>
      <c r="G621" s="47">
        <v>23</v>
      </c>
      <c r="H621" s="47">
        <v>18</v>
      </c>
      <c r="J621" s="47">
        <v>16</v>
      </c>
      <c r="K621" s="47" t="s">
        <v>46</v>
      </c>
    </row>
    <row r="622" spans="1:11">
      <c r="A622" s="2">
        <v>43921</v>
      </c>
      <c r="B622" s="47">
        <v>0.33333333333333331</v>
      </c>
      <c r="C622" s="47" t="s">
        <v>91</v>
      </c>
      <c r="E622" s="47">
        <v>2091</v>
      </c>
      <c r="F622" s="47">
        <v>401</v>
      </c>
      <c r="G622" s="47">
        <v>74</v>
      </c>
      <c r="H622" s="47">
        <v>67</v>
      </c>
      <c r="I622" s="47">
        <v>202</v>
      </c>
      <c r="J622" s="47">
        <v>120</v>
      </c>
      <c r="K622" s="47" t="s">
        <v>274</v>
      </c>
    </row>
    <row r="623" spans="1:11">
      <c r="A623" s="2">
        <v>43921</v>
      </c>
      <c r="B623" s="47">
        <v>0.33333333333333331</v>
      </c>
      <c r="C623" s="47" t="s">
        <v>102</v>
      </c>
      <c r="E623" s="47">
        <v>114</v>
      </c>
      <c r="F623" s="47">
        <v>14</v>
      </c>
      <c r="G623" s="47">
        <v>6</v>
      </c>
      <c r="I623" s="47">
        <v>39</v>
      </c>
      <c r="J623" s="47">
        <v>1</v>
      </c>
      <c r="K623" s="47" t="s">
        <v>381</v>
      </c>
    </row>
    <row r="624" spans="1:11">
      <c r="A624" s="2">
        <v>43921</v>
      </c>
      <c r="B624" s="47">
        <v>0.41666666666666669</v>
      </c>
      <c r="C624" s="47" t="s">
        <v>50</v>
      </c>
      <c r="E624" s="47">
        <v>653</v>
      </c>
      <c r="F624" s="47">
        <v>105</v>
      </c>
      <c r="G624" s="47">
        <v>15</v>
      </c>
      <c r="I624" s="47">
        <v>292</v>
      </c>
      <c r="J624" s="47">
        <v>16</v>
      </c>
      <c r="K624" s="47" t="s">
        <v>272</v>
      </c>
    </row>
    <row r="625" spans="1:11">
      <c r="A625" s="2">
        <v>43921</v>
      </c>
      <c r="B625" s="47">
        <v>0.45833333333333331</v>
      </c>
      <c r="C625" s="47" t="s">
        <v>68</v>
      </c>
      <c r="E625" s="47">
        <v>375</v>
      </c>
      <c r="J625" s="47">
        <v>7</v>
      </c>
      <c r="K625" s="47" t="s">
        <v>70</v>
      </c>
    </row>
    <row r="626" spans="1:11">
      <c r="A626" s="2">
        <v>43921</v>
      </c>
      <c r="B626" s="47">
        <v>0.5</v>
      </c>
      <c r="C626" s="47" t="s">
        <v>38</v>
      </c>
      <c r="E626" s="47">
        <v>14</v>
      </c>
      <c r="K626" s="47" t="s">
        <v>40</v>
      </c>
    </row>
    <row r="627" spans="1:11">
      <c r="A627" s="2">
        <v>43921</v>
      </c>
      <c r="B627" s="47">
        <v>0.60416666666666663</v>
      </c>
      <c r="C627" s="47" t="s">
        <v>104</v>
      </c>
      <c r="E627" s="47">
        <v>1953</v>
      </c>
      <c r="F627" s="47">
        <v>196</v>
      </c>
      <c r="H627" s="47">
        <v>50</v>
      </c>
      <c r="J627" s="47">
        <v>27</v>
      </c>
      <c r="K627" s="47" t="s">
        <v>106</v>
      </c>
    </row>
    <row r="628" spans="1:11">
      <c r="A628" s="2">
        <v>43921</v>
      </c>
      <c r="B628" s="47">
        <v>0.625</v>
      </c>
      <c r="C628" s="47" t="s">
        <v>34</v>
      </c>
      <c r="E628" s="47">
        <v>499</v>
      </c>
      <c r="F628" s="47">
        <v>85</v>
      </c>
      <c r="G628" s="47">
        <v>25</v>
      </c>
      <c r="H628" s="47">
        <v>25</v>
      </c>
      <c r="J628" s="47">
        <v>11</v>
      </c>
      <c r="K628" s="47" t="s">
        <v>271</v>
      </c>
    </row>
    <row r="629" spans="1:11">
      <c r="A629" s="2">
        <v>43921</v>
      </c>
      <c r="B629" s="47">
        <v>0.66666666666666663</v>
      </c>
      <c r="C629" s="47" t="s">
        <v>41</v>
      </c>
      <c r="E629" s="47">
        <v>58</v>
      </c>
      <c r="J629" s="47">
        <v>2</v>
      </c>
      <c r="K629" s="47" t="s">
        <v>43</v>
      </c>
    </row>
    <row r="630" spans="1:11">
      <c r="A630" s="2">
        <v>43922</v>
      </c>
      <c r="C630" s="47" t="s">
        <v>47</v>
      </c>
      <c r="E630" s="47">
        <v>588</v>
      </c>
      <c r="F630" s="47">
        <v>86</v>
      </c>
      <c r="G630" s="47">
        <v>17</v>
      </c>
      <c r="H630" s="47">
        <v>17</v>
      </c>
      <c r="I630" s="47">
        <v>249</v>
      </c>
      <c r="J630" s="47">
        <v>11</v>
      </c>
      <c r="K630" s="47" t="s">
        <v>49</v>
      </c>
    </row>
    <row r="631" spans="1:11">
      <c r="A631" s="2">
        <v>43922</v>
      </c>
      <c r="C631" s="47" t="s">
        <v>53</v>
      </c>
      <c r="E631" s="47">
        <v>72</v>
      </c>
      <c r="K631" s="47" t="s">
        <v>277</v>
      </c>
    </row>
    <row r="632" spans="1:11">
      <c r="A632" s="2">
        <v>43922</v>
      </c>
      <c r="C632" s="47" t="s">
        <v>56</v>
      </c>
      <c r="E632" s="47">
        <v>525</v>
      </c>
      <c r="F632" s="47">
        <v>81</v>
      </c>
      <c r="G632" s="47">
        <v>23</v>
      </c>
      <c r="J632" s="47">
        <v>23</v>
      </c>
      <c r="K632" s="47" t="s">
        <v>434</v>
      </c>
    </row>
    <row r="633" spans="1:11">
      <c r="A633" s="2">
        <v>43922</v>
      </c>
      <c r="C633" s="47" t="s">
        <v>58</v>
      </c>
      <c r="D633" s="47">
        <v>12350</v>
      </c>
      <c r="E633" s="47">
        <v>3059</v>
      </c>
      <c r="F633" s="47">
        <v>406</v>
      </c>
      <c r="G633" s="47">
        <v>64</v>
      </c>
      <c r="H633" s="47">
        <v>58</v>
      </c>
      <c r="I633" s="47">
        <v>260</v>
      </c>
      <c r="J633" s="47">
        <v>77</v>
      </c>
      <c r="K633" s="47" t="s">
        <v>60</v>
      </c>
    </row>
    <row r="634" spans="1:11">
      <c r="A634" s="2">
        <v>43922</v>
      </c>
      <c r="C634" s="47" t="s">
        <v>61</v>
      </c>
      <c r="E634" s="47">
        <v>56</v>
      </c>
      <c r="F634" s="47">
        <v>5</v>
      </c>
      <c r="J634" s="47">
        <v>2</v>
      </c>
      <c r="K634" s="47" t="s">
        <v>430</v>
      </c>
    </row>
    <row r="635" spans="1:11">
      <c r="A635" s="2">
        <v>43922</v>
      </c>
      <c r="C635" s="47" t="s">
        <v>63</v>
      </c>
      <c r="E635" s="47">
        <v>592</v>
      </c>
      <c r="F635" s="47">
        <v>59</v>
      </c>
      <c r="J635" s="47">
        <v>26</v>
      </c>
      <c r="K635" s="47" t="s">
        <v>65</v>
      </c>
    </row>
    <row r="636" spans="1:11">
      <c r="A636" s="2">
        <v>43922</v>
      </c>
      <c r="C636" s="47" t="s">
        <v>66</v>
      </c>
      <c r="E636" s="47">
        <v>145</v>
      </c>
      <c r="F636" s="47">
        <v>29</v>
      </c>
      <c r="G636" s="47">
        <v>5</v>
      </c>
      <c r="J636" s="47">
        <v>0</v>
      </c>
      <c r="K636" s="47" t="s">
        <v>424</v>
      </c>
    </row>
    <row r="637" spans="1:11">
      <c r="A637" s="2">
        <v>43922</v>
      </c>
      <c r="C637" s="47" t="s">
        <v>71</v>
      </c>
      <c r="E637" s="47">
        <v>420</v>
      </c>
      <c r="F637" s="47">
        <v>66</v>
      </c>
      <c r="G637" s="47">
        <v>14</v>
      </c>
      <c r="H637" s="47">
        <v>8</v>
      </c>
      <c r="J637" s="47">
        <v>24</v>
      </c>
      <c r="K637" s="47" t="s">
        <v>377</v>
      </c>
    </row>
    <row r="638" spans="1:11">
      <c r="A638" s="2">
        <v>43922</v>
      </c>
      <c r="C638" s="47" t="s">
        <v>73</v>
      </c>
      <c r="E638" s="47">
        <v>70</v>
      </c>
      <c r="F638" s="47">
        <v>9</v>
      </c>
      <c r="G638" s="47">
        <v>2</v>
      </c>
      <c r="K638" s="47" t="s">
        <v>357</v>
      </c>
    </row>
    <row r="639" spans="1:11">
      <c r="A639" s="2">
        <v>43922</v>
      </c>
      <c r="C639" s="47" t="s">
        <v>75</v>
      </c>
      <c r="E639" s="47">
        <v>48</v>
      </c>
      <c r="K639" s="47" t="s">
        <v>77</v>
      </c>
    </row>
    <row r="640" spans="1:11">
      <c r="A640" s="2">
        <v>43922</v>
      </c>
      <c r="C640" s="47" t="s">
        <v>78</v>
      </c>
      <c r="E640" s="47">
        <v>414</v>
      </c>
      <c r="J640" s="47">
        <v>7</v>
      </c>
      <c r="K640" s="47" t="s">
        <v>80</v>
      </c>
    </row>
    <row r="641" spans="1:11">
      <c r="A641" s="2">
        <v>43922</v>
      </c>
      <c r="C641" s="47" t="s">
        <v>81</v>
      </c>
      <c r="E641" s="47">
        <v>44</v>
      </c>
      <c r="F641" s="47">
        <v>10</v>
      </c>
      <c r="G641" s="47">
        <v>3</v>
      </c>
      <c r="J641" s="47">
        <v>1</v>
      </c>
      <c r="K641" s="47" t="s">
        <v>426</v>
      </c>
    </row>
    <row r="642" spans="1:11">
      <c r="A642" s="2">
        <v>43922</v>
      </c>
      <c r="C642" s="47" t="s">
        <v>86</v>
      </c>
      <c r="E642" s="47">
        <v>146</v>
      </c>
      <c r="I642" s="47">
        <v>65</v>
      </c>
      <c r="J642" s="47">
        <v>4</v>
      </c>
      <c r="K642" s="47" t="s">
        <v>427</v>
      </c>
    </row>
    <row r="643" spans="1:11">
      <c r="A643" s="2">
        <v>43922</v>
      </c>
      <c r="C643" s="47" t="s">
        <v>88</v>
      </c>
      <c r="E643" s="47">
        <v>167</v>
      </c>
      <c r="J643" s="47">
        <v>4</v>
      </c>
      <c r="K643" s="47" t="s">
        <v>90</v>
      </c>
    </row>
    <row r="644" spans="1:11">
      <c r="A644" s="2">
        <v>43922</v>
      </c>
      <c r="C644" s="47" t="s">
        <v>94</v>
      </c>
      <c r="E644" s="47">
        <v>59</v>
      </c>
      <c r="F644" s="47">
        <v>10</v>
      </c>
      <c r="I644" s="47">
        <v>13</v>
      </c>
      <c r="J644" s="47">
        <v>1</v>
      </c>
      <c r="K644" s="47" t="s">
        <v>226</v>
      </c>
    </row>
    <row r="645" spans="1:11">
      <c r="A645" s="2">
        <v>43922</v>
      </c>
      <c r="C645" s="47" t="s">
        <v>97</v>
      </c>
      <c r="E645" s="47">
        <v>3918</v>
      </c>
      <c r="F645" s="47">
        <v>383</v>
      </c>
      <c r="G645" s="47">
        <v>68</v>
      </c>
      <c r="J645" s="47">
        <v>116</v>
      </c>
      <c r="K645" s="47" t="s">
        <v>99</v>
      </c>
    </row>
    <row r="646" spans="1:11">
      <c r="A646" s="2">
        <v>43922</v>
      </c>
      <c r="C646" s="47" t="s">
        <v>100</v>
      </c>
      <c r="E646" s="47">
        <v>1282</v>
      </c>
      <c r="F646" s="47">
        <v>145</v>
      </c>
      <c r="G646" s="47">
        <v>26</v>
      </c>
      <c r="H646" s="47">
        <v>25</v>
      </c>
      <c r="I646" s="47">
        <v>70</v>
      </c>
      <c r="J646" s="47">
        <v>40</v>
      </c>
      <c r="K646" s="47" t="s">
        <v>419</v>
      </c>
    </row>
    <row r="647" spans="1:11">
      <c r="A647" s="2">
        <v>43922</v>
      </c>
      <c r="B647" s="47">
        <v>0</v>
      </c>
      <c r="C647" s="47" t="s">
        <v>83</v>
      </c>
      <c r="E647" s="47">
        <v>216</v>
      </c>
      <c r="J647" s="47">
        <v>3</v>
      </c>
      <c r="K647" s="47" t="s">
        <v>387</v>
      </c>
    </row>
    <row r="648" spans="1:11">
      <c r="A648" s="2">
        <v>43922</v>
      </c>
      <c r="B648" s="47">
        <v>0.33333333333333331</v>
      </c>
      <c r="C648" s="47" t="s">
        <v>44</v>
      </c>
      <c r="E648" s="47">
        <v>909</v>
      </c>
      <c r="F648" s="47">
        <v>115</v>
      </c>
      <c r="G648" s="47">
        <v>26</v>
      </c>
      <c r="H648" s="47">
        <v>21</v>
      </c>
      <c r="J648" s="47">
        <v>20</v>
      </c>
      <c r="K648" s="47" t="s">
        <v>46</v>
      </c>
    </row>
    <row r="649" spans="1:11">
      <c r="A649" s="2">
        <v>43922</v>
      </c>
      <c r="B649" s="47">
        <v>0.33333333333333331</v>
      </c>
      <c r="C649" s="47" t="s">
        <v>91</v>
      </c>
      <c r="E649" s="47">
        <v>2195</v>
      </c>
      <c r="F649" s="47">
        <v>396</v>
      </c>
      <c r="G649" s="47">
        <v>76</v>
      </c>
      <c r="H649" s="47">
        <v>72</v>
      </c>
      <c r="I649" s="47">
        <v>229</v>
      </c>
      <c r="J649" s="47">
        <v>132</v>
      </c>
      <c r="K649" s="47" t="s">
        <v>278</v>
      </c>
    </row>
    <row r="650" spans="1:11">
      <c r="A650" s="2">
        <v>43922</v>
      </c>
      <c r="B650" s="47">
        <v>0.33333333333333331</v>
      </c>
      <c r="C650" s="47" t="s">
        <v>102</v>
      </c>
      <c r="E650" s="47">
        <v>125</v>
      </c>
      <c r="F650" s="47">
        <v>13</v>
      </c>
      <c r="G650" s="47">
        <v>5</v>
      </c>
      <c r="I650" s="47">
        <v>40</v>
      </c>
      <c r="J650" s="47">
        <v>1</v>
      </c>
      <c r="K650" s="47" t="s">
        <v>381</v>
      </c>
    </row>
    <row r="651" spans="1:11">
      <c r="A651" s="2">
        <v>43922</v>
      </c>
      <c r="B651" s="47">
        <v>0.41666666666666669</v>
      </c>
      <c r="C651" s="47" t="s">
        <v>50</v>
      </c>
      <c r="E651" s="47">
        <v>687</v>
      </c>
      <c r="F651" s="47">
        <v>108</v>
      </c>
      <c r="G651" s="47">
        <v>16</v>
      </c>
      <c r="I651" s="47">
        <v>323</v>
      </c>
      <c r="J651" s="47">
        <v>18</v>
      </c>
      <c r="K651" s="47" t="s">
        <v>276</v>
      </c>
    </row>
    <row r="652" spans="1:11">
      <c r="A652" s="2">
        <v>43922</v>
      </c>
      <c r="B652" s="47">
        <v>0.45833333333333331</v>
      </c>
      <c r="C652" s="47" t="s">
        <v>68</v>
      </c>
      <c r="E652" s="47">
        <v>401</v>
      </c>
      <c r="F652" s="47">
        <v>57</v>
      </c>
      <c r="G652" s="47">
        <v>12</v>
      </c>
      <c r="J652" s="47">
        <v>7</v>
      </c>
      <c r="K652" s="47" t="s">
        <v>70</v>
      </c>
    </row>
    <row r="653" spans="1:11">
      <c r="A653" s="2">
        <v>43922</v>
      </c>
      <c r="B653" s="47">
        <v>0.60416666666666663</v>
      </c>
      <c r="C653" s="47" t="s">
        <v>104</v>
      </c>
      <c r="E653" s="47">
        <v>2142</v>
      </c>
      <c r="F653" s="47">
        <v>203</v>
      </c>
      <c r="H653" s="47">
        <v>54</v>
      </c>
      <c r="J653" s="47">
        <v>36</v>
      </c>
      <c r="K653" s="47" t="s">
        <v>106</v>
      </c>
    </row>
    <row r="654" spans="1:11">
      <c r="A654" s="2">
        <v>43922</v>
      </c>
      <c r="B654" s="47">
        <v>0.625</v>
      </c>
      <c r="C654" s="47" t="s">
        <v>34</v>
      </c>
      <c r="E654" s="47">
        <v>549</v>
      </c>
      <c r="F654" s="47">
        <v>94</v>
      </c>
      <c r="G654" s="47">
        <v>27</v>
      </c>
      <c r="H654" s="47">
        <v>27</v>
      </c>
      <c r="J654" s="47">
        <v>11</v>
      </c>
      <c r="K654" s="47" t="s">
        <v>275</v>
      </c>
    </row>
    <row r="655" spans="1:11">
      <c r="A655" s="2">
        <v>43922</v>
      </c>
      <c r="B655" s="47">
        <v>0.70833333333333337</v>
      </c>
      <c r="C655" s="47" t="s">
        <v>41</v>
      </c>
      <c r="E655" s="47">
        <v>61</v>
      </c>
      <c r="J655" s="47">
        <v>3</v>
      </c>
      <c r="K655" s="47" t="s">
        <v>43</v>
      </c>
    </row>
    <row r="656" spans="1:11">
      <c r="A656" s="2">
        <v>43923</v>
      </c>
      <c r="C656" s="47" t="s">
        <v>47</v>
      </c>
      <c r="E656" s="47">
        <v>610</v>
      </c>
      <c r="F656" s="47">
        <v>81</v>
      </c>
      <c r="G656" s="47">
        <v>18</v>
      </c>
      <c r="H656" s="47">
        <v>18</v>
      </c>
      <c r="I656" s="47">
        <v>262</v>
      </c>
      <c r="J656" s="47">
        <v>12</v>
      </c>
      <c r="K656" s="47" t="s">
        <v>49</v>
      </c>
    </row>
    <row r="657" spans="1:11">
      <c r="A657" s="2">
        <v>43923</v>
      </c>
      <c r="C657" s="47" t="s">
        <v>53</v>
      </c>
      <c r="E657" s="47">
        <v>75</v>
      </c>
      <c r="K657" s="47" t="s">
        <v>281</v>
      </c>
    </row>
    <row r="658" spans="1:11">
      <c r="A658" s="2">
        <v>43923</v>
      </c>
      <c r="C658" s="47" t="s">
        <v>56</v>
      </c>
      <c r="E658" s="47">
        <v>550</v>
      </c>
      <c r="F658" s="47">
        <v>80</v>
      </c>
      <c r="G658" s="47">
        <v>23</v>
      </c>
      <c r="I658" s="47">
        <v>46</v>
      </c>
      <c r="J658" s="47">
        <v>26</v>
      </c>
      <c r="K658" s="47" t="s">
        <v>434</v>
      </c>
    </row>
    <row r="659" spans="1:11">
      <c r="A659" s="2">
        <v>43923</v>
      </c>
      <c r="C659" s="47" t="s">
        <v>58</v>
      </c>
      <c r="D659" s="47">
        <v>13297</v>
      </c>
      <c r="E659" s="47">
        <v>3270</v>
      </c>
      <c r="F659" s="47">
        <v>424</v>
      </c>
      <c r="G659" s="47">
        <v>62</v>
      </c>
      <c r="H659" s="47">
        <v>54</v>
      </c>
      <c r="I659" s="47">
        <v>283</v>
      </c>
      <c r="J659" s="47">
        <v>85</v>
      </c>
      <c r="K659" s="47" t="s">
        <v>60</v>
      </c>
    </row>
    <row r="660" spans="1:11">
      <c r="A660" s="2">
        <v>43923</v>
      </c>
      <c r="C660" s="47" t="s">
        <v>61</v>
      </c>
      <c r="E660" s="47">
        <v>58</v>
      </c>
      <c r="F660" s="47">
        <v>5</v>
      </c>
      <c r="J660" s="47">
        <v>2</v>
      </c>
      <c r="K660" s="47" t="s">
        <v>430</v>
      </c>
    </row>
    <row r="661" spans="1:11">
      <c r="A661" s="2">
        <v>43923</v>
      </c>
      <c r="C661" s="47" t="s">
        <v>63</v>
      </c>
      <c r="E661" s="47">
        <v>622</v>
      </c>
      <c r="F661" s="47">
        <v>60</v>
      </c>
      <c r="J661" s="47">
        <v>28</v>
      </c>
      <c r="K661" s="47" t="s">
        <v>65</v>
      </c>
    </row>
    <row r="662" spans="1:11">
      <c r="A662" s="2">
        <v>43923</v>
      </c>
      <c r="C662" s="47" t="s">
        <v>66</v>
      </c>
      <c r="E662" s="47">
        <v>149</v>
      </c>
      <c r="F662" s="47">
        <v>29</v>
      </c>
      <c r="G662" s="47">
        <v>3</v>
      </c>
      <c r="J662" s="47">
        <v>0</v>
      </c>
      <c r="K662" s="47" t="s">
        <v>424</v>
      </c>
    </row>
    <row r="663" spans="1:11">
      <c r="A663" s="2">
        <v>43923</v>
      </c>
      <c r="C663" s="47" t="s">
        <v>71</v>
      </c>
      <c r="E663" s="47">
        <v>430</v>
      </c>
      <c r="F663" s="47">
        <v>61</v>
      </c>
      <c r="G663" s="47">
        <v>12</v>
      </c>
      <c r="H663" s="47">
        <v>10</v>
      </c>
      <c r="J663" s="47">
        <v>27</v>
      </c>
      <c r="K663" s="47" t="s">
        <v>377</v>
      </c>
    </row>
    <row r="664" spans="1:11">
      <c r="A664" s="2">
        <v>43923</v>
      </c>
      <c r="C664" s="47" t="s">
        <v>73</v>
      </c>
      <c r="E664" s="47">
        <v>76</v>
      </c>
      <c r="F664" s="47">
        <v>9</v>
      </c>
      <c r="G664" s="47">
        <v>2</v>
      </c>
      <c r="K664" s="47" t="s">
        <v>357</v>
      </c>
    </row>
    <row r="665" spans="1:11">
      <c r="A665" s="2">
        <v>43923</v>
      </c>
      <c r="C665" s="47" t="s">
        <v>75</v>
      </c>
      <c r="E665" s="47">
        <v>51</v>
      </c>
      <c r="K665" s="47" t="s">
        <v>77</v>
      </c>
    </row>
    <row r="666" spans="1:11">
      <c r="A666" s="2">
        <v>43923</v>
      </c>
      <c r="C666" s="47" t="s">
        <v>78</v>
      </c>
      <c r="E666" s="47">
        <v>455</v>
      </c>
      <c r="F666" s="47">
        <v>64</v>
      </c>
      <c r="G666" s="47">
        <v>11</v>
      </c>
      <c r="I666" s="47">
        <v>49</v>
      </c>
      <c r="J666" s="47">
        <v>8</v>
      </c>
      <c r="K666" s="47" t="s">
        <v>80</v>
      </c>
    </row>
    <row r="667" spans="1:11">
      <c r="A667" s="2">
        <v>43923</v>
      </c>
      <c r="C667" s="47" t="s">
        <v>81</v>
      </c>
      <c r="E667" s="47">
        <v>47</v>
      </c>
      <c r="F667" s="47">
        <v>18</v>
      </c>
      <c r="G667" s="47">
        <v>3</v>
      </c>
      <c r="J667" s="47">
        <v>1</v>
      </c>
      <c r="K667" s="47" t="s">
        <v>426</v>
      </c>
    </row>
    <row r="668" spans="1:11">
      <c r="A668" s="2">
        <v>43923</v>
      </c>
      <c r="C668" s="47" t="s">
        <v>86</v>
      </c>
      <c r="E668" s="47">
        <v>155</v>
      </c>
      <c r="I668" s="47">
        <v>65</v>
      </c>
      <c r="J668" s="47">
        <v>4</v>
      </c>
      <c r="K668" s="47" t="s">
        <v>427</v>
      </c>
    </row>
    <row r="669" spans="1:11">
      <c r="A669" s="2">
        <v>43923</v>
      </c>
      <c r="C669" s="47" t="s">
        <v>88</v>
      </c>
      <c r="E669" s="47">
        <v>180</v>
      </c>
      <c r="J669" s="47">
        <v>4</v>
      </c>
      <c r="K669" s="47" t="s">
        <v>90</v>
      </c>
    </row>
    <row r="670" spans="1:11">
      <c r="A670" s="2">
        <v>43923</v>
      </c>
      <c r="C670" s="47" t="s">
        <v>97</v>
      </c>
      <c r="E670" s="47">
        <v>4052</v>
      </c>
      <c r="F670" s="47">
        <v>374</v>
      </c>
      <c r="G670" s="47">
        <v>69</v>
      </c>
      <c r="J670" s="47">
        <v>135</v>
      </c>
      <c r="K670" s="47" t="s">
        <v>99</v>
      </c>
    </row>
    <row r="671" spans="1:11">
      <c r="A671" s="2">
        <v>43923</v>
      </c>
      <c r="C671" s="47" t="s">
        <v>100</v>
      </c>
      <c r="E671" s="47">
        <v>1334</v>
      </c>
      <c r="F671" s="47">
        <v>145</v>
      </c>
      <c r="G671" s="47">
        <v>28</v>
      </c>
      <c r="H671" s="47">
        <v>24</v>
      </c>
      <c r="I671" s="47">
        <v>88</v>
      </c>
      <c r="J671" s="47">
        <v>47</v>
      </c>
      <c r="K671" s="47" t="s">
        <v>419</v>
      </c>
    </row>
    <row r="672" spans="1:11">
      <c r="A672" s="2">
        <v>43923</v>
      </c>
      <c r="B672" s="47">
        <v>0</v>
      </c>
      <c r="C672" s="47" t="s">
        <v>83</v>
      </c>
      <c r="E672" s="47">
        <v>227</v>
      </c>
      <c r="F672" s="47">
        <v>14</v>
      </c>
      <c r="J672" s="47">
        <v>3</v>
      </c>
      <c r="K672" s="47" t="s">
        <v>387</v>
      </c>
    </row>
    <row r="673" spans="1:11">
      <c r="A673" s="2">
        <v>43923</v>
      </c>
      <c r="B673" s="47">
        <v>0.33333333333333331</v>
      </c>
      <c r="C673" s="47" t="s">
        <v>44</v>
      </c>
      <c r="E673" s="47">
        <v>1003</v>
      </c>
      <c r="F673" s="47">
        <v>104</v>
      </c>
      <c r="G673" s="47">
        <v>24</v>
      </c>
      <c r="H673" s="47">
        <v>20</v>
      </c>
      <c r="J673" s="47">
        <v>23</v>
      </c>
      <c r="K673" s="47" t="s">
        <v>46</v>
      </c>
    </row>
    <row r="674" spans="1:11">
      <c r="A674" s="2">
        <v>43923</v>
      </c>
      <c r="B674" s="47">
        <v>0.33333333333333331</v>
      </c>
      <c r="C674" s="47" t="s">
        <v>91</v>
      </c>
      <c r="E674" s="47">
        <v>2271</v>
      </c>
      <c r="F674" s="47">
        <v>374</v>
      </c>
      <c r="G674" s="47">
        <v>75</v>
      </c>
      <c r="H674" s="47">
        <v>73</v>
      </c>
      <c r="I674" s="47">
        <v>263</v>
      </c>
      <c r="J674" s="47">
        <v>141</v>
      </c>
      <c r="K674" s="47" t="s">
        <v>282</v>
      </c>
    </row>
    <row r="675" spans="1:11">
      <c r="A675" s="2">
        <v>43923</v>
      </c>
      <c r="B675" s="47">
        <v>0.33333333333333331</v>
      </c>
      <c r="C675" s="47" t="s">
        <v>102</v>
      </c>
      <c r="E675" s="47">
        <v>131</v>
      </c>
      <c r="F675" s="47">
        <v>14</v>
      </c>
      <c r="G675" s="47">
        <v>5</v>
      </c>
      <c r="I675" s="47">
        <v>41</v>
      </c>
      <c r="J675" s="47">
        <v>1</v>
      </c>
      <c r="K675" s="47" t="s">
        <v>381</v>
      </c>
    </row>
    <row r="676" spans="1:11">
      <c r="A676" s="2">
        <v>43923</v>
      </c>
      <c r="B676" s="47">
        <v>0.41666666666666669</v>
      </c>
      <c r="C676" s="47" t="s">
        <v>50</v>
      </c>
      <c r="E676" s="47">
        <v>714</v>
      </c>
      <c r="F676" s="47">
        <v>119</v>
      </c>
      <c r="G676" s="47">
        <v>17</v>
      </c>
      <c r="I676" s="47">
        <v>350</v>
      </c>
      <c r="J676" s="47">
        <v>19</v>
      </c>
      <c r="K676" s="47" t="s">
        <v>280</v>
      </c>
    </row>
    <row r="677" spans="1:11">
      <c r="A677" s="2">
        <v>43923</v>
      </c>
      <c r="B677" s="47">
        <v>0.45833333333333331</v>
      </c>
      <c r="C677" s="47" t="s">
        <v>68</v>
      </c>
      <c r="E677" s="47">
        <v>422</v>
      </c>
      <c r="F677" s="47">
        <v>66</v>
      </c>
      <c r="G677" s="47">
        <v>11</v>
      </c>
      <c r="J677" s="47">
        <v>7</v>
      </c>
      <c r="K677" s="47" t="s">
        <v>70</v>
      </c>
    </row>
    <row r="678" spans="1:11">
      <c r="A678" s="2">
        <v>43923</v>
      </c>
      <c r="B678" s="47">
        <v>0.5</v>
      </c>
      <c r="C678" s="47" t="s">
        <v>41</v>
      </c>
      <c r="E678" s="47">
        <v>64</v>
      </c>
      <c r="J678" s="47">
        <v>3</v>
      </c>
      <c r="K678" s="47" t="s">
        <v>43</v>
      </c>
    </row>
    <row r="679" spans="1:11">
      <c r="A679" s="2">
        <v>43923</v>
      </c>
      <c r="B679" s="47">
        <v>0.58333333333333337</v>
      </c>
      <c r="C679" s="47" t="s">
        <v>94</v>
      </c>
      <c r="E679" s="47">
        <v>60</v>
      </c>
      <c r="F679" s="47">
        <v>4</v>
      </c>
      <c r="I679" s="47">
        <v>13</v>
      </c>
      <c r="J679" s="47">
        <v>1</v>
      </c>
      <c r="K679" s="47" t="s">
        <v>226</v>
      </c>
    </row>
    <row r="680" spans="1:11">
      <c r="A680" s="2">
        <v>43923</v>
      </c>
      <c r="B680" s="47">
        <v>0.60416666666666663</v>
      </c>
      <c r="C680" s="47" t="s">
        <v>104</v>
      </c>
      <c r="E680" s="47">
        <v>2306</v>
      </c>
      <c r="F680" s="47">
        <v>200</v>
      </c>
      <c r="H680" s="47">
        <v>53</v>
      </c>
      <c r="J680" s="47">
        <v>39</v>
      </c>
      <c r="K680" s="47" t="s">
        <v>106</v>
      </c>
    </row>
    <row r="681" spans="1:11">
      <c r="A681" s="2">
        <v>43923</v>
      </c>
      <c r="B681" s="47">
        <v>0.625</v>
      </c>
      <c r="C681" s="47" t="s">
        <v>34</v>
      </c>
      <c r="E681" s="47">
        <v>592</v>
      </c>
      <c r="F681" s="47">
        <v>94</v>
      </c>
      <c r="G681" s="47">
        <v>27</v>
      </c>
      <c r="H681" s="47">
        <v>27</v>
      </c>
      <c r="J681" s="47">
        <v>12</v>
      </c>
      <c r="K681" s="47" t="s">
        <v>279</v>
      </c>
    </row>
    <row r="682" spans="1:11">
      <c r="A682" s="2">
        <v>43923</v>
      </c>
      <c r="B682" s="47">
        <v>0.70833333333333337</v>
      </c>
      <c r="C682" s="47" t="s">
        <v>38</v>
      </c>
      <c r="E682" s="47">
        <v>20</v>
      </c>
      <c r="K682" s="47" t="s">
        <v>40</v>
      </c>
    </row>
    <row r="683" spans="1:11">
      <c r="A683" s="2">
        <v>43924</v>
      </c>
      <c r="C683" s="47" t="s">
        <v>47</v>
      </c>
      <c r="E683" s="47">
        <v>625</v>
      </c>
      <c r="F683" s="47">
        <v>82</v>
      </c>
      <c r="G683" s="47">
        <v>18</v>
      </c>
      <c r="H683" s="47">
        <v>18</v>
      </c>
      <c r="I683" s="47">
        <v>266</v>
      </c>
      <c r="J683" s="47">
        <v>14</v>
      </c>
      <c r="K683" s="47" t="s">
        <v>49</v>
      </c>
    </row>
    <row r="684" spans="1:11">
      <c r="A684" s="2">
        <v>43924</v>
      </c>
      <c r="C684" s="47" t="s">
        <v>53</v>
      </c>
      <c r="E684" s="47">
        <v>76</v>
      </c>
      <c r="K684" s="47" t="s">
        <v>281</v>
      </c>
    </row>
    <row r="685" spans="1:11">
      <c r="A685" s="2">
        <v>43924</v>
      </c>
      <c r="C685" s="47" t="s">
        <v>56</v>
      </c>
      <c r="E685" s="47">
        <v>588</v>
      </c>
      <c r="F685" s="47">
        <v>77</v>
      </c>
      <c r="G685" s="47">
        <v>21</v>
      </c>
      <c r="I685" s="47">
        <v>46</v>
      </c>
      <c r="J685" s="47">
        <v>31</v>
      </c>
      <c r="K685" s="47" t="s">
        <v>434</v>
      </c>
    </row>
    <row r="686" spans="1:11">
      <c r="A686" s="2">
        <v>43924</v>
      </c>
      <c r="C686" s="47" t="s">
        <v>58</v>
      </c>
      <c r="D686" s="47">
        <v>14126</v>
      </c>
      <c r="E686" s="47">
        <v>3456</v>
      </c>
      <c r="F686" s="47">
        <v>424</v>
      </c>
      <c r="G686" s="47">
        <v>65</v>
      </c>
      <c r="H686" s="47">
        <v>58</v>
      </c>
      <c r="I686" s="47">
        <v>284</v>
      </c>
      <c r="J686" s="47">
        <v>92</v>
      </c>
      <c r="K686" s="47" t="s">
        <v>60</v>
      </c>
    </row>
    <row r="687" spans="1:11">
      <c r="A687" s="2">
        <v>43924</v>
      </c>
      <c r="C687" s="47" t="s">
        <v>61</v>
      </c>
      <c r="E687" s="47">
        <v>59</v>
      </c>
      <c r="F687" s="47">
        <v>5</v>
      </c>
      <c r="J687" s="47">
        <v>2</v>
      </c>
      <c r="K687" s="47" t="s">
        <v>430</v>
      </c>
    </row>
    <row r="688" spans="1:11">
      <c r="A688" s="2">
        <v>43924</v>
      </c>
      <c r="C688" s="47" t="s">
        <v>63</v>
      </c>
      <c r="E688" s="47">
        <v>649</v>
      </c>
      <c r="F688" s="47">
        <v>51</v>
      </c>
      <c r="J688" s="47">
        <v>30</v>
      </c>
      <c r="K688" s="47" t="s">
        <v>65</v>
      </c>
    </row>
    <row r="689" spans="1:11">
      <c r="A689" s="2">
        <v>43924</v>
      </c>
      <c r="C689" s="47" t="s">
        <v>66</v>
      </c>
      <c r="E689" s="47">
        <v>149</v>
      </c>
      <c r="F689" s="47">
        <v>28</v>
      </c>
      <c r="G689" s="47">
        <v>3</v>
      </c>
      <c r="J689" s="47">
        <v>0</v>
      </c>
      <c r="K689" s="47" t="s">
        <v>424</v>
      </c>
    </row>
    <row r="690" spans="1:11">
      <c r="A690" s="2">
        <v>43924</v>
      </c>
      <c r="C690" s="47" t="s">
        <v>71</v>
      </c>
      <c r="E690" s="47">
        <v>444</v>
      </c>
      <c r="F690" s="47">
        <v>61</v>
      </c>
      <c r="G690" s="47">
        <v>11</v>
      </c>
      <c r="H690" s="47">
        <v>9</v>
      </c>
      <c r="J690" s="47">
        <v>28</v>
      </c>
      <c r="K690" s="47" t="s">
        <v>377</v>
      </c>
    </row>
    <row r="691" spans="1:11">
      <c r="A691" s="2">
        <v>43924</v>
      </c>
      <c r="C691" s="47" t="s">
        <v>73</v>
      </c>
      <c r="E691" s="47">
        <v>79</v>
      </c>
      <c r="F691" s="47">
        <v>10</v>
      </c>
      <c r="G691" s="47">
        <v>2</v>
      </c>
      <c r="K691" s="47" t="s">
        <v>357</v>
      </c>
    </row>
    <row r="692" spans="1:11">
      <c r="A692" s="2">
        <v>43924</v>
      </c>
      <c r="C692" s="47" t="s">
        <v>75</v>
      </c>
      <c r="E692" s="47">
        <v>56</v>
      </c>
      <c r="K692" s="47" t="s">
        <v>77</v>
      </c>
    </row>
    <row r="693" spans="1:11">
      <c r="A693" s="2">
        <v>43924</v>
      </c>
      <c r="C693" s="47" t="s">
        <v>78</v>
      </c>
      <c r="E693" s="47">
        <v>480</v>
      </c>
      <c r="F693" s="47">
        <v>75</v>
      </c>
      <c r="G693" s="47">
        <v>12</v>
      </c>
      <c r="I693" s="47">
        <v>50</v>
      </c>
      <c r="J693" s="47">
        <v>8</v>
      </c>
      <c r="K693" s="47" t="s">
        <v>80</v>
      </c>
    </row>
    <row r="694" spans="1:11">
      <c r="A694" s="2">
        <v>43924</v>
      </c>
      <c r="C694" s="47" t="s">
        <v>81</v>
      </c>
      <c r="E694" s="47">
        <v>47</v>
      </c>
      <c r="F694" s="47">
        <v>9</v>
      </c>
      <c r="G694" s="47">
        <v>3</v>
      </c>
      <c r="J694" s="47">
        <v>1</v>
      </c>
      <c r="K694" s="47" t="s">
        <v>426</v>
      </c>
    </row>
    <row r="695" spans="1:11">
      <c r="A695" s="2">
        <v>43924</v>
      </c>
      <c r="C695" s="47" t="s">
        <v>86</v>
      </c>
      <c r="E695" s="47">
        <v>165</v>
      </c>
      <c r="I695" s="47">
        <v>75</v>
      </c>
      <c r="J695" s="47">
        <v>4</v>
      </c>
      <c r="K695" s="47" t="s">
        <v>427</v>
      </c>
    </row>
    <row r="696" spans="1:11">
      <c r="A696" s="2">
        <v>43924</v>
      </c>
      <c r="C696" s="47" t="s">
        <v>88</v>
      </c>
      <c r="E696" s="47">
        <v>199</v>
      </c>
      <c r="J696" s="47">
        <v>5</v>
      </c>
      <c r="K696" s="47" t="s">
        <v>90</v>
      </c>
    </row>
    <row r="697" spans="1:11">
      <c r="A697" s="2">
        <v>43924</v>
      </c>
      <c r="C697" s="47" t="s">
        <v>97</v>
      </c>
      <c r="E697" s="47">
        <v>4188</v>
      </c>
      <c r="F697" s="47">
        <v>365</v>
      </c>
      <c r="G697" s="47">
        <v>67</v>
      </c>
      <c r="J697" s="47">
        <v>153</v>
      </c>
      <c r="K697" s="47" t="s">
        <v>99</v>
      </c>
    </row>
    <row r="698" spans="1:11">
      <c r="A698" s="2">
        <v>43924</v>
      </c>
      <c r="C698" s="47" t="s">
        <v>100</v>
      </c>
      <c r="E698" s="47">
        <v>1383</v>
      </c>
      <c r="F698" s="47">
        <v>145</v>
      </c>
      <c r="G698" s="47">
        <v>26</v>
      </c>
      <c r="H698" s="47">
        <v>23</v>
      </c>
      <c r="I698" s="47">
        <v>91</v>
      </c>
      <c r="J698" s="47">
        <v>51</v>
      </c>
      <c r="K698" s="47" t="s">
        <v>419</v>
      </c>
    </row>
    <row r="699" spans="1:11">
      <c r="A699" s="2">
        <v>43924</v>
      </c>
      <c r="B699" s="47">
        <v>0</v>
      </c>
      <c r="C699" s="47" t="s">
        <v>83</v>
      </c>
      <c r="E699" s="47">
        <v>237</v>
      </c>
      <c r="F699" s="47">
        <v>17</v>
      </c>
      <c r="J699" s="47">
        <v>3</v>
      </c>
      <c r="K699" s="47" t="s">
        <v>387</v>
      </c>
    </row>
    <row r="700" spans="1:11">
      <c r="A700" s="2">
        <v>43924</v>
      </c>
      <c r="B700" s="47">
        <v>0.33333333333333331</v>
      </c>
      <c r="C700" s="47" t="s">
        <v>41</v>
      </c>
      <c r="E700" s="47">
        <v>65</v>
      </c>
      <c r="J700" s="47">
        <v>3</v>
      </c>
      <c r="K700" s="47" t="s">
        <v>43</v>
      </c>
    </row>
    <row r="701" spans="1:11">
      <c r="A701" s="2">
        <v>43924</v>
      </c>
      <c r="B701" s="47">
        <v>0.33333333333333331</v>
      </c>
      <c r="C701" s="47" t="s">
        <v>44</v>
      </c>
      <c r="E701" s="47">
        <v>1073</v>
      </c>
      <c r="F701" s="47">
        <v>109</v>
      </c>
      <c r="G701" s="47">
        <v>30</v>
      </c>
      <c r="H701" s="47">
        <v>26</v>
      </c>
      <c r="J701" s="47">
        <v>26</v>
      </c>
      <c r="K701" s="47" t="s">
        <v>46</v>
      </c>
    </row>
    <row r="702" spans="1:11">
      <c r="A702" s="2">
        <v>43924</v>
      </c>
      <c r="B702" s="47">
        <v>0.33333333333333331</v>
      </c>
      <c r="C702" s="47" t="s">
        <v>91</v>
      </c>
      <c r="E702" s="47">
        <v>2377</v>
      </c>
      <c r="F702" s="47">
        <v>370</v>
      </c>
      <c r="G702" s="47">
        <v>75</v>
      </c>
      <c r="H702" s="47">
        <v>67</v>
      </c>
      <c r="I702" s="47">
        <v>287</v>
      </c>
      <c r="J702" s="47">
        <v>155</v>
      </c>
      <c r="K702" s="47" t="s">
        <v>285</v>
      </c>
    </row>
    <row r="703" spans="1:11">
      <c r="A703" s="2">
        <v>43924</v>
      </c>
      <c r="B703" s="47">
        <v>0.33333333333333331</v>
      </c>
      <c r="C703" s="47" t="s">
        <v>102</v>
      </c>
      <c r="E703" s="47">
        <v>138</v>
      </c>
      <c r="F703" s="47">
        <v>15</v>
      </c>
      <c r="G703" s="47">
        <v>7</v>
      </c>
      <c r="I703" s="47">
        <v>44</v>
      </c>
      <c r="J703" s="47">
        <v>1</v>
      </c>
      <c r="K703" s="47" t="s">
        <v>381</v>
      </c>
    </row>
    <row r="704" spans="1:11">
      <c r="A704" s="2">
        <v>43924</v>
      </c>
      <c r="B704" s="47">
        <v>0.35416666666666669</v>
      </c>
      <c r="C704" s="47" t="s">
        <v>50</v>
      </c>
      <c r="E704" s="47">
        <v>754</v>
      </c>
      <c r="F704" s="47">
        <v>115</v>
      </c>
      <c r="G704" s="47">
        <v>17</v>
      </c>
      <c r="I704" s="47">
        <v>397</v>
      </c>
      <c r="J704" s="47">
        <v>21</v>
      </c>
      <c r="K704" s="47" t="s">
        <v>284</v>
      </c>
    </row>
    <row r="705" spans="1:11">
      <c r="A705" s="2">
        <v>43924</v>
      </c>
      <c r="B705" s="47">
        <v>0.45833333333333331</v>
      </c>
      <c r="C705" s="47" t="s">
        <v>38</v>
      </c>
      <c r="E705" s="47">
        <v>20</v>
      </c>
      <c r="K705" s="47" t="s">
        <v>40</v>
      </c>
    </row>
    <row r="706" spans="1:11">
      <c r="A706" s="2">
        <v>43924</v>
      </c>
      <c r="B706" s="47">
        <v>0.45833333333333331</v>
      </c>
      <c r="C706" s="47" t="s">
        <v>68</v>
      </c>
      <c r="E706" s="47">
        <v>449</v>
      </c>
      <c r="F706" s="47">
        <v>49</v>
      </c>
      <c r="G706" s="47">
        <v>12</v>
      </c>
      <c r="J706" s="47">
        <v>7</v>
      </c>
      <c r="K706" s="47" t="s">
        <v>70</v>
      </c>
    </row>
    <row r="707" spans="1:11">
      <c r="A707" s="2">
        <v>43924</v>
      </c>
      <c r="B707" s="47">
        <v>0.58333333333333337</v>
      </c>
      <c r="C707" s="47" t="s">
        <v>94</v>
      </c>
      <c r="E707" s="47">
        <v>62</v>
      </c>
      <c r="F707" s="47">
        <v>6</v>
      </c>
      <c r="I707" s="47">
        <v>26</v>
      </c>
      <c r="J707" s="47">
        <v>1</v>
      </c>
      <c r="K707" s="47" t="s">
        <v>226</v>
      </c>
    </row>
    <row r="708" spans="1:11">
      <c r="A708" s="2">
        <v>43924</v>
      </c>
      <c r="B708" s="47">
        <v>0.60416666666666663</v>
      </c>
      <c r="C708" s="47" t="s">
        <v>104</v>
      </c>
      <c r="E708" s="47">
        <v>2434</v>
      </c>
      <c r="F708" s="47">
        <v>207</v>
      </c>
      <c r="H708" s="47">
        <v>57</v>
      </c>
      <c r="J708" s="47">
        <v>41</v>
      </c>
      <c r="K708" s="47" t="s">
        <v>106</v>
      </c>
    </row>
    <row r="709" spans="1:11">
      <c r="A709" s="2">
        <v>43924</v>
      </c>
      <c r="B709" s="47">
        <v>0.625</v>
      </c>
      <c r="C709" s="47" t="s">
        <v>34</v>
      </c>
      <c r="E709" s="47">
        <v>626</v>
      </c>
      <c r="F709" s="47">
        <v>100</v>
      </c>
      <c r="G709" s="47">
        <v>27</v>
      </c>
      <c r="H709" s="47">
        <v>26</v>
      </c>
      <c r="J709" s="47">
        <v>12</v>
      </c>
      <c r="K709" s="47" t="s">
        <v>283</v>
      </c>
    </row>
    <row r="710" spans="1:11">
      <c r="A710" s="2">
        <v>43925</v>
      </c>
      <c r="C710" s="47" t="s">
        <v>47</v>
      </c>
      <c r="E710" s="47">
        <v>656</v>
      </c>
      <c r="F710" s="47">
        <v>73</v>
      </c>
      <c r="G710" s="47">
        <v>19</v>
      </c>
      <c r="H710" s="47">
        <v>17</v>
      </c>
      <c r="I710" s="47">
        <v>298</v>
      </c>
      <c r="J710" s="47">
        <v>19</v>
      </c>
      <c r="K710" s="47" t="s">
        <v>49</v>
      </c>
    </row>
    <row r="711" spans="1:11">
      <c r="A711" s="2">
        <v>43925</v>
      </c>
      <c r="C711" s="47" t="s">
        <v>53</v>
      </c>
      <c r="E711" s="47">
        <v>77</v>
      </c>
      <c r="J711" s="47">
        <v>1</v>
      </c>
      <c r="K711" s="47" t="s">
        <v>287</v>
      </c>
    </row>
    <row r="712" spans="1:11">
      <c r="A712" s="2">
        <v>43925</v>
      </c>
      <c r="C712" s="47" t="s">
        <v>56</v>
      </c>
      <c r="E712" s="47">
        <v>638</v>
      </c>
      <c r="F712" s="47">
        <v>89</v>
      </c>
      <c r="G712" s="47">
        <v>21</v>
      </c>
      <c r="I712" s="47">
        <v>49</v>
      </c>
      <c r="J712" s="47">
        <v>37</v>
      </c>
      <c r="K712" s="47" t="s">
        <v>434</v>
      </c>
    </row>
    <row r="713" spans="1:11">
      <c r="A713" s="2">
        <v>43925</v>
      </c>
      <c r="C713" s="47" t="s">
        <v>58</v>
      </c>
      <c r="D713" s="47">
        <v>14717</v>
      </c>
      <c r="E713" s="47">
        <v>3584</v>
      </c>
      <c r="F713" s="47">
        <v>421</v>
      </c>
      <c r="G713" s="47">
        <v>61</v>
      </c>
      <c r="H713" s="47">
        <v>51</v>
      </c>
      <c r="I713" s="47">
        <v>305</v>
      </c>
      <c r="J713" s="47">
        <v>106</v>
      </c>
      <c r="K713" s="47" t="s">
        <v>60</v>
      </c>
    </row>
    <row r="714" spans="1:11">
      <c r="A714" s="2">
        <v>43925</v>
      </c>
      <c r="C714" s="47" t="s">
        <v>61</v>
      </c>
      <c r="E714" s="47">
        <v>61</v>
      </c>
      <c r="F714" s="47">
        <v>5</v>
      </c>
      <c r="J714" s="47">
        <v>2</v>
      </c>
      <c r="K714" s="47" t="s">
        <v>430</v>
      </c>
    </row>
    <row r="715" spans="1:11">
      <c r="A715" s="2">
        <v>43925</v>
      </c>
      <c r="C715" s="47" t="s">
        <v>63</v>
      </c>
      <c r="E715" s="47">
        <v>657</v>
      </c>
      <c r="F715" s="47">
        <v>52</v>
      </c>
      <c r="J715" s="47">
        <v>30</v>
      </c>
      <c r="K715" s="47" t="s">
        <v>65</v>
      </c>
    </row>
    <row r="716" spans="1:11">
      <c r="A716" s="2">
        <v>43925</v>
      </c>
      <c r="C716" s="47" t="s">
        <v>66</v>
      </c>
      <c r="E716" s="47">
        <v>154</v>
      </c>
      <c r="F716" s="47">
        <v>27</v>
      </c>
      <c r="G716" s="47">
        <v>3</v>
      </c>
      <c r="J716" s="47">
        <v>0</v>
      </c>
      <c r="K716" s="47" t="s">
        <v>424</v>
      </c>
    </row>
    <row r="717" spans="1:11">
      <c r="A717" s="2">
        <v>43925</v>
      </c>
      <c r="C717" s="47" t="s">
        <v>71</v>
      </c>
      <c r="E717" s="47">
        <v>452</v>
      </c>
      <c r="F717" s="47">
        <v>59</v>
      </c>
      <c r="G717" s="47">
        <v>10</v>
      </c>
      <c r="H717" s="47">
        <v>9</v>
      </c>
      <c r="J717" s="47">
        <v>30</v>
      </c>
      <c r="K717" s="47" t="s">
        <v>377</v>
      </c>
    </row>
    <row r="718" spans="1:11">
      <c r="A718" s="2">
        <v>43925</v>
      </c>
      <c r="C718" s="47" t="s">
        <v>73</v>
      </c>
      <c r="E718" s="47">
        <v>80</v>
      </c>
      <c r="F718" s="47">
        <v>10</v>
      </c>
      <c r="G718" s="47">
        <v>2</v>
      </c>
      <c r="K718" s="47" t="s">
        <v>357</v>
      </c>
    </row>
    <row r="719" spans="1:11">
      <c r="A719" s="2">
        <v>43925</v>
      </c>
      <c r="C719" s="47" t="s">
        <v>78</v>
      </c>
      <c r="E719" s="47">
        <v>504</v>
      </c>
      <c r="F719" s="47">
        <v>79</v>
      </c>
      <c r="G719" s="47">
        <v>13</v>
      </c>
      <c r="I719" s="47">
        <v>62</v>
      </c>
      <c r="J719" s="47">
        <v>9</v>
      </c>
      <c r="K719" s="47" t="s">
        <v>80</v>
      </c>
    </row>
    <row r="720" spans="1:11">
      <c r="A720" s="2">
        <v>43925</v>
      </c>
      <c r="C720" s="47" t="s">
        <v>81</v>
      </c>
      <c r="E720" s="47">
        <v>47</v>
      </c>
      <c r="F720" s="47">
        <v>12</v>
      </c>
      <c r="G720" s="47">
        <v>3</v>
      </c>
      <c r="J720" s="47">
        <v>1</v>
      </c>
      <c r="K720" s="47" t="s">
        <v>426</v>
      </c>
    </row>
    <row r="721" spans="1:11">
      <c r="A721" s="2">
        <v>43925</v>
      </c>
      <c r="C721" s="47" t="s">
        <v>86</v>
      </c>
      <c r="E721" s="47">
        <v>168</v>
      </c>
      <c r="I721" s="47">
        <v>92</v>
      </c>
      <c r="J721" s="47">
        <v>5</v>
      </c>
      <c r="K721" s="47" t="s">
        <v>427</v>
      </c>
    </row>
    <row r="722" spans="1:11">
      <c r="A722" s="2">
        <v>43925</v>
      </c>
      <c r="C722" s="47" t="s">
        <v>88</v>
      </c>
      <c r="E722" s="47">
        <v>209</v>
      </c>
      <c r="J722" s="47">
        <v>5</v>
      </c>
      <c r="K722" s="47" t="s">
        <v>90</v>
      </c>
    </row>
    <row r="723" spans="1:11">
      <c r="A723" s="2">
        <v>43925</v>
      </c>
      <c r="C723" s="47" t="s">
        <v>97</v>
      </c>
      <c r="E723" s="47">
        <v>4260</v>
      </c>
      <c r="F723" s="47">
        <v>365</v>
      </c>
      <c r="G723" s="47">
        <v>67</v>
      </c>
      <c r="J723" s="47">
        <v>164</v>
      </c>
      <c r="K723" s="47" t="s">
        <v>99</v>
      </c>
    </row>
    <row r="724" spans="1:11">
      <c r="A724" s="2">
        <v>43925</v>
      </c>
      <c r="C724" s="47" t="s">
        <v>100</v>
      </c>
      <c r="E724" s="47">
        <v>1416</v>
      </c>
      <c r="F724" s="47">
        <v>148</v>
      </c>
      <c r="G724" s="47">
        <v>28</v>
      </c>
      <c r="H724" s="47">
        <v>23</v>
      </c>
      <c r="I724" s="47">
        <v>95</v>
      </c>
      <c r="J724" s="47">
        <v>53</v>
      </c>
      <c r="K724" s="47" t="s">
        <v>419</v>
      </c>
    </row>
    <row r="725" spans="1:11">
      <c r="A725" s="2">
        <v>43925</v>
      </c>
      <c r="B725" s="47">
        <v>0</v>
      </c>
      <c r="C725" s="47" t="s">
        <v>83</v>
      </c>
      <c r="E725" s="47">
        <v>250</v>
      </c>
      <c r="J725" s="47">
        <v>3</v>
      </c>
      <c r="K725" s="47" t="s">
        <v>387</v>
      </c>
    </row>
    <row r="726" spans="1:11">
      <c r="A726" s="2">
        <v>43925</v>
      </c>
      <c r="B726" s="47">
        <v>0.33333333333333331</v>
      </c>
      <c r="C726" s="47" t="s">
        <v>44</v>
      </c>
      <c r="E726" s="47">
        <v>1106</v>
      </c>
      <c r="F726" s="47">
        <v>113</v>
      </c>
      <c r="G726" s="47">
        <v>35</v>
      </c>
      <c r="H726" s="47">
        <v>28</v>
      </c>
      <c r="J726" s="47">
        <v>28</v>
      </c>
      <c r="K726" s="47" t="s">
        <v>46</v>
      </c>
    </row>
    <row r="727" spans="1:11">
      <c r="A727" s="2">
        <v>43925</v>
      </c>
      <c r="B727" s="47">
        <v>0.33333333333333331</v>
      </c>
      <c r="C727" s="47" t="s">
        <v>91</v>
      </c>
      <c r="E727" s="47">
        <v>2442</v>
      </c>
      <c r="F727" s="47">
        <v>363</v>
      </c>
      <c r="G727" s="47">
        <v>72</v>
      </c>
      <c r="H727" s="47">
        <v>67</v>
      </c>
      <c r="I727" s="47">
        <v>314</v>
      </c>
      <c r="J727" s="47">
        <v>165</v>
      </c>
      <c r="K727" s="47" t="s">
        <v>288</v>
      </c>
    </row>
    <row r="728" spans="1:11">
      <c r="A728" s="2">
        <v>43925</v>
      </c>
      <c r="B728" s="47">
        <v>0.33333333333333331</v>
      </c>
      <c r="C728" s="47" t="s">
        <v>102</v>
      </c>
      <c r="E728" s="47">
        <v>146</v>
      </c>
      <c r="F728" s="47">
        <v>14</v>
      </c>
      <c r="G728" s="47">
        <v>7</v>
      </c>
      <c r="I728" s="47">
        <v>46</v>
      </c>
      <c r="J728" s="47">
        <v>2</v>
      </c>
      <c r="K728" s="47" t="s">
        <v>381</v>
      </c>
    </row>
    <row r="729" spans="1:11">
      <c r="A729" s="2">
        <v>43925</v>
      </c>
      <c r="B729" s="47">
        <v>0.42708333333333331</v>
      </c>
      <c r="C729" s="47" t="s">
        <v>50</v>
      </c>
      <c r="E729" s="47">
        <v>767</v>
      </c>
      <c r="F729" s="47">
        <v>112</v>
      </c>
      <c r="G729" s="47">
        <v>16</v>
      </c>
      <c r="I729" s="47">
        <v>434</v>
      </c>
      <c r="J729" s="47">
        <v>24</v>
      </c>
      <c r="K729" s="47" t="s">
        <v>286</v>
      </c>
    </row>
    <row r="730" spans="1:11">
      <c r="A730" s="2">
        <v>43925</v>
      </c>
      <c r="B730" s="47">
        <v>0.45833333333333331</v>
      </c>
      <c r="C730" s="47" t="s">
        <v>38</v>
      </c>
      <c r="E730" s="47">
        <v>21</v>
      </c>
      <c r="K730" s="47" t="s">
        <v>40</v>
      </c>
    </row>
    <row r="731" spans="1:11">
      <c r="A731" s="2">
        <v>43925</v>
      </c>
      <c r="B731" s="47">
        <v>0.45833333333333331</v>
      </c>
      <c r="C731" s="47" t="s">
        <v>68</v>
      </c>
      <c r="E731" s="47">
        <v>469</v>
      </c>
      <c r="F731" s="47">
        <v>49</v>
      </c>
      <c r="G731" s="47">
        <v>12</v>
      </c>
      <c r="J731" s="47">
        <v>7</v>
      </c>
      <c r="K731" s="47" t="s">
        <v>70</v>
      </c>
    </row>
    <row r="732" spans="1:11">
      <c r="A732" s="2">
        <v>43925</v>
      </c>
      <c r="B732" s="47">
        <v>0.54166666666666663</v>
      </c>
      <c r="C732" s="47" t="s">
        <v>41</v>
      </c>
      <c r="E732" s="47">
        <v>66</v>
      </c>
      <c r="J732" s="47">
        <v>3</v>
      </c>
      <c r="K732" s="47" t="s">
        <v>43</v>
      </c>
    </row>
    <row r="733" spans="1:11">
      <c r="A733" s="2">
        <v>43925</v>
      </c>
      <c r="B733" s="47">
        <v>0.60416666666666663</v>
      </c>
      <c r="C733" s="47" t="s">
        <v>104</v>
      </c>
      <c r="E733" s="47">
        <v>2467</v>
      </c>
      <c r="F733" s="47">
        <v>194</v>
      </c>
      <c r="H733" s="47">
        <v>59</v>
      </c>
      <c r="J733" s="47">
        <v>49</v>
      </c>
      <c r="K733" s="47" t="s">
        <v>106</v>
      </c>
    </row>
    <row r="734" spans="1:11">
      <c r="A734" s="2">
        <v>43925</v>
      </c>
      <c r="B734" s="47">
        <v>0.70833333333333337</v>
      </c>
      <c r="C734" s="47" t="s">
        <v>94</v>
      </c>
      <c r="E734" s="47">
        <v>66</v>
      </c>
      <c r="F734" s="47">
        <v>6</v>
      </c>
      <c r="I734" s="47">
        <v>26</v>
      </c>
      <c r="J734" s="47">
        <v>1</v>
      </c>
      <c r="K734" s="47" t="s">
        <v>226</v>
      </c>
    </row>
    <row r="735" spans="1:11">
      <c r="A735" s="2">
        <v>43926</v>
      </c>
      <c r="C735" s="47" t="s">
        <v>47</v>
      </c>
      <c r="E735" s="47">
        <v>670</v>
      </c>
      <c r="F735" s="47">
        <v>73</v>
      </c>
      <c r="G735" s="47">
        <v>19</v>
      </c>
      <c r="H735" s="47">
        <v>17</v>
      </c>
      <c r="I735" s="47">
        <v>369</v>
      </c>
      <c r="J735" s="47">
        <v>19</v>
      </c>
      <c r="K735" s="47" t="s">
        <v>49</v>
      </c>
    </row>
    <row r="736" spans="1:11">
      <c r="A736" s="2">
        <v>43926</v>
      </c>
      <c r="C736" s="47" t="s">
        <v>53</v>
      </c>
      <c r="E736" s="47">
        <v>77</v>
      </c>
      <c r="J736" s="47">
        <v>1</v>
      </c>
      <c r="K736" s="47" t="s">
        <v>55</v>
      </c>
    </row>
    <row r="737" spans="1:11">
      <c r="A737" s="2">
        <v>43926</v>
      </c>
      <c r="C737" s="47" t="s">
        <v>56</v>
      </c>
      <c r="E737" s="47">
        <v>669</v>
      </c>
      <c r="F737" s="47">
        <v>87</v>
      </c>
      <c r="G737" s="47">
        <v>20</v>
      </c>
      <c r="I737" s="47">
        <v>55</v>
      </c>
      <c r="J737" s="47">
        <v>40</v>
      </c>
      <c r="K737" s="47" t="s">
        <v>434</v>
      </c>
    </row>
    <row r="738" spans="1:11">
      <c r="A738" s="2">
        <v>43926</v>
      </c>
      <c r="C738" s="47" t="s">
        <v>58</v>
      </c>
      <c r="D738" s="47">
        <v>15016</v>
      </c>
      <c r="E738" s="47">
        <v>3649</v>
      </c>
      <c r="F738" s="47">
        <v>424</v>
      </c>
      <c r="G738" s="47">
        <v>56</v>
      </c>
      <c r="H738" s="47">
        <v>50</v>
      </c>
      <c r="I738" s="47">
        <v>327</v>
      </c>
      <c r="J738" s="47">
        <v>113</v>
      </c>
      <c r="K738" s="47" t="s">
        <v>60</v>
      </c>
    </row>
    <row r="739" spans="1:11">
      <c r="A739" s="2">
        <v>43926</v>
      </c>
      <c r="C739" s="47" t="s">
        <v>61</v>
      </c>
      <c r="E739" s="47">
        <v>63</v>
      </c>
      <c r="F739" s="47">
        <v>5</v>
      </c>
      <c r="J739" s="47">
        <v>2</v>
      </c>
      <c r="K739" s="47" t="s">
        <v>430</v>
      </c>
    </row>
    <row r="740" spans="1:11">
      <c r="A740" s="2">
        <v>43926</v>
      </c>
      <c r="C740" s="47" t="s">
        <v>63</v>
      </c>
      <c r="E740" s="47">
        <v>668</v>
      </c>
      <c r="F740" s="47">
        <v>49</v>
      </c>
      <c r="J740" s="47">
        <v>33</v>
      </c>
      <c r="K740" s="47" t="s">
        <v>65</v>
      </c>
    </row>
    <row r="741" spans="1:11">
      <c r="A741" s="2">
        <v>43926</v>
      </c>
      <c r="C741" s="47" t="s">
        <v>66</v>
      </c>
      <c r="E741" s="47">
        <v>160</v>
      </c>
      <c r="F741" s="47">
        <v>29</v>
      </c>
      <c r="G741" s="47">
        <v>4</v>
      </c>
      <c r="J741" s="47">
        <v>0</v>
      </c>
      <c r="K741" s="47" t="s">
        <v>424</v>
      </c>
    </row>
    <row r="742" spans="1:11">
      <c r="A742" s="2">
        <v>43926</v>
      </c>
      <c r="C742" s="47" t="s">
        <v>71</v>
      </c>
      <c r="E742" s="47">
        <v>463</v>
      </c>
      <c r="F742" s="47">
        <v>58</v>
      </c>
      <c r="G742" s="47">
        <v>12</v>
      </c>
      <c r="H742" s="47">
        <v>8</v>
      </c>
      <c r="J742" s="47">
        <v>30</v>
      </c>
      <c r="K742" s="47" t="s">
        <v>377</v>
      </c>
    </row>
    <row r="743" spans="1:11">
      <c r="A743" s="2">
        <v>43926</v>
      </c>
      <c r="C743" s="47" t="s">
        <v>73</v>
      </c>
      <c r="E743" s="47">
        <v>80</v>
      </c>
      <c r="F743" s="47">
        <v>9</v>
      </c>
      <c r="G743" s="47">
        <v>2</v>
      </c>
      <c r="K743" s="47" t="s">
        <v>357</v>
      </c>
    </row>
    <row r="744" spans="1:11">
      <c r="A744" s="2">
        <v>43926</v>
      </c>
      <c r="C744" s="47" t="s">
        <v>78</v>
      </c>
      <c r="E744" s="47">
        <v>515</v>
      </c>
      <c r="F744" s="47">
        <v>70</v>
      </c>
      <c r="G744" s="47">
        <v>13</v>
      </c>
      <c r="I744" s="47">
        <v>70</v>
      </c>
      <c r="J744" s="47">
        <v>9</v>
      </c>
      <c r="K744" s="47" t="s">
        <v>80</v>
      </c>
    </row>
    <row r="745" spans="1:11">
      <c r="A745" s="2">
        <v>43926</v>
      </c>
      <c r="C745" s="47" t="s">
        <v>81</v>
      </c>
      <c r="E745" s="47">
        <v>49</v>
      </c>
      <c r="F745" s="47">
        <v>12</v>
      </c>
      <c r="G745" s="47">
        <v>3</v>
      </c>
      <c r="J745" s="47">
        <v>1</v>
      </c>
      <c r="K745" s="47" t="s">
        <v>426</v>
      </c>
    </row>
    <row r="746" spans="1:11">
      <c r="A746" s="2">
        <v>43926</v>
      </c>
      <c r="C746" s="47" t="s">
        <v>86</v>
      </c>
      <c r="E746" s="47">
        <v>170</v>
      </c>
      <c r="I746" s="47">
        <v>93</v>
      </c>
      <c r="J746" s="47">
        <v>5</v>
      </c>
      <c r="K746" s="47" t="s">
        <v>427</v>
      </c>
    </row>
    <row r="747" spans="1:11">
      <c r="A747" s="2">
        <v>43926</v>
      </c>
      <c r="C747" s="47" t="s">
        <v>88</v>
      </c>
      <c r="E747" s="47">
        <v>214</v>
      </c>
      <c r="J747" s="47">
        <v>7</v>
      </c>
      <c r="K747" s="47" t="s">
        <v>90</v>
      </c>
    </row>
    <row r="748" spans="1:11">
      <c r="A748" s="2">
        <v>43926</v>
      </c>
      <c r="C748" s="47" t="s">
        <v>97</v>
      </c>
      <c r="E748" s="47">
        <v>4299</v>
      </c>
      <c r="F748" s="47">
        <v>376</v>
      </c>
      <c r="G748" s="47">
        <v>66</v>
      </c>
      <c r="J748" s="47">
        <v>176</v>
      </c>
      <c r="K748" s="47" t="s">
        <v>99</v>
      </c>
    </row>
    <row r="749" spans="1:11">
      <c r="A749" s="2">
        <v>43926</v>
      </c>
      <c r="C749" s="47" t="s">
        <v>100</v>
      </c>
      <c r="E749" s="47">
        <v>1431</v>
      </c>
      <c r="F749" s="47">
        <v>145</v>
      </c>
      <c r="G749" s="47">
        <v>26</v>
      </c>
      <c r="H749" s="47">
        <v>23</v>
      </c>
      <c r="J749" s="47">
        <v>57</v>
      </c>
      <c r="K749" s="47" t="s">
        <v>419</v>
      </c>
    </row>
    <row r="750" spans="1:11">
      <c r="A750" s="2">
        <v>43926</v>
      </c>
      <c r="B750" s="47">
        <v>0</v>
      </c>
      <c r="C750" s="47" t="s">
        <v>83</v>
      </c>
      <c r="E750" s="47">
        <v>258</v>
      </c>
      <c r="F750" s="47">
        <v>16</v>
      </c>
      <c r="J750" s="47">
        <v>3</v>
      </c>
      <c r="K750" s="47" t="s">
        <v>387</v>
      </c>
    </row>
    <row r="751" spans="1:11">
      <c r="A751" s="2">
        <v>43926</v>
      </c>
      <c r="B751" s="47">
        <v>0.33333333333333331</v>
      </c>
      <c r="C751" s="47" t="s">
        <v>44</v>
      </c>
      <c r="E751" s="47">
        <v>1137</v>
      </c>
      <c r="F751" s="47">
        <v>110</v>
      </c>
      <c r="G751" s="47">
        <v>30</v>
      </c>
      <c r="H751" s="47">
        <v>25</v>
      </c>
      <c r="J751" s="47">
        <v>28</v>
      </c>
      <c r="K751" s="47" t="s">
        <v>46</v>
      </c>
    </row>
    <row r="752" spans="1:11">
      <c r="A752" s="2">
        <v>43926</v>
      </c>
      <c r="B752" s="47">
        <v>0.33333333333333331</v>
      </c>
      <c r="C752" s="47" t="s">
        <v>91</v>
      </c>
      <c r="E752" s="47">
        <v>2508</v>
      </c>
      <c r="F752" s="47">
        <v>362</v>
      </c>
      <c r="G752" s="47">
        <v>74</v>
      </c>
      <c r="H752" s="47">
        <v>61</v>
      </c>
      <c r="I752" s="47">
        <v>340</v>
      </c>
      <c r="J752" s="47">
        <v>177</v>
      </c>
      <c r="K752" s="47" t="s">
        <v>290</v>
      </c>
    </row>
    <row r="753" spans="1:11">
      <c r="A753" s="2">
        <v>43926</v>
      </c>
      <c r="B753" s="47">
        <v>0.33333333333333331</v>
      </c>
      <c r="C753" s="47" t="s">
        <v>102</v>
      </c>
      <c r="E753" s="47">
        <v>146</v>
      </c>
      <c r="F753" s="47">
        <v>14</v>
      </c>
      <c r="G753" s="47">
        <v>7</v>
      </c>
      <c r="I753" s="47">
        <v>46</v>
      </c>
      <c r="J753" s="47">
        <v>2</v>
      </c>
      <c r="K753" s="47" t="s">
        <v>381</v>
      </c>
    </row>
    <row r="754" spans="1:11">
      <c r="A754" s="2">
        <v>43926</v>
      </c>
      <c r="B754" s="47">
        <v>0.42708333333333331</v>
      </c>
      <c r="C754" s="47" t="s">
        <v>50</v>
      </c>
      <c r="E754" s="47">
        <v>789</v>
      </c>
      <c r="F754" s="47">
        <v>106</v>
      </c>
      <c r="G754" s="47">
        <v>15</v>
      </c>
      <c r="I754" s="47">
        <v>460</v>
      </c>
      <c r="J754" s="47">
        <v>26</v>
      </c>
      <c r="K754" s="47" t="s">
        <v>289</v>
      </c>
    </row>
    <row r="755" spans="1:11">
      <c r="A755" s="2">
        <v>43926</v>
      </c>
      <c r="B755" s="47">
        <v>0.45833333333333331</v>
      </c>
      <c r="C755" s="47" t="s">
        <v>68</v>
      </c>
      <c r="E755" s="47">
        <v>478</v>
      </c>
      <c r="F755" s="47">
        <v>49</v>
      </c>
      <c r="G755" s="47">
        <v>12</v>
      </c>
      <c r="J755" s="47">
        <v>9</v>
      </c>
      <c r="K755" s="47" t="s">
        <v>70</v>
      </c>
    </row>
    <row r="756" spans="1:11">
      <c r="A756" s="2">
        <v>43926</v>
      </c>
      <c r="B756" s="47">
        <v>0.54166666666666663</v>
      </c>
      <c r="C756" s="47" t="s">
        <v>41</v>
      </c>
      <c r="E756" s="47">
        <v>67</v>
      </c>
      <c r="J756" s="47">
        <v>3</v>
      </c>
      <c r="K756" s="47" t="s">
        <v>43</v>
      </c>
    </row>
    <row r="757" spans="1:11">
      <c r="A757" s="2">
        <v>43926</v>
      </c>
      <c r="B757" s="47">
        <v>0.60416666666666663</v>
      </c>
      <c r="C757" s="47" t="s">
        <v>104</v>
      </c>
      <c r="E757" s="47">
        <v>2497</v>
      </c>
      <c r="F757" s="47">
        <v>194</v>
      </c>
      <c r="H757" s="47">
        <v>59</v>
      </c>
      <c r="J757" s="47">
        <v>53</v>
      </c>
      <c r="K757" s="47" t="s">
        <v>106</v>
      </c>
    </row>
    <row r="758" spans="1:11">
      <c r="A758" s="2">
        <v>43926</v>
      </c>
      <c r="B758" s="47">
        <v>0.70833333333333337</v>
      </c>
      <c r="C758" s="47" t="s">
        <v>94</v>
      </c>
      <c r="E758" s="47">
        <v>67</v>
      </c>
      <c r="F758" s="47">
        <v>5</v>
      </c>
      <c r="I758" s="47">
        <v>26</v>
      </c>
      <c r="J758" s="47">
        <v>2</v>
      </c>
      <c r="K758" s="47" t="s">
        <v>226</v>
      </c>
    </row>
    <row r="759" spans="1:11">
      <c r="A759" s="2">
        <v>43927</v>
      </c>
      <c r="C759" s="47" t="s">
        <v>47</v>
      </c>
      <c r="E759" s="47">
        <v>682</v>
      </c>
      <c r="F759" s="47">
        <v>67</v>
      </c>
      <c r="G759" s="47">
        <v>17</v>
      </c>
      <c r="H759" s="47">
        <v>17</v>
      </c>
      <c r="I759" s="47">
        <v>412</v>
      </c>
      <c r="J759" s="47">
        <v>19</v>
      </c>
      <c r="K759" s="47" t="s">
        <v>49</v>
      </c>
    </row>
    <row r="760" spans="1:11">
      <c r="A760" s="2">
        <v>43927</v>
      </c>
      <c r="C760" s="47" t="s">
        <v>56</v>
      </c>
      <c r="E760" s="47">
        <v>689</v>
      </c>
      <c r="F760" s="47">
        <v>87</v>
      </c>
      <c r="G760" s="47">
        <v>19</v>
      </c>
      <c r="I760" s="47">
        <v>56</v>
      </c>
      <c r="J760" s="47">
        <v>41</v>
      </c>
      <c r="K760" s="47" t="s">
        <v>434</v>
      </c>
    </row>
    <row r="761" spans="1:11">
      <c r="A761" s="2">
        <v>43927</v>
      </c>
      <c r="C761" s="47" t="s">
        <v>58</v>
      </c>
      <c r="D761" s="47">
        <v>15655</v>
      </c>
      <c r="E761" s="47">
        <v>3768</v>
      </c>
      <c r="F761" s="47">
        <v>418</v>
      </c>
      <c r="G761" s="47">
        <v>56</v>
      </c>
      <c r="H761" s="47">
        <v>50</v>
      </c>
      <c r="I761" s="47">
        <v>345</v>
      </c>
      <c r="J761" s="47">
        <v>125</v>
      </c>
      <c r="K761" s="47" t="s">
        <v>60</v>
      </c>
    </row>
    <row r="762" spans="1:11">
      <c r="A762" s="2">
        <v>43927</v>
      </c>
      <c r="C762" s="47" t="s">
        <v>61</v>
      </c>
      <c r="E762" s="47">
        <v>63</v>
      </c>
      <c r="F762" s="47">
        <v>2</v>
      </c>
      <c r="J762" s="47">
        <v>2</v>
      </c>
      <c r="K762" s="47" t="s">
        <v>430</v>
      </c>
    </row>
    <row r="763" spans="1:11">
      <c r="A763" s="2">
        <v>43927</v>
      </c>
      <c r="C763" s="47" t="s">
        <v>63</v>
      </c>
      <c r="E763" s="47">
        <v>679</v>
      </c>
      <c r="F763" s="47">
        <v>52</v>
      </c>
      <c r="J763" s="47">
        <v>34</v>
      </c>
      <c r="K763" s="47" t="s">
        <v>65</v>
      </c>
    </row>
    <row r="764" spans="1:11">
      <c r="A764" s="2">
        <v>43927</v>
      </c>
      <c r="C764" s="47" t="s">
        <v>66</v>
      </c>
      <c r="E764" s="47">
        <v>164</v>
      </c>
      <c r="F764" s="47">
        <v>27</v>
      </c>
      <c r="G764" s="47">
        <v>4</v>
      </c>
      <c r="J764" s="47">
        <v>0</v>
      </c>
      <c r="K764" s="47" t="s">
        <v>424</v>
      </c>
    </row>
    <row r="765" spans="1:11">
      <c r="A765" s="2">
        <v>43927</v>
      </c>
      <c r="C765" s="47" t="s">
        <v>71</v>
      </c>
      <c r="E765" s="47">
        <v>485</v>
      </c>
      <c r="F765" s="47">
        <v>59</v>
      </c>
      <c r="G765" s="47">
        <v>10</v>
      </c>
      <c r="H765" s="47">
        <v>8</v>
      </c>
      <c r="J765" s="47">
        <v>34</v>
      </c>
      <c r="K765" s="47" t="s">
        <v>377</v>
      </c>
    </row>
    <row r="766" spans="1:11">
      <c r="A766" s="2">
        <v>43927</v>
      </c>
      <c r="C766" s="47" t="s">
        <v>73</v>
      </c>
      <c r="E766" s="47">
        <v>86</v>
      </c>
      <c r="F766" s="47">
        <v>11</v>
      </c>
      <c r="G766" s="47">
        <v>2</v>
      </c>
      <c r="K766" s="47" t="s">
        <v>357</v>
      </c>
    </row>
    <row r="767" spans="1:11">
      <c r="A767" s="2">
        <v>43927</v>
      </c>
      <c r="C767" s="47" t="s">
        <v>78</v>
      </c>
      <c r="E767" s="47">
        <v>532</v>
      </c>
      <c r="F767" s="47">
        <v>70</v>
      </c>
      <c r="G767" s="47">
        <v>12</v>
      </c>
      <c r="I767" s="47">
        <v>75</v>
      </c>
      <c r="J767" s="47">
        <v>11</v>
      </c>
      <c r="K767" s="47" t="s">
        <v>80</v>
      </c>
    </row>
    <row r="768" spans="1:11">
      <c r="A768" s="2">
        <v>43927</v>
      </c>
      <c r="C768" s="47" t="s">
        <v>81</v>
      </c>
      <c r="E768" s="47">
        <v>50</v>
      </c>
      <c r="F768" s="47">
        <v>15</v>
      </c>
      <c r="G768" s="47">
        <v>3</v>
      </c>
      <c r="J768" s="47">
        <v>1</v>
      </c>
      <c r="K768" s="47" t="s">
        <v>426</v>
      </c>
    </row>
    <row r="769" spans="1:11">
      <c r="A769" s="2">
        <v>43927</v>
      </c>
      <c r="C769" s="47" t="s">
        <v>86</v>
      </c>
      <c r="E769" s="47">
        <v>178</v>
      </c>
      <c r="I769" s="47">
        <v>93</v>
      </c>
      <c r="J769" s="47">
        <v>6</v>
      </c>
      <c r="K769" s="47" t="s">
        <v>427</v>
      </c>
    </row>
    <row r="770" spans="1:11">
      <c r="A770" s="2">
        <v>43927</v>
      </c>
      <c r="C770" s="47" t="s">
        <v>88</v>
      </c>
      <c r="E770" s="47">
        <v>220</v>
      </c>
      <c r="F770" s="47">
        <v>34</v>
      </c>
      <c r="G770" s="47">
        <v>14</v>
      </c>
      <c r="J770" s="47">
        <v>7</v>
      </c>
      <c r="K770" s="47" t="s">
        <v>90</v>
      </c>
    </row>
    <row r="771" spans="1:11">
      <c r="A771" s="2">
        <v>43927</v>
      </c>
      <c r="C771" s="47" t="s">
        <v>97</v>
      </c>
      <c r="E771" s="47">
        <v>4417</v>
      </c>
      <c r="F771" s="47">
        <v>361</v>
      </c>
      <c r="G771" s="47">
        <v>64</v>
      </c>
      <c r="J771" s="47">
        <v>192</v>
      </c>
      <c r="K771" s="47" t="s">
        <v>99</v>
      </c>
    </row>
    <row r="772" spans="1:11">
      <c r="A772" s="2">
        <v>43927</v>
      </c>
      <c r="C772" s="47" t="s">
        <v>100</v>
      </c>
      <c r="E772" s="47">
        <v>1497</v>
      </c>
      <c r="F772" s="47">
        <v>132</v>
      </c>
      <c r="G772" s="47">
        <v>26</v>
      </c>
      <c r="H772" s="47">
        <v>22</v>
      </c>
      <c r="I772" s="47">
        <v>105</v>
      </c>
      <c r="J772" s="47">
        <v>60</v>
      </c>
      <c r="K772" s="47" t="s">
        <v>419</v>
      </c>
    </row>
    <row r="773" spans="1:11">
      <c r="A773" s="2">
        <v>43927</v>
      </c>
      <c r="B773" s="47">
        <v>0</v>
      </c>
      <c r="C773" s="47" t="s">
        <v>83</v>
      </c>
      <c r="E773" s="47">
        <v>261</v>
      </c>
      <c r="F773" s="47">
        <v>26</v>
      </c>
      <c r="J773" s="47">
        <v>3</v>
      </c>
      <c r="K773" s="47" t="s">
        <v>387</v>
      </c>
    </row>
    <row r="774" spans="1:11">
      <c r="A774" s="2">
        <v>43927</v>
      </c>
      <c r="B774" s="47">
        <v>0.33333333333333331</v>
      </c>
      <c r="C774" s="47" t="s">
        <v>41</v>
      </c>
      <c r="E774" s="47">
        <v>69</v>
      </c>
      <c r="J774" s="47">
        <v>3</v>
      </c>
      <c r="K774" s="47" t="s">
        <v>43</v>
      </c>
    </row>
    <row r="775" spans="1:11">
      <c r="A775" s="2">
        <v>43927</v>
      </c>
      <c r="B775" s="47">
        <v>0.33333333333333331</v>
      </c>
      <c r="C775" s="47" t="s">
        <v>44</v>
      </c>
      <c r="E775" s="47">
        <v>1173</v>
      </c>
      <c r="F775" s="47">
        <v>117</v>
      </c>
      <c r="G775" s="47">
        <v>35</v>
      </c>
      <c r="H775" s="47">
        <v>30</v>
      </c>
      <c r="J775" s="47">
        <v>31</v>
      </c>
      <c r="K775" s="47" t="s">
        <v>46</v>
      </c>
    </row>
    <row r="776" spans="1:11">
      <c r="A776" s="2">
        <v>43927</v>
      </c>
      <c r="B776" s="47">
        <v>0.33333333333333331</v>
      </c>
      <c r="C776" s="47" t="s">
        <v>91</v>
      </c>
      <c r="E776" s="47">
        <v>2546</v>
      </c>
      <c r="F776" s="47">
        <v>357</v>
      </c>
      <c r="G776" s="47">
        <v>72</v>
      </c>
      <c r="H776" s="47">
        <v>62</v>
      </c>
      <c r="I776" s="47">
        <v>350</v>
      </c>
      <c r="J776" s="47">
        <v>189</v>
      </c>
      <c r="K776" s="47" t="s">
        <v>293</v>
      </c>
    </row>
    <row r="777" spans="1:11">
      <c r="A777" s="2">
        <v>43927</v>
      </c>
      <c r="B777" s="47">
        <v>0.33333333333333331</v>
      </c>
      <c r="C777" s="47" t="s">
        <v>102</v>
      </c>
      <c r="E777" s="47">
        <v>152</v>
      </c>
      <c r="F777" s="47">
        <v>14</v>
      </c>
      <c r="G777" s="47">
        <v>8</v>
      </c>
      <c r="I777" s="47">
        <v>52</v>
      </c>
      <c r="J777" s="47">
        <v>3</v>
      </c>
      <c r="K777" s="47" t="s">
        <v>381</v>
      </c>
    </row>
    <row r="778" spans="1:11">
      <c r="A778" s="2">
        <v>43927</v>
      </c>
      <c r="B778" s="47">
        <v>0.40625</v>
      </c>
      <c r="C778" s="47" t="s">
        <v>50</v>
      </c>
      <c r="E778" s="47">
        <v>798</v>
      </c>
      <c r="F778" s="47">
        <v>99</v>
      </c>
      <c r="G778" s="47">
        <v>13</v>
      </c>
      <c r="I778" s="47">
        <v>481</v>
      </c>
      <c r="J778" s="47">
        <v>26</v>
      </c>
      <c r="K778" s="47" t="s">
        <v>292</v>
      </c>
    </row>
    <row r="779" spans="1:11">
      <c r="A779" s="2">
        <v>43927</v>
      </c>
      <c r="B779" s="47">
        <v>0.45833333333333331</v>
      </c>
      <c r="C779" s="47" t="s">
        <v>38</v>
      </c>
      <c r="E779" s="47">
        <v>21</v>
      </c>
      <c r="K779" s="47" t="s">
        <v>40</v>
      </c>
    </row>
    <row r="780" spans="1:11">
      <c r="A780" s="2">
        <v>43927</v>
      </c>
      <c r="B780" s="47">
        <v>0.45833333333333331</v>
      </c>
      <c r="C780" s="47" t="s">
        <v>68</v>
      </c>
      <c r="E780" s="47">
        <v>497</v>
      </c>
      <c r="F780" s="47">
        <v>61</v>
      </c>
      <c r="G780" s="47">
        <v>6</v>
      </c>
      <c r="J780" s="47">
        <v>9</v>
      </c>
      <c r="K780" s="47" t="s">
        <v>70</v>
      </c>
    </row>
    <row r="781" spans="1:11">
      <c r="A781" s="2">
        <v>43927</v>
      </c>
      <c r="B781" s="47">
        <v>0.58333333333333337</v>
      </c>
      <c r="C781" s="47" t="s">
        <v>94</v>
      </c>
      <c r="E781" s="47">
        <v>67</v>
      </c>
      <c r="F781" s="47">
        <v>9</v>
      </c>
      <c r="I781" s="47">
        <v>34</v>
      </c>
      <c r="J781" s="47">
        <v>2</v>
      </c>
      <c r="K781" s="47" t="s">
        <v>226</v>
      </c>
    </row>
    <row r="782" spans="1:11">
      <c r="A782" s="2">
        <v>43927</v>
      </c>
      <c r="B782" s="47">
        <v>0.60416666666666663</v>
      </c>
      <c r="C782" s="47" t="s">
        <v>104</v>
      </c>
      <c r="E782" s="47">
        <v>2611</v>
      </c>
      <c r="F782" s="47">
        <v>198</v>
      </c>
      <c r="H782" s="47">
        <v>58</v>
      </c>
      <c r="J782" s="47">
        <v>55</v>
      </c>
      <c r="K782" s="47" t="s">
        <v>106</v>
      </c>
    </row>
    <row r="783" spans="1:11">
      <c r="A783" s="2">
        <v>43927</v>
      </c>
      <c r="B783" s="47">
        <v>0.625</v>
      </c>
      <c r="C783" s="47" t="s">
        <v>34</v>
      </c>
      <c r="E783" s="47">
        <v>727</v>
      </c>
      <c r="F783" s="47">
        <v>82</v>
      </c>
      <c r="G783" s="47">
        <v>25</v>
      </c>
      <c r="H783" s="47">
        <v>24</v>
      </c>
      <c r="J783" s="47">
        <v>13</v>
      </c>
      <c r="K783" s="47" t="s">
        <v>291</v>
      </c>
    </row>
    <row r="784" spans="1:11">
      <c r="A784" s="2">
        <v>43927</v>
      </c>
      <c r="B784" s="47">
        <v>0.625</v>
      </c>
      <c r="C784" s="47" t="s">
        <v>75</v>
      </c>
      <c r="E784" s="47">
        <v>60</v>
      </c>
      <c r="I784" s="47">
        <v>1</v>
      </c>
      <c r="J784" s="47">
        <v>0</v>
      </c>
      <c r="K784" s="47" t="s">
        <v>77</v>
      </c>
    </row>
    <row r="785" spans="1:11">
      <c r="A785" s="2">
        <v>43928</v>
      </c>
      <c r="C785" s="47" t="s">
        <v>47</v>
      </c>
      <c r="E785" s="47">
        <v>690</v>
      </c>
      <c r="F785" s="47">
        <v>66</v>
      </c>
      <c r="G785" s="47">
        <v>18</v>
      </c>
      <c r="H785" s="47">
        <v>17</v>
      </c>
      <c r="I785" s="47">
        <v>452</v>
      </c>
      <c r="J785" s="47">
        <v>19</v>
      </c>
      <c r="K785" s="47" t="s">
        <v>49</v>
      </c>
    </row>
    <row r="786" spans="1:11">
      <c r="A786" s="2">
        <v>43928</v>
      </c>
      <c r="C786" s="47" t="s">
        <v>53</v>
      </c>
      <c r="E786" s="47">
        <v>78</v>
      </c>
      <c r="J786" s="47">
        <v>1</v>
      </c>
      <c r="K786" s="47" t="s">
        <v>339</v>
      </c>
    </row>
    <row r="787" spans="1:11">
      <c r="A787" s="2">
        <v>43928</v>
      </c>
      <c r="C787" s="47" t="s">
        <v>56</v>
      </c>
      <c r="E787" s="47">
        <v>729</v>
      </c>
      <c r="F787" s="47">
        <v>78</v>
      </c>
      <c r="G787" s="47">
        <v>22</v>
      </c>
      <c r="I787" s="47">
        <v>73</v>
      </c>
      <c r="J787" s="47">
        <v>44</v>
      </c>
      <c r="K787" s="47" t="s">
        <v>434</v>
      </c>
    </row>
    <row r="788" spans="1:11">
      <c r="A788" s="2">
        <v>43928</v>
      </c>
      <c r="C788" s="47" t="s">
        <v>58</v>
      </c>
      <c r="D788" s="47">
        <v>16496</v>
      </c>
      <c r="E788" s="47">
        <v>3928</v>
      </c>
      <c r="F788" s="47">
        <v>412</v>
      </c>
      <c r="G788" s="47">
        <v>51</v>
      </c>
      <c r="H788" s="47">
        <v>48</v>
      </c>
      <c r="I788" s="47">
        <v>374</v>
      </c>
      <c r="J788" s="47">
        <v>136</v>
      </c>
      <c r="K788" s="47" t="s">
        <v>60</v>
      </c>
    </row>
    <row r="789" spans="1:11">
      <c r="A789" s="2">
        <v>43928</v>
      </c>
      <c r="C789" s="47" t="s">
        <v>61</v>
      </c>
      <c r="E789" s="47">
        <v>63</v>
      </c>
      <c r="F789" s="47">
        <v>2</v>
      </c>
      <c r="J789" s="47">
        <v>2</v>
      </c>
      <c r="K789" s="47" t="s">
        <v>430</v>
      </c>
    </row>
    <row r="790" spans="1:11">
      <c r="A790" s="2">
        <v>43928</v>
      </c>
      <c r="C790" s="47" t="s">
        <v>63</v>
      </c>
      <c r="E790" s="47">
        <v>684</v>
      </c>
      <c r="F790" s="47">
        <v>49</v>
      </c>
      <c r="J790" s="47">
        <v>35</v>
      </c>
      <c r="K790" s="47" t="s">
        <v>65</v>
      </c>
    </row>
    <row r="791" spans="1:11">
      <c r="A791" s="2">
        <v>43928</v>
      </c>
      <c r="C791" s="47" t="s">
        <v>66</v>
      </c>
      <c r="E791" s="47">
        <v>171</v>
      </c>
      <c r="F791" s="47">
        <v>28</v>
      </c>
      <c r="G791" s="47">
        <v>4</v>
      </c>
      <c r="J791" s="47">
        <v>0</v>
      </c>
      <c r="K791" s="47" t="s">
        <v>424</v>
      </c>
    </row>
    <row r="792" spans="1:11">
      <c r="A792" s="2">
        <v>43928</v>
      </c>
      <c r="C792" s="47" t="s">
        <v>71</v>
      </c>
      <c r="E792" s="47">
        <v>509</v>
      </c>
      <c r="F792" s="47">
        <v>64</v>
      </c>
      <c r="G792" s="47">
        <v>10</v>
      </c>
      <c r="H792" s="47">
        <v>5</v>
      </c>
      <c r="J792" s="47">
        <v>37</v>
      </c>
      <c r="K792" s="47" t="s">
        <v>377</v>
      </c>
    </row>
    <row r="793" spans="1:11">
      <c r="A793" s="2">
        <v>43928</v>
      </c>
      <c r="C793" s="47" t="s">
        <v>73</v>
      </c>
      <c r="E793" s="47">
        <v>87</v>
      </c>
      <c r="F793" s="47">
        <v>9</v>
      </c>
      <c r="G793" s="47">
        <v>2</v>
      </c>
      <c r="K793" s="47" t="s">
        <v>357</v>
      </c>
    </row>
    <row r="794" spans="1:11">
      <c r="A794" s="2">
        <v>43928</v>
      </c>
      <c r="C794" s="47" t="s">
        <v>78</v>
      </c>
      <c r="E794" s="47">
        <v>557</v>
      </c>
      <c r="F794" s="47">
        <v>65</v>
      </c>
      <c r="G794" s="47">
        <v>9</v>
      </c>
      <c r="I794" s="47">
        <v>79</v>
      </c>
      <c r="J794" s="47">
        <v>13</v>
      </c>
      <c r="K794" s="47" t="s">
        <v>80</v>
      </c>
    </row>
    <row r="795" spans="1:11">
      <c r="A795" s="2">
        <v>43928</v>
      </c>
      <c r="C795" s="47" t="s">
        <v>86</v>
      </c>
      <c r="E795" s="47">
        <v>185</v>
      </c>
      <c r="I795" s="47">
        <v>105</v>
      </c>
      <c r="J795" s="47">
        <v>7</v>
      </c>
      <c r="K795" s="47" t="s">
        <v>427</v>
      </c>
    </row>
    <row r="796" spans="1:11">
      <c r="A796" s="2">
        <v>43928</v>
      </c>
      <c r="C796" s="47" t="s">
        <v>88</v>
      </c>
      <c r="E796" s="47">
        <v>222</v>
      </c>
      <c r="F796" s="47">
        <v>33</v>
      </c>
      <c r="G796" s="47">
        <v>13</v>
      </c>
      <c r="J796" s="47">
        <v>8</v>
      </c>
      <c r="K796" s="47" t="s">
        <v>90</v>
      </c>
    </row>
    <row r="797" spans="1:11">
      <c r="A797" s="2">
        <v>43928</v>
      </c>
      <c r="C797" s="47" t="s">
        <v>97</v>
      </c>
      <c r="E797" s="47">
        <v>4494</v>
      </c>
      <c r="F797" s="47">
        <v>334</v>
      </c>
      <c r="G797" s="47">
        <v>63</v>
      </c>
      <c r="J797" s="47">
        <v>204</v>
      </c>
      <c r="K797" s="47" t="s">
        <v>99</v>
      </c>
    </row>
    <row r="798" spans="1:11">
      <c r="A798" s="2">
        <v>43928</v>
      </c>
      <c r="C798" s="47" t="s">
        <v>100</v>
      </c>
      <c r="E798" s="47">
        <v>1536</v>
      </c>
      <c r="F798" s="47">
        <v>129</v>
      </c>
      <c r="G798" s="47">
        <v>25</v>
      </c>
      <c r="H798" s="47">
        <v>20</v>
      </c>
      <c r="I798" s="47">
        <v>123</v>
      </c>
      <c r="J798" s="47">
        <v>68</v>
      </c>
      <c r="K798" s="47" t="s">
        <v>419</v>
      </c>
    </row>
    <row r="799" spans="1:11">
      <c r="A799" s="2">
        <v>43928</v>
      </c>
      <c r="B799" s="47">
        <v>0</v>
      </c>
      <c r="C799" s="47" t="s">
        <v>83</v>
      </c>
      <c r="E799" s="47">
        <v>264</v>
      </c>
      <c r="F799" s="47">
        <v>29</v>
      </c>
      <c r="J799" s="47">
        <v>3</v>
      </c>
      <c r="K799" s="47" t="s">
        <v>387</v>
      </c>
    </row>
    <row r="800" spans="1:11">
      <c r="A800" s="2">
        <v>43928</v>
      </c>
      <c r="B800" s="47">
        <v>0.33333333333333331</v>
      </c>
      <c r="C800" s="47" t="s">
        <v>41</v>
      </c>
      <c r="E800" s="47">
        <v>69</v>
      </c>
      <c r="J800" s="47">
        <v>3</v>
      </c>
      <c r="K800" s="47" t="s">
        <v>43</v>
      </c>
    </row>
    <row r="801" spans="1:11">
      <c r="A801" s="2">
        <v>43928</v>
      </c>
      <c r="B801" s="47">
        <v>0.33333333333333331</v>
      </c>
      <c r="C801" s="47" t="s">
        <v>44</v>
      </c>
      <c r="E801" s="47">
        <v>1228</v>
      </c>
      <c r="F801" s="47">
        <v>122</v>
      </c>
      <c r="G801" s="47">
        <v>34</v>
      </c>
      <c r="H801" s="47">
        <v>26</v>
      </c>
      <c r="J801" s="47">
        <v>33</v>
      </c>
      <c r="K801" s="47" t="s">
        <v>46</v>
      </c>
    </row>
    <row r="802" spans="1:11">
      <c r="A802" s="2">
        <v>43928</v>
      </c>
      <c r="B802" s="47">
        <v>0.33333333333333331</v>
      </c>
      <c r="C802" s="47" t="s">
        <v>91</v>
      </c>
      <c r="E802" s="47">
        <v>2599</v>
      </c>
      <c r="F802" s="47">
        <v>335</v>
      </c>
      <c r="G802" s="47">
        <v>72</v>
      </c>
      <c r="H802" s="47">
        <v>65</v>
      </c>
      <c r="I802" s="47">
        <v>388</v>
      </c>
      <c r="J802" s="47">
        <v>198</v>
      </c>
      <c r="K802" s="47" t="s">
        <v>296</v>
      </c>
    </row>
    <row r="803" spans="1:11">
      <c r="A803" s="2">
        <v>43928</v>
      </c>
      <c r="B803" s="47">
        <v>0.33333333333333331</v>
      </c>
      <c r="C803" s="47" t="s">
        <v>102</v>
      </c>
      <c r="E803" s="47">
        <v>157</v>
      </c>
      <c r="F803" s="47">
        <v>15</v>
      </c>
      <c r="G803" s="47">
        <v>8</v>
      </c>
      <c r="I803" s="47">
        <v>54</v>
      </c>
      <c r="J803" s="47">
        <v>3</v>
      </c>
      <c r="K803" s="47" t="s">
        <v>381</v>
      </c>
    </row>
    <row r="804" spans="1:11">
      <c r="A804" s="2">
        <v>43928</v>
      </c>
      <c r="B804" s="47">
        <v>0.39583333333333331</v>
      </c>
      <c r="C804" s="47" t="s">
        <v>50</v>
      </c>
      <c r="E804" s="47">
        <v>808</v>
      </c>
      <c r="F804" s="47">
        <v>101</v>
      </c>
      <c r="G804" s="47">
        <v>13</v>
      </c>
      <c r="I804" s="47">
        <v>508</v>
      </c>
      <c r="J804" s="47">
        <v>28</v>
      </c>
      <c r="K804" s="47" t="s">
        <v>295</v>
      </c>
    </row>
    <row r="805" spans="1:11">
      <c r="A805" s="2">
        <v>43928</v>
      </c>
      <c r="B805" s="47">
        <v>0.39583333333333331</v>
      </c>
      <c r="C805" s="47" t="s">
        <v>81</v>
      </c>
      <c r="E805" s="47">
        <v>50</v>
      </c>
      <c r="F805" s="47">
        <v>14</v>
      </c>
      <c r="G805" s="47">
        <v>3</v>
      </c>
      <c r="J805" s="47">
        <v>1</v>
      </c>
      <c r="K805" s="47" t="s">
        <v>426</v>
      </c>
    </row>
    <row r="806" spans="1:11">
      <c r="A806" s="2">
        <v>43928</v>
      </c>
      <c r="B806" s="47">
        <v>0.45833333333333331</v>
      </c>
      <c r="C806" s="47" t="s">
        <v>38</v>
      </c>
      <c r="E806" s="47">
        <v>21</v>
      </c>
      <c r="K806" s="47" t="s">
        <v>40</v>
      </c>
    </row>
    <row r="807" spans="1:11">
      <c r="A807" s="2">
        <v>43928</v>
      </c>
      <c r="B807" s="47">
        <v>0.45833333333333331</v>
      </c>
      <c r="C807" s="47" t="s">
        <v>68</v>
      </c>
      <c r="E807" s="47">
        <v>509</v>
      </c>
      <c r="F807" s="47">
        <v>57</v>
      </c>
      <c r="G807" s="47">
        <v>6</v>
      </c>
      <c r="J807" s="47">
        <v>9</v>
      </c>
      <c r="K807" s="47" t="s">
        <v>70</v>
      </c>
    </row>
    <row r="808" spans="1:11">
      <c r="A808" s="2">
        <v>43928</v>
      </c>
      <c r="B808" s="47">
        <v>0.58333333333333337</v>
      </c>
      <c r="C808" s="47" t="s">
        <v>94</v>
      </c>
      <c r="E808" s="47">
        <v>68</v>
      </c>
      <c r="F808" s="47">
        <v>7</v>
      </c>
      <c r="I808" s="47">
        <v>42</v>
      </c>
      <c r="J808" s="47">
        <v>2</v>
      </c>
      <c r="K808" s="47" t="s">
        <v>226</v>
      </c>
    </row>
    <row r="809" spans="1:11">
      <c r="A809" s="2">
        <v>43928</v>
      </c>
      <c r="B809" s="47">
        <v>0.60416666666666663</v>
      </c>
      <c r="C809" s="47" t="s">
        <v>75</v>
      </c>
      <c r="E809" s="47">
        <v>60</v>
      </c>
      <c r="F809" s="47">
        <v>2</v>
      </c>
      <c r="J809" s="47">
        <v>0</v>
      </c>
      <c r="K809" s="47" t="s">
        <v>77</v>
      </c>
    </row>
    <row r="810" spans="1:11">
      <c r="A810" s="2">
        <v>43928</v>
      </c>
      <c r="B810" s="47">
        <v>0.60416666666666663</v>
      </c>
      <c r="C810" s="47" t="s">
        <v>104</v>
      </c>
      <c r="E810" s="47">
        <v>2695</v>
      </c>
      <c r="F810" s="47">
        <v>181</v>
      </c>
      <c r="H810" s="47">
        <v>60</v>
      </c>
      <c r="J810" s="47">
        <v>57</v>
      </c>
      <c r="K810" s="47" t="s">
        <v>106</v>
      </c>
    </row>
    <row r="811" spans="1:11">
      <c r="A811" s="2">
        <v>43928</v>
      </c>
      <c r="B811" s="47">
        <v>0.61458333333333337</v>
      </c>
      <c r="C811" s="47" t="s">
        <v>34</v>
      </c>
      <c r="E811" s="47">
        <v>760</v>
      </c>
      <c r="F811" s="47">
        <v>84</v>
      </c>
      <c r="G811" s="47">
        <v>25</v>
      </c>
      <c r="H811" s="47">
        <v>25</v>
      </c>
      <c r="I811" s="47">
        <v>170</v>
      </c>
      <c r="J811" s="47">
        <v>16</v>
      </c>
      <c r="K811" s="47" t="s">
        <v>294</v>
      </c>
    </row>
    <row r="812" spans="1:11">
      <c r="A812" s="2">
        <v>43929</v>
      </c>
      <c r="C812" s="47" t="s">
        <v>47</v>
      </c>
      <c r="E812" s="47">
        <v>694</v>
      </c>
      <c r="F812" s="47">
        <v>65</v>
      </c>
      <c r="G812" s="47">
        <v>18</v>
      </c>
      <c r="H812" s="47">
        <v>17</v>
      </c>
      <c r="I812" s="47">
        <v>461</v>
      </c>
      <c r="J812" s="47">
        <v>21</v>
      </c>
      <c r="K812" s="47" t="s">
        <v>49</v>
      </c>
    </row>
    <row r="813" spans="1:11">
      <c r="A813" s="2">
        <v>43929</v>
      </c>
      <c r="C813" s="47" t="s">
        <v>56</v>
      </c>
      <c r="E813" s="47">
        <v>756</v>
      </c>
      <c r="F813" s="47">
        <v>80</v>
      </c>
      <c r="G813" s="47">
        <v>22</v>
      </c>
      <c r="I813" s="47">
        <v>78</v>
      </c>
      <c r="J813" s="47">
        <v>45</v>
      </c>
      <c r="K813" s="47" t="s">
        <v>434</v>
      </c>
    </row>
    <row r="814" spans="1:11">
      <c r="A814" s="2">
        <v>43929</v>
      </c>
      <c r="C814" s="47" t="s">
        <v>58</v>
      </c>
      <c r="D814" s="47">
        <v>17301</v>
      </c>
      <c r="E814" s="47">
        <v>4059</v>
      </c>
      <c r="F814" s="47">
        <v>402</v>
      </c>
      <c r="G814" s="47">
        <v>49</v>
      </c>
      <c r="H814" s="47">
        <v>47</v>
      </c>
      <c r="I814" s="47">
        <v>442</v>
      </c>
      <c r="J814" s="47">
        <v>150</v>
      </c>
      <c r="K814" s="47" t="s">
        <v>60</v>
      </c>
    </row>
    <row r="815" spans="1:11">
      <c r="A815" s="2">
        <v>43929</v>
      </c>
      <c r="C815" s="47" t="s">
        <v>61</v>
      </c>
      <c r="E815" s="47">
        <v>64</v>
      </c>
      <c r="F815" s="47">
        <v>2</v>
      </c>
      <c r="J815" s="47">
        <v>2</v>
      </c>
      <c r="K815" s="47" t="s">
        <v>430</v>
      </c>
    </row>
    <row r="816" spans="1:11">
      <c r="A816" s="2">
        <v>43929</v>
      </c>
      <c r="C816" s="47" t="s">
        <v>63</v>
      </c>
      <c r="E816" s="47">
        <v>698</v>
      </c>
      <c r="F816" s="47">
        <v>38</v>
      </c>
      <c r="J816" s="47">
        <v>35</v>
      </c>
      <c r="K816" s="47" t="s">
        <v>65</v>
      </c>
    </row>
    <row r="817" spans="1:11">
      <c r="A817" s="2">
        <v>43929</v>
      </c>
      <c r="C817" s="47" t="s">
        <v>66</v>
      </c>
      <c r="E817" s="47">
        <v>174</v>
      </c>
      <c r="F817" s="47">
        <v>31</v>
      </c>
      <c r="G817" s="47">
        <v>4</v>
      </c>
      <c r="J817" s="47">
        <v>1</v>
      </c>
      <c r="K817" s="47" t="s">
        <v>424</v>
      </c>
    </row>
    <row r="818" spans="1:11">
      <c r="A818" s="2">
        <v>43929</v>
      </c>
      <c r="C818" s="47" t="s">
        <v>71</v>
      </c>
      <c r="E818" s="47">
        <v>514</v>
      </c>
      <c r="F818" s="47">
        <v>63</v>
      </c>
      <c r="G818" s="47">
        <v>10</v>
      </c>
      <c r="H818" s="47">
        <v>7</v>
      </c>
      <c r="J818" s="47">
        <v>40</v>
      </c>
      <c r="K818" s="47" t="s">
        <v>377</v>
      </c>
    </row>
    <row r="819" spans="1:11">
      <c r="A819" s="2">
        <v>43929</v>
      </c>
      <c r="C819" s="47" t="s">
        <v>73</v>
      </c>
      <c r="E819" s="47">
        <v>93</v>
      </c>
      <c r="F819" s="47">
        <v>9</v>
      </c>
      <c r="G819" s="47">
        <v>1</v>
      </c>
      <c r="K819" s="47" t="s">
        <v>357</v>
      </c>
    </row>
    <row r="820" spans="1:11">
      <c r="A820" s="2">
        <v>43929</v>
      </c>
      <c r="C820" s="47" t="s">
        <v>78</v>
      </c>
      <c r="E820" s="47">
        <v>578</v>
      </c>
      <c r="F820" s="47">
        <v>52</v>
      </c>
      <c r="G820" s="47">
        <v>12</v>
      </c>
      <c r="I820" s="47">
        <v>89</v>
      </c>
      <c r="J820" s="47">
        <v>15</v>
      </c>
      <c r="K820" s="47" t="s">
        <v>80</v>
      </c>
    </row>
    <row r="821" spans="1:11">
      <c r="A821" s="2">
        <v>43929</v>
      </c>
      <c r="C821" s="47" t="s">
        <v>86</v>
      </c>
      <c r="E821" s="47">
        <v>196</v>
      </c>
      <c r="I821" s="47">
        <v>107</v>
      </c>
      <c r="J821" s="47">
        <v>7</v>
      </c>
      <c r="K821" s="47" t="s">
        <v>427</v>
      </c>
    </row>
    <row r="822" spans="1:11">
      <c r="A822" s="2">
        <v>43929</v>
      </c>
      <c r="C822" s="47" t="s">
        <v>88</v>
      </c>
      <c r="E822" s="47">
        <v>237</v>
      </c>
      <c r="F822" s="47">
        <v>30</v>
      </c>
      <c r="G822" s="47">
        <v>15</v>
      </c>
      <c r="J822" s="47">
        <v>8</v>
      </c>
      <c r="K822" s="47" t="s">
        <v>90</v>
      </c>
    </row>
    <row r="823" spans="1:11">
      <c r="A823" s="2">
        <v>43929</v>
      </c>
      <c r="C823" s="47" t="s">
        <v>97</v>
      </c>
      <c r="E823" s="47">
        <v>4585</v>
      </c>
      <c r="F823" s="47">
        <v>325</v>
      </c>
      <c r="G823" s="47">
        <v>62</v>
      </c>
      <c r="J823" s="47">
        <v>216</v>
      </c>
      <c r="K823" s="47" t="s">
        <v>99</v>
      </c>
    </row>
    <row r="824" spans="1:11">
      <c r="A824" s="2">
        <v>43929</v>
      </c>
      <c r="C824" s="47" t="s">
        <v>100</v>
      </c>
      <c r="E824" s="47">
        <v>1570</v>
      </c>
      <c r="F824" s="47">
        <v>122</v>
      </c>
      <c r="G824" s="47">
        <v>26</v>
      </c>
      <c r="H824" s="47">
        <v>20</v>
      </c>
      <c r="I824" s="47">
        <v>130</v>
      </c>
      <c r="J824" s="47">
        <v>71</v>
      </c>
      <c r="K824" s="47" t="s">
        <v>419</v>
      </c>
    </row>
    <row r="825" spans="1:11">
      <c r="A825" s="2">
        <v>43929</v>
      </c>
      <c r="B825" s="47">
        <v>0</v>
      </c>
      <c r="C825" s="47" t="s">
        <v>83</v>
      </c>
      <c r="E825" s="47">
        <v>276</v>
      </c>
      <c r="F825" s="47">
        <v>22</v>
      </c>
      <c r="J825" s="47">
        <v>3</v>
      </c>
      <c r="K825" s="47" t="s">
        <v>387</v>
      </c>
    </row>
    <row r="826" spans="1:11">
      <c r="A826" s="2">
        <v>43929</v>
      </c>
      <c r="B826" s="47">
        <v>0.33333333333333331</v>
      </c>
      <c r="C826" s="47" t="s">
        <v>41</v>
      </c>
      <c r="E826" s="47">
        <v>72</v>
      </c>
      <c r="J826" s="47">
        <v>3</v>
      </c>
      <c r="K826" s="47" t="s">
        <v>43</v>
      </c>
    </row>
    <row r="827" spans="1:11">
      <c r="A827" s="2">
        <v>43929</v>
      </c>
      <c r="B827" s="47">
        <v>0.33333333333333331</v>
      </c>
      <c r="C827" s="47" t="s">
        <v>44</v>
      </c>
      <c r="E827" s="47">
        <v>1286</v>
      </c>
      <c r="F827" s="47">
        <v>127</v>
      </c>
      <c r="G827" s="47">
        <v>35</v>
      </c>
      <c r="H827" s="47">
        <v>27</v>
      </c>
      <c r="J827" s="47">
        <v>37</v>
      </c>
      <c r="K827" s="47" t="s">
        <v>46</v>
      </c>
    </row>
    <row r="828" spans="1:11">
      <c r="A828" s="2">
        <v>43929</v>
      </c>
      <c r="B828" s="47">
        <v>0.33333333333333331</v>
      </c>
      <c r="C828" s="47" t="s">
        <v>91</v>
      </c>
      <c r="E828" s="47">
        <v>2659</v>
      </c>
      <c r="F828" s="47">
        <v>319</v>
      </c>
      <c r="G828" s="47">
        <v>71</v>
      </c>
      <c r="H828" s="47">
        <v>64</v>
      </c>
      <c r="I828" s="47">
        <v>420</v>
      </c>
      <c r="J828" s="47">
        <v>211</v>
      </c>
      <c r="K828" s="47" t="s">
        <v>299</v>
      </c>
    </row>
    <row r="829" spans="1:11">
      <c r="A829" s="2">
        <v>43929</v>
      </c>
      <c r="B829" s="47">
        <v>0.33333333333333331</v>
      </c>
      <c r="C829" s="47" t="s">
        <v>102</v>
      </c>
      <c r="E829" s="47">
        <v>162</v>
      </c>
      <c r="F829" s="47">
        <v>12</v>
      </c>
      <c r="G829" s="47">
        <v>9</v>
      </c>
      <c r="I829" s="47">
        <v>61</v>
      </c>
      <c r="J829" s="47">
        <v>3</v>
      </c>
      <c r="K829" s="47" t="s">
        <v>381</v>
      </c>
    </row>
    <row r="830" spans="1:11">
      <c r="A830" s="2">
        <v>43929</v>
      </c>
      <c r="B830" s="47">
        <v>0.39583333333333331</v>
      </c>
      <c r="C830" s="47" t="s">
        <v>81</v>
      </c>
      <c r="E830" s="47">
        <v>50</v>
      </c>
      <c r="F830" s="47">
        <v>15</v>
      </c>
      <c r="G830" s="47">
        <v>2</v>
      </c>
      <c r="J830" s="47">
        <v>1</v>
      </c>
      <c r="K830" s="47" t="s">
        <v>426</v>
      </c>
    </row>
    <row r="831" spans="1:11">
      <c r="A831" s="2">
        <v>43929</v>
      </c>
      <c r="B831" s="47">
        <v>0.41666666666666669</v>
      </c>
      <c r="C831" s="47" t="s">
        <v>50</v>
      </c>
      <c r="E831" s="47">
        <v>829</v>
      </c>
      <c r="F831" s="47">
        <v>99</v>
      </c>
      <c r="G831" s="47">
        <v>14</v>
      </c>
      <c r="I831" s="47">
        <v>535</v>
      </c>
      <c r="J831" s="47">
        <v>31</v>
      </c>
      <c r="K831" s="47" t="s">
        <v>298</v>
      </c>
    </row>
    <row r="832" spans="1:11">
      <c r="A832" s="2">
        <v>43929</v>
      </c>
      <c r="B832" s="47">
        <v>0.45833333333333331</v>
      </c>
      <c r="C832" s="47" t="s">
        <v>38</v>
      </c>
      <c r="E832" s="47">
        <v>23</v>
      </c>
      <c r="K832" s="47" t="s">
        <v>40</v>
      </c>
    </row>
    <row r="833" spans="1:11">
      <c r="A833" s="2">
        <v>43929</v>
      </c>
      <c r="B833" s="47">
        <v>0.45833333333333331</v>
      </c>
      <c r="C833" s="47" t="s">
        <v>68</v>
      </c>
      <c r="E833" s="47">
        <v>527</v>
      </c>
      <c r="J833" s="47">
        <v>9</v>
      </c>
      <c r="K833" s="47" t="s">
        <v>70</v>
      </c>
    </row>
    <row r="834" spans="1:11">
      <c r="A834" s="2">
        <v>43929</v>
      </c>
      <c r="B834" s="47">
        <v>0.58333333333333337</v>
      </c>
      <c r="C834" s="47" t="s">
        <v>94</v>
      </c>
      <c r="E834" s="47">
        <v>72</v>
      </c>
      <c r="F834" s="47">
        <v>5</v>
      </c>
      <c r="I834" s="47">
        <v>42</v>
      </c>
      <c r="J834" s="47">
        <v>4</v>
      </c>
      <c r="K834" s="47" t="s">
        <v>96</v>
      </c>
    </row>
    <row r="835" spans="1:11">
      <c r="A835" s="2">
        <v>43929</v>
      </c>
      <c r="B835" s="47">
        <v>0.60416666666666663</v>
      </c>
      <c r="C835" s="47" t="s">
        <v>104</v>
      </c>
      <c r="E835" s="47">
        <v>2790</v>
      </c>
      <c r="F835" s="47">
        <v>170</v>
      </c>
      <c r="H835" s="47">
        <v>56</v>
      </c>
      <c r="J835" s="47">
        <v>65</v>
      </c>
      <c r="K835" s="47" t="s">
        <v>106</v>
      </c>
    </row>
    <row r="836" spans="1:11">
      <c r="A836" s="2">
        <v>43929</v>
      </c>
      <c r="B836" s="47">
        <v>0.61458333333333337</v>
      </c>
      <c r="C836" s="47" t="s">
        <v>34</v>
      </c>
      <c r="E836" s="47">
        <v>788</v>
      </c>
      <c r="F836" s="47">
        <v>79</v>
      </c>
      <c r="G836" s="47">
        <v>23</v>
      </c>
      <c r="H836" s="47">
        <v>23</v>
      </c>
      <c r="I836" s="47">
        <v>220</v>
      </c>
      <c r="J836" s="47">
        <v>16</v>
      </c>
      <c r="K836" s="47" t="s">
        <v>297</v>
      </c>
    </row>
    <row r="837" spans="1:11">
      <c r="A837" s="2">
        <v>43929</v>
      </c>
      <c r="B837" s="47">
        <v>0.625</v>
      </c>
      <c r="C837" s="47" t="s">
        <v>75</v>
      </c>
      <c r="E837" s="47">
        <v>61</v>
      </c>
      <c r="F837" s="47">
        <v>2</v>
      </c>
      <c r="J837" s="47">
        <v>0</v>
      </c>
      <c r="K837" s="47" t="s">
        <v>77</v>
      </c>
    </row>
    <row r="838" spans="1:11">
      <c r="A838" s="2">
        <v>43930</v>
      </c>
      <c r="C838" s="47" t="s">
        <v>47</v>
      </c>
      <c r="E838" s="47">
        <v>711</v>
      </c>
      <c r="F838" s="47">
        <v>62</v>
      </c>
      <c r="G838" s="47">
        <v>18</v>
      </c>
      <c r="H838" s="47">
        <v>16</v>
      </c>
      <c r="I838" s="47">
        <v>485</v>
      </c>
      <c r="J838" s="47">
        <v>21</v>
      </c>
      <c r="K838" s="47" t="s">
        <v>49</v>
      </c>
    </row>
    <row r="839" spans="1:11">
      <c r="A839" s="2">
        <v>43930</v>
      </c>
      <c r="C839" s="47" t="s">
        <v>56</v>
      </c>
      <c r="E839" s="47">
        <v>786</v>
      </c>
      <c r="F839" s="47">
        <v>80</v>
      </c>
      <c r="G839" s="47">
        <v>20</v>
      </c>
      <c r="I839" s="47">
        <v>84</v>
      </c>
      <c r="J839" s="47">
        <v>46</v>
      </c>
      <c r="K839" s="47" t="s">
        <v>434</v>
      </c>
    </row>
    <row r="840" spans="1:11">
      <c r="A840" s="2">
        <v>43930</v>
      </c>
      <c r="C840" s="47" t="s">
        <v>58</v>
      </c>
      <c r="D840" s="47">
        <v>17815</v>
      </c>
      <c r="E840" s="47">
        <v>4152</v>
      </c>
      <c r="F840" s="47">
        <v>393</v>
      </c>
      <c r="G840" s="47">
        <v>47</v>
      </c>
      <c r="H840" s="47">
        <v>45</v>
      </c>
      <c r="J840" s="47">
        <v>159</v>
      </c>
      <c r="K840" s="47" t="s">
        <v>60</v>
      </c>
    </row>
    <row r="841" spans="1:11">
      <c r="A841" s="2">
        <v>43930</v>
      </c>
      <c r="C841" s="47" t="s">
        <v>61</v>
      </c>
      <c r="E841" s="47">
        <v>67</v>
      </c>
      <c r="F841" s="47">
        <v>2</v>
      </c>
      <c r="J841" s="47">
        <v>2</v>
      </c>
      <c r="K841" s="47" t="s">
        <v>430</v>
      </c>
    </row>
    <row r="842" spans="1:11">
      <c r="A842" s="2">
        <v>43930</v>
      </c>
      <c r="C842" s="47" t="s">
        <v>63</v>
      </c>
      <c r="E842" s="47">
        <v>719</v>
      </c>
      <c r="F842" s="47">
        <v>39</v>
      </c>
      <c r="J842" s="47">
        <v>36</v>
      </c>
      <c r="K842" s="47" t="s">
        <v>65</v>
      </c>
    </row>
    <row r="843" spans="1:11">
      <c r="A843" s="2">
        <v>43930</v>
      </c>
      <c r="C843" s="47" t="s">
        <v>66</v>
      </c>
      <c r="E843" s="47">
        <v>179</v>
      </c>
      <c r="F843" s="47">
        <v>28</v>
      </c>
      <c r="G843" s="47">
        <v>5</v>
      </c>
      <c r="J843" s="47">
        <v>1</v>
      </c>
      <c r="K843" s="47" t="s">
        <v>424</v>
      </c>
    </row>
    <row r="844" spans="1:11">
      <c r="A844" s="2">
        <v>43930</v>
      </c>
      <c r="C844" s="47" t="s">
        <v>71</v>
      </c>
      <c r="E844" s="47">
        <v>546</v>
      </c>
      <c r="F844" s="47">
        <v>58</v>
      </c>
      <c r="G844" s="47">
        <v>10</v>
      </c>
      <c r="H844" s="47">
        <v>7</v>
      </c>
      <c r="J844" s="47">
        <v>42</v>
      </c>
      <c r="K844" s="47" t="s">
        <v>377</v>
      </c>
    </row>
    <row r="845" spans="1:11">
      <c r="A845" s="2">
        <v>43930</v>
      </c>
      <c r="C845" s="47" t="s">
        <v>73</v>
      </c>
      <c r="E845" s="47">
        <v>96</v>
      </c>
      <c r="F845" s="47">
        <v>9</v>
      </c>
      <c r="G845" s="47">
        <v>1</v>
      </c>
      <c r="K845" s="47" t="s">
        <v>357</v>
      </c>
    </row>
    <row r="846" spans="1:11">
      <c r="A846" s="2">
        <v>43930</v>
      </c>
      <c r="C846" s="47" t="s">
        <v>78</v>
      </c>
      <c r="E846" s="47">
        <v>604</v>
      </c>
      <c r="F846" s="47">
        <v>52</v>
      </c>
      <c r="G846" s="47">
        <v>13</v>
      </c>
      <c r="I846" s="47">
        <v>92</v>
      </c>
      <c r="J846" s="47">
        <v>16</v>
      </c>
      <c r="K846" s="47" t="s">
        <v>80</v>
      </c>
    </row>
    <row r="847" spans="1:11">
      <c r="A847" s="2">
        <v>43930</v>
      </c>
      <c r="C847" s="47" t="s">
        <v>86</v>
      </c>
      <c r="E847" s="47">
        <v>213</v>
      </c>
      <c r="I847" s="47">
        <v>113</v>
      </c>
      <c r="J847" s="47">
        <v>9</v>
      </c>
      <c r="K847" s="47" t="s">
        <v>427</v>
      </c>
    </row>
    <row r="848" spans="1:11">
      <c r="A848" s="2">
        <v>43930</v>
      </c>
      <c r="C848" s="47" t="s">
        <v>88</v>
      </c>
      <c r="E848" s="47">
        <v>256</v>
      </c>
      <c r="F848" s="47">
        <v>27</v>
      </c>
      <c r="G848" s="47">
        <v>12</v>
      </c>
      <c r="J848" s="47">
        <v>8</v>
      </c>
      <c r="K848" s="47" t="s">
        <v>90</v>
      </c>
    </row>
    <row r="849" spans="1:11">
      <c r="A849" s="2">
        <v>43930</v>
      </c>
      <c r="C849" s="47" t="s">
        <v>97</v>
      </c>
      <c r="E849" s="47">
        <v>4682</v>
      </c>
      <c r="F849" s="47">
        <v>308</v>
      </c>
      <c r="G849" s="47">
        <v>62</v>
      </c>
      <c r="J849" s="47">
        <v>230</v>
      </c>
      <c r="K849" s="47" t="s">
        <v>99</v>
      </c>
    </row>
    <row r="850" spans="1:11">
      <c r="A850" s="2">
        <v>43930</v>
      </c>
      <c r="C850" s="47" t="s">
        <v>100</v>
      </c>
      <c r="E850" s="47">
        <v>1598</v>
      </c>
      <c r="F850" s="47">
        <v>117</v>
      </c>
      <c r="G850" s="47">
        <v>24</v>
      </c>
      <c r="H850" s="47">
        <v>19</v>
      </c>
      <c r="I850" s="47">
        <v>136</v>
      </c>
      <c r="J850" s="47">
        <v>77</v>
      </c>
      <c r="K850" s="47" t="s">
        <v>419</v>
      </c>
    </row>
    <row r="851" spans="1:11">
      <c r="A851" s="2">
        <v>43930</v>
      </c>
      <c r="B851" s="47">
        <v>0</v>
      </c>
      <c r="C851" s="47" t="s">
        <v>83</v>
      </c>
      <c r="E851" s="47">
        <v>282</v>
      </c>
      <c r="F851" s="47">
        <v>23</v>
      </c>
      <c r="J851" s="47">
        <v>5</v>
      </c>
      <c r="K851" s="47" t="s">
        <v>387</v>
      </c>
    </row>
    <row r="852" spans="1:11">
      <c r="A852" s="2">
        <v>43930</v>
      </c>
      <c r="B852" s="47">
        <v>0.33333333333333331</v>
      </c>
      <c r="C852" s="47" t="s">
        <v>41</v>
      </c>
      <c r="E852" s="47">
        <v>74</v>
      </c>
      <c r="J852" s="47">
        <v>3</v>
      </c>
      <c r="K852" s="47" t="s">
        <v>43</v>
      </c>
    </row>
    <row r="853" spans="1:11">
      <c r="A853" s="2">
        <v>43930</v>
      </c>
      <c r="B853" s="47">
        <v>0.33333333333333331</v>
      </c>
      <c r="C853" s="47" t="s">
        <v>44</v>
      </c>
      <c r="E853" s="47">
        <v>1335</v>
      </c>
      <c r="F853" s="47">
        <v>117</v>
      </c>
      <c r="G853" s="47">
        <v>36</v>
      </c>
      <c r="H853" s="47">
        <v>27</v>
      </c>
      <c r="J853" s="47">
        <v>38</v>
      </c>
      <c r="K853" s="47" t="s">
        <v>46</v>
      </c>
    </row>
    <row r="854" spans="1:11">
      <c r="A854" s="2">
        <v>43930</v>
      </c>
      <c r="B854" s="47">
        <v>0.33333333333333331</v>
      </c>
      <c r="C854" s="47" t="s">
        <v>91</v>
      </c>
      <c r="E854" s="47">
        <v>2714</v>
      </c>
      <c r="F854" s="47">
        <v>301</v>
      </c>
      <c r="G854" s="47">
        <v>72</v>
      </c>
      <c r="H854" s="47">
        <v>68</v>
      </c>
      <c r="I854" s="47">
        <v>447</v>
      </c>
      <c r="J854" s="47">
        <v>219</v>
      </c>
      <c r="K854" s="47" t="s">
        <v>93</v>
      </c>
    </row>
    <row r="855" spans="1:11">
      <c r="A855" s="2">
        <v>43930</v>
      </c>
      <c r="B855" s="47">
        <v>0.33333333333333331</v>
      </c>
      <c r="C855" s="47" t="s">
        <v>102</v>
      </c>
      <c r="E855" s="47">
        <v>165</v>
      </c>
      <c r="F855" s="47">
        <v>13</v>
      </c>
      <c r="G855" s="47">
        <v>9</v>
      </c>
      <c r="I855" s="47">
        <v>69</v>
      </c>
      <c r="J855" s="47">
        <v>3</v>
      </c>
      <c r="K855" s="47" t="s">
        <v>381</v>
      </c>
    </row>
    <row r="856" spans="1:11">
      <c r="A856" s="2">
        <v>43930</v>
      </c>
      <c r="B856" s="47">
        <v>0.39583333333333331</v>
      </c>
      <c r="C856" s="47" t="s">
        <v>81</v>
      </c>
      <c r="E856" s="47">
        <v>52</v>
      </c>
      <c r="F856" s="47">
        <v>17</v>
      </c>
      <c r="G856" s="47">
        <v>2</v>
      </c>
      <c r="J856" s="47">
        <v>1</v>
      </c>
      <c r="K856" s="47" t="s">
        <v>426</v>
      </c>
    </row>
    <row r="857" spans="1:11">
      <c r="A857" s="2">
        <v>43930</v>
      </c>
      <c r="B857" s="47">
        <v>0.41666666666666669</v>
      </c>
      <c r="C857" s="47" t="s">
        <v>50</v>
      </c>
      <c r="E857" s="47">
        <v>841</v>
      </c>
      <c r="F857" s="47">
        <v>93</v>
      </c>
      <c r="G857" s="47">
        <v>13</v>
      </c>
      <c r="I857" s="47">
        <v>572</v>
      </c>
      <c r="J857" s="47">
        <v>33</v>
      </c>
      <c r="K857" s="47" t="s">
        <v>52</v>
      </c>
    </row>
    <row r="858" spans="1:11">
      <c r="A858" s="2">
        <v>43930</v>
      </c>
      <c r="B858" s="47">
        <v>0.45833333333333331</v>
      </c>
      <c r="C858" s="47" t="s">
        <v>38</v>
      </c>
      <c r="E858" s="47">
        <v>24</v>
      </c>
      <c r="K858" s="47" t="s">
        <v>40</v>
      </c>
    </row>
    <row r="859" spans="1:11">
      <c r="A859" s="2">
        <v>43930</v>
      </c>
      <c r="B859" s="47">
        <v>0.54166666666666663</v>
      </c>
      <c r="C859" s="47" t="s">
        <v>68</v>
      </c>
      <c r="E859" s="47">
        <v>542</v>
      </c>
      <c r="F859" s="47">
        <v>62</v>
      </c>
      <c r="G859" s="47">
        <v>6</v>
      </c>
      <c r="J859" s="47">
        <v>9</v>
      </c>
      <c r="K859" s="47" t="s">
        <v>70</v>
      </c>
    </row>
    <row r="860" spans="1:11">
      <c r="A860" s="2">
        <v>43930</v>
      </c>
      <c r="B860" s="47">
        <v>0.58333333333333337</v>
      </c>
      <c r="C860" s="47" t="s">
        <v>94</v>
      </c>
      <c r="E860" s="47">
        <v>72</v>
      </c>
      <c r="F860" s="47">
        <v>4</v>
      </c>
      <c r="I860" s="47">
        <v>45</v>
      </c>
      <c r="J860" s="47">
        <v>4</v>
      </c>
      <c r="K860" s="47" t="s">
        <v>96</v>
      </c>
    </row>
    <row r="861" spans="1:11">
      <c r="A861" s="2">
        <v>43930</v>
      </c>
      <c r="B861" s="47">
        <v>0.60416666666666663</v>
      </c>
      <c r="C861" s="47" t="s">
        <v>104</v>
      </c>
      <c r="E861" s="47">
        <v>2887</v>
      </c>
      <c r="F861" s="47">
        <v>165</v>
      </c>
      <c r="H861" s="47">
        <v>55</v>
      </c>
      <c r="J861" s="47">
        <v>66</v>
      </c>
      <c r="K861" s="47" t="s">
        <v>106</v>
      </c>
    </row>
    <row r="862" spans="1:11">
      <c r="A862" s="2">
        <v>43930</v>
      </c>
      <c r="B862" s="47">
        <v>0.61458333333333337</v>
      </c>
      <c r="C862" s="47" t="s">
        <v>34</v>
      </c>
      <c r="E862" s="47">
        <v>822</v>
      </c>
      <c r="F862" s="47">
        <v>87</v>
      </c>
      <c r="G862" s="47">
        <v>22</v>
      </c>
      <c r="H862" s="47">
        <v>21</v>
      </c>
      <c r="I862" s="47">
        <v>250</v>
      </c>
      <c r="J862" s="47">
        <v>17</v>
      </c>
      <c r="K862" s="47" t="s">
        <v>37</v>
      </c>
    </row>
    <row r="863" spans="1:11">
      <c r="A863" s="2">
        <v>43930</v>
      </c>
      <c r="B863" s="47">
        <v>0.625</v>
      </c>
      <c r="C863" s="47" t="s">
        <v>75</v>
      </c>
      <c r="E863" s="47">
        <v>62</v>
      </c>
      <c r="F863" s="47">
        <v>1</v>
      </c>
      <c r="J863" s="47">
        <v>0</v>
      </c>
      <c r="K863" s="47" t="s">
        <v>77</v>
      </c>
    </row>
    <row r="864" spans="1:11">
      <c r="A864" s="2">
        <v>43931</v>
      </c>
      <c r="C864" s="47" t="s">
        <v>47</v>
      </c>
      <c r="E864" s="47">
        <v>722</v>
      </c>
      <c r="F864" s="47">
        <v>54</v>
      </c>
      <c r="G864" s="47">
        <v>17</v>
      </c>
      <c r="H864" s="47">
        <v>15</v>
      </c>
      <c r="I864" s="47">
        <v>502</v>
      </c>
      <c r="J864" s="47">
        <v>22</v>
      </c>
      <c r="K864" s="47" t="s">
        <v>49</v>
      </c>
    </row>
    <row r="865" spans="1:11">
      <c r="A865" s="2">
        <v>43931</v>
      </c>
      <c r="C865" s="47" t="s">
        <v>53</v>
      </c>
      <c r="E865" s="47">
        <v>79</v>
      </c>
      <c r="J865" s="47">
        <v>1</v>
      </c>
      <c r="K865" s="47" t="s">
        <v>311</v>
      </c>
    </row>
    <row r="866" spans="1:11">
      <c r="A866" s="2">
        <v>43931</v>
      </c>
      <c r="C866" s="47" t="s">
        <v>56</v>
      </c>
      <c r="E866" s="47">
        <v>796</v>
      </c>
      <c r="F866" s="47">
        <v>73</v>
      </c>
      <c r="G866" s="47">
        <v>19</v>
      </c>
      <c r="I866" s="47">
        <v>88</v>
      </c>
      <c r="J866" s="47">
        <v>49</v>
      </c>
      <c r="K866" s="47" t="s">
        <v>434</v>
      </c>
    </row>
    <row r="867" spans="1:11">
      <c r="A867" s="2">
        <v>43931</v>
      </c>
      <c r="C867" s="47" t="s">
        <v>58</v>
      </c>
      <c r="D867" s="47">
        <v>18227</v>
      </c>
      <c r="E867" s="47">
        <v>4194</v>
      </c>
      <c r="F867" s="47">
        <v>379</v>
      </c>
      <c r="G867" s="47">
        <v>47</v>
      </c>
      <c r="H867" s="47">
        <v>47</v>
      </c>
      <c r="I867" s="47">
        <v>448</v>
      </c>
      <c r="J867" s="47">
        <v>170</v>
      </c>
      <c r="K867" s="47" t="s">
        <v>60</v>
      </c>
    </row>
    <row r="868" spans="1:11">
      <c r="A868" s="2">
        <v>43931</v>
      </c>
      <c r="C868" s="47" t="s">
        <v>61</v>
      </c>
      <c r="E868" s="47">
        <v>76</v>
      </c>
      <c r="F868" s="47">
        <v>2</v>
      </c>
      <c r="J868" s="47">
        <v>2</v>
      </c>
      <c r="K868" s="47" t="s">
        <v>430</v>
      </c>
    </row>
    <row r="869" spans="1:11">
      <c r="A869" s="2">
        <v>43931</v>
      </c>
      <c r="C869" s="47" t="s">
        <v>63</v>
      </c>
      <c r="E869" s="47">
        <v>730</v>
      </c>
      <c r="F869" s="47">
        <v>35</v>
      </c>
      <c r="J869" s="47">
        <v>36</v>
      </c>
      <c r="K869" s="47" t="s">
        <v>65</v>
      </c>
    </row>
    <row r="870" spans="1:11">
      <c r="A870" s="2">
        <v>43931</v>
      </c>
      <c r="C870" s="47" t="s">
        <v>66</v>
      </c>
      <c r="E870" s="47">
        <v>182</v>
      </c>
      <c r="F870" s="47">
        <v>25</v>
      </c>
      <c r="G870" s="47">
        <v>5</v>
      </c>
      <c r="J870" s="47">
        <v>3</v>
      </c>
      <c r="K870" s="47" t="s">
        <v>424</v>
      </c>
    </row>
    <row r="871" spans="1:11">
      <c r="A871" s="2">
        <v>43931</v>
      </c>
      <c r="C871" s="47" t="s">
        <v>71</v>
      </c>
      <c r="E871" s="47">
        <v>566</v>
      </c>
      <c r="F871" s="47">
        <v>63</v>
      </c>
      <c r="G871" s="47">
        <v>11</v>
      </c>
      <c r="H871" s="47">
        <v>8</v>
      </c>
      <c r="J871" s="47">
        <v>42</v>
      </c>
      <c r="K871" s="47" t="s">
        <v>377</v>
      </c>
    </row>
    <row r="872" spans="1:11">
      <c r="A872" s="2">
        <v>43931</v>
      </c>
      <c r="C872" s="47" t="s">
        <v>73</v>
      </c>
      <c r="E872" s="47">
        <v>100</v>
      </c>
      <c r="F872" s="47">
        <v>7</v>
      </c>
      <c r="G872" s="47">
        <v>1</v>
      </c>
      <c r="K872" s="47" t="s">
        <v>357</v>
      </c>
    </row>
    <row r="873" spans="1:11">
      <c r="A873" s="2">
        <v>43931</v>
      </c>
      <c r="C873" s="47" t="s">
        <v>78</v>
      </c>
      <c r="E873" s="47">
        <v>632</v>
      </c>
      <c r="F873" s="47">
        <v>60</v>
      </c>
      <c r="G873" s="47">
        <v>11</v>
      </c>
      <c r="I873" s="47">
        <v>93</v>
      </c>
      <c r="J873" s="47">
        <v>17</v>
      </c>
      <c r="K873" s="47" t="s">
        <v>80</v>
      </c>
    </row>
    <row r="874" spans="1:11">
      <c r="A874" s="2">
        <v>43931</v>
      </c>
      <c r="C874" s="47" t="s">
        <v>86</v>
      </c>
      <c r="E874" s="47">
        <v>215</v>
      </c>
      <c r="I874" s="47">
        <v>118</v>
      </c>
      <c r="J874" s="47">
        <v>10</v>
      </c>
      <c r="K874" s="47" t="s">
        <v>427</v>
      </c>
    </row>
    <row r="875" spans="1:11">
      <c r="A875" s="2">
        <v>43931</v>
      </c>
      <c r="C875" s="47" t="s">
        <v>88</v>
      </c>
      <c r="E875" s="47">
        <v>265</v>
      </c>
      <c r="F875" s="47">
        <v>32</v>
      </c>
      <c r="G875" s="47">
        <v>13</v>
      </c>
      <c r="J875" s="47">
        <v>8</v>
      </c>
      <c r="K875" s="47" t="s">
        <v>90</v>
      </c>
    </row>
    <row r="876" spans="1:11">
      <c r="A876" s="2">
        <v>43931</v>
      </c>
      <c r="C876" s="47" t="s">
        <v>97</v>
      </c>
      <c r="E876" s="47">
        <v>4731</v>
      </c>
      <c r="F876" s="47">
        <v>299</v>
      </c>
      <c r="G876" s="47">
        <v>64</v>
      </c>
      <c r="J876" s="47">
        <v>237</v>
      </c>
      <c r="K876" s="47" t="s">
        <v>99</v>
      </c>
    </row>
    <row r="877" spans="1:11">
      <c r="A877" s="2">
        <v>43931</v>
      </c>
      <c r="C877" s="47" t="s">
        <v>100</v>
      </c>
      <c r="E877" s="47">
        <v>1627</v>
      </c>
      <c r="F877" s="47">
        <v>115</v>
      </c>
      <c r="G877" s="47">
        <v>24</v>
      </c>
      <c r="H877" s="47">
        <v>18</v>
      </c>
      <c r="I877" s="47">
        <v>136</v>
      </c>
      <c r="J877" s="47">
        <v>83</v>
      </c>
      <c r="K877" s="47" t="s">
        <v>419</v>
      </c>
    </row>
    <row r="878" spans="1:11">
      <c r="A878" s="2">
        <v>43931</v>
      </c>
      <c r="B878" s="47">
        <v>0</v>
      </c>
      <c r="C878" s="47" t="s">
        <v>83</v>
      </c>
      <c r="E878" s="47">
        <v>294</v>
      </c>
      <c r="F878" s="47">
        <v>22</v>
      </c>
      <c r="J878" s="47">
        <v>5</v>
      </c>
      <c r="K878" s="47" t="s">
        <v>387</v>
      </c>
    </row>
    <row r="879" spans="1:11">
      <c r="A879" s="2">
        <v>43931</v>
      </c>
      <c r="B879" s="47">
        <v>0.33333333333333331</v>
      </c>
      <c r="C879" s="47" t="s">
        <v>41</v>
      </c>
      <c r="E879" s="47">
        <v>77</v>
      </c>
      <c r="J879" s="47">
        <v>3</v>
      </c>
      <c r="K879" s="47" t="s">
        <v>43</v>
      </c>
    </row>
    <row r="880" spans="1:11">
      <c r="A880" s="2">
        <v>43931</v>
      </c>
      <c r="B880" s="47">
        <v>0.33333333333333331</v>
      </c>
      <c r="C880" s="47" t="s">
        <v>44</v>
      </c>
      <c r="E880" s="47">
        <v>1375</v>
      </c>
      <c r="F880" s="47">
        <v>107</v>
      </c>
      <c r="G880" s="47">
        <v>33</v>
      </c>
      <c r="H880" s="47">
        <v>25</v>
      </c>
      <c r="J880" s="47">
        <v>42</v>
      </c>
      <c r="K880" s="47" t="s">
        <v>46</v>
      </c>
    </row>
    <row r="881" spans="1:11">
      <c r="A881" s="2">
        <v>43931</v>
      </c>
      <c r="B881" s="47">
        <v>0.33333333333333331</v>
      </c>
      <c r="C881" s="47" t="s">
        <v>91</v>
      </c>
      <c r="E881" s="47">
        <v>2776</v>
      </c>
      <c r="F881" s="47">
        <v>297</v>
      </c>
      <c r="G881" s="47">
        <v>68</v>
      </c>
      <c r="H881" s="47">
        <v>62</v>
      </c>
      <c r="I881" s="47">
        <v>466</v>
      </c>
      <c r="J881" s="47">
        <v>227</v>
      </c>
      <c r="K881" s="47" t="s">
        <v>303</v>
      </c>
    </row>
    <row r="882" spans="1:11">
      <c r="A882" s="2">
        <v>43931</v>
      </c>
      <c r="B882" s="47">
        <v>0.33333333333333331</v>
      </c>
      <c r="C882" s="47" t="s">
        <v>102</v>
      </c>
      <c r="E882" s="47">
        <v>168</v>
      </c>
      <c r="F882" s="47">
        <v>15</v>
      </c>
      <c r="G882" s="47">
        <v>9</v>
      </c>
      <c r="I882" s="47">
        <v>76</v>
      </c>
      <c r="J882" s="47">
        <v>3</v>
      </c>
      <c r="K882" s="47" t="s">
        <v>381</v>
      </c>
    </row>
    <row r="883" spans="1:11">
      <c r="A883" s="2">
        <v>43931</v>
      </c>
      <c r="B883" s="47">
        <v>0.39583333333333331</v>
      </c>
      <c r="C883" s="47" t="s">
        <v>81</v>
      </c>
      <c r="E883" s="47">
        <v>53</v>
      </c>
      <c r="F883" s="47">
        <v>13</v>
      </c>
      <c r="G883" s="47">
        <v>2</v>
      </c>
      <c r="J883" s="47">
        <v>1</v>
      </c>
      <c r="K883" s="47" t="s">
        <v>426</v>
      </c>
    </row>
    <row r="884" spans="1:11">
      <c r="A884" s="2">
        <v>43931</v>
      </c>
      <c r="B884" s="47">
        <v>0.41666666666666669</v>
      </c>
      <c r="C884" s="47" t="s">
        <v>50</v>
      </c>
      <c r="E884" s="47">
        <v>854</v>
      </c>
      <c r="F884" s="47">
        <v>87</v>
      </c>
      <c r="G884" s="47">
        <v>13</v>
      </c>
      <c r="I884" s="47">
        <v>593</v>
      </c>
      <c r="J884" s="47">
        <v>33</v>
      </c>
      <c r="K884" s="47" t="s">
        <v>304</v>
      </c>
    </row>
    <row r="885" spans="1:11">
      <c r="A885" s="2">
        <v>43931</v>
      </c>
      <c r="B885" s="47">
        <v>0.54166666666666663</v>
      </c>
      <c r="C885" s="47" t="s">
        <v>68</v>
      </c>
      <c r="E885" s="47">
        <v>560</v>
      </c>
      <c r="F885" s="47">
        <v>69</v>
      </c>
      <c r="G885" s="47">
        <v>6</v>
      </c>
      <c r="J885" s="47">
        <v>9</v>
      </c>
      <c r="K885" s="47" t="s">
        <v>70</v>
      </c>
    </row>
    <row r="886" spans="1:11">
      <c r="A886" s="2">
        <v>43931</v>
      </c>
      <c r="B886" s="47">
        <v>0.60416666666666663</v>
      </c>
      <c r="C886" s="47" t="s">
        <v>104</v>
      </c>
      <c r="E886" s="47">
        <v>2927</v>
      </c>
      <c r="F886" s="47">
        <v>152</v>
      </c>
      <c r="H886" s="47">
        <v>50</v>
      </c>
      <c r="J886" s="47">
        <v>71</v>
      </c>
      <c r="K886" s="47" t="s">
        <v>106</v>
      </c>
    </row>
    <row r="887" spans="1:11">
      <c r="A887" s="2">
        <v>43931</v>
      </c>
      <c r="B887" s="47">
        <v>0.61458333333333337</v>
      </c>
      <c r="C887" s="47" t="s">
        <v>34</v>
      </c>
      <c r="E887" s="47">
        <v>850</v>
      </c>
      <c r="J887" s="47">
        <v>18</v>
      </c>
      <c r="K887" s="47" t="s">
        <v>310</v>
      </c>
    </row>
    <row r="888" spans="1:11">
      <c r="A888" s="2">
        <v>43931</v>
      </c>
      <c r="B888" s="47">
        <v>0.66666666666666663</v>
      </c>
      <c r="C888" s="47" t="s">
        <v>94</v>
      </c>
      <c r="E888" s="47">
        <v>74</v>
      </c>
      <c r="F888" s="47">
        <v>4</v>
      </c>
      <c r="I888" s="47">
        <v>49</v>
      </c>
      <c r="J888" s="47">
        <v>4</v>
      </c>
      <c r="K888" s="47" t="s">
        <v>96</v>
      </c>
    </row>
    <row r="889" spans="1:11">
      <c r="A889" s="2">
        <v>43932</v>
      </c>
      <c r="C889" s="47" t="s">
        <v>47</v>
      </c>
      <c r="E889" s="47">
        <v>736</v>
      </c>
      <c r="F889" s="47">
        <v>50</v>
      </c>
      <c r="G889" s="47">
        <v>16</v>
      </c>
      <c r="H889" s="47">
        <v>15</v>
      </c>
      <c r="I889" s="47">
        <v>527</v>
      </c>
      <c r="J889" s="47">
        <v>22</v>
      </c>
      <c r="K889" s="47" t="s">
        <v>49</v>
      </c>
    </row>
    <row r="890" spans="1:11">
      <c r="A890" s="2">
        <v>43932</v>
      </c>
      <c r="C890" s="47" t="s">
        <v>53</v>
      </c>
      <c r="E890" s="47">
        <v>79</v>
      </c>
      <c r="J890" s="47">
        <v>1</v>
      </c>
      <c r="K890" s="47" t="s">
        <v>312</v>
      </c>
    </row>
    <row r="891" spans="1:11">
      <c r="A891" s="2">
        <v>43932</v>
      </c>
      <c r="C891" s="47" t="s">
        <v>56</v>
      </c>
      <c r="E891" s="47">
        <v>834</v>
      </c>
      <c r="F891" s="47">
        <v>68</v>
      </c>
      <c r="G891" s="47">
        <v>20</v>
      </c>
      <c r="I891" s="47">
        <v>93</v>
      </c>
      <c r="J891" s="47">
        <v>53</v>
      </c>
      <c r="K891" s="47" t="s">
        <v>434</v>
      </c>
    </row>
    <row r="892" spans="1:11">
      <c r="A892" s="2">
        <v>43932</v>
      </c>
      <c r="C892" s="47" t="s">
        <v>58</v>
      </c>
      <c r="D892" s="47">
        <v>18587</v>
      </c>
      <c r="E892" s="47">
        <v>4243</v>
      </c>
      <c r="F892" s="47">
        <v>364</v>
      </c>
      <c r="G892" s="47">
        <v>48</v>
      </c>
      <c r="H892" s="47">
        <v>44</v>
      </c>
      <c r="I892" s="47">
        <v>463</v>
      </c>
      <c r="J892" s="47">
        <v>178</v>
      </c>
      <c r="K892" s="47" t="s">
        <v>60</v>
      </c>
    </row>
    <row r="893" spans="1:11">
      <c r="A893" s="2">
        <v>43932</v>
      </c>
      <c r="C893" s="47" t="s">
        <v>61</v>
      </c>
      <c r="E893" s="47">
        <v>91</v>
      </c>
      <c r="F893" s="47">
        <v>2</v>
      </c>
      <c r="J893" s="47">
        <v>2</v>
      </c>
      <c r="K893" s="47" t="s">
        <v>430</v>
      </c>
    </row>
    <row r="894" spans="1:11">
      <c r="A894" s="2">
        <v>43932</v>
      </c>
      <c r="C894" s="47" t="s">
        <v>63</v>
      </c>
      <c r="E894" s="47">
        <v>743</v>
      </c>
      <c r="F894" s="47">
        <v>35</v>
      </c>
      <c r="J894" s="47">
        <v>36</v>
      </c>
      <c r="K894" s="47" t="s">
        <v>65</v>
      </c>
    </row>
    <row r="895" spans="1:11">
      <c r="A895" s="2">
        <v>43932</v>
      </c>
      <c r="C895" s="47" t="s">
        <v>66</v>
      </c>
      <c r="E895" s="47">
        <v>183</v>
      </c>
      <c r="F895" s="47">
        <v>23</v>
      </c>
      <c r="G895" s="47">
        <v>5</v>
      </c>
      <c r="J895" s="47">
        <v>3</v>
      </c>
      <c r="K895" s="47" t="s">
        <v>424</v>
      </c>
    </row>
    <row r="896" spans="1:11">
      <c r="A896" s="2">
        <v>43932</v>
      </c>
      <c r="C896" s="47" t="s">
        <v>71</v>
      </c>
      <c r="E896" s="47">
        <v>575</v>
      </c>
      <c r="F896" s="47">
        <v>64</v>
      </c>
      <c r="G896" s="47">
        <v>11</v>
      </c>
      <c r="H896" s="47">
        <v>9</v>
      </c>
      <c r="J896" s="47">
        <v>45</v>
      </c>
      <c r="K896" s="47" t="s">
        <v>377</v>
      </c>
    </row>
    <row r="897" spans="1:11">
      <c r="A897" s="2">
        <v>43932</v>
      </c>
      <c r="C897" s="47" t="s">
        <v>73</v>
      </c>
      <c r="E897" s="47">
        <v>103</v>
      </c>
      <c r="F897" s="47">
        <v>8</v>
      </c>
      <c r="G897" s="47">
        <v>2</v>
      </c>
      <c r="J897" s="47">
        <v>1</v>
      </c>
      <c r="K897" s="47" t="s">
        <v>357</v>
      </c>
    </row>
    <row r="898" spans="1:11">
      <c r="A898" s="2">
        <v>43932</v>
      </c>
      <c r="C898" s="47" t="s">
        <v>78</v>
      </c>
      <c r="E898" s="47">
        <v>641</v>
      </c>
      <c r="F898" s="47">
        <v>60</v>
      </c>
      <c r="G898" s="47">
        <v>11</v>
      </c>
      <c r="I898" s="47">
        <v>102</v>
      </c>
      <c r="J898" s="47">
        <v>18</v>
      </c>
      <c r="K898" s="47" t="s">
        <v>80</v>
      </c>
    </row>
    <row r="899" spans="1:11">
      <c r="A899" s="2">
        <v>43932</v>
      </c>
      <c r="C899" s="47" t="s">
        <v>86</v>
      </c>
      <c r="E899" s="47">
        <v>249</v>
      </c>
      <c r="I899" s="47">
        <v>118</v>
      </c>
      <c r="J899" s="47">
        <v>10</v>
      </c>
      <c r="K899" s="47" t="s">
        <v>427</v>
      </c>
    </row>
    <row r="900" spans="1:11">
      <c r="A900" s="2">
        <v>43932</v>
      </c>
      <c r="C900" s="47" t="s">
        <v>88</v>
      </c>
      <c r="E900" s="47">
        <v>275</v>
      </c>
      <c r="F900" s="47">
        <v>32</v>
      </c>
      <c r="G900" s="47">
        <v>14</v>
      </c>
      <c r="J900" s="47">
        <v>8</v>
      </c>
      <c r="K900" s="47" t="s">
        <v>90</v>
      </c>
    </row>
    <row r="901" spans="1:11">
      <c r="A901" s="2">
        <v>43932</v>
      </c>
      <c r="C901" s="47" t="s">
        <v>97</v>
      </c>
      <c r="E901" s="47">
        <v>4771</v>
      </c>
      <c r="F901" s="47">
        <v>285</v>
      </c>
      <c r="G901" s="47">
        <v>64</v>
      </c>
      <c r="J901" s="47">
        <v>243</v>
      </c>
      <c r="K901" s="47" t="s">
        <v>99</v>
      </c>
    </row>
    <row r="902" spans="1:11">
      <c r="A902" s="2">
        <v>43932</v>
      </c>
      <c r="C902" s="47" t="s">
        <v>100</v>
      </c>
      <c r="E902" s="47">
        <v>1653</v>
      </c>
      <c r="F902" s="47">
        <v>112</v>
      </c>
      <c r="G902" s="47">
        <v>20</v>
      </c>
      <c r="H902" s="47">
        <v>15</v>
      </c>
      <c r="I902" s="47">
        <v>148</v>
      </c>
      <c r="J902" s="47">
        <v>85</v>
      </c>
      <c r="K902" s="47" t="s">
        <v>419</v>
      </c>
    </row>
    <row r="903" spans="1:11">
      <c r="A903" s="2">
        <v>43932</v>
      </c>
      <c r="B903" s="47">
        <v>0</v>
      </c>
      <c r="C903" s="47" t="s">
        <v>83</v>
      </c>
      <c r="E903" s="47">
        <v>306</v>
      </c>
      <c r="J903" s="47">
        <v>6</v>
      </c>
      <c r="K903" s="47" t="s">
        <v>387</v>
      </c>
    </row>
    <row r="904" spans="1:11">
      <c r="A904" s="2">
        <v>43932</v>
      </c>
      <c r="B904" s="47">
        <v>0.33333333333333331</v>
      </c>
      <c r="C904" s="47" t="s">
        <v>44</v>
      </c>
      <c r="E904" s="47">
        <v>1419</v>
      </c>
      <c r="F904" s="47">
        <v>99</v>
      </c>
      <c r="G904" s="47">
        <v>33</v>
      </c>
      <c r="H904" s="47">
        <v>24</v>
      </c>
      <c r="J904" s="47">
        <v>44</v>
      </c>
      <c r="K904" s="47" t="s">
        <v>46</v>
      </c>
    </row>
    <row r="905" spans="1:11">
      <c r="A905" s="2">
        <v>43932</v>
      </c>
      <c r="B905" s="47">
        <v>0.33333333333333331</v>
      </c>
      <c r="C905" s="47" t="s">
        <v>91</v>
      </c>
      <c r="E905" s="47">
        <v>2818</v>
      </c>
      <c r="F905" s="47">
        <v>282</v>
      </c>
      <c r="G905" s="47">
        <v>68</v>
      </c>
      <c r="H905" s="47">
        <v>59</v>
      </c>
      <c r="I905" s="47">
        <v>493</v>
      </c>
      <c r="J905" s="47">
        <v>229</v>
      </c>
      <c r="K905" s="47" t="s">
        <v>313</v>
      </c>
    </row>
    <row r="906" spans="1:11">
      <c r="A906" s="2">
        <v>43932</v>
      </c>
      <c r="B906" s="47">
        <v>0.33333333333333331</v>
      </c>
      <c r="C906" s="47" t="s">
        <v>102</v>
      </c>
      <c r="E906" s="47">
        <v>168</v>
      </c>
      <c r="F906" s="47">
        <v>14</v>
      </c>
      <c r="G906" s="47">
        <v>9</v>
      </c>
      <c r="I906" s="47">
        <v>79</v>
      </c>
      <c r="J906" s="47">
        <v>4</v>
      </c>
      <c r="K906" s="47" t="s">
        <v>381</v>
      </c>
    </row>
    <row r="907" spans="1:11">
      <c r="A907" s="2">
        <v>43932</v>
      </c>
      <c r="B907" s="47">
        <v>0.39583333333333331</v>
      </c>
      <c r="C907" s="47" t="s">
        <v>50</v>
      </c>
      <c r="E907" s="47">
        <v>861</v>
      </c>
      <c r="I907" s="47">
        <v>612</v>
      </c>
      <c r="J907" s="47">
        <v>33</v>
      </c>
      <c r="K907" s="47" t="s">
        <v>302</v>
      </c>
    </row>
    <row r="908" spans="1:11">
      <c r="A908" s="2">
        <v>43932</v>
      </c>
      <c r="B908" s="47">
        <v>0.39583333333333331</v>
      </c>
      <c r="C908" s="47" t="s">
        <v>81</v>
      </c>
      <c r="E908" s="47">
        <v>55</v>
      </c>
      <c r="F908" s="47">
        <v>13</v>
      </c>
      <c r="G908" s="47">
        <v>2</v>
      </c>
      <c r="J908" s="47">
        <v>1</v>
      </c>
      <c r="K908" s="47" t="s">
        <v>426</v>
      </c>
    </row>
    <row r="909" spans="1:11">
      <c r="A909" s="2">
        <v>43932</v>
      </c>
      <c r="B909" s="47">
        <v>0.41666666666666669</v>
      </c>
      <c r="C909" s="47" t="s">
        <v>41</v>
      </c>
      <c r="E909" s="47">
        <v>77</v>
      </c>
      <c r="J909" s="47">
        <v>3</v>
      </c>
      <c r="K909" s="47" t="s">
        <v>43</v>
      </c>
    </row>
    <row r="910" spans="1:11">
      <c r="A910" s="2">
        <v>43932</v>
      </c>
      <c r="B910" s="47">
        <v>0.45833333333333331</v>
      </c>
      <c r="C910" s="47" t="s">
        <v>38</v>
      </c>
      <c r="E910" s="47">
        <v>24</v>
      </c>
      <c r="K910" s="47" t="s">
        <v>40</v>
      </c>
    </row>
    <row r="911" spans="1:11">
      <c r="A911" s="2">
        <v>43932</v>
      </c>
      <c r="B911" s="47">
        <v>0.45833333333333331</v>
      </c>
      <c r="C911" s="47" t="s">
        <v>68</v>
      </c>
      <c r="E911" s="47">
        <v>568</v>
      </c>
      <c r="J911" s="47">
        <v>10</v>
      </c>
      <c r="K911" s="47" t="s">
        <v>70</v>
      </c>
    </row>
    <row r="912" spans="1:11">
      <c r="A912" s="2">
        <v>43932</v>
      </c>
      <c r="B912" s="47">
        <v>0.60416666666666663</v>
      </c>
      <c r="C912" s="47" t="s">
        <v>104</v>
      </c>
      <c r="E912" s="47">
        <v>2985</v>
      </c>
      <c r="F912" s="47">
        <v>149</v>
      </c>
      <c r="H912" s="47">
        <v>50</v>
      </c>
      <c r="J912" s="47">
        <v>77</v>
      </c>
      <c r="K912" s="47" t="s">
        <v>106</v>
      </c>
    </row>
    <row r="913" spans="1:11">
      <c r="A913" s="2">
        <v>43932</v>
      </c>
      <c r="B913" s="47">
        <v>0.66666666666666663</v>
      </c>
      <c r="C913" s="47" t="s">
        <v>94</v>
      </c>
      <c r="E913" s="47">
        <v>75</v>
      </c>
      <c r="F913" s="47">
        <v>8</v>
      </c>
      <c r="I913" s="47">
        <v>50</v>
      </c>
      <c r="J913" s="47">
        <v>4</v>
      </c>
      <c r="K913" s="47" t="s">
        <v>96</v>
      </c>
    </row>
    <row r="914" spans="1:11">
      <c r="A914" s="2">
        <v>43932</v>
      </c>
      <c r="B914" s="47">
        <v>0.70833333333333337</v>
      </c>
      <c r="C914" s="47" t="s">
        <v>34</v>
      </c>
      <c r="E914" s="47">
        <v>878</v>
      </c>
      <c r="F914" s="47">
        <v>76</v>
      </c>
      <c r="G914" s="47">
        <v>23</v>
      </c>
      <c r="H914" s="47">
        <v>21</v>
      </c>
      <c r="I914" s="47">
        <v>300</v>
      </c>
      <c r="J914" s="47">
        <v>18</v>
      </c>
      <c r="K914" s="47" t="s">
        <v>310</v>
      </c>
    </row>
    <row r="915" spans="1:11">
      <c r="A915" s="2">
        <v>43933</v>
      </c>
      <c r="C915" s="47" t="s">
        <v>47</v>
      </c>
      <c r="E915" s="47">
        <v>740</v>
      </c>
      <c r="F915" s="47">
        <v>48</v>
      </c>
      <c r="G915" s="47">
        <v>17</v>
      </c>
      <c r="H915" s="47">
        <v>14</v>
      </c>
      <c r="I915" s="47">
        <v>554</v>
      </c>
      <c r="J915" s="47">
        <v>23</v>
      </c>
      <c r="K915" s="47" t="s">
        <v>49</v>
      </c>
    </row>
    <row r="916" spans="1:11">
      <c r="A916" s="2">
        <v>43933</v>
      </c>
      <c r="C916" s="47" t="s">
        <v>53</v>
      </c>
      <c r="E916" s="47">
        <v>80</v>
      </c>
      <c r="J916" s="47">
        <v>1</v>
      </c>
      <c r="K916" s="47" t="s">
        <v>322</v>
      </c>
    </row>
    <row r="917" spans="1:11">
      <c r="A917" s="2">
        <v>43933</v>
      </c>
      <c r="C917" s="47" t="s">
        <v>56</v>
      </c>
      <c r="E917" s="47">
        <v>846</v>
      </c>
      <c r="F917" s="47">
        <v>65</v>
      </c>
      <c r="G917" s="47">
        <v>19</v>
      </c>
      <c r="I917" s="47">
        <v>97</v>
      </c>
      <c r="J917" s="47">
        <v>54</v>
      </c>
      <c r="K917" s="47" t="s">
        <v>434</v>
      </c>
    </row>
    <row r="918" spans="1:11">
      <c r="A918" s="2">
        <v>43933</v>
      </c>
      <c r="C918" s="47" t="s">
        <v>58</v>
      </c>
      <c r="D918" s="47">
        <v>18762</v>
      </c>
      <c r="E918" s="47">
        <v>4265</v>
      </c>
      <c r="F918" s="47">
        <v>363</v>
      </c>
      <c r="G918" s="47">
        <v>47</v>
      </c>
      <c r="H918" s="47">
        <v>43</v>
      </c>
      <c r="I918" s="47">
        <v>479</v>
      </c>
      <c r="J918" s="47">
        <v>185</v>
      </c>
      <c r="K918" s="47" t="s">
        <v>60</v>
      </c>
    </row>
    <row r="919" spans="1:11">
      <c r="A919" s="2">
        <v>43933</v>
      </c>
      <c r="C919" s="47" t="s">
        <v>61</v>
      </c>
      <c r="E919" s="47">
        <v>91</v>
      </c>
      <c r="F919" s="47">
        <v>2</v>
      </c>
      <c r="J919" s="47">
        <v>2</v>
      </c>
      <c r="K919" s="47" t="s">
        <v>430</v>
      </c>
    </row>
    <row r="920" spans="1:11">
      <c r="A920" s="2">
        <v>43933</v>
      </c>
      <c r="C920" s="47" t="s">
        <v>63</v>
      </c>
      <c r="E920" s="47">
        <v>747</v>
      </c>
      <c r="F920" s="47">
        <v>35</v>
      </c>
      <c r="J920" s="47">
        <v>36</v>
      </c>
      <c r="K920" s="47" t="s">
        <v>65</v>
      </c>
    </row>
    <row r="921" spans="1:11">
      <c r="A921" s="2">
        <v>43933</v>
      </c>
      <c r="C921" s="47" t="s">
        <v>66</v>
      </c>
      <c r="E921" s="47">
        <v>183</v>
      </c>
      <c r="F921" s="47">
        <v>22</v>
      </c>
      <c r="G921" s="47">
        <v>5</v>
      </c>
      <c r="J921" s="47">
        <v>3</v>
      </c>
      <c r="K921" s="47" t="s">
        <v>424</v>
      </c>
    </row>
    <row r="922" spans="1:11">
      <c r="A922" s="2">
        <v>43933</v>
      </c>
      <c r="C922" s="47" t="s">
        <v>71</v>
      </c>
      <c r="E922" s="47">
        <v>585</v>
      </c>
      <c r="F922" s="47">
        <v>67</v>
      </c>
      <c r="G922" s="47">
        <v>10</v>
      </c>
      <c r="H922" s="47">
        <v>10</v>
      </c>
      <c r="J922" s="47">
        <v>50</v>
      </c>
      <c r="K922" s="47" t="s">
        <v>377</v>
      </c>
    </row>
    <row r="923" spans="1:11">
      <c r="A923" s="2">
        <v>43933</v>
      </c>
      <c r="C923" s="47" t="s">
        <v>73</v>
      </c>
      <c r="E923" s="47">
        <v>104</v>
      </c>
      <c r="F923" s="47">
        <v>7</v>
      </c>
      <c r="G923" s="47">
        <v>2</v>
      </c>
      <c r="J923" s="47">
        <v>1</v>
      </c>
      <c r="K923" s="47" t="s">
        <v>357</v>
      </c>
    </row>
    <row r="924" spans="1:11">
      <c r="A924" s="2">
        <v>43933</v>
      </c>
      <c r="C924" s="47" t="s">
        <v>78</v>
      </c>
      <c r="E924" s="47">
        <v>649</v>
      </c>
      <c r="F924" s="47">
        <v>58</v>
      </c>
      <c r="G924" s="47">
        <v>9</v>
      </c>
      <c r="I924" s="47">
        <v>109</v>
      </c>
      <c r="J924" s="47">
        <v>21</v>
      </c>
      <c r="K924" s="47" t="s">
        <v>80</v>
      </c>
    </row>
    <row r="925" spans="1:11">
      <c r="A925" s="2">
        <v>43933</v>
      </c>
      <c r="C925" s="47" t="s">
        <v>86</v>
      </c>
      <c r="E925" s="47">
        <v>251</v>
      </c>
      <c r="I925" s="47">
        <v>119</v>
      </c>
      <c r="J925" s="47">
        <v>11</v>
      </c>
      <c r="K925" s="47" t="s">
        <v>427</v>
      </c>
    </row>
    <row r="926" spans="1:11">
      <c r="A926" s="2">
        <v>43933</v>
      </c>
      <c r="C926" s="47" t="s">
        <v>88</v>
      </c>
      <c r="E926" s="47">
        <v>286</v>
      </c>
      <c r="F926" s="47">
        <v>32</v>
      </c>
      <c r="G926" s="47">
        <v>14</v>
      </c>
      <c r="J926" s="47">
        <v>8</v>
      </c>
      <c r="K926" s="47" t="s">
        <v>90</v>
      </c>
    </row>
    <row r="927" spans="1:11">
      <c r="A927" s="2">
        <v>43933</v>
      </c>
      <c r="C927" s="47" t="s">
        <v>97</v>
      </c>
      <c r="E927" s="47">
        <v>4808</v>
      </c>
      <c r="F927" s="47">
        <v>294</v>
      </c>
      <c r="G927" s="47">
        <v>63</v>
      </c>
      <c r="J927" s="47">
        <v>251</v>
      </c>
      <c r="K927" s="47" t="s">
        <v>99</v>
      </c>
    </row>
    <row r="928" spans="1:11">
      <c r="A928" s="2">
        <v>43933</v>
      </c>
      <c r="C928" s="47" t="s">
        <v>100</v>
      </c>
      <c r="E928" s="47">
        <v>1666</v>
      </c>
      <c r="F928" s="47">
        <v>110</v>
      </c>
      <c r="G928" s="47">
        <v>22</v>
      </c>
      <c r="H928" s="47">
        <v>14</v>
      </c>
      <c r="I928" s="47">
        <v>157</v>
      </c>
      <c r="J928" s="47">
        <v>91</v>
      </c>
      <c r="K928" s="47" t="s">
        <v>419</v>
      </c>
    </row>
    <row r="929" spans="1:11">
      <c r="A929" s="2">
        <v>43933</v>
      </c>
      <c r="B929" s="47">
        <v>0</v>
      </c>
      <c r="C929" s="47" t="s">
        <v>83</v>
      </c>
      <c r="E929" s="47">
        <v>315</v>
      </c>
      <c r="F929" s="47">
        <v>23</v>
      </c>
      <c r="J929" s="47">
        <v>7</v>
      </c>
      <c r="K929" s="47" t="s">
        <v>387</v>
      </c>
    </row>
    <row r="930" spans="1:11">
      <c r="A930" s="2">
        <v>43933</v>
      </c>
      <c r="B930" s="47">
        <v>0.33333333333333331</v>
      </c>
      <c r="C930" s="47" t="s">
        <v>44</v>
      </c>
      <c r="E930" s="47">
        <v>1441</v>
      </c>
      <c r="F930" s="47">
        <v>95</v>
      </c>
      <c r="G930" s="47">
        <v>33</v>
      </c>
      <c r="H930" s="47">
        <v>22</v>
      </c>
      <c r="J930" s="47">
        <v>49</v>
      </c>
      <c r="K930" s="47" t="s">
        <v>46</v>
      </c>
    </row>
    <row r="931" spans="1:11">
      <c r="A931" s="2">
        <v>43933</v>
      </c>
      <c r="B931" s="47">
        <v>0.33333333333333331</v>
      </c>
      <c r="C931" s="47" t="s">
        <v>91</v>
      </c>
      <c r="E931" s="47">
        <v>2869</v>
      </c>
      <c r="F931" s="47">
        <v>269</v>
      </c>
      <c r="G931" s="47">
        <v>63</v>
      </c>
      <c r="H931" s="47">
        <v>56</v>
      </c>
      <c r="I931" s="47">
        <v>511</v>
      </c>
      <c r="J931" s="47">
        <v>244</v>
      </c>
      <c r="K931" s="47" t="s">
        <v>323</v>
      </c>
    </row>
    <row r="932" spans="1:11">
      <c r="A932" s="2">
        <v>43933</v>
      </c>
      <c r="B932" s="47">
        <v>0.33333333333333331</v>
      </c>
      <c r="C932" s="47" t="s">
        <v>102</v>
      </c>
      <c r="E932" s="47">
        <v>168</v>
      </c>
      <c r="F932" s="47">
        <v>13</v>
      </c>
      <c r="G932" s="47">
        <v>9</v>
      </c>
      <c r="I932" s="47">
        <v>80</v>
      </c>
      <c r="J932" s="47">
        <v>5</v>
      </c>
      <c r="K932" s="47" t="s">
        <v>381</v>
      </c>
    </row>
    <row r="933" spans="1:11">
      <c r="A933" s="2">
        <v>43933</v>
      </c>
      <c r="B933" s="47">
        <v>0.39583333333333331</v>
      </c>
      <c r="C933" s="47" t="s">
        <v>81</v>
      </c>
      <c r="E933" s="47">
        <v>57</v>
      </c>
      <c r="F933" s="47">
        <v>16</v>
      </c>
      <c r="G933" s="47">
        <v>2</v>
      </c>
      <c r="J933" s="47">
        <v>1</v>
      </c>
      <c r="K933" s="47" t="s">
        <v>426</v>
      </c>
    </row>
    <row r="934" spans="1:11">
      <c r="A934" s="2">
        <v>43933</v>
      </c>
      <c r="B934" s="47">
        <v>0.41666666666666669</v>
      </c>
      <c r="C934" s="47" t="s">
        <v>50</v>
      </c>
      <c r="E934" s="47">
        <v>877</v>
      </c>
      <c r="F934" s="47">
        <v>86</v>
      </c>
      <c r="G934" s="47">
        <v>12</v>
      </c>
      <c r="I934" s="47">
        <v>629</v>
      </c>
      <c r="J934" s="47">
        <v>33</v>
      </c>
      <c r="K934" s="47" t="s">
        <v>314</v>
      </c>
    </row>
    <row r="935" spans="1:11">
      <c r="A935" s="2">
        <v>43933</v>
      </c>
      <c r="B935" s="47">
        <v>0.45833333333333331</v>
      </c>
      <c r="C935" s="47" t="s">
        <v>68</v>
      </c>
      <c r="E935" s="47">
        <v>576</v>
      </c>
      <c r="F935" s="47">
        <v>60</v>
      </c>
      <c r="G935" s="47">
        <v>5</v>
      </c>
      <c r="J935" s="47">
        <v>10</v>
      </c>
      <c r="K935" s="47" t="s">
        <v>70</v>
      </c>
    </row>
    <row r="936" spans="1:11">
      <c r="A936" s="2">
        <v>43933</v>
      </c>
      <c r="B936" s="47">
        <v>0.60416666666666663</v>
      </c>
      <c r="C936" s="47" t="s">
        <v>104</v>
      </c>
      <c r="E936" s="47">
        <v>3002</v>
      </c>
      <c r="F936" s="47">
        <v>153</v>
      </c>
      <c r="H936" s="47">
        <v>49</v>
      </c>
      <c r="J936" s="47">
        <v>79</v>
      </c>
      <c r="K936" s="47" t="s">
        <v>106</v>
      </c>
    </row>
    <row r="937" spans="1:11">
      <c r="A937" s="2">
        <v>43933</v>
      </c>
      <c r="B937" s="47">
        <v>0.61458333333333337</v>
      </c>
      <c r="C937" s="47" t="s">
        <v>34</v>
      </c>
      <c r="E937" s="47">
        <v>899</v>
      </c>
      <c r="J937" s="47">
        <v>18</v>
      </c>
      <c r="K937" s="47" t="s">
        <v>340</v>
      </c>
    </row>
    <row r="938" spans="1:11">
      <c r="A938" s="2">
        <v>43933</v>
      </c>
      <c r="B938" s="47">
        <v>0.625</v>
      </c>
      <c r="C938" s="47" t="s">
        <v>94</v>
      </c>
      <c r="E938" s="47">
        <v>77</v>
      </c>
      <c r="F938" s="47">
        <v>5</v>
      </c>
      <c r="I938" s="47">
        <v>52</v>
      </c>
      <c r="J938" s="47">
        <v>4</v>
      </c>
      <c r="K938" s="47" t="s">
        <v>96</v>
      </c>
    </row>
    <row r="939" spans="1:11">
      <c r="A939" s="2">
        <v>43934</v>
      </c>
      <c r="C939" s="47" t="s">
        <v>47</v>
      </c>
      <c r="E939" s="47">
        <v>749</v>
      </c>
      <c r="F939" s="47">
        <v>48</v>
      </c>
      <c r="G939" s="47">
        <v>16</v>
      </c>
      <c r="H939" s="47">
        <v>12</v>
      </c>
      <c r="I939" s="47">
        <v>570</v>
      </c>
      <c r="J939" s="47">
        <v>24</v>
      </c>
      <c r="K939" s="47" t="s">
        <v>49</v>
      </c>
    </row>
    <row r="940" spans="1:11">
      <c r="A940" s="2">
        <v>43934</v>
      </c>
      <c r="C940" s="47" t="s">
        <v>53</v>
      </c>
      <c r="E940" s="47">
        <v>80</v>
      </c>
      <c r="J940" s="47">
        <v>1</v>
      </c>
      <c r="K940" s="47" t="s">
        <v>330</v>
      </c>
    </row>
    <row r="941" spans="1:11">
      <c r="A941" s="2">
        <v>43934</v>
      </c>
      <c r="C941" s="47" t="s">
        <v>56</v>
      </c>
      <c r="E941" s="47">
        <v>859</v>
      </c>
      <c r="F941" s="47">
        <v>68</v>
      </c>
      <c r="G941" s="47">
        <v>17</v>
      </c>
      <c r="I941" s="47">
        <v>97</v>
      </c>
      <c r="J941" s="47">
        <v>55</v>
      </c>
      <c r="K941" s="47" t="s">
        <v>434</v>
      </c>
    </row>
    <row r="942" spans="1:11">
      <c r="A942" s="2">
        <v>43934</v>
      </c>
      <c r="C942" s="47" t="s">
        <v>58</v>
      </c>
      <c r="D942" s="47">
        <v>19067</v>
      </c>
      <c r="E942" s="47">
        <v>4315</v>
      </c>
      <c r="F942" s="47">
        <v>364</v>
      </c>
      <c r="G942" s="47">
        <v>47</v>
      </c>
      <c r="H942" s="47">
        <v>42</v>
      </c>
      <c r="I942" s="47">
        <v>490</v>
      </c>
      <c r="J942" s="47">
        <v>188</v>
      </c>
      <c r="K942" s="47" t="s">
        <v>60</v>
      </c>
    </row>
    <row r="943" spans="1:11">
      <c r="A943" s="2">
        <v>43934</v>
      </c>
      <c r="C943" s="47" t="s">
        <v>61</v>
      </c>
      <c r="E943" s="47">
        <v>92</v>
      </c>
      <c r="F943" s="47">
        <v>2</v>
      </c>
      <c r="J943" s="47">
        <v>2</v>
      </c>
      <c r="K943" s="47" t="s">
        <v>430</v>
      </c>
    </row>
    <row r="944" spans="1:11">
      <c r="A944" s="2">
        <v>43934</v>
      </c>
      <c r="C944" s="47" t="s">
        <v>63</v>
      </c>
      <c r="E944" s="47">
        <v>750</v>
      </c>
      <c r="F944" s="47">
        <v>34</v>
      </c>
      <c r="J944" s="47">
        <v>37</v>
      </c>
      <c r="K944" s="47" t="s">
        <v>65</v>
      </c>
    </row>
    <row r="945" spans="1:11">
      <c r="A945" s="2">
        <v>43934</v>
      </c>
      <c r="C945" s="47" t="s">
        <v>66</v>
      </c>
      <c r="E945" s="47">
        <v>184</v>
      </c>
      <c r="F945" s="47">
        <v>24</v>
      </c>
      <c r="G945" s="47">
        <v>5</v>
      </c>
      <c r="J945" s="47">
        <v>3</v>
      </c>
      <c r="K945" s="47" t="s">
        <v>424</v>
      </c>
    </row>
    <row r="946" spans="1:11">
      <c r="A946" s="2">
        <v>43934</v>
      </c>
      <c r="C946" s="47" t="s">
        <v>71</v>
      </c>
      <c r="E946" s="47">
        <v>591</v>
      </c>
      <c r="F946" s="47">
        <v>67</v>
      </c>
      <c r="G946" s="47">
        <v>10</v>
      </c>
      <c r="H946" s="47">
        <v>10</v>
      </c>
      <c r="J946" s="47">
        <v>52</v>
      </c>
      <c r="K946" s="47" t="s">
        <v>377</v>
      </c>
    </row>
    <row r="947" spans="1:11">
      <c r="A947" s="2">
        <v>43934</v>
      </c>
      <c r="C947" s="47" t="s">
        <v>73</v>
      </c>
      <c r="E947" s="47">
        <v>104</v>
      </c>
      <c r="F947" s="47">
        <v>7</v>
      </c>
      <c r="G947" s="47">
        <v>2</v>
      </c>
      <c r="J947" s="47">
        <v>1</v>
      </c>
      <c r="K947" s="47" t="s">
        <v>357</v>
      </c>
    </row>
    <row r="948" spans="1:11">
      <c r="A948" s="2">
        <v>43934</v>
      </c>
      <c r="C948" s="47" t="s">
        <v>78</v>
      </c>
      <c r="E948" s="47">
        <v>657</v>
      </c>
      <c r="F948" s="47">
        <v>58</v>
      </c>
      <c r="G948" s="47">
        <v>10</v>
      </c>
      <c r="I948" s="47">
        <v>119</v>
      </c>
      <c r="J948" s="47">
        <v>21</v>
      </c>
      <c r="K948" s="47" t="s">
        <v>80</v>
      </c>
    </row>
    <row r="949" spans="1:11">
      <c r="A949" s="2">
        <v>43934</v>
      </c>
      <c r="C949" s="47" t="s">
        <v>86</v>
      </c>
      <c r="E949" s="47">
        <v>251</v>
      </c>
      <c r="I949" s="47">
        <v>128</v>
      </c>
      <c r="J949" s="47">
        <v>12</v>
      </c>
      <c r="K949" s="47" t="s">
        <v>427</v>
      </c>
    </row>
    <row r="950" spans="1:11">
      <c r="A950" s="2">
        <v>43934</v>
      </c>
      <c r="C950" s="47" t="s">
        <v>88</v>
      </c>
      <c r="E950" s="47">
        <v>293</v>
      </c>
      <c r="F950" s="47">
        <v>32</v>
      </c>
      <c r="G950" s="47">
        <v>17</v>
      </c>
      <c r="J950" s="47">
        <v>8</v>
      </c>
      <c r="K950" s="47" t="s">
        <v>90</v>
      </c>
    </row>
    <row r="951" spans="1:11">
      <c r="A951" s="2">
        <v>43934</v>
      </c>
      <c r="C951" s="47" t="s">
        <v>97</v>
      </c>
      <c r="E951" s="47">
        <v>4852</v>
      </c>
      <c r="F951" s="47">
        <v>294</v>
      </c>
      <c r="G951" s="47">
        <v>59</v>
      </c>
      <c r="J951" s="47">
        <v>257</v>
      </c>
      <c r="K951" s="47" t="s">
        <v>99</v>
      </c>
    </row>
    <row r="952" spans="1:11">
      <c r="A952" s="2">
        <v>43934</v>
      </c>
      <c r="C952" s="47" t="s">
        <v>100</v>
      </c>
      <c r="E952" s="47">
        <v>1680</v>
      </c>
      <c r="F952" s="47">
        <v>106</v>
      </c>
      <c r="G952" s="47">
        <v>21</v>
      </c>
      <c r="H952" s="47">
        <v>12</v>
      </c>
      <c r="I952" s="47">
        <v>157</v>
      </c>
      <c r="J952" s="47">
        <v>93</v>
      </c>
      <c r="K952" s="47" t="s">
        <v>419</v>
      </c>
    </row>
    <row r="953" spans="1:11">
      <c r="A953" s="2">
        <v>43934</v>
      </c>
      <c r="B953" s="47">
        <v>0</v>
      </c>
      <c r="C953" s="47" t="s">
        <v>83</v>
      </c>
      <c r="E953" s="47">
        <v>321</v>
      </c>
      <c r="F953" s="47">
        <v>23</v>
      </c>
      <c r="J953" s="47">
        <v>7</v>
      </c>
      <c r="K953" s="47" t="s">
        <v>387</v>
      </c>
    </row>
    <row r="954" spans="1:11">
      <c r="A954" s="2">
        <v>43934</v>
      </c>
      <c r="B954" s="47">
        <v>0.33333333333333331</v>
      </c>
      <c r="C954" s="47" t="s">
        <v>41</v>
      </c>
      <c r="E954" s="47">
        <v>78</v>
      </c>
      <c r="J954" s="47">
        <v>3</v>
      </c>
      <c r="K954" s="47" t="s">
        <v>43</v>
      </c>
    </row>
    <row r="955" spans="1:11">
      <c r="A955" s="2">
        <v>43934</v>
      </c>
      <c r="B955" s="47">
        <v>0.33333333333333331</v>
      </c>
      <c r="C955" s="47" t="s">
        <v>44</v>
      </c>
      <c r="E955" s="47">
        <v>1456</v>
      </c>
      <c r="F955" s="47">
        <v>92</v>
      </c>
      <c r="G955" s="47">
        <v>32</v>
      </c>
      <c r="H955" s="47">
        <v>21</v>
      </c>
      <c r="J955" s="47">
        <v>49</v>
      </c>
      <c r="K955" s="47" t="s">
        <v>46</v>
      </c>
    </row>
    <row r="956" spans="1:11">
      <c r="A956" s="2">
        <v>43934</v>
      </c>
      <c r="B956" s="47">
        <v>0.33333333333333331</v>
      </c>
      <c r="C956" s="47" t="s">
        <v>91</v>
      </c>
      <c r="E956" s="47">
        <v>2900</v>
      </c>
      <c r="F956" s="47">
        <v>274</v>
      </c>
      <c r="G956" s="47">
        <v>63</v>
      </c>
      <c r="H956" s="47">
        <v>55</v>
      </c>
      <c r="I956" s="47">
        <v>517</v>
      </c>
      <c r="J956" s="47">
        <v>251</v>
      </c>
      <c r="K956" s="47" t="s">
        <v>331</v>
      </c>
    </row>
    <row r="957" spans="1:11">
      <c r="A957" s="2">
        <v>43934</v>
      </c>
      <c r="B957" s="47">
        <v>0.33333333333333331</v>
      </c>
      <c r="C957" s="47" t="s">
        <v>102</v>
      </c>
      <c r="E957" s="47">
        <v>170</v>
      </c>
      <c r="F957" s="47">
        <v>13</v>
      </c>
      <c r="G957" s="47">
        <v>9</v>
      </c>
      <c r="I957" s="47">
        <v>84</v>
      </c>
      <c r="J957" s="47">
        <v>5</v>
      </c>
      <c r="K957" s="47" t="s">
        <v>381</v>
      </c>
    </row>
    <row r="958" spans="1:11">
      <c r="A958" s="2">
        <v>43934</v>
      </c>
      <c r="B958" s="47">
        <v>0.39583333333333331</v>
      </c>
      <c r="C958" s="47" t="s">
        <v>81</v>
      </c>
      <c r="E958" s="47">
        <v>57</v>
      </c>
      <c r="F958" s="47">
        <v>16</v>
      </c>
      <c r="G958" s="47">
        <v>2</v>
      </c>
      <c r="J958" s="47">
        <v>1</v>
      </c>
      <c r="K958" s="47" t="s">
        <v>426</v>
      </c>
    </row>
    <row r="959" spans="1:11">
      <c r="A959" s="2">
        <v>43934</v>
      </c>
      <c r="B959" s="47">
        <v>0.41666666666666669</v>
      </c>
      <c r="C959" s="47" t="s">
        <v>50</v>
      </c>
      <c r="E959" s="47">
        <v>888</v>
      </c>
      <c r="I959" s="47">
        <v>653</v>
      </c>
      <c r="J959" s="47">
        <v>34</v>
      </c>
      <c r="K959" s="47" t="s">
        <v>324</v>
      </c>
    </row>
    <row r="960" spans="1:11">
      <c r="A960" s="2">
        <v>43934</v>
      </c>
      <c r="B960" s="47">
        <v>0.45833333333333331</v>
      </c>
      <c r="C960" s="47" t="s">
        <v>38</v>
      </c>
      <c r="E960" s="47">
        <v>24</v>
      </c>
      <c r="K960" s="47" t="s">
        <v>40</v>
      </c>
    </row>
    <row r="961" spans="1:11">
      <c r="A961" s="2">
        <v>43934</v>
      </c>
      <c r="B961" s="47">
        <v>0.45833333333333331</v>
      </c>
      <c r="C961" s="47" t="s">
        <v>68</v>
      </c>
      <c r="E961" s="47">
        <v>580</v>
      </c>
      <c r="F961" s="47">
        <v>40</v>
      </c>
      <c r="G961" s="47">
        <v>5</v>
      </c>
      <c r="J961" s="47">
        <v>10</v>
      </c>
      <c r="K961" s="47" t="s">
        <v>70</v>
      </c>
    </row>
    <row r="962" spans="1:11">
      <c r="A962" s="2">
        <v>43934</v>
      </c>
      <c r="B962" s="47">
        <v>0.58333333333333337</v>
      </c>
      <c r="C962" s="47" t="s">
        <v>94</v>
      </c>
      <c r="E962" s="47">
        <v>78</v>
      </c>
      <c r="F962" s="47">
        <v>4</v>
      </c>
      <c r="I962" s="47">
        <v>52</v>
      </c>
      <c r="J962" s="47">
        <v>4</v>
      </c>
      <c r="K962" s="47" t="s">
        <v>96</v>
      </c>
    </row>
    <row r="963" spans="1:11">
      <c r="A963" s="2">
        <v>43934</v>
      </c>
      <c r="B963" s="47">
        <v>0.60416666666666663</v>
      </c>
      <c r="C963" s="47" t="s">
        <v>104</v>
      </c>
      <c r="E963" s="47">
        <v>3019</v>
      </c>
      <c r="F963" s="47">
        <v>154</v>
      </c>
      <c r="H963" s="47">
        <v>50</v>
      </c>
      <c r="J963" s="47">
        <v>83</v>
      </c>
      <c r="K963" s="47" t="s">
        <v>106</v>
      </c>
    </row>
    <row r="964" spans="1:11">
      <c r="A964" s="2">
        <v>43934</v>
      </c>
      <c r="B964" s="47">
        <v>0.61458333333333337</v>
      </c>
      <c r="C964" s="47" t="s">
        <v>34</v>
      </c>
      <c r="E964" s="47">
        <v>906</v>
      </c>
      <c r="J964" s="47">
        <v>19</v>
      </c>
      <c r="K964" s="47" t="s">
        <v>340</v>
      </c>
    </row>
    <row r="965" spans="1:11">
      <c r="A965" s="2">
        <v>43935</v>
      </c>
      <c r="C965" s="47" t="s">
        <v>47</v>
      </c>
      <c r="E965" s="47">
        <v>755</v>
      </c>
      <c r="F965" s="47">
        <v>48</v>
      </c>
      <c r="G965" s="47">
        <v>14</v>
      </c>
      <c r="H965" s="47">
        <v>8</v>
      </c>
      <c r="I965" s="47">
        <v>597</v>
      </c>
      <c r="J965" s="47">
        <v>25</v>
      </c>
      <c r="K965" s="47" t="s">
        <v>49</v>
      </c>
    </row>
    <row r="966" spans="1:11">
      <c r="A966" s="2">
        <v>43935</v>
      </c>
      <c r="C966" s="47" t="s">
        <v>56</v>
      </c>
      <c r="E966" s="47">
        <v>879</v>
      </c>
      <c r="F966" s="47">
        <v>68</v>
      </c>
      <c r="G966" s="47">
        <v>14</v>
      </c>
      <c r="I966" s="47">
        <v>98</v>
      </c>
      <c r="J966" s="47">
        <v>57</v>
      </c>
      <c r="K966" s="47" t="s">
        <v>434</v>
      </c>
    </row>
    <row r="967" spans="1:11">
      <c r="A967" s="2">
        <v>43935</v>
      </c>
      <c r="C967" s="47" t="s">
        <v>58</v>
      </c>
      <c r="D967" s="47">
        <v>19611</v>
      </c>
      <c r="E967" s="47">
        <v>4368</v>
      </c>
      <c r="F967" s="47">
        <v>365</v>
      </c>
      <c r="G967" s="47">
        <v>46</v>
      </c>
      <c r="H967" s="47">
        <v>41</v>
      </c>
      <c r="I967" s="47">
        <v>490</v>
      </c>
      <c r="J967" s="47">
        <v>193</v>
      </c>
      <c r="K967" s="47" t="s">
        <v>60</v>
      </c>
    </row>
    <row r="968" spans="1:11">
      <c r="A968" s="2">
        <v>43935</v>
      </c>
      <c r="C968" s="47" t="s">
        <v>61</v>
      </c>
      <c r="E968" s="47">
        <v>105</v>
      </c>
      <c r="F968" s="47">
        <v>2</v>
      </c>
      <c r="J968" s="47">
        <v>2</v>
      </c>
      <c r="K968" s="47" t="s">
        <v>430</v>
      </c>
    </row>
    <row r="969" spans="1:11">
      <c r="A969" s="2">
        <v>43935</v>
      </c>
      <c r="C969" s="47" t="s">
        <v>63</v>
      </c>
      <c r="E969" s="47">
        <v>753</v>
      </c>
      <c r="F969" s="47">
        <v>34</v>
      </c>
      <c r="J969" s="47">
        <v>37</v>
      </c>
      <c r="K969" s="47" t="s">
        <v>65</v>
      </c>
    </row>
    <row r="970" spans="1:11">
      <c r="A970" s="2">
        <v>43935</v>
      </c>
      <c r="C970" s="47" t="s">
        <v>66</v>
      </c>
      <c r="E970" s="47">
        <v>185</v>
      </c>
      <c r="F970" s="47">
        <v>21</v>
      </c>
      <c r="G970" s="47">
        <v>5</v>
      </c>
      <c r="J970" s="47">
        <v>3</v>
      </c>
      <c r="K970" s="47" t="s">
        <v>424</v>
      </c>
    </row>
    <row r="971" spans="1:11">
      <c r="A971" s="2">
        <v>43935</v>
      </c>
      <c r="C971" s="47" t="s">
        <v>71</v>
      </c>
      <c r="E971" s="47">
        <v>602</v>
      </c>
      <c r="F971" s="47">
        <v>60</v>
      </c>
      <c r="G971" s="47">
        <v>11</v>
      </c>
      <c r="H971" s="47">
        <v>10</v>
      </c>
      <c r="J971" s="47">
        <v>55</v>
      </c>
      <c r="K971" s="47" t="s">
        <v>377</v>
      </c>
    </row>
    <row r="972" spans="1:11">
      <c r="A972" s="2">
        <v>43935</v>
      </c>
      <c r="C972" s="47" t="s">
        <v>73</v>
      </c>
      <c r="E972" s="47">
        <v>105</v>
      </c>
      <c r="F972" s="47">
        <v>7</v>
      </c>
      <c r="G972" s="47">
        <v>2</v>
      </c>
      <c r="J972" s="47">
        <v>1</v>
      </c>
      <c r="K972" s="47" t="s">
        <v>357</v>
      </c>
    </row>
    <row r="973" spans="1:11">
      <c r="A973" s="2">
        <v>43935</v>
      </c>
      <c r="C973" s="47" t="s">
        <v>78</v>
      </c>
      <c r="E973" s="47">
        <v>664</v>
      </c>
      <c r="F973" s="47">
        <v>59</v>
      </c>
      <c r="G973" s="47">
        <v>9</v>
      </c>
      <c r="I973" s="47">
        <v>120</v>
      </c>
      <c r="J973" s="47">
        <v>21</v>
      </c>
      <c r="K973" s="47" t="s">
        <v>80</v>
      </c>
    </row>
    <row r="974" spans="1:11">
      <c r="A974" s="2">
        <v>43935</v>
      </c>
      <c r="C974" s="47" t="s">
        <v>86</v>
      </c>
      <c r="E974" s="47">
        <v>258</v>
      </c>
      <c r="I974" s="47">
        <v>128</v>
      </c>
      <c r="J974" s="47">
        <v>13</v>
      </c>
      <c r="K974" s="47" t="s">
        <v>427</v>
      </c>
    </row>
    <row r="975" spans="1:11">
      <c r="A975" s="2">
        <v>43935</v>
      </c>
      <c r="C975" s="47" t="s">
        <v>88</v>
      </c>
      <c r="E975" s="47">
        <v>297</v>
      </c>
      <c r="F975" s="47">
        <v>35</v>
      </c>
      <c r="G975" s="47">
        <v>16</v>
      </c>
      <c r="J975" s="47">
        <v>10</v>
      </c>
      <c r="K975" s="47" t="s">
        <v>90</v>
      </c>
    </row>
    <row r="976" spans="1:11">
      <c r="A976" s="2">
        <v>43935</v>
      </c>
      <c r="C976" s="47" t="s">
        <v>97</v>
      </c>
      <c r="E976" s="47">
        <v>4919</v>
      </c>
      <c r="F976" s="47">
        <v>277</v>
      </c>
      <c r="G976" s="47">
        <v>58</v>
      </c>
      <c r="J976" s="47">
        <v>267</v>
      </c>
      <c r="K976" s="47" t="s">
        <v>99</v>
      </c>
    </row>
    <row r="977" spans="1:11">
      <c r="A977" s="2">
        <v>43935</v>
      </c>
      <c r="C977" s="47" t="s">
        <v>100</v>
      </c>
      <c r="E977" s="47">
        <v>1707</v>
      </c>
      <c r="F977" s="47">
        <v>100</v>
      </c>
      <c r="G977" s="47">
        <v>20</v>
      </c>
      <c r="H977" s="47">
        <v>11</v>
      </c>
      <c r="I977" s="47">
        <v>165</v>
      </c>
      <c r="J977" s="47">
        <v>94</v>
      </c>
      <c r="K977" s="47" t="s">
        <v>419</v>
      </c>
    </row>
    <row r="978" spans="1:11">
      <c r="A978" s="2">
        <v>43935</v>
      </c>
      <c r="B978" s="47">
        <v>0</v>
      </c>
      <c r="C978" s="47" t="s">
        <v>83</v>
      </c>
      <c r="E978" s="47">
        <v>325</v>
      </c>
      <c r="F978" s="47">
        <v>22</v>
      </c>
      <c r="J978" s="47">
        <v>8</v>
      </c>
      <c r="K978" s="47" t="s">
        <v>387</v>
      </c>
    </row>
    <row r="979" spans="1:11">
      <c r="A979" s="2">
        <v>43935</v>
      </c>
      <c r="B979" s="47">
        <v>0.33333333333333331</v>
      </c>
      <c r="C979" s="47" t="s">
        <v>41</v>
      </c>
      <c r="E979" s="47">
        <v>79</v>
      </c>
      <c r="J979" s="47">
        <v>3</v>
      </c>
      <c r="K979" s="47" t="s">
        <v>43</v>
      </c>
    </row>
    <row r="980" spans="1:11">
      <c r="A980" s="2">
        <v>43935</v>
      </c>
      <c r="B980" s="47">
        <v>0.33333333333333331</v>
      </c>
      <c r="C980" s="47" t="s">
        <v>44</v>
      </c>
      <c r="E980" s="47">
        <v>1470</v>
      </c>
      <c r="F980" s="47">
        <v>85</v>
      </c>
      <c r="G980" s="47">
        <v>31</v>
      </c>
      <c r="H980" s="47">
        <v>21</v>
      </c>
      <c r="J980" s="47">
        <v>49</v>
      </c>
      <c r="K980" s="47" t="s">
        <v>46</v>
      </c>
    </row>
    <row r="981" spans="1:11">
      <c r="A981" s="2">
        <v>43935</v>
      </c>
      <c r="B981" s="47">
        <v>0.33333333333333331</v>
      </c>
      <c r="C981" s="47" t="s">
        <v>91</v>
      </c>
      <c r="E981" s="47">
        <v>2912</v>
      </c>
      <c r="F981" s="47">
        <v>274</v>
      </c>
      <c r="G981" s="47">
        <v>63</v>
      </c>
      <c r="H981" s="47">
        <v>54</v>
      </c>
      <c r="I981" s="47">
        <v>524</v>
      </c>
      <c r="J981" s="47">
        <v>258</v>
      </c>
      <c r="K981" s="47" t="s">
        <v>341</v>
      </c>
    </row>
    <row r="982" spans="1:11">
      <c r="A982" s="2">
        <v>43935</v>
      </c>
      <c r="B982" s="47">
        <v>0.33333333333333331</v>
      </c>
      <c r="C982" s="47" t="s">
        <v>102</v>
      </c>
      <c r="E982" s="47">
        <v>171</v>
      </c>
      <c r="F982" s="47">
        <v>13</v>
      </c>
      <c r="G982" s="47">
        <v>9</v>
      </c>
      <c r="I982" s="47">
        <v>88</v>
      </c>
      <c r="J982" s="47">
        <v>5</v>
      </c>
      <c r="K982" s="47" t="s">
        <v>381</v>
      </c>
    </row>
    <row r="983" spans="1:11">
      <c r="A983" s="2">
        <v>43935</v>
      </c>
      <c r="B983" s="47">
        <v>0.39583333333333331</v>
      </c>
      <c r="C983" s="47" t="s">
        <v>81</v>
      </c>
      <c r="E983" s="47">
        <v>57</v>
      </c>
      <c r="F983" s="47">
        <v>10</v>
      </c>
      <c r="G983" s="47">
        <v>2</v>
      </c>
      <c r="J983" s="47">
        <v>1</v>
      </c>
      <c r="K983" s="47" t="s">
        <v>426</v>
      </c>
    </row>
    <row r="984" spans="1:11">
      <c r="A984" s="2">
        <v>43935</v>
      </c>
      <c r="B984" s="47">
        <v>0.41666666666666669</v>
      </c>
      <c r="C984" s="47" t="s">
        <v>50</v>
      </c>
      <c r="E984" s="47">
        <v>894</v>
      </c>
      <c r="F984" s="47">
        <v>86</v>
      </c>
      <c r="G984" s="47">
        <v>9</v>
      </c>
      <c r="I984" s="47">
        <v>663</v>
      </c>
      <c r="J984" s="47">
        <v>34</v>
      </c>
      <c r="K984" s="47" t="s">
        <v>338</v>
      </c>
    </row>
    <row r="985" spans="1:11">
      <c r="A985" s="2">
        <v>43935</v>
      </c>
      <c r="B985" s="47">
        <v>0.45833333333333331</v>
      </c>
      <c r="C985" s="47" t="s">
        <v>38</v>
      </c>
      <c r="E985" s="47">
        <v>24</v>
      </c>
      <c r="K985" s="47" t="s">
        <v>40</v>
      </c>
    </row>
    <row r="986" spans="1:11">
      <c r="A986" s="2">
        <v>43935</v>
      </c>
      <c r="B986" s="47">
        <v>0.45833333333333331</v>
      </c>
      <c r="C986" s="47" t="s">
        <v>68</v>
      </c>
      <c r="E986" s="47">
        <v>589</v>
      </c>
      <c r="F986" s="47">
        <v>47</v>
      </c>
      <c r="G986" s="47">
        <v>4</v>
      </c>
      <c r="J986" s="47">
        <v>11</v>
      </c>
      <c r="K986" s="47" t="s">
        <v>70</v>
      </c>
    </row>
    <row r="987" spans="1:11">
      <c r="A987" s="2">
        <v>43935</v>
      </c>
      <c r="B987" s="47">
        <v>0.58333333333333337</v>
      </c>
      <c r="C987" s="47" t="s">
        <v>94</v>
      </c>
      <c r="E987" s="47">
        <v>78</v>
      </c>
      <c r="F987" s="47">
        <v>3</v>
      </c>
      <c r="I987" s="47">
        <v>56</v>
      </c>
      <c r="J987" s="47">
        <v>4</v>
      </c>
      <c r="K987" s="47" t="s">
        <v>96</v>
      </c>
    </row>
    <row r="988" spans="1:11">
      <c r="A988" s="2">
        <v>43935</v>
      </c>
      <c r="B988" s="47">
        <v>0.60416666666666663</v>
      </c>
      <c r="C988" s="47" t="s">
        <v>104</v>
      </c>
      <c r="E988" s="47">
        <v>3066</v>
      </c>
      <c r="F988" s="47">
        <v>149</v>
      </c>
      <c r="H988" s="47">
        <v>52</v>
      </c>
      <c r="J988" s="47">
        <v>87</v>
      </c>
      <c r="K988" s="47" t="s">
        <v>106</v>
      </c>
    </row>
    <row r="989" spans="1:11">
      <c r="A989" s="2">
        <v>43935</v>
      </c>
      <c r="B989" s="47">
        <v>0.61458333333333337</v>
      </c>
      <c r="C989" s="47" t="s">
        <v>34</v>
      </c>
      <c r="E989" s="47">
        <v>912</v>
      </c>
      <c r="F989" s="47">
        <v>78</v>
      </c>
      <c r="G989" s="47">
        <v>22</v>
      </c>
      <c r="H989" s="47">
        <v>22</v>
      </c>
      <c r="I989" s="47">
        <v>400</v>
      </c>
      <c r="J989" s="47">
        <v>19</v>
      </c>
      <c r="K989" s="47" t="s">
        <v>340</v>
      </c>
    </row>
    <row r="990" spans="1:11">
      <c r="A990" s="2">
        <v>43935</v>
      </c>
      <c r="B990" s="47">
        <v>0.65625</v>
      </c>
      <c r="C990" s="47" t="s">
        <v>75</v>
      </c>
      <c r="E990" s="47">
        <v>64</v>
      </c>
      <c r="F990" s="47">
        <v>0</v>
      </c>
      <c r="J990" s="47">
        <v>0</v>
      </c>
      <c r="K990" s="47" t="s">
        <v>77</v>
      </c>
    </row>
    <row r="991" spans="1:11">
      <c r="A991" s="2">
        <v>43936</v>
      </c>
      <c r="C991" s="47" t="s">
        <v>47</v>
      </c>
      <c r="E991" s="47">
        <v>768</v>
      </c>
      <c r="F991" s="47">
        <v>45</v>
      </c>
      <c r="G991" s="47">
        <v>9</v>
      </c>
      <c r="H991" s="47">
        <v>7</v>
      </c>
      <c r="I991" s="47">
        <v>610</v>
      </c>
      <c r="J991" s="47">
        <v>25</v>
      </c>
      <c r="K991" s="47" t="s">
        <v>49</v>
      </c>
    </row>
    <row r="992" spans="1:11">
      <c r="A992" s="2">
        <v>43936</v>
      </c>
      <c r="C992" s="47" t="s">
        <v>53</v>
      </c>
      <c r="E992" s="47">
        <v>80</v>
      </c>
      <c r="J992" s="47">
        <v>1</v>
      </c>
      <c r="K992" s="47" t="s">
        <v>344</v>
      </c>
    </row>
    <row r="993" spans="1:11">
      <c r="A993" s="2">
        <v>43936</v>
      </c>
      <c r="C993" s="47" t="s">
        <v>56</v>
      </c>
      <c r="E993" s="47">
        <v>890</v>
      </c>
      <c r="F993" s="47">
        <v>61</v>
      </c>
      <c r="G993" s="47">
        <v>16</v>
      </c>
      <c r="I993" s="47">
        <v>105</v>
      </c>
      <c r="J993" s="47">
        <v>63</v>
      </c>
      <c r="K993" s="47" t="s">
        <v>434</v>
      </c>
    </row>
    <row r="994" spans="1:11">
      <c r="A994" s="2">
        <v>43936</v>
      </c>
      <c r="C994" s="47" t="s">
        <v>58</v>
      </c>
      <c r="D994" s="47">
        <v>20069</v>
      </c>
      <c r="E994" s="47">
        <v>4432</v>
      </c>
      <c r="F994" s="47">
        <v>352</v>
      </c>
      <c r="G994" s="47">
        <v>41</v>
      </c>
      <c r="H994" s="47">
        <v>37</v>
      </c>
      <c r="I994" s="47">
        <v>502</v>
      </c>
      <c r="J994" s="47">
        <v>198</v>
      </c>
      <c r="K994" s="47" t="s">
        <v>60</v>
      </c>
    </row>
    <row r="995" spans="1:11">
      <c r="A995" s="2">
        <v>43936</v>
      </c>
      <c r="C995" s="47" t="s">
        <v>61</v>
      </c>
      <c r="E995" s="47">
        <v>105</v>
      </c>
      <c r="F995" s="47">
        <v>2</v>
      </c>
      <c r="J995" s="47">
        <v>2</v>
      </c>
      <c r="K995" s="47" t="s">
        <v>430</v>
      </c>
    </row>
    <row r="996" spans="1:11">
      <c r="A996" s="2">
        <v>43936</v>
      </c>
      <c r="C996" s="47" t="s">
        <v>63</v>
      </c>
      <c r="E996" s="47">
        <v>759</v>
      </c>
      <c r="F996" s="47">
        <v>36</v>
      </c>
      <c r="J996" s="47">
        <v>38</v>
      </c>
      <c r="K996" s="47" t="s">
        <v>65</v>
      </c>
    </row>
    <row r="997" spans="1:11">
      <c r="A997" s="2">
        <v>43936</v>
      </c>
      <c r="C997" s="47" t="s">
        <v>66</v>
      </c>
      <c r="E997" s="47">
        <v>188</v>
      </c>
      <c r="F997" s="47">
        <v>17</v>
      </c>
      <c r="G997" s="47">
        <v>5</v>
      </c>
      <c r="J997" s="47">
        <v>3</v>
      </c>
      <c r="K997" s="47" t="s">
        <v>424</v>
      </c>
    </row>
    <row r="998" spans="1:11">
      <c r="A998" s="2">
        <v>43936</v>
      </c>
      <c r="C998" s="47" t="s">
        <v>71</v>
      </c>
      <c r="E998" s="47">
        <v>615</v>
      </c>
      <c r="F998" s="47">
        <v>54</v>
      </c>
      <c r="G998" s="47">
        <v>12</v>
      </c>
      <c r="H998" s="47">
        <v>10</v>
      </c>
      <c r="J998" s="47">
        <v>56</v>
      </c>
      <c r="K998" s="47" t="s">
        <v>377</v>
      </c>
    </row>
    <row r="999" spans="1:11">
      <c r="A999" s="2">
        <v>43936</v>
      </c>
      <c r="C999" s="47" t="s">
        <v>73</v>
      </c>
      <c r="E999" s="47">
        <v>106</v>
      </c>
      <c r="F999" s="47">
        <v>7</v>
      </c>
      <c r="G999" s="47">
        <v>2</v>
      </c>
      <c r="J999" s="47">
        <v>2</v>
      </c>
      <c r="K999" s="47" t="s">
        <v>357</v>
      </c>
    </row>
    <row r="1000" spans="1:11">
      <c r="A1000" s="2">
        <v>43936</v>
      </c>
      <c r="C1000" s="47" t="s">
        <v>78</v>
      </c>
      <c r="E1000" s="47">
        <v>676</v>
      </c>
      <c r="F1000" s="47">
        <v>47</v>
      </c>
      <c r="G1000" s="47">
        <v>9</v>
      </c>
      <c r="I1000" s="47">
        <v>123</v>
      </c>
      <c r="J1000" s="47">
        <v>23</v>
      </c>
      <c r="K1000" s="47" t="s">
        <v>80</v>
      </c>
    </row>
    <row r="1001" spans="1:11">
      <c r="A1001" s="2">
        <v>43936</v>
      </c>
      <c r="C1001" s="47" t="s">
        <v>86</v>
      </c>
      <c r="E1001" s="47">
        <v>261</v>
      </c>
      <c r="I1001" s="47">
        <v>144</v>
      </c>
      <c r="J1001" s="47">
        <v>13</v>
      </c>
      <c r="K1001" s="47" t="s">
        <v>427</v>
      </c>
    </row>
    <row r="1002" spans="1:11">
      <c r="A1002" s="2">
        <v>43936</v>
      </c>
      <c r="C1002" s="47" t="s">
        <v>88</v>
      </c>
      <c r="E1002" s="47">
        <v>303</v>
      </c>
      <c r="F1002" s="47">
        <v>28</v>
      </c>
      <c r="G1002" s="47">
        <v>14</v>
      </c>
      <c r="J1002" s="47">
        <v>11</v>
      </c>
      <c r="K1002" s="47" t="s">
        <v>90</v>
      </c>
    </row>
    <row r="1003" spans="1:11">
      <c r="A1003" s="2">
        <v>43936</v>
      </c>
      <c r="C1003" s="47" t="s">
        <v>97</v>
      </c>
      <c r="E1003" s="47">
        <v>4968</v>
      </c>
      <c r="F1003" s="47">
        <v>251</v>
      </c>
      <c r="G1003" s="47">
        <v>55</v>
      </c>
      <c r="J1003" s="47">
        <v>284</v>
      </c>
      <c r="K1003" s="47" t="s">
        <v>99</v>
      </c>
    </row>
    <row r="1004" spans="1:11">
      <c r="A1004" s="2">
        <v>43936</v>
      </c>
      <c r="C1004" s="47" t="s">
        <v>100</v>
      </c>
      <c r="E1004" s="47">
        <v>1723</v>
      </c>
      <c r="F1004" s="47">
        <v>94</v>
      </c>
      <c r="G1004" s="47">
        <v>20</v>
      </c>
      <c r="H1004" s="47">
        <v>12</v>
      </c>
      <c r="I1004" s="47">
        <v>175</v>
      </c>
      <c r="J1004" s="47">
        <v>94</v>
      </c>
      <c r="K1004" s="47" t="s">
        <v>419</v>
      </c>
    </row>
    <row r="1005" spans="1:11">
      <c r="A1005" s="2">
        <v>43936</v>
      </c>
      <c r="B1005" s="47">
        <v>0</v>
      </c>
      <c r="C1005" s="47" t="s">
        <v>83</v>
      </c>
      <c r="E1005" s="47">
        <v>329</v>
      </c>
      <c r="F1005" s="47">
        <v>22</v>
      </c>
      <c r="J1005" s="47">
        <v>8</v>
      </c>
      <c r="K1005" s="47" t="s">
        <v>387</v>
      </c>
    </row>
    <row r="1006" spans="1:11">
      <c r="A1006" s="2">
        <v>43936</v>
      </c>
      <c r="B1006" s="47">
        <v>0.33333333333333331</v>
      </c>
      <c r="C1006" s="47" t="s">
        <v>41</v>
      </c>
      <c r="E1006" s="47">
        <v>79</v>
      </c>
      <c r="J1006" s="47">
        <v>3</v>
      </c>
      <c r="K1006" s="47" t="s">
        <v>43</v>
      </c>
    </row>
    <row r="1007" spans="1:11">
      <c r="A1007" s="2">
        <v>43936</v>
      </c>
      <c r="B1007" s="47">
        <v>0.33333333333333331</v>
      </c>
      <c r="C1007" s="47" t="s">
        <v>44</v>
      </c>
      <c r="E1007" s="47">
        <v>1489</v>
      </c>
      <c r="F1007" s="47">
        <v>82</v>
      </c>
      <c r="G1007" s="47">
        <v>30</v>
      </c>
      <c r="H1007" s="47">
        <v>18</v>
      </c>
      <c r="J1007" s="47">
        <v>53</v>
      </c>
      <c r="K1007" s="47" t="s">
        <v>46</v>
      </c>
    </row>
    <row r="1008" spans="1:11">
      <c r="A1008" s="2">
        <v>43936</v>
      </c>
      <c r="B1008" s="47">
        <v>0.33333333333333331</v>
      </c>
      <c r="C1008" s="47" t="s">
        <v>91</v>
      </c>
      <c r="E1008" s="47">
        <v>2927</v>
      </c>
      <c r="F1008" s="47">
        <v>265</v>
      </c>
      <c r="G1008" s="47">
        <v>60</v>
      </c>
      <c r="H1008" s="47">
        <v>50</v>
      </c>
      <c r="I1008" s="47">
        <v>548</v>
      </c>
      <c r="J1008" s="47">
        <v>263</v>
      </c>
      <c r="K1008" s="47" t="s">
        <v>345</v>
      </c>
    </row>
    <row r="1009" spans="1:11">
      <c r="A1009" s="2">
        <v>43936</v>
      </c>
      <c r="B1009" s="47">
        <v>0.33333333333333331</v>
      </c>
      <c r="C1009" s="47" t="s">
        <v>102</v>
      </c>
      <c r="E1009" s="47">
        <v>171</v>
      </c>
      <c r="F1009" s="47">
        <v>13</v>
      </c>
      <c r="G1009" s="47">
        <v>9</v>
      </c>
      <c r="I1009" s="47">
        <v>92</v>
      </c>
      <c r="J1009" s="47">
        <v>5</v>
      </c>
      <c r="K1009" s="47" t="s">
        <v>381</v>
      </c>
    </row>
    <row r="1010" spans="1:11">
      <c r="A1010" s="2">
        <v>43936</v>
      </c>
      <c r="B1010" s="47">
        <v>0.39583333333333331</v>
      </c>
      <c r="C1010" s="47" t="s">
        <v>81</v>
      </c>
      <c r="E1010" s="47">
        <v>59</v>
      </c>
      <c r="F1010" s="47">
        <v>11</v>
      </c>
      <c r="G1010" s="47">
        <v>2</v>
      </c>
      <c r="J1010" s="47">
        <v>1</v>
      </c>
      <c r="K1010" s="47" t="s">
        <v>426</v>
      </c>
    </row>
    <row r="1011" spans="1:11">
      <c r="A1011" s="2">
        <v>43936</v>
      </c>
      <c r="B1011" s="47">
        <v>0.41666666666666669</v>
      </c>
      <c r="C1011" s="47" t="s">
        <v>50</v>
      </c>
      <c r="E1011" s="47">
        <v>904</v>
      </c>
      <c r="F1011" s="47">
        <v>80</v>
      </c>
      <c r="G1011" s="47">
        <v>7</v>
      </c>
      <c r="I1011" s="47">
        <v>682</v>
      </c>
      <c r="J1011" s="47">
        <v>36</v>
      </c>
      <c r="K1011" s="47" t="s">
        <v>342</v>
      </c>
    </row>
    <row r="1012" spans="1:11">
      <c r="A1012" s="2">
        <v>43936</v>
      </c>
      <c r="B1012" s="47">
        <v>0.45833333333333331</v>
      </c>
      <c r="C1012" s="47" t="s">
        <v>38</v>
      </c>
      <c r="E1012" s="47">
        <v>24</v>
      </c>
      <c r="K1012" s="47" t="s">
        <v>40</v>
      </c>
    </row>
    <row r="1013" spans="1:11">
      <c r="A1013" s="2">
        <v>43936</v>
      </c>
      <c r="B1013" s="47">
        <v>0.45833333333333331</v>
      </c>
      <c r="C1013" s="47" t="s">
        <v>68</v>
      </c>
      <c r="E1013" s="47">
        <v>596</v>
      </c>
      <c r="F1013" s="47">
        <v>46</v>
      </c>
      <c r="G1013" s="47">
        <v>4</v>
      </c>
      <c r="J1013" s="47">
        <v>12</v>
      </c>
      <c r="K1013" s="47" t="s">
        <v>70</v>
      </c>
    </row>
    <row r="1014" spans="1:11">
      <c r="A1014" s="2">
        <v>43936</v>
      </c>
      <c r="B1014" s="47">
        <v>0.60416666666666663</v>
      </c>
      <c r="C1014" s="47" t="s">
        <v>104</v>
      </c>
      <c r="E1014" s="47">
        <v>3113</v>
      </c>
      <c r="F1014" s="47">
        <v>136</v>
      </c>
      <c r="H1014" s="47">
        <v>50</v>
      </c>
      <c r="J1014" s="47">
        <v>91</v>
      </c>
      <c r="K1014" s="47" t="s">
        <v>106</v>
      </c>
    </row>
    <row r="1015" spans="1:11">
      <c r="A1015" s="2">
        <v>43936</v>
      </c>
      <c r="B1015" s="47">
        <v>0.61458333333333337</v>
      </c>
      <c r="C1015" s="47" t="s">
        <v>34</v>
      </c>
      <c r="E1015" s="47">
        <v>929</v>
      </c>
      <c r="F1015" s="47">
        <v>69</v>
      </c>
      <c r="G1015" s="47">
        <v>20</v>
      </c>
      <c r="H1015" s="47">
        <v>20</v>
      </c>
      <c r="I1015" s="47">
        <v>450</v>
      </c>
      <c r="J1015" s="47">
        <v>22</v>
      </c>
      <c r="K1015" s="47" t="s">
        <v>346</v>
      </c>
    </row>
    <row r="1016" spans="1:11">
      <c r="A1016" s="2">
        <v>43936</v>
      </c>
      <c r="B1016" s="47">
        <v>0.64236111111111116</v>
      </c>
      <c r="C1016" s="47" t="s">
        <v>75</v>
      </c>
      <c r="E1016" s="47">
        <v>64</v>
      </c>
      <c r="F1016" s="47">
        <v>0</v>
      </c>
      <c r="J1016" s="47">
        <v>0</v>
      </c>
      <c r="K1016" s="47" t="s">
        <v>77</v>
      </c>
    </row>
    <row r="1017" spans="1:11">
      <c r="A1017" s="2">
        <v>43936</v>
      </c>
      <c r="B1017" s="47">
        <v>0.66666666666666663</v>
      </c>
      <c r="C1017" s="47" t="s">
        <v>94</v>
      </c>
      <c r="E1017" s="47">
        <v>78</v>
      </c>
      <c r="F1017" s="47">
        <v>3</v>
      </c>
      <c r="I1017" s="47">
        <v>62</v>
      </c>
      <c r="J1017" s="47">
        <v>4</v>
      </c>
      <c r="K1017" s="47" t="s">
        <v>96</v>
      </c>
    </row>
    <row r="1018" spans="1:11">
      <c r="A1018" s="2">
        <v>43937</v>
      </c>
      <c r="C1018" s="47" t="s">
        <v>47</v>
      </c>
      <c r="E1018" s="47">
        <v>781</v>
      </c>
      <c r="F1018" s="47">
        <v>46</v>
      </c>
      <c r="G1018" s="47">
        <v>8</v>
      </c>
      <c r="H1018" s="47">
        <v>6</v>
      </c>
      <c r="I1018" s="47">
        <v>623</v>
      </c>
      <c r="J1018" s="47">
        <v>25</v>
      </c>
      <c r="K1018" s="47" t="s">
        <v>49</v>
      </c>
    </row>
    <row r="1019" spans="1:11">
      <c r="A1019" s="2">
        <v>43937</v>
      </c>
      <c r="C1019" s="47" t="s">
        <v>53</v>
      </c>
      <c r="E1019" s="47">
        <v>80</v>
      </c>
      <c r="J1019" s="47">
        <v>1</v>
      </c>
      <c r="K1019" s="47" t="s">
        <v>359</v>
      </c>
    </row>
    <row r="1020" spans="1:11">
      <c r="A1020" s="2">
        <v>43937</v>
      </c>
      <c r="C1020" s="47" t="s">
        <v>56</v>
      </c>
      <c r="E1020" s="47">
        <v>907</v>
      </c>
      <c r="F1020" s="47">
        <v>60</v>
      </c>
      <c r="G1020" s="47">
        <v>15</v>
      </c>
      <c r="I1020" s="47">
        <v>105</v>
      </c>
      <c r="J1020" s="47">
        <v>65</v>
      </c>
      <c r="K1020" s="47" t="s">
        <v>434</v>
      </c>
    </row>
    <row r="1021" spans="1:11">
      <c r="A1021" s="2">
        <v>43937</v>
      </c>
      <c r="C1021" s="47" t="s">
        <v>58</v>
      </c>
      <c r="D1021" s="47">
        <v>20746</v>
      </c>
      <c r="E1021" s="47">
        <v>4497</v>
      </c>
      <c r="F1021" s="47">
        <v>350</v>
      </c>
      <c r="G1021" s="47">
        <v>38</v>
      </c>
      <c r="H1021" s="47">
        <v>33</v>
      </c>
      <c r="I1021" s="47">
        <v>520</v>
      </c>
      <c r="J1021" s="47">
        <v>204</v>
      </c>
      <c r="K1021" s="47" t="s">
        <v>60</v>
      </c>
    </row>
    <row r="1022" spans="1:11">
      <c r="A1022" s="2">
        <v>43937</v>
      </c>
      <c r="C1022" s="47" t="s">
        <v>61</v>
      </c>
      <c r="E1022" s="47">
        <v>106</v>
      </c>
      <c r="F1022" s="47">
        <v>4</v>
      </c>
      <c r="J1022" s="47">
        <v>3</v>
      </c>
      <c r="K1022" s="47" t="s">
        <v>430</v>
      </c>
    </row>
    <row r="1023" spans="1:11">
      <c r="A1023" s="2">
        <v>43937</v>
      </c>
      <c r="C1023" s="47" t="s">
        <v>63</v>
      </c>
      <c r="E1023" s="47">
        <v>764</v>
      </c>
      <c r="F1023" s="47">
        <v>37</v>
      </c>
      <c r="J1023" s="47">
        <v>39</v>
      </c>
      <c r="K1023" s="47" t="s">
        <v>65</v>
      </c>
    </row>
    <row r="1024" spans="1:11">
      <c r="A1024" s="2">
        <v>43937</v>
      </c>
      <c r="C1024" s="47" t="s">
        <v>66</v>
      </c>
      <c r="E1024" s="47">
        <v>189</v>
      </c>
      <c r="F1024" s="47">
        <v>18</v>
      </c>
      <c r="G1024" s="47">
        <v>5</v>
      </c>
      <c r="J1024" s="47">
        <v>3</v>
      </c>
      <c r="K1024" s="47" t="s">
        <v>424</v>
      </c>
    </row>
    <row r="1025" spans="1:11">
      <c r="A1025" s="2">
        <v>43937</v>
      </c>
      <c r="C1025" s="47" t="s">
        <v>71</v>
      </c>
      <c r="E1025" s="47">
        <v>624</v>
      </c>
      <c r="F1025" s="47">
        <v>52</v>
      </c>
      <c r="G1025" s="47">
        <v>11</v>
      </c>
      <c r="H1025" s="47">
        <v>9</v>
      </c>
      <c r="J1025" s="47">
        <v>57</v>
      </c>
      <c r="K1025" s="47" t="s">
        <v>377</v>
      </c>
    </row>
    <row r="1026" spans="1:11">
      <c r="A1026" s="2">
        <v>43937</v>
      </c>
      <c r="C1026" s="47" t="s">
        <v>73</v>
      </c>
      <c r="E1026" s="47">
        <v>106</v>
      </c>
      <c r="F1026" s="47">
        <v>5</v>
      </c>
      <c r="G1026" s="47">
        <v>2</v>
      </c>
      <c r="J1026" s="47">
        <v>2</v>
      </c>
      <c r="K1026" s="47" t="s">
        <v>357</v>
      </c>
    </row>
    <row r="1027" spans="1:11">
      <c r="A1027" s="2">
        <v>43937</v>
      </c>
      <c r="C1027" s="47" t="s">
        <v>78</v>
      </c>
      <c r="E1027" s="47">
        <v>680</v>
      </c>
      <c r="F1027" s="47">
        <v>56</v>
      </c>
      <c r="G1027" s="47">
        <v>7</v>
      </c>
      <c r="I1027" s="47">
        <v>138</v>
      </c>
      <c r="J1027" s="47">
        <v>25</v>
      </c>
      <c r="K1027" s="47" t="s">
        <v>80</v>
      </c>
    </row>
    <row r="1028" spans="1:11">
      <c r="A1028" s="2">
        <v>43937</v>
      </c>
      <c r="C1028" s="47" t="s">
        <v>86</v>
      </c>
      <c r="E1028" s="47">
        <v>265</v>
      </c>
      <c r="I1028" s="47">
        <v>154</v>
      </c>
      <c r="J1028" s="47">
        <v>14</v>
      </c>
      <c r="K1028" s="47" t="s">
        <v>427</v>
      </c>
    </row>
    <row r="1029" spans="1:11">
      <c r="A1029" s="2">
        <v>43937</v>
      </c>
      <c r="C1029" s="47" t="s">
        <v>88</v>
      </c>
      <c r="E1029" s="47">
        <v>309</v>
      </c>
      <c r="F1029" s="47">
        <v>28</v>
      </c>
      <c r="G1029" s="47">
        <v>14</v>
      </c>
      <c r="J1029" s="47">
        <v>11</v>
      </c>
      <c r="K1029" s="47" t="s">
        <v>90</v>
      </c>
    </row>
    <row r="1030" spans="1:11">
      <c r="A1030" s="2">
        <v>43937</v>
      </c>
      <c r="C1030" s="47" t="s">
        <v>97</v>
      </c>
      <c r="E1030" s="47">
        <v>4997</v>
      </c>
      <c r="F1030" s="47">
        <v>244</v>
      </c>
      <c r="G1030" s="47">
        <v>54</v>
      </c>
      <c r="J1030" s="47">
        <v>297</v>
      </c>
      <c r="K1030" s="47" t="s">
        <v>99</v>
      </c>
    </row>
    <row r="1031" spans="1:11">
      <c r="A1031" s="2">
        <v>43937</v>
      </c>
      <c r="C1031" s="47" t="s">
        <v>100</v>
      </c>
      <c r="E1031" s="47">
        <v>1740</v>
      </c>
      <c r="F1031" s="47">
        <v>91</v>
      </c>
      <c r="G1031" s="47">
        <v>17</v>
      </c>
      <c r="H1031" s="47">
        <v>12</v>
      </c>
      <c r="I1031" s="47">
        <v>178</v>
      </c>
      <c r="J1031" s="47">
        <v>95</v>
      </c>
      <c r="K1031" s="47" t="s">
        <v>419</v>
      </c>
    </row>
    <row r="1032" spans="1:11">
      <c r="A1032" s="2">
        <v>43937</v>
      </c>
      <c r="B1032" s="47">
        <v>0</v>
      </c>
      <c r="C1032" s="47" t="s">
        <v>83</v>
      </c>
      <c r="E1032" s="47">
        <v>343</v>
      </c>
      <c r="F1032" s="47">
        <v>22</v>
      </c>
      <c r="J1032" s="47">
        <v>8</v>
      </c>
      <c r="K1032" s="47" t="s">
        <v>387</v>
      </c>
    </row>
    <row r="1033" spans="1:11">
      <c r="A1033" s="2">
        <v>43937</v>
      </c>
      <c r="B1033" s="47">
        <v>0.33333333333333331</v>
      </c>
      <c r="C1033" s="47" t="s">
        <v>41</v>
      </c>
      <c r="E1033" s="47">
        <v>79</v>
      </c>
      <c r="J1033" s="47">
        <v>3</v>
      </c>
      <c r="K1033" s="47" t="s">
        <v>43</v>
      </c>
    </row>
    <row r="1034" spans="1:11">
      <c r="A1034" s="2">
        <v>43937</v>
      </c>
      <c r="B1034" s="47">
        <v>0.33333333333333331</v>
      </c>
      <c r="C1034" s="47" t="s">
        <v>44</v>
      </c>
      <c r="E1034" s="47">
        <v>1515</v>
      </c>
      <c r="F1034" s="47">
        <v>70</v>
      </c>
      <c r="G1034" s="47">
        <v>26</v>
      </c>
      <c r="H1034" s="47">
        <v>12</v>
      </c>
      <c r="J1034" s="47">
        <v>55</v>
      </c>
      <c r="K1034" s="47" t="s">
        <v>46</v>
      </c>
    </row>
    <row r="1035" spans="1:11">
      <c r="A1035" s="2">
        <v>43937</v>
      </c>
      <c r="B1035" s="47">
        <v>0.33333333333333331</v>
      </c>
      <c r="C1035" s="47" t="s">
        <v>91</v>
      </c>
      <c r="E1035" s="47">
        <v>2953</v>
      </c>
      <c r="F1035" s="47">
        <v>249</v>
      </c>
      <c r="G1035" s="47">
        <v>59</v>
      </c>
      <c r="H1035" s="47">
        <v>49</v>
      </c>
      <c r="I1035" s="47">
        <v>568</v>
      </c>
      <c r="J1035" s="47">
        <v>269</v>
      </c>
      <c r="K1035" s="47" t="s">
        <v>360</v>
      </c>
    </row>
    <row r="1036" spans="1:11">
      <c r="A1036" s="2">
        <v>43937</v>
      </c>
      <c r="B1036" s="47">
        <v>0.33333333333333331</v>
      </c>
      <c r="C1036" s="47" t="s">
        <v>102</v>
      </c>
      <c r="E1036" s="47">
        <v>171</v>
      </c>
      <c r="F1036" s="47">
        <v>9</v>
      </c>
      <c r="G1036" s="47">
        <v>7</v>
      </c>
      <c r="I1036" s="47">
        <v>94</v>
      </c>
      <c r="J1036" s="47">
        <v>6</v>
      </c>
      <c r="K1036" s="47" t="s">
        <v>381</v>
      </c>
    </row>
    <row r="1037" spans="1:11">
      <c r="A1037" s="2">
        <v>43937</v>
      </c>
      <c r="B1037" s="47">
        <v>0.375</v>
      </c>
      <c r="C1037" s="47" t="s">
        <v>50</v>
      </c>
      <c r="E1037" s="47">
        <v>912</v>
      </c>
      <c r="F1037" s="47">
        <v>76</v>
      </c>
      <c r="G1037" s="47">
        <v>6</v>
      </c>
      <c r="I1037" s="47">
        <v>711</v>
      </c>
      <c r="J1037" s="47">
        <v>37</v>
      </c>
      <c r="K1037" s="47" t="s">
        <v>343</v>
      </c>
    </row>
    <row r="1038" spans="1:11">
      <c r="A1038" s="2">
        <v>43937</v>
      </c>
      <c r="B1038" s="47">
        <v>0.39583333333333331</v>
      </c>
      <c r="C1038" s="47" t="s">
        <v>81</v>
      </c>
      <c r="E1038" s="47">
        <v>60</v>
      </c>
      <c r="F1038" s="47">
        <v>10</v>
      </c>
      <c r="G1038" s="47">
        <v>2</v>
      </c>
      <c r="J1038" s="47">
        <v>1</v>
      </c>
      <c r="K1038" s="47" t="s">
        <v>426</v>
      </c>
    </row>
    <row r="1039" spans="1:11">
      <c r="A1039" s="2">
        <v>43937</v>
      </c>
      <c r="B1039" s="47">
        <v>0.45833333333333331</v>
      </c>
      <c r="C1039" s="47" t="s">
        <v>38</v>
      </c>
      <c r="E1039" s="47">
        <v>24</v>
      </c>
      <c r="K1039" s="47" t="s">
        <v>40</v>
      </c>
    </row>
    <row r="1040" spans="1:11">
      <c r="A1040" s="2">
        <v>43937</v>
      </c>
      <c r="B1040" s="47">
        <v>0.52083333333333337</v>
      </c>
      <c r="C1040" s="47" t="s">
        <v>68</v>
      </c>
      <c r="E1040" s="47">
        <v>599</v>
      </c>
      <c r="F1040" s="47">
        <v>40</v>
      </c>
      <c r="G1040" s="47">
        <v>3</v>
      </c>
      <c r="J1040" s="47">
        <v>13</v>
      </c>
      <c r="K1040" s="47" t="s">
        <v>70</v>
      </c>
    </row>
    <row r="1041" spans="1:11">
      <c r="A1041" s="2">
        <v>43937</v>
      </c>
      <c r="B1041" s="47">
        <v>0.60416666666666663</v>
      </c>
      <c r="C1041" s="47" t="s">
        <v>104</v>
      </c>
      <c r="E1041" s="47">
        <v>3148</v>
      </c>
      <c r="F1041" s="47">
        <v>135</v>
      </c>
      <c r="H1041" s="47">
        <v>51</v>
      </c>
      <c r="J1041" s="47">
        <v>95</v>
      </c>
      <c r="K1041" s="47" t="s">
        <v>106</v>
      </c>
    </row>
    <row r="1042" spans="1:11">
      <c r="A1042" s="2">
        <v>43937</v>
      </c>
      <c r="B1042" s="47">
        <v>0.61458333333333337</v>
      </c>
      <c r="C1042" s="47" t="s">
        <v>34</v>
      </c>
      <c r="E1042" s="47">
        <v>943</v>
      </c>
      <c r="F1042" s="47">
        <v>61</v>
      </c>
      <c r="G1042" s="47">
        <v>20</v>
      </c>
      <c r="H1042" s="47">
        <v>20</v>
      </c>
      <c r="I1042" s="47">
        <v>500</v>
      </c>
      <c r="J1042" s="47">
        <v>23</v>
      </c>
      <c r="K1042" s="47" t="s">
        <v>358</v>
      </c>
    </row>
    <row r="1043" spans="1:11">
      <c r="A1043" s="2">
        <v>43937</v>
      </c>
      <c r="B1043" s="47">
        <v>0.625</v>
      </c>
      <c r="C1043" s="47" t="s">
        <v>94</v>
      </c>
      <c r="E1043" s="47">
        <v>78</v>
      </c>
      <c r="F1043" s="47">
        <v>2</v>
      </c>
      <c r="I1043" s="47">
        <v>62</v>
      </c>
      <c r="J1043" s="47">
        <v>5</v>
      </c>
      <c r="K1043" s="47" t="s">
        <v>96</v>
      </c>
    </row>
    <row r="1044" spans="1:11">
      <c r="A1044" s="2">
        <v>43937</v>
      </c>
      <c r="B1044" s="47">
        <v>0.64583333333333337</v>
      </c>
      <c r="C1044" s="47" t="s">
        <v>75</v>
      </c>
      <c r="E1044" s="47">
        <v>65</v>
      </c>
      <c r="F1044" s="47">
        <v>0</v>
      </c>
      <c r="J1044" s="47">
        <v>0</v>
      </c>
      <c r="K1044" s="47" t="s">
        <v>77</v>
      </c>
    </row>
    <row r="1045" spans="1:11">
      <c r="A1045" s="2">
        <v>43938</v>
      </c>
      <c r="C1045" s="47" t="s">
        <v>47</v>
      </c>
      <c r="E1045" s="47">
        <v>794</v>
      </c>
      <c r="F1045" s="47">
        <v>40</v>
      </c>
      <c r="G1045" s="47">
        <v>8</v>
      </c>
      <c r="H1045" s="47">
        <v>5</v>
      </c>
      <c r="I1045" s="47">
        <v>632</v>
      </c>
      <c r="J1045" s="47">
        <v>25</v>
      </c>
      <c r="K1045" s="47" t="s">
        <v>49</v>
      </c>
    </row>
    <row r="1046" spans="1:11">
      <c r="A1046" s="2">
        <v>43938</v>
      </c>
      <c r="C1046" s="47" t="s">
        <v>53</v>
      </c>
      <c r="E1046" s="47">
        <v>81</v>
      </c>
      <c r="J1046" s="47">
        <v>1</v>
      </c>
      <c r="K1046" s="47" t="s">
        <v>363</v>
      </c>
    </row>
    <row r="1047" spans="1:11">
      <c r="A1047" s="2">
        <v>43938</v>
      </c>
      <c r="C1047" s="47" t="s">
        <v>56</v>
      </c>
      <c r="E1047" s="47">
        <v>930</v>
      </c>
      <c r="F1047" s="47">
        <v>66</v>
      </c>
      <c r="G1047" s="47">
        <v>13</v>
      </c>
      <c r="I1047" s="47">
        <v>106</v>
      </c>
      <c r="J1047" s="47">
        <v>67</v>
      </c>
      <c r="K1047" s="47" t="s">
        <v>434</v>
      </c>
    </row>
    <row r="1048" spans="1:11">
      <c r="A1048" s="2">
        <v>43938</v>
      </c>
      <c r="C1048" s="47" t="s">
        <v>58</v>
      </c>
      <c r="D1048" s="47">
        <v>21185</v>
      </c>
      <c r="E1048" s="47">
        <v>4557</v>
      </c>
      <c r="F1048" s="47">
        <v>329</v>
      </c>
      <c r="G1048" s="47">
        <v>39</v>
      </c>
      <c r="H1048" s="47">
        <v>33</v>
      </c>
      <c r="I1048" s="47">
        <v>532</v>
      </c>
      <c r="J1048" s="47">
        <v>210</v>
      </c>
      <c r="K1048" s="47" t="s">
        <v>60</v>
      </c>
    </row>
    <row r="1049" spans="1:11">
      <c r="A1049" s="2">
        <v>43938</v>
      </c>
      <c r="C1049" s="47" t="s">
        <v>63</v>
      </c>
      <c r="E1049" s="47">
        <v>770</v>
      </c>
      <c r="F1049" s="47">
        <v>33</v>
      </c>
      <c r="J1049" s="47">
        <v>40</v>
      </c>
      <c r="K1049" s="47" t="s">
        <v>65</v>
      </c>
    </row>
    <row r="1050" spans="1:11">
      <c r="A1050" s="2">
        <v>43938</v>
      </c>
      <c r="C1050" s="47" t="s">
        <v>66</v>
      </c>
      <c r="E1050" s="47">
        <v>191</v>
      </c>
      <c r="F1050" s="47">
        <v>18</v>
      </c>
      <c r="G1050" s="47">
        <v>5</v>
      </c>
      <c r="J1050" s="47">
        <v>3</v>
      </c>
      <c r="K1050" s="47" t="s">
        <v>424</v>
      </c>
    </row>
    <row r="1051" spans="1:11">
      <c r="A1051" s="2">
        <v>43938</v>
      </c>
      <c r="C1051" s="47" t="s">
        <v>71</v>
      </c>
      <c r="E1051" s="47">
        <v>633</v>
      </c>
      <c r="F1051" s="47">
        <v>44</v>
      </c>
      <c r="G1051" s="47">
        <v>10</v>
      </c>
      <c r="H1051" s="47">
        <v>8</v>
      </c>
      <c r="J1051" s="47">
        <v>60</v>
      </c>
      <c r="K1051" s="47" t="s">
        <v>377</v>
      </c>
    </row>
    <row r="1052" spans="1:11">
      <c r="A1052" s="2">
        <v>43938</v>
      </c>
      <c r="C1052" s="47" t="s">
        <v>73</v>
      </c>
      <c r="E1052" s="47">
        <v>107</v>
      </c>
      <c r="F1052" s="47">
        <v>4</v>
      </c>
      <c r="G1052" s="47">
        <v>2</v>
      </c>
      <c r="J1052" s="47">
        <v>3</v>
      </c>
      <c r="K1052" s="47" t="s">
        <v>357</v>
      </c>
    </row>
    <row r="1053" spans="1:11">
      <c r="A1053" s="2">
        <v>43938</v>
      </c>
      <c r="C1053" s="47" t="s">
        <v>78</v>
      </c>
      <c r="E1053" s="47">
        <v>693</v>
      </c>
      <c r="F1053" s="47">
        <v>41</v>
      </c>
      <c r="G1053" s="47">
        <v>9</v>
      </c>
      <c r="I1053" s="47">
        <v>144</v>
      </c>
      <c r="J1053" s="47">
        <v>27</v>
      </c>
      <c r="K1053" s="47" t="s">
        <v>80</v>
      </c>
    </row>
    <row r="1054" spans="1:11">
      <c r="A1054" s="2">
        <v>43938</v>
      </c>
      <c r="C1054" s="47" t="s">
        <v>86</v>
      </c>
      <c r="E1054" s="47">
        <v>266</v>
      </c>
      <c r="I1054" s="47">
        <v>161</v>
      </c>
      <c r="J1054" s="47">
        <v>14</v>
      </c>
      <c r="K1054" s="47" t="s">
        <v>427</v>
      </c>
    </row>
    <row r="1055" spans="1:11">
      <c r="A1055" s="2">
        <v>43938</v>
      </c>
      <c r="C1055" s="47" t="s">
        <v>88</v>
      </c>
      <c r="E1055" s="47">
        <v>322</v>
      </c>
      <c r="F1055" s="47">
        <v>25</v>
      </c>
      <c r="G1055" s="47">
        <v>13</v>
      </c>
      <c r="J1055" s="47">
        <v>12</v>
      </c>
      <c r="K1055" s="47" t="s">
        <v>90</v>
      </c>
    </row>
    <row r="1056" spans="1:11">
      <c r="A1056" s="2">
        <v>43938</v>
      </c>
      <c r="C1056" s="47" t="s">
        <v>97</v>
      </c>
      <c r="E1056" s="47">
        <v>5029</v>
      </c>
      <c r="F1056" s="47">
        <v>228</v>
      </c>
      <c r="G1056" s="47">
        <v>53</v>
      </c>
      <c r="J1056" s="47">
        <v>303</v>
      </c>
      <c r="K1056" s="47" t="s">
        <v>99</v>
      </c>
    </row>
    <row r="1057" spans="1:11">
      <c r="A1057" s="2">
        <v>43938</v>
      </c>
      <c r="C1057" s="47" t="s">
        <v>100</v>
      </c>
      <c r="E1057" s="47">
        <v>1759</v>
      </c>
      <c r="F1057" s="47">
        <v>84</v>
      </c>
      <c r="G1057" s="47">
        <v>16</v>
      </c>
      <c r="H1057" s="47">
        <v>10</v>
      </c>
      <c r="I1057" s="47">
        <v>184</v>
      </c>
      <c r="J1057" s="47">
        <v>99</v>
      </c>
      <c r="K1057" s="47" t="s">
        <v>419</v>
      </c>
    </row>
    <row r="1058" spans="1:11">
      <c r="A1058" s="2">
        <v>43938</v>
      </c>
      <c r="B1058" s="47">
        <v>0</v>
      </c>
      <c r="C1058" s="47" t="s">
        <v>83</v>
      </c>
      <c r="E1058" s="47">
        <v>350</v>
      </c>
      <c r="F1058" s="47">
        <v>20</v>
      </c>
      <c r="J1058" s="47">
        <v>9</v>
      </c>
      <c r="K1058" s="47" t="s">
        <v>387</v>
      </c>
    </row>
    <row r="1059" spans="1:11">
      <c r="A1059" s="2">
        <v>43938</v>
      </c>
      <c r="B1059" s="47">
        <v>0.33333333333333331</v>
      </c>
      <c r="C1059" s="47" t="s">
        <v>44</v>
      </c>
      <c r="E1059" s="47">
        <v>1553</v>
      </c>
      <c r="F1059" s="47">
        <v>69</v>
      </c>
      <c r="G1059" s="47">
        <v>25</v>
      </c>
      <c r="H1059" s="47">
        <v>13</v>
      </c>
      <c r="J1059" s="47">
        <v>67</v>
      </c>
      <c r="K1059" s="47" t="s">
        <v>46</v>
      </c>
    </row>
    <row r="1060" spans="1:11">
      <c r="A1060" s="2">
        <v>43938</v>
      </c>
      <c r="B1060" s="47">
        <v>0.33333333333333331</v>
      </c>
      <c r="C1060" s="47" t="s">
        <v>91</v>
      </c>
      <c r="E1060" s="47">
        <v>2977</v>
      </c>
      <c r="F1060" s="47">
        <v>254</v>
      </c>
      <c r="G1060" s="47">
        <v>57</v>
      </c>
      <c r="H1060" s="47">
        <v>44</v>
      </c>
      <c r="I1060" s="47">
        <v>580</v>
      </c>
      <c r="J1060" s="47">
        <v>270</v>
      </c>
      <c r="K1060" s="47" t="s">
        <v>364</v>
      </c>
    </row>
    <row r="1061" spans="1:11">
      <c r="A1061" s="2">
        <v>43938</v>
      </c>
      <c r="B1061" s="47">
        <v>0.33333333333333331</v>
      </c>
      <c r="C1061" s="47" t="s">
        <v>102</v>
      </c>
      <c r="E1061" s="47">
        <v>172</v>
      </c>
      <c r="F1061" s="47">
        <v>8</v>
      </c>
      <c r="G1061" s="47">
        <v>6</v>
      </c>
      <c r="I1061" s="47">
        <v>96</v>
      </c>
      <c r="J1061" s="47">
        <v>6</v>
      </c>
      <c r="K1061" s="47" t="s">
        <v>381</v>
      </c>
    </row>
    <row r="1062" spans="1:11">
      <c r="A1062" s="2">
        <v>43938</v>
      </c>
      <c r="B1062" s="47">
        <v>0.375</v>
      </c>
      <c r="C1062" s="47" t="s">
        <v>50</v>
      </c>
      <c r="E1062" s="47">
        <v>918</v>
      </c>
      <c r="F1062" s="47">
        <v>68</v>
      </c>
      <c r="G1062" s="47">
        <v>7</v>
      </c>
      <c r="I1062" s="47">
        <v>720</v>
      </c>
      <c r="J1062" s="47">
        <v>37</v>
      </c>
      <c r="K1062" s="47" t="s">
        <v>362</v>
      </c>
    </row>
    <row r="1063" spans="1:11">
      <c r="A1063" s="2">
        <v>43938</v>
      </c>
      <c r="B1063" s="47">
        <v>0.39583333333333331</v>
      </c>
      <c r="C1063" s="47" t="s">
        <v>81</v>
      </c>
      <c r="E1063" s="47">
        <v>60</v>
      </c>
      <c r="F1063" s="47">
        <v>8</v>
      </c>
      <c r="G1063" s="47">
        <v>2</v>
      </c>
      <c r="J1063" s="47">
        <v>1</v>
      </c>
      <c r="K1063" s="47" t="s">
        <v>426</v>
      </c>
    </row>
    <row r="1064" spans="1:11">
      <c r="A1064" s="2">
        <v>43938</v>
      </c>
      <c r="B1064" s="47">
        <v>0.45833333333333331</v>
      </c>
      <c r="C1064" s="47" t="s">
        <v>38</v>
      </c>
      <c r="E1064" s="47">
        <v>24</v>
      </c>
      <c r="K1064" s="47" t="s">
        <v>40</v>
      </c>
    </row>
    <row r="1065" spans="1:11">
      <c r="A1065" s="2">
        <v>43938</v>
      </c>
      <c r="B1065" s="47">
        <v>0.45833333333333331</v>
      </c>
      <c r="C1065" s="47" t="s">
        <v>68</v>
      </c>
      <c r="E1065" s="47">
        <v>607</v>
      </c>
      <c r="F1065" s="47">
        <v>40</v>
      </c>
      <c r="G1065" s="47">
        <v>3</v>
      </c>
      <c r="J1065" s="47">
        <v>14</v>
      </c>
      <c r="K1065" s="47" t="s">
        <v>70</v>
      </c>
    </row>
    <row r="1066" spans="1:11">
      <c r="A1066" s="2">
        <v>43938</v>
      </c>
      <c r="B1066" s="47">
        <v>0.5</v>
      </c>
      <c r="C1066" s="47" t="s">
        <v>41</v>
      </c>
      <c r="E1066" s="47">
        <v>82</v>
      </c>
      <c r="J1066" s="47">
        <v>3</v>
      </c>
      <c r="K1066" s="47" t="s">
        <v>43</v>
      </c>
    </row>
    <row r="1067" spans="1:11">
      <c r="A1067" s="2">
        <v>43938</v>
      </c>
      <c r="B1067" s="47">
        <v>0.54166666666666663</v>
      </c>
      <c r="C1067" s="47" t="s">
        <v>61</v>
      </c>
      <c r="E1067" s="47">
        <v>108</v>
      </c>
      <c r="F1067" s="47">
        <v>4</v>
      </c>
      <c r="J1067" s="47">
        <v>3</v>
      </c>
      <c r="K1067" s="47" t="s">
        <v>430</v>
      </c>
    </row>
    <row r="1068" spans="1:11">
      <c r="A1068" s="2">
        <v>43938</v>
      </c>
      <c r="B1068" s="47">
        <v>0.58333333333333337</v>
      </c>
      <c r="C1068" s="47" t="s">
        <v>94</v>
      </c>
      <c r="E1068" s="47">
        <v>78</v>
      </c>
      <c r="F1068" s="47">
        <v>2</v>
      </c>
      <c r="I1068" s="47">
        <v>66</v>
      </c>
      <c r="J1068" s="47">
        <v>5</v>
      </c>
      <c r="K1068" s="47" t="s">
        <v>96</v>
      </c>
    </row>
    <row r="1069" spans="1:11">
      <c r="A1069" s="2">
        <v>43938</v>
      </c>
      <c r="B1069" s="47">
        <v>0.60416666666666663</v>
      </c>
      <c r="C1069" s="47" t="s">
        <v>104</v>
      </c>
      <c r="E1069" s="47">
        <v>3171</v>
      </c>
      <c r="F1069" s="47">
        <v>123</v>
      </c>
      <c r="H1069" s="47">
        <v>45</v>
      </c>
      <c r="J1069" s="47">
        <v>99</v>
      </c>
      <c r="K1069" s="47" t="s">
        <v>106</v>
      </c>
    </row>
    <row r="1070" spans="1:11">
      <c r="A1070" s="2">
        <v>43938</v>
      </c>
      <c r="B1070" s="47">
        <v>0.61458333333333337</v>
      </c>
      <c r="C1070" s="47" t="s">
        <v>34</v>
      </c>
      <c r="E1070" s="47">
        <v>960</v>
      </c>
      <c r="F1070" s="47">
        <v>58</v>
      </c>
      <c r="G1070" s="47">
        <v>20</v>
      </c>
      <c r="H1070" s="47">
        <v>20</v>
      </c>
      <c r="I1070" s="47">
        <v>540</v>
      </c>
      <c r="J1070" s="47">
        <v>24</v>
      </c>
      <c r="K1070" s="47" t="s">
        <v>361</v>
      </c>
    </row>
    <row r="1071" spans="1:11">
      <c r="A1071" s="2">
        <v>43938</v>
      </c>
      <c r="B1071" s="47">
        <v>0.66666666666666663</v>
      </c>
      <c r="C1071" s="47" t="s">
        <v>75</v>
      </c>
      <c r="E1071" s="47">
        <v>66</v>
      </c>
      <c r="F1071" s="47">
        <v>0</v>
      </c>
      <c r="J1071" s="47">
        <v>0</v>
      </c>
      <c r="K1071" s="47" t="s">
        <v>77</v>
      </c>
    </row>
    <row r="1072" spans="1:11">
      <c r="A1072" s="2">
        <v>43939</v>
      </c>
      <c r="C1072" s="47" t="s">
        <v>47</v>
      </c>
      <c r="E1072" s="47">
        <v>798</v>
      </c>
      <c r="F1072" s="47">
        <v>44</v>
      </c>
      <c r="G1072" s="47">
        <v>7</v>
      </c>
      <c r="H1072" s="47">
        <v>5</v>
      </c>
      <c r="I1072" s="47">
        <v>636</v>
      </c>
      <c r="J1072" s="47">
        <v>25</v>
      </c>
      <c r="K1072" s="47" t="s">
        <v>49</v>
      </c>
    </row>
    <row r="1073" spans="1:11">
      <c r="A1073" s="2">
        <v>43939</v>
      </c>
      <c r="C1073" s="47" t="s">
        <v>53</v>
      </c>
      <c r="E1073" s="47">
        <v>81</v>
      </c>
      <c r="J1073" s="47">
        <v>1</v>
      </c>
      <c r="K1073" s="47" t="s">
        <v>366</v>
      </c>
    </row>
    <row r="1074" spans="1:11">
      <c r="A1074" s="2">
        <v>43939</v>
      </c>
      <c r="C1074" s="47" t="s">
        <v>56</v>
      </c>
      <c r="E1074" s="47">
        <v>956</v>
      </c>
      <c r="F1074" s="47">
        <v>64</v>
      </c>
      <c r="G1074" s="47">
        <v>11</v>
      </c>
      <c r="I1074" s="47">
        <v>109</v>
      </c>
      <c r="J1074" s="47">
        <v>69</v>
      </c>
      <c r="K1074" s="47" t="s">
        <v>434</v>
      </c>
    </row>
    <row r="1075" spans="1:11">
      <c r="A1075" s="2">
        <v>43939</v>
      </c>
      <c r="C1075" s="47" t="s">
        <v>58</v>
      </c>
      <c r="D1075" s="47">
        <v>21626</v>
      </c>
      <c r="E1075" s="47">
        <v>4606</v>
      </c>
      <c r="F1075" s="47">
        <v>315</v>
      </c>
      <c r="G1075" s="47">
        <v>34</v>
      </c>
      <c r="H1075" s="47">
        <v>33</v>
      </c>
      <c r="I1075" s="47">
        <v>553</v>
      </c>
      <c r="J1075" s="47">
        <v>214</v>
      </c>
      <c r="K1075" s="47" t="s">
        <v>60</v>
      </c>
    </row>
    <row r="1076" spans="1:11">
      <c r="A1076" s="2">
        <v>43939</v>
      </c>
      <c r="C1076" s="47" t="s">
        <v>63</v>
      </c>
      <c r="E1076" s="47">
        <v>773</v>
      </c>
      <c r="F1076" s="47">
        <v>29</v>
      </c>
      <c r="J1076" s="47">
        <v>40</v>
      </c>
      <c r="K1076" s="47" t="s">
        <v>65</v>
      </c>
    </row>
    <row r="1077" spans="1:11">
      <c r="A1077" s="2">
        <v>43939</v>
      </c>
      <c r="C1077" s="47" t="s">
        <v>66</v>
      </c>
      <c r="E1077" s="47">
        <v>192</v>
      </c>
      <c r="F1077" s="47">
        <v>17</v>
      </c>
      <c r="G1077" s="47">
        <v>5</v>
      </c>
      <c r="J1077" s="47">
        <v>3</v>
      </c>
      <c r="K1077" s="47" t="s">
        <v>424</v>
      </c>
    </row>
    <row r="1078" spans="1:11">
      <c r="A1078" s="2">
        <v>43939</v>
      </c>
      <c r="C1078" s="47" t="s">
        <v>71</v>
      </c>
      <c r="E1078" s="47">
        <v>636</v>
      </c>
      <c r="F1078" s="47">
        <v>44</v>
      </c>
      <c r="G1078" s="47">
        <v>10</v>
      </c>
      <c r="H1078" s="47">
        <v>8</v>
      </c>
      <c r="J1078" s="47">
        <v>60</v>
      </c>
      <c r="K1078" s="47" t="s">
        <v>377</v>
      </c>
    </row>
    <row r="1079" spans="1:11">
      <c r="A1079" s="2">
        <v>43939</v>
      </c>
      <c r="C1079" s="47" t="s">
        <v>73</v>
      </c>
      <c r="E1079" s="47">
        <v>108</v>
      </c>
      <c r="F1079" s="47">
        <v>4</v>
      </c>
      <c r="G1079" s="47">
        <v>2</v>
      </c>
      <c r="J1079" s="47">
        <v>3</v>
      </c>
      <c r="K1079" s="47" t="s">
        <v>357</v>
      </c>
    </row>
    <row r="1080" spans="1:11">
      <c r="A1080" s="2">
        <v>43939</v>
      </c>
      <c r="C1080" s="47" t="s">
        <v>78</v>
      </c>
      <c r="E1080" s="47">
        <v>699</v>
      </c>
      <c r="F1080" s="47">
        <v>44</v>
      </c>
      <c r="G1080" s="47">
        <v>7</v>
      </c>
      <c r="I1080" s="47">
        <v>150</v>
      </c>
      <c r="J1080" s="47">
        <v>27</v>
      </c>
      <c r="K1080" s="47" t="s">
        <v>80</v>
      </c>
    </row>
    <row r="1081" spans="1:11">
      <c r="A1081" s="2">
        <v>43939</v>
      </c>
      <c r="C1081" s="47" t="s">
        <v>86</v>
      </c>
      <c r="E1081" s="47">
        <v>266</v>
      </c>
      <c r="I1081" s="47">
        <v>176</v>
      </c>
      <c r="J1081" s="47">
        <v>14</v>
      </c>
      <c r="K1081" s="47" t="s">
        <v>427</v>
      </c>
    </row>
    <row r="1082" spans="1:11">
      <c r="A1082" s="2">
        <v>43939</v>
      </c>
      <c r="C1082" s="47" t="s">
        <v>88</v>
      </c>
      <c r="E1082" s="47">
        <v>333</v>
      </c>
      <c r="F1082" s="47">
        <v>23</v>
      </c>
      <c r="G1082" s="47">
        <v>12</v>
      </c>
      <c r="J1082" s="47">
        <v>13</v>
      </c>
      <c r="K1082" s="47" t="s">
        <v>90</v>
      </c>
    </row>
    <row r="1083" spans="1:11">
      <c r="A1083" s="2">
        <v>43939</v>
      </c>
      <c r="C1083" s="47" t="s">
        <v>97</v>
      </c>
      <c r="E1083" s="47">
        <v>5051</v>
      </c>
      <c r="F1083" s="47">
        <v>225</v>
      </c>
      <c r="G1083" s="47">
        <v>50</v>
      </c>
      <c r="J1083" s="47">
        <v>311</v>
      </c>
      <c r="K1083" s="47" t="s">
        <v>99</v>
      </c>
    </row>
    <row r="1084" spans="1:11">
      <c r="A1084" s="2">
        <v>43939</v>
      </c>
      <c r="C1084" s="47" t="s">
        <v>100</v>
      </c>
      <c r="E1084" s="47">
        <v>1768</v>
      </c>
      <c r="F1084" s="47">
        <v>83</v>
      </c>
      <c r="G1084" s="47">
        <v>18</v>
      </c>
      <c r="H1084" s="47">
        <v>10</v>
      </c>
      <c r="I1084" s="47">
        <v>185</v>
      </c>
      <c r="J1084" s="47">
        <v>104</v>
      </c>
      <c r="K1084" s="47" t="s">
        <v>419</v>
      </c>
    </row>
    <row r="1085" spans="1:11">
      <c r="A1085" s="2">
        <v>43939</v>
      </c>
      <c r="B1085" s="47">
        <v>0</v>
      </c>
      <c r="C1085" s="47" t="s">
        <v>83</v>
      </c>
      <c r="E1085" s="47">
        <v>353</v>
      </c>
      <c r="F1085" s="47">
        <v>19</v>
      </c>
      <c r="J1085" s="47">
        <v>10</v>
      </c>
      <c r="K1085" s="47" t="s">
        <v>387</v>
      </c>
    </row>
    <row r="1086" spans="1:11">
      <c r="A1086" s="2">
        <v>43939</v>
      </c>
      <c r="B1086" s="47">
        <v>0.33333333333333331</v>
      </c>
      <c r="C1086" s="47" t="s">
        <v>44</v>
      </c>
      <c r="E1086" s="47">
        <v>1586</v>
      </c>
      <c r="F1086" s="47">
        <v>71</v>
      </c>
      <c r="G1086" s="47">
        <v>22</v>
      </c>
      <c r="H1086" s="47">
        <v>12</v>
      </c>
      <c r="J1086" s="47">
        <v>69</v>
      </c>
      <c r="K1086" s="47" t="s">
        <v>46</v>
      </c>
    </row>
    <row r="1087" spans="1:11">
      <c r="A1087" s="2">
        <v>43939</v>
      </c>
      <c r="B1087" s="47">
        <v>0.33333333333333331</v>
      </c>
      <c r="C1087" s="47" t="s">
        <v>91</v>
      </c>
      <c r="E1087" s="47">
        <v>2994</v>
      </c>
      <c r="F1087" s="47">
        <v>244</v>
      </c>
      <c r="G1087" s="47">
        <v>56</v>
      </c>
      <c r="H1087" s="47">
        <v>42</v>
      </c>
      <c r="I1087" s="47">
        <v>606</v>
      </c>
      <c r="J1087" s="47">
        <v>277</v>
      </c>
      <c r="K1087" s="47" t="s">
        <v>367</v>
      </c>
    </row>
    <row r="1088" spans="1:11">
      <c r="A1088" s="2">
        <v>43939</v>
      </c>
      <c r="B1088" s="47">
        <v>0.33333333333333331</v>
      </c>
      <c r="C1088" s="47" t="s">
        <v>102</v>
      </c>
      <c r="E1088" s="47">
        <v>174</v>
      </c>
      <c r="F1088" s="47">
        <v>6</v>
      </c>
      <c r="G1088" s="47">
        <v>6</v>
      </c>
      <c r="I1088" s="47">
        <v>99</v>
      </c>
      <c r="J1088" s="47">
        <v>7</v>
      </c>
      <c r="K1088" s="47" t="s">
        <v>381</v>
      </c>
    </row>
    <row r="1089" spans="1:11">
      <c r="A1089" s="2">
        <v>43939</v>
      </c>
      <c r="B1089" s="47">
        <v>0.39583333333333331</v>
      </c>
      <c r="C1089" s="47" t="s">
        <v>81</v>
      </c>
      <c r="E1089" s="47">
        <v>61</v>
      </c>
      <c r="F1089" s="47">
        <v>11</v>
      </c>
      <c r="G1089" s="47">
        <v>4</v>
      </c>
      <c r="J1089" s="47">
        <v>1</v>
      </c>
      <c r="K1089" s="47" t="s">
        <v>426</v>
      </c>
    </row>
    <row r="1090" spans="1:11">
      <c r="A1090" s="2">
        <v>43939</v>
      </c>
      <c r="B1090" s="47">
        <v>0.40625</v>
      </c>
      <c r="C1090" s="47" t="s">
        <v>50</v>
      </c>
      <c r="E1090" s="47">
        <v>924</v>
      </c>
      <c r="I1090" s="47">
        <v>753</v>
      </c>
      <c r="J1090" s="47">
        <v>40</v>
      </c>
      <c r="K1090" s="47" t="s">
        <v>365</v>
      </c>
    </row>
    <row r="1091" spans="1:11">
      <c r="A1091" s="2">
        <v>43939</v>
      </c>
      <c r="B1091" s="47">
        <v>0.52083333333333337</v>
      </c>
      <c r="C1091" s="47" t="s">
        <v>68</v>
      </c>
      <c r="E1091" s="47">
        <v>623</v>
      </c>
      <c r="F1091" s="47">
        <v>26</v>
      </c>
      <c r="G1091" s="47">
        <v>4</v>
      </c>
      <c r="J1091" s="47">
        <v>15</v>
      </c>
      <c r="K1091" s="47" t="s">
        <v>70</v>
      </c>
    </row>
    <row r="1092" spans="1:11">
      <c r="A1092" s="2">
        <v>43939</v>
      </c>
      <c r="B1092" s="47">
        <v>0.54166666666666663</v>
      </c>
      <c r="C1092" s="47" t="s">
        <v>61</v>
      </c>
      <c r="E1092" s="47">
        <v>111</v>
      </c>
      <c r="F1092" s="47">
        <v>4</v>
      </c>
      <c r="J1092" s="47">
        <v>3</v>
      </c>
      <c r="K1092" s="47" t="s">
        <v>430</v>
      </c>
    </row>
    <row r="1093" spans="1:11">
      <c r="A1093" s="2">
        <v>43939</v>
      </c>
      <c r="B1093" s="47">
        <v>0.60416666666666663</v>
      </c>
      <c r="C1093" s="47" t="s">
        <v>104</v>
      </c>
      <c r="E1093" s="47">
        <v>3211</v>
      </c>
      <c r="F1093" s="47">
        <v>114</v>
      </c>
      <c r="H1093" s="47">
        <v>44</v>
      </c>
      <c r="J1093" s="47">
        <v>105</v>
      </c>
      <c r="K1093" s="47" t="s">
        <v>106</v>
      </c>
    </row>
    <row r="1094" spans="1:11">
      <c r="A1094" s="2">
        <v>43939</v>
      </c>
      <c r="B1094" s="47">
        <v>0.61458333333333337</v>
      </c>
      <c r="C1094" s="47" t="s">
        <v>34</v>
      </c>
      <c r="E1094" s="47">
        <v>987</v>
      </c>
      <c r="J1094" s="47">
        <v>25</v>
      </c>
      <c r="K1094" s="47" t="s">
        <v>352</v>
      </c>
    </row>
    <row r="1095" spans="1:11">
      <c r="A1095" s="2">
        <v>43939</v>
      </c>
      <c r="B1095" s="47">
        <v>0.625</v>
      </c>
      <c r="C1095" s="47" t="s">
        <v>94</v>
      </c>
      <c r="E1095" s="47">
        <v>78</v>
      </c>
      <c r="F1095" s="47">
        <v>2</v>
      </c>
      <c r="I1095" s="47">
        <v>69</v>
      </c>
      <c r="J1095" s="47">
        <v>5</v>
      </c>
      <c r="K1095" s="47" t="s">
        <v>96</v>
      </c>
    </row>
    <row r="1096" spans="1:11">
      <c r="A1096" s="2">
        <v>43940</v>
      </c>
      <c r="C1096" s="47" t="s">
        <v>47</v>
      </c>
      <c r="E1096" s="47">
        <v>803</v>
      </c>
      <c r="F1096" s="47">
        <v>40</v>
      </c>
      <c r="G1096" s="47">
        <v>7</v>
      </c>
      <c r="H1096" s="47">
        <v>5</v>
      </c>
      <c r="I1096" s="47">
        <v>653</v>
      </c>
      <c r="J1096" s="47">
        <v>25</v>
      </c>
      <c r="K1096" s="47" t="s">
        <v>49</v>
      </c>
    </row>
    <row r="1097" spans="1:11">
      <c r="A1097" s="2">
        <v>43940</v>
      </c>
      <c r="C1097" s="47" t="s">
        <v>53</v>
      </c>
      <c r="E1097" s="47">
        <v>81</v>
      </c>
      <c r="J1097" s="47">
        <v>1</v>
      </c>
      <c r="K1097" s="47" t="s">
        <v>369</v>
      </c>
    </row>
    <row r="1098" spans="1:11">
      <c r="A1098" s="2">
        <v>43940</v>
      </c>
      <c r="C1098" s="47" t="s">
        <v>56</v>
      </c>
      <c r="E1098" s="47">
        <v>980</v>
      </c>
      <c r="F1098" s="47">
        <v>61</v>
      </c>
      <c r="G1098" s="47">
        <v>12</v>
      </c>
      <c r="I1098" s="47">
        <v>113</v>
      </c>
      <c r="J1098" s="47">
        <v>71</v>
      </c>
      <c r="K1098" s="47" t="s">
        <v>434</v>
      </c>
    </row>
    <row r="1099" spans="1:11">
      <c r="A1099" s="2">
        <v>43940</v>
      </c>
      <c r="C1099" s="47" t="s">
        <v>58</v>
      </c>
      <c r="D1099" s="47">
        <v>21808</v>
      </c>
      <c r="E1099" s="47">
        <v>4617</v>
      </c>
      <c r="F1099" s="47">
        <v>315</v>
      </c>
      <c r="G1099" s="47">
        <v>35</v>
      </c>
      <c r="H1099" s="47">
        <v>33</v>
      </c>
      <c r="I1099" s="47">
        <v>558</v>
      </c>
      <c r="J1099" s="47">
        <v>217</v>
      </c>
      <c r="K1099" s="47" t="s">
        <v>60</v>
      </c>
    </row>
    <row r="1100" spans="1:11">
      <c r="A1100" s="2">
        <v>43940</v>
      </c>
      <c r="C1100" s="47" t="s">
        <v>63</v>
      </c>
      <c r="E1100" s="47">
        <v>778</v>
      </c>
      <c r="F1100" s="47">
        <v>28</v>
      </c>
      <c r="J1100" s="47">
        <v>41</v>
      </c>
      <c r="K1100" s="47" t="s">
        <v>65</v>
      </c>
    </row>
    <row r="1101" spans="1:11">
      <c r="A1101" s="2">
        <v>43940</v>
      </c>
      <c r="C1101" s="47" t="s">
        <v>66</v>
      </c>
      <c r="E1101" s="47">
        <v>192</v>
      </c>
      <c r="F1101" s="47">
        <v>16</v>
      </c>
      <c r="G1101" s="47">
        <v>5</v>
      </c>
      <c r="J1101" s="47">
        <v>5</v>
      </c>
      <c r="K1101" s="47" t="s">
        <v>424</v>
      </c>
    </row>
    <row r="1102" spans="1:11">
      <c r="A1102" s="2">
        <v>43940</v>
      </c>
      <c r="C1102" s="47" t="s">
        <v>71</v>
      </c>
      <c r="E1102" s="47">
        <v>637</v>
      </c>
      <c r="F1102" s="47">
        <v>43</v>
      </c>
      <c r="G1102" s="47">
        <v>9</v>
      </c>
      <c r="H1102" s="47">
        <v>4</v>
      </c>
      <c r="J1102" s="47">
        <v>62</v>
      </c>
      <c r="K1102" s="47" t="s">
        <v>377</v>
      </c>
    </row>
    <row r="1103" spans="1:11">
      <c r="A1103" s="2">
        <v>43940</v>
      </c>
      <c r="C1103" s="47" t="s">
        <v>73</v>
      </c>
      <c r="E1103" s="47">
        <v>108</v>
      </c>
      <c r="F1103" s="47">
        <v>4</v>
      </c>
      <c r="G1103" s="47">
        <v>2</v>
      </c>
      <c r="J1103" s="47">
        <v>3</v>
      </c>
      <c r="K1103" s="47" t="s">
        <v>357</v>
      </c>
    </row>
    <row r="1104" spans="1:11">
      <c r="A1104" s="2">
        <v>43940</v>
      </c>
      <c r="C1104" s="47" t="s">
        <v>78</v>
      </c>
      <c r="E1104" s="47">
        <v>705</v>
      </c>
      <c r="F1104" s="47">
        <v>45</v>
      </c>
      <c r="G1104" s="47">
        <v>7</v>
      </c>
      <c r="I1104" s="47">
        <v>150</v>
      </c>
      <c r="J1104" s="47">
        <v>27</v>
      </c>
      <c r="K1104" s="47" t="s">
        <v>80</v>
      </c>
    </row>
    <row r="1105" spans="1:11">
      <c r="A1105" s="2">
        <v>43940</v>
      </c>
      <c r="C1105" s="47" t="s">
        <v>86</v>
      </c>
      <c r="E1105" s="47">
        <v>268</v>
      </c>
      <c r="I1105" s="47">
        <v>180</v>
      </c>
      <c r="J1105" s="47">
        <v>15</v>
      </c>
      <c r="K1105" s="47" t="s">
        <v>427</v>
      </c>
    </row>
    <row r="1106" spans="1:11">
      <c r="A1106" s="2">
        <v>43940</v>
      </c>
      <c r="C1106" s="47" t="s">
        <v>88</v>
      </c>
      <c r="E1106" s="47">
        <v>334</v>
      </c>
      <c r="F1106" s="47">
        <v>23</v>
      </c>
      <c r="G1106" s="47">
        <v>12</v>
      </c>
      <c r="J1106" s="47">
        <v>13</v>
      </c>
      <c r="K1106" s="47" t="s">
        <v>90</v>
      </c>
    </row>
    <row r="1107" spans="1:11">
      <c r="A1107" s="2">
        <v>43940</v>
      </c>
      <c r="C1107" s="47" t="s">
        <v>97</v>
      </c>
      <c r="E1107" s="47">
        <v>5062</v>
      </c>
      <c r="F1107" s="47">
        <v>227</v>
      </c>
      <c r="G1107" s="47">
        <v>50</v>
      </c>
      <c r="J1107" s="47">
        <v>316</v>
      </c>
      <c r="K1107" s="47" t="s">
        <v>99</v>
      </c>
    </row>
    <row r="1108" spans="1:11">
      <c r="A1108" s="2">
        <v>43940</v>
      </c>
      <c r="C1108" s="47" t="s">
        <v>100</v>
      </c>
      <c r="E1108" s="47">
        <v>1775</v>
      </c>
      <c r="F1108" s="47">
        <v>81</v>
      </c>
      <c r="G1108" s="47">
        <v>16</v>
      </c>
      <c r="H1108" s="47">
        <v>9</v>
      </c>
      <c r="I1108" s="47">
        <v>204</v>
      </c>
      <c r="J1108" s="47">
        <v>107</v>
      </c>
      <c r="K1108" s="47" t="s">
        <v>419</v>
      </c>
    </row>
    <row r="1109" spans="1:11">
      <c r="A1109" s="2">
        <v>43940</v>
      </c>
      <c r="B1109" s="47">
        <v>0</v>
      </c>
      <c r="C1109" s="47" t="s">
        <v>83</v>
      </c>
      <c r="E1109" s="47">
        <v>355</v>
      </c>
      <c r="F1109" s="47">
        <v>19</v>
      </c>
      <c r="J1109" s="47">
        <v>11</v>
      </c>
      <c r="K1109" s="47" t="s">
        <v>387</v>
      </c>
    </row>
    <row r="1110" spans="1:11">
      <c r="A1110" s="2">
        <v>43940</v>
      </c>
      <c r="B1110" s="47">
        <v>0.33333333333333331</v>
      </c>
      <c r="C1110" s="47" t="s">
        <v>44</v>
      </c>
      <c r="E1110" s="47">
        <v>1599</v>
      </c>
      <c r="F1110" s="47">
        <v>78</v>
      </c>
      <c r="G1110" s="47">
        <v>20</v>
      </c>
      <c r="H1110" s="47">
        <v>13</v>
      </c>
      <c r="J1110" s="47">
        <v>69</v>
      </c>
      <c r="K1110" s="47" t="s">
        <v>46</v>
      </c>
    </row>
    <row r="1111" spans="1:11">
      <c r="A1111" s="2">
        <v>43940</v>
      </c>
      <c r="B1111" s="47">
        <v>0.33333333333333331</v>
      </c>
      <c r="C1111" s="47" t="s">
        <v>91</v>
      </c>
      <c r="E1111" s="47">
        <v>3032</v>
      </c>
      <c r="F1111" s="47">
        <v>237</v>
      </c>
      <c r="G1111" s="47">
        <v>54</v>
      </c>
      <c r="H1111" s="47">
        <v>42</v>
      </c>
      <c r="I1111" s="47">
        <v>616</v>
      </c>
      <c r="J1111" s="47">
        <v>281</v>
      </c>
      <c r="K1111" s="47" t="s">
        <v>370</v>
      </c>
    </row>
    <row r="1112" spans="1:11">
      <c r="A1112" s="2">
        <v>43940</v>
      </c>
      <c r="B1112" s="47">
        <v>0.33333333333333331</v>
      </c>
      <c r="C1112" s="47" t="s">
        <v>102</v>
      </c>
      <c r="E1112" s="47">
        <v>175</v>
      </c>
      <c r="F1112" s="47">
        <v>11</v>
      </c>
      <c r="G1112" s="47">
        <v>6</v>
      </c>
      <c r="I1112" s="47">
        <v>99</v>
      </c>
      <c r="J1112" s="47">
        <v>7</v>
      </c>
      <c r="K1112" s="47" t="s">
        <v>381</v>
      </c>
    </row>
    <row r="1113" spans="1:11">
      <c r="A1113" s="2">
        <v>43940</v>
      </c>
      <c r="B1113" s="47">
        <v>0.39583333333333331</v>
      </c>
      <c r="C1113" s="47" t="s">
        <v>81</v>
      </c>
      <c r="E1113" s="47">
        <v>62</v>
      </c>
      <c r="F1113" s="47">
        <v>6</v>
      </c>
      <c r="G1113" s="47">
        <v>2</v>
      </c>
      <c r="J1113" s="47">
        <v>1</v>
      </c>
      <c r="K1113" s="47" t="s">
        <v>426</v>
      </c>
    </row>
    <row r="1114" spans="1:11">
      <c r="A1114" s="2">
        <v>43940</v>
      </c>
      <c r="B1114" s="47">
        <v>0.41666666666666669</v>
      </c>
      <c r="C1114" s="47" t="s">
        <v>50</v>
      </c>
      <c r="E1114" s="47">
        <v>927</v>
      </c>
      <c r="I1114" s="47">
        <v>764</v>
      </c>
      <c r="J1114" s="47">
        <v>40</v>
      </c>
      <c r="K1114" s="47" t="s">
        <v>368</v>
      </c>
    </row>
    <row r="1115" spans="1:11">
      <c r="A1115" s="2">
        <v>43940</v>
      </c>
      <c r="B1115" s="47">
        <v>0.45833333333333331</v>
      </c>
      <c r="C1115" s="47" t="s">
        <v>38</v>
      </c>
      <c r="E1115" s="47">
        <v>24</v>
      </c>
      <c r="K1115" s="47" t="s">
        <v>40</v>
      </c>
    </row>
    <row r="1116" spans="1:11">
      <c r="A1116" s="2">
        <v>43940</v>
      </c>
      <c r="B1116" s="47">
        <v>0.45833333333333331</v>
      </c>
      <c r="C1116" s="47" t="s">
        <v>68</v>
      </c>
      <c r="E1116" s="47">
        <v>626</v>
      </c>
      <c r="F1116" s="47">
        <v>26</v>
      </c>
      <c r="G1116" s="47">
        <v>4</v>
      </c>
      <c r="J1116" s="47">
        <v>15</v>
      </c>
      <c r="K1116" s="47" t="s">
        <v>70</v>
      </c>
    </row>
    <row r="1117" spans="1:11">
      <c r="A1117" s="2">
        <v>43940</v>
      </c>
      <c r="B1117" s="47">
        <v>0.54166666666666663</v>
      </c>
      <c r="C1117" s="47" t="s">
        <v>61</v>
      </c>
      <c r="E1117" s="47">
        <v>111</v>
      </c>
      <c r="F1117" s="47">
        <v>4</v>
      </c>
      <c r="J1117" s="47">
        <v>3</v>
      </c>
      <c r="K1117" s="47" t="s">
        <v>430</v>
      </c>
    </row>
    <row r="1118" spans="1:11">
      <c r="A1118" s="2">
        <v>43940</v>
      </c>
      <c r="B1118" s="47">
        <v>0.54166666666666663</v>
      </c>
      <c r="C1118" s="47" t="s">
        <v>94</v>
      </c>
      <c r="E1118" s="47">
        <v>78</v>
      </c>
      <c r="F1118" s="47">
        <v>2</v>
      </c>
      <c r="I1118" s="47">
        <v>69</v>
      </c>
      <c r="J1118" s="47">
        <v>5</v>
      </c>
      <c r="K1118" s="47" t="s">
        <v>96</v>
      </c>
    </row>
    <row r="1119" spans="1:11">
      <c r="A1119" s="2">
        <v>43940</v>
      </c>
      <c r="B1119" s="47">
        <v>0.60416666666666663</v>
      </c>
      <c r="C1119" s="47" t="s">
        <v>104</v>
      </c>
      <c r="E1119" s="47">
        <v>3238</v>
      </c>
      <c r="F1119" s="47">
        <v>116</v>
      </c>
      <c r="H1119" s="47">
        <v>43</v>
      </c>
      <c r="J1119" s="47">
        <v>105</v>
      </c>
      <c r="K1119" s="47" t="s">
        <v>106</v>
      </c>
    </row>
    <row r="1120" spans="1:11">
      <c r="A1120" s="2">
        <v>43940</v>
      </c>
      <c r="B1120" s="47">
        <v>0.61458333333333337</v>
      </c>
      <c r="C1120" s="47" t="s">
        <v>34</v>
      </c>
      <c r="E1120" s="47">
        <v>1003</v>
      </c>
      <c r="J1120" s="47">
        <v>25</v>
      </c>
      <c r="K1120" s="47" t="s">
        <v>352</v>
      </c>
    </row>
    <row r="1121" spans="1:11">
      <c r="A1121" s="2">
        <v>43941</v>
      </c>
      <c r="C1121" s="47" t="s">
        <v>47</v>
      </c>
      <c r="E1121" s="47">
        <v>806</v>
      </c>
      <c r="F1121" s="47">
        <v>40</v>
      </c>
      <c r="G1121" s="47">
        <v>6</v>
      </c>
      <c r="H1121" s="47">
        <v>3</v>
      </c>
      <c r="I1121" s="47">
        <v>664</v>
      </c>
      <c r="J1121" s="47">
        <v>25</v>
      </c>
      <c r="K1121" s="47" t="s">
        <v>49</v>
      </c>
    </row>
    <row r="1122" spans="1:11">
      <c r="A1122" s="2">
        <v>43941</v>
      </c>
      <c r="C1122" s="47" t="s">
        <v>53</v>
      </c>
      <c r="E1122" s="47">
        <v>81</v>
      </c>
      <c r="J1122" s="47">
        <v>1</v>
      </c>
      <c r="K1122" s="47" t="s">
        <v>354</v>
      </c>
    </row>
    <row r="1123" spans="1:11">
      <c r="A1123" s="2">
        <v>43941</v>
      </c>
      <c r="C1123" s="47" t="s">
        <v>56</v>
      </c>
      <c r="E1123" s="47">
        <v>989</v>
      </c>
      <c r="F1123" s="47">
        <v>62</v>
      </c>
      <c r="G1123" s="47">
        <v>11</v>
      </c>
      <c r="I1123" s="47">
        <v>113</v>
      </c>
      <c r="J1123" s="47">
        <v>72</v>
      </c>
      <c r="K1123" s="47" t="s">
        <v>434</v>
      </c>
    </row>
    <row r="1124" spans="1:11">
      <c r="A1124" s="2">
        <v>43941</v>
      </c>
      <c r="C1124" s="47" t="s">
        <v>58</v>
      </c>
      <c r="D1124" s="47">
        <v>22182</v>
      </c>
      <c r="E1124" s="47">
        <v>4644</v>
      </c>
      <c r="F1124" s="47">
        <v>321</v>
      </c>
      <c r="G1124" s="47">
        <v>34</v>
      </c>
      <c r="H1124" s="47">
        <v>29</v>
      </c>
      <c r="I1124" s="47">
        <v>561</v>
      </c>
      <c r="J1124" s="47">
        <v>219</v>
      </c>
      <c r="K1124" s="47" t="s">
        <v>60</v>
      </c>
    </row>
    <row r="1125" spans="1:11">
      <c r="A1125" s="2">
        <v>43941</v>
      </c>
      <c r="C1125" s="47" t="s">
        <v>63</v>
      </c>
      <c r="E1125" s="47">
        <v>785</v>
      </c>
      <c r="F1125" s="47">
        <v>29</v>
      </c>
      <c r="J1125" s="47">
        <v>42</v>
      </c>
      <c r="K1125" s="47" t="s">
        <v>65</v>
      </c>
    </row>
    <row r="1126" spans="1:11">
      <c r="A1126" s="2">
        <v>43941</v>
      </c>
      <c r="C1126" s="47" t="s">
        <v>66</v>
      </c>
      <c r="E1126" s="47">
        <v>195</v>
      </c>
      <c r="F1126" s="47">
        <v>14</v>
      </c>
      <c r="G1126" s="47">
        <v>4</v>
      </c>
      <c r="J1126" s="47">
        <v>6</v>
      </c>
      <c r="K1126" s="47" t="s">
        <v>424</v>
      </c>
    </row>
    <row r="1127" spans="1:11">
      <c r="A1127" s="2">
        <v>43941</v>
      </c>
      <c r="C1127" s="47" t="s">
        <v>71</v>
      </c>
      <c r="E1127" s="47">
        <v>647</v>
      </c>
      <c r="F1127" s="47">
        <v>44</v>
      </c>
      <c r="G1127" s="47">
        <v>10</v>
      </c>
      <c r="H1127" s="47">
        <v>5</v>
      </c>
      <c r="J1127" s="47">
        <v>65</v>
      </c>
      <c r="K1127" s="47" t="s">
        <v>377</v>
      </c>
    </row>
    <row r="1128" spans="1:11">
      <c r="A1128" s="2">
        <v>43941</v>
      </c>
      <c r="C1128" s="47" t="s">
        <v>73</v>
      </c>
      <c r="E1128" s="47">
        <v>108</v>
      </c>
      <c r="F1128" s="47">
        <v>4</v>
      </c>
      <c r="G1128" s="47">
        <v>2</v>
      </c>
      <c r="J1128" s="47">
        <v>3</v>
      </c>
      <c r="K1128" s="47" t="s">
        <v>357</v>
      </c>
    </row>
    <row r="1129" spans="1:11">
      <c r="A1129" s="2">
        <v>43941</v>
      </c>
      <c r="C1129" s="47" t="s">
        <v>78</v>
      </c>
      <c r="E1129" s="47">
        <v>711</v>
      </c>
      <c r="F1129" s="47">
        <v>42</v>
      </c>
      <c r="G1129" s="47">
        <v>7</v>
      </c>
      <c r="I1129" s="47">
        <v>159</v>
      </c>
      <c r="J1129" s="47">
        <v>27</v>
      </c>
      <c r="K1129" s="47" t="s">
        <v>80</v>
      </c>
    </row>
    <row r="1130" spans="1:11">
      <c r="A1130" s="2">
        <v>43941</v>
      </c>
      <c r="C1130" s="47" t="s">
        <v>86</v>
      </c>
      <c r="E1130" s="47">
        <v>272</v>
      </c>
      <c r="I1130" s="47">
        <v>180</v>
      </c>
      <c r="J1130" s="47">
        <v>15</v>
      </c>
      <c r="K1130" s="47" t="s">
        <v>427</v>
      </c>
    </row>
    <row r="1131" spans="1:11">
      <c r="A1131" s="2">
        <v>43941</v>
      </c>
      <c r="C1131" s="47" t="s">
        <v>88</v>
      </c>
      <c r="E1131" s="47">
        <v>336</v>
      </c>
      <c r="F1131" s="47">
        <v>24</v>
      </c>
      <c r="G1131" s="47">
        <v>12</v>
      </c>
      <c r="J1131" s="47">
        <v>13</v>
      </c>
      <c r="K1131" s="47" t="s">
        <v>90</v>
      </c>
    </row>
    <row r="1132" spans="1:11">
      <c r="A1132" s="2">
        <v>43941</v>
      </c>
      <c r="C1132" s="47" t="s">
        <v>97</v>
      </c>
      <c r="E1132" s="47">
        <v>5094</v>
      </c>
      <c r="F1132" s="47">
        <v>210</v>
      </c>
      <c r="G1132" s="47">
        <v>44</v>
      </c>
      <c r="J1132" s="47">
        <v>327</v>
      </c>
      <c r="K1132" s="47" t="s">
        <v>99</v>
      </c>
    </row>
    <row r="1133" spans="1:11">
      <c r="A1133" s="2">
        <v>43941</v>
      </c>
      <c r="C1133" s="47" t="s">
        <v>100</v>
      </c>
      <c r="E1133" s="47">
        <v>1792</v>
      </c>
      <c r="F1133" s="47">
        <v>76</v>
      </c>
      <c r="G1133" s="47">
        <v>15</v>
      </c>
      <c r="H1133" s="47">
        <v>9</v>
      </c>
      <c r="I1133" s="47">
        <v>206</v>
      </c>
      <c r="J1133" s="47">
        <v>110</v>
      </c>
      <c r="K1133" s="47" t="s">
        <v>419</v>
      </c>
    </row>
    <row r="1134" spans="1:11">
      <c r="A1134" s="2">
        <v>43941</v>
      </c>
      <c r="B1134" s="47">
        <v>0</v>
      </c>
      <c r="C1134" s="47" t="s">
        <v>83</v>
      </c>
      <c r="E1134" s="47">
        <v>355</v>
      </c>
      <c r="F1134" s="47">
        <v>19</v>
      </c>
      <c r="J1134" s="47">
        <v>11</v>
      </c>
      <c r="K1134" s="47" t="s">
        <v>387</v>
      </c>
    </row>
    <row r="1135" spans="1:11">
      <c r="A1135" s="2">
        <v>43941</v>
      </c>
      <c r="B1135" s="47">
        <v>0.33333333333333331</v>
      </c>
      <c r="C1135" s="47" t="s">
        <v>44</v>
      </c>
      <c r="E1135" s="47">
        <v>1613</v>
      </c>
      <c r="F1135" s="47">
        <v>71</v>
      </c>
      <c r="G1135" s="47">
        <v>19</v>
      </c>
      <c r="H1135" s="47">
        <v>11</v>
      </c>
      <c r="J1135" s="47">
        <v>73</v>
      </c>
      <c r="K1135" s="47" t="s">
        <v>46</v>
      </c>
    </row>
    <row r="1136" spans="1:11">
      <c r="A1136" s="2">
        <v>43941</v>
      </c>
      <c r="B1136" s="47">
        <v>0.33333333333333331</v>
      </c>
      <c r="C1136" s="47" t="s">
        <v>91</v>
      </c>
      <c r="E1136" s="47">
        <v>3058</v>
      </c>
      <c r="F1136" s="47">
        <v>237</v>
      </c>
      <c r="G1136" s="47">
        <v>55</v>
      </c>
      <c r="H1136" s="47">
        <v>42</v>
      </c>
      <c r="I1136" s="47">
        <v>621</v>
      </c>
      <c r="J1136" s="47">
        <v>288</v>
      </c>
      <c r="K1136" s="47" t="s">
        <v>355</v>
      </c>
    </row>
    <row r="1137" spans="1:11">
      <c r="A1137" s="2">
        <v>43941</v>
      </c>
      <c r="B1137" s="47">
        <v>0.33333333333333331</v>
      </c>
      <c r="C1137" s="47" t="s">
        <v>102</v>
      </c>
      <c r="E1137" s="47">
        <v>175</v>
      </c>
      <c r="F1137" s="47">
        <v>11</v>
      </c>
      <c r="G1137" s="47">
        <v>5</v>
      </c>
      <c r="I1137" s="47">
        <v>99</v>
      </c>
      <c r="J1137" s="47">
        <v>7</v>
      </c>
      <c r="K1137" s="47" t="s">
        <v>381</v>
      </c>
    </row>
    <row r="1138" spans="1:11">
      <c r="A1138" s="2">
        <v>43941</v>
      </c>
      <c r="B1138" s="47">
        <v>0.39583333333333331</v>
      </c>
      <c r="C1138" s="47" t="s">
        <v>50</v>
      </c>
      <c r="E1138" s="47">
        <v>928</v>
      </c>
      <c r="I1138" s="47">
        <v>770</v>
      </c>
      <c r="J1138" s="47">
        <v>42</v>
      </c>
      <c r="K1138" s="47" t="s">
        <v>353</v>
      </c>
    </row>
    <row r="1139" spans="1:11">
      <c r="A1139" s="2">
        <v>43941</v>
      </c>
      <c r="B1139" s="47">
        <v>0.39583333333333331</v>
      </c>
      <c r="C1139" s="47" t="s">
        <v>81</v>
      </c>
      <c r="E1139" s="47">
        <v>63</v>
      </c>
      <c r="F1139" s="47">
        <v>6</v>
      </c>
      <c r="G1139" s="47">
        <v>2</v>
      </c>
      <c r="J1139" s="47">
        <v>1</v>
      </c>
      <c r="K1139" s="47" t="s">
        <v>426</v>
      </c>
    </row>
    <row r="1140" spans="1:11">
      <c r="A1140" s="2">
        <v>43941</v>
      </c>
      <c r="B1140" s="47">
        <v>0.45833333333333331</v>
      </c>
      <c r="C1140" s="47" t="s">
        <v>38</v>
      </c>
      <c r="E1140" s="47">
        <v>24</v>
      </c>
      <c r="K1140" s="47" t="s">
        <v>40</v>
      </c>
    </row>
    <row r="1141" spans="1:11">
      <c r="A1141" s="2">
        <v>43941</v>
      </c>
      <c r="B1141" s="47">
        <v>0.45833333333333331</v>
      </c>
      <c r="C1141" s="47" t="s">
        <v>68</v>
      </c>
      <c r="E1141" s="47">
        <v>633</v>
      </c>
      <c r="F1141" s="47">
        <v>33</v>
      </c>
      <c r="G1141" s="47">
        <v>5</v>
      </c>
      <c r="J1141" s="47">
        <v>15</v>
      </c>
      <c r="K1141" s="47" t="s">
        <v>70</v>
      </c>
    </row>
    <row r="1142" spans="1:11">
      <c r="A1142" s="2">
        <v>43941</v>
      </c>
      <c r="B1142" s="47">
        <v>0.54166666666666663</v>
      </c>
      <c r="C1142" s="47" t="s">
        <v>41</v>
      </c>
      <c r="E1142" s="47">
        <v>86</v>
      </c>
      <c r="J1142" s="47">
        <v>3</v>
      </c>
      <c r="K1142" s="47" t="s">
        <v>43</v>
      </c>
    </row>
    <row r="1143" spans="1:11">
      <c r="A1143" s="2">
        <v>43941</v>
      </c>
      <c r="B1143" s="47">
        <v>0.54166666666666663</v>
      </c>
      <c r="C1143" s="47" t="s">
        <v>61</v>
      </c>
      <c r="E1143" s="47">
        <v>114</v>
      </c>
      <c r="F1143" s="47">
        <v>5</v>
      </c>
      <c r="J1143" s="47">
        <v>5</v>
      </c>
      <c r="K1143" s="47" t="s">
        <v>430</v>
      </c>
    </row>
    <row r="1144" spans="1:11">
      <c r="A1144" s="2">
        <v>43941</v>
      </c>
      <c r="B1144" s="47">
        <v>0.58333333333333337</v>
      </c>
      <c r="C1144" s="47" t="s">
        <v>94</v>
      </c>
      <c r="E1144" s="47">
        <v>78</v>
      </c>
      <c r="F1144" s="47">
        <v>2</v>
      </c>
      <c r="I1144" s="47">
        <v>69</v>
      </c>
      <c r="J1144" s="47">
        <v>5</v>
      </c>
      <c r="K1144" s="47" t="s">
        <v>96</v>
      </c>
    </row>
    <row r="1145" spans="1:11">
      <c r="A1145" s="2">
        <v>43941</v>
      </c>
      <c r="B1145" s="47">
        <v>0.60416666666666663</v>
      </c>
      <c r="C1145" s="47" t="s">
        <v>104</v>
      </c>
      <c r="E1145" s="47">
        <v>3254</v>
      </c>
      <c r="F1145" s="47">
        <v>121</v>
      </c>
      <c r="H1145" s="47">
        <v>43</v>
      </c>
      <c r="J1145" s="47">
        <v>107</v>
      </c>
      <c r="K1145" s="47" t="s">
        <v>106</v>
      </c>
    </row>
    <row r="1146" spans="1:11">
      <c r="A1146" s="2">
        <v>43941</v>
      </c>
      <c r="B1146" s="47">
        <v>0.61458333333333337</v>
      </c>
      <c r="C1146" s="47" t="s">
        <v>34</v>
      </c>
      <c r="E1146" s="47">
        <v>1012</v>
      </c>
      <c r="F1146" s="47">
        <v>45</v>
      </c>
      <c r="G1146" s="47">
        <v>16</v>
      </c>
      <c r="H1146" s="47">
        <v>16</v>
      </c>
      <c r="I1146" s="47">
        <v>640</v>
      </c>
      <c r="J1146" s="47">
        <v>28</v>
      </c>
      <c r="K1146" s="47" t="s">
        <v>352</v>
      </c>
    </row>
    <row r="1147" spans="1:11">
      <c r="A1147" s="2">
        <v>43941</v>
      </c>
      <c r="B1147" s="47">
        <v>0.625</v>
      </c>
      <c r="C1147" s="47" t="s">
        <v>75</v>
      </c>
      <c r="E1147" s="47">
        <v>67</v>
      </c>
      <c r="F1147" s="47">
        <v>0</v>
      </c>
      <c r="J1147" s="47">
        <v>0</v>
      </c>
      <c r="K1147" s="47" t="s">
        <v>77</v>
      </c>
    </row>
    <row r="1148" spans="1:11">
      <c r="A1148" s="2">
        <v>43942</v>
      </c>
      <c r="C1148" s="47" t="s">
        <v>47</v>
      </c>
      <c r="E1148" s="47">
        <v>809</v>
      </c>
      <c r="F1148" s="47">
        <v>33</v>
      </c>
      <c r="G1148" s="47">
        <v>3</v>
      </c>
      <c r="H1148" s="47">
        <v>3</v>
      </c>
      <c r="I1148" s="47">
        <v>679</v>
      </c>
      <c r="J1148" s="47">
        <v>26</v>
      </c>
      <c r="K1148" s="47" t="s">
        <v>49</v>
      </c>
    </row>
    <row r="1149" spans="1:11">
      <c r="A1149" s="2">
        <v>43942</v>
      </c>
      <c r="C1149" s="47" t="s">
        <v>53</v>
      </c>
      <c r="E1149" s="47">
        <v>81</v>
      </c>
      <c r="J1149" s="47">
        <v>1</v>
      </c>
      <c r="K1149" s="47" t="s">
        <v>372</v>
      </c>
    </row>
    <row r="1150" spans="1:11">
      <c r="A1150" s="2">
        <v>43942</v>
      </c>
      <c r="C1150" s="47" t="s">
        <v>56</v>
      </c>
      <c r="E1150" s="47">
        <v>995</v>
      </c>
      <c r="F1150" s="47">
        <v>60</v>
      </c>
      <c r="G1150" s="47">
        <v>8</v>
      </c>
      <c r="I1150" s="47">
        <v>115</v>
      </c>
      <c r="J1150" s="47">
        <v>74</v>
      </c>
      <c r="K1150" s="47" t="s">
        <v>434</v>
      </c>
    </row>
    <row r="1151" spans="1:11">
      <c r="A1151" s="2">
        <v>43942</v>
      </c>
      <c r="C1151" s="47" t="s">
        <v>58</v>
      </c>
      <c r="D1151" s="47">
        <v>22593</v>
      </c>
      <c r="E1151" s="47">
        <v>4670</v>
      </c>
      <c r="F1151" s="47">
        <v>304</v>
      </c>
      <c r="G1151" s="47">
        <v>32</v>
      </c>
      <c r="H1151" s="47">
        <v>29</v>
      </c>
      <c r="I1151" s="47">
        <v>581</v>
      </c>
      <c r="J1151" s="47">
        <v>224</v>
      </c>
      <c r="K1151" s="47" t="s">
        <v>60</v>
      </c>
    </row>
    <row r="1152" spans="1:11">
      <c r="A1152" s="2">
        <v>43942</v>
      </c>
      <c r="C1152" s="47" t="s">
        <v>63</v>
      </c>
      <c r="E1152" s="47">
        <v>787</v>
      </c>
      <c r="F1152" s="47">
        <v>27</v>
      </c>
      <c r="J1152" s="47">
        <v>43</v>
      </c>
      <c r="K1152" s="47" t="s">
        <v>65</v>
      </c>
    </row>
    <row r="1153" spans="1:11">
      <c r="A1153" s="2">
        <v>43942</v>
      </c>
      <c r="C1153" s="47" t="s">
        <v>66</v>
      </c>
      <c r="E1153" s="47">
        <v>195</v>
      </c>
      <c r="F1153" s="47">
        <v>12</v>
      </c>
      <c r="G1153" s="47">
        <v>4</v>
      </c>
      <c r="J1153" s="47">
        <v>6</v>
      </c>
      <c r="K1153" s="47" t="s">
        <v>424</v>
      </c>
    </row>
    <row r="1154" spans="1:11">
      <c r="A1154" s="2">
        <v>43942</v>
      </c>
      <c r="C1154" s="47" t="s">
        <v>71</v>
      </c>
      <c r="E1154" s="47">
        <v>652</v>
      </c>
      <c r="F1154" s="47">
        <v>37</v>
      </c>
      <c r="G1154" s="47">
        <v>7</v>
      </c>
      <c r="H1154" s="47">
        <v>4</v>
      </c>
      <c r="J1154" s="47">
        <v>66</v>
      </c>
      <c r="K1154" s="47" t="s">
        <v>377</v>
      </c>
    </row>
    <row r="1155" spans="1:11">
      <c r="A1155" s="2">
        <v>43942</v>
      </c>
      <c r="C1155" s="47" t="s">
        <v>73</v>
      </c>
      <c r="E1155" s="47">
        <v>108</v>
      </c>
      <c r="F1155" s="47">
        <v>4</v>
      </c>
      <c r="G1155" s="47">
        <v>1</v>
      </c>
      <c r="J1155" s="47">
        <v>3</v>
      </c>
      <c r="K1155" s="47" t="s">
        <v>357</v>
      </c>
    </row>
    <row r="1156" spans="1:11">
      <c r="A1156" s="2">
        <v>43942</v>
      </c>
      <c r="C1156" s="47" t="s">
        <v>78</v>
      </c>
      <c r="E1156" s="47">
        <v>718</v>
      </c>
      <c r="F1156" s="47">
        <v>48</v>
      </c>
      <c r="G1156" s="47">
        <v>8</v>
      </c>
      <c r="I1156" s="47">
        <v>159</v>
      </c>
      <c r="J1156" s="47">
        <v>29</v>
      </c>
      <c r="K1156" s="47" t="s">
        <v>80</v>
      </c>
    </row>
    <row r="1157" spans="1:11">
      <c r="A1157" s="2">
        <v>43942</v>
      </c>
      <c r="C1157" s="47" t="s">
        <v>88</v>
      </c>
      <c r="E1157" s="47">
        <v>340</v>
      </c>
      <c r="F1157" s="47">
        <v>24</v>
      </c>
      <c r="G1157" s="47">
        <v>12</v>
      </c>
      <c r="J1157" s="47">
        <v>13</v>
      </c>
      <c r="K1157" s="47" t="s">
        <v>90</v>
      </c>
    </row>
    <row r="1158" spans="1:11">
      <c r="A1158" s="2">
        <v>43942</v>
      </c>
      <c r="C1158" s="47" t="s">
        <v>97</v>
      </c>
      <c r="E1158" s="47">
        <v>5126</v>
      </c>
      <c r="F1158" s="47">
        <v>197</v>
      </c>
      <c r="G1158" s="47">
        <v>44</v>
      </c>
      <c r="J1158" s="47">
        <v>335</v>
      </c>
      <c r="K1158" s="47" t="s">
        <v>99</v>
      </c>
    </row>
    <row r="1159" spans="1:11">
      <c r="A1159" s="2">
        <v>43942</v>
      </c>
      <c r="C1159" s="47" t="s">
        <v>100</v>
      </c>
      <c r="E1159" s="47">
        <v>1799</v>
      </c>
      <c r="F1159" s="47">
        <v>73</v>
      </c>
      <c r="G1159" s="47">
        <v>14</v>
      </c>
      <c r="H1159" s="47">
        <v>11</v>
      </c>
      <c r="I1159" s="47">
        <v>210</v>
      </c>
      <c r="J1159" s="47">
        <v>115</v>
      </c>
      <c r="K1159" s="47" t="s">
        <v>419</v>
      </c>
    </row>
    <row r="1160" spans="1:11">
      <c r="A1160" s="2">
        <v>43942</v>
      </c>
      <c r="B1160" s="47">
        <v>0</v>
      </c>
      <c r="C1160" s="47" t="s">
        <v>83</v>
      </c>
      <c r="E1160" s="47">
        <v>359</v>
      </c>
      <c r="F1160" s="47">
        <v>19</v>
      </c>
      <c r="J1160" s="47">
        <v>11</v>
      </c>
      <c r="K1160" s="47" t="s">
        <v>387</v>
      </c>
    </row>
    <row r="1161" spans="1:11">
      <c r="A1161" s="2">
        <v>43942</v>
      </c>
      <c r="B1161" s="47">
        <v>0.33333333333333331</v>
      </c>
      <c r="C1161" s="47" t="s">
        <v>44</v>
      </c>
      <c r="E1161" s="47">
        <v>1622</v>
      </c>
      <c r="F1161" s="47">
        <v>66</v>
      </c>
      <c r="G1161" s="47">
        <v>17</v>
      </c>
      <c r="H1161" s="47">
        <v>11</v>
      </c>
      <c r="J1161" s="47">
        <v>77</v>
      </c>
      <c r="K1161" s="47" t="s">
        <v>46</v>
      </c>
    </row>
    <row r="1162" spans="1:11">
      <c r="A1162" s="2">
        <v>43942</v>
      </c>
      <c r="B1162" s="47">
        <v>0.33333333333333331</v>
      </c>
      <c r="C1162" s="47" t="s">
        <v>91</v>
      </c>
      <c r="E1162" s="47">
        <v>3065</v>
      </c>
      <c r="F1162" s="47">
        <v>236</v>
      </c>
      <c r="G1162" s="47">
        <v>54</v>
      </c>
      <c r="H1162" s="47">
        <v>36</v>
      </c>
      <c r="I1162" s="47">
        <v>639</v>
      </c>
      <c r="J1162" s="47">
        <v>291</v>
      </c>
      <c r="K1162" s="47" t="s">
        <v>373</v>
      </c>
    </row>
    <row r="1163" spans="1:11">
      <c r="A1163" s="2">
        <v>43942</v>
      </c>
      <c r="B1163" s="47">
        <v>0.33333333333333331</v>
      </c>
      <c r="C1163" s="47" t="s">
        <v>102</v>
      </c>
      <c r="E1163" s="47">
        <v>176</v>
      </c>
      <c r="F1163" s="47">
        <v>9</v>
      </c>
      <c r="G1163" s="47">
        <v>4</v>
      </c>
      <c r="I1163" s="47">
        <v>99</v>
      </c>
      <c r="J1163" s="47">
        <v>8</v>
      </c>
      <c r="K1163" s="47" t="s">
        <v>381</v>
      </c>
    </row>
    <row r="1164" spans="1:11">
      <c r="A1164" s="2">
        <v>43942</v>
      </c>
      <c r="B1164" s="47">
        <v>0.38541666666666669</v>
      </c>
      <c r="C1164" s="47" t="s">
        <v>50</v>
      </c>
      <c r="E1164" s="47">
        <v>928</v>
      </c>
      <c r="F1164" s="47">
        <v>54</v>
      </c>
      <c r="G1164" s="47">
        <v>9</v>
      </c>
      <c r="I1164" s="47">
        <v>781</v>
      </c>
      <c r="J1164" s="47">
        <v>44</v>
      </c>
      <c r="K1164" s="47" t="s">
        <v>356</v>
      </c>
    </row>
    <row r="1165" spans="1:11">
      <c r="A1165" s="2">
        <v>43942</v>
      </c>
      <c r="B1165" s="47">
        <v>0.39583333333333331</v>
      </c>
      <c r="C1165" s="47" t="s">
        <v>81</v>
      </c>
      <c r="E1165" s="47">
        <v>63</v>
      </c>
      <c r="F1165" s="47">
        <v>10</v>
      </c>
      <c r="G1165" s="47">
        <v>2</v>
      </c>
      <c r="J1165" s="47">
        <v>2</v>
      </c>
      <c r="K1165" s="47" t="s">
        <v>426</v>
      </c>
    </row>
    <row r="1166" spans="1:11">
      <c r="A1166" s="2">
        <v>43942</v>
      </c>
      <c r="B1166" s="47">
        <v>0.41666666666666669</v>
      </c>
      <c r="C1166" s="47" t="s">
        <v>86</v>
      </c>
      <c r="E1166" s="47">
        <v>276</v>
      </c>
      <c r="I1166" s="47">
        <v>192</v>
      </c>
      <c r="J1166" s="47">
        <v>16</v>
      </c>
      <c r="K1166" s="47" t="s">
        <v>427</v>
      </c>
    </row>
    <row r="1167" spans="1:11">
      <c r="A1167" s="2">
        <v>43942</v>
      </c>
      <c r="B1167" s="47">
        <v>0.45833333333333331</v>
      </c>
      <c r="C1167" s="47" t="s">
        <v>38</v>
      </c>
      <c r="E1167" s="47">
        <v>24</v>
      </c>
      <c r="K1167" s="47" t="s">
        <v>40</v>
      </c>
    </row>
    <row r="1168" spans="1:11">
      <c r="A1168" s="2">
        <v>43942</v>
      </c>
      <c r="B1168" s="47">
        <v>0.47916666666666669</v>
      </c>
      <c r="C1168" s="47" t="s">
        <v>75</v>
      </c>
      <c r="E1168" s="47">
        <v>67</v>
      </c>
      <c r="F1168" s="47">
        <v>0</v>
      </c>
      <c r="J1168" s="47">
        <v>0</v>
      </c>
      <c r="K1168" s="47" t="s">
        <v>77</v>
      </c>
    </row>
    <row r="1169" spans="1:11">
      <c r="A1169" s="2">
        <v>43942</v>
      </c>
      <c r="B1169" s="47">
        <v>0.5</v>
      </c>
      <c r="C1169" s="47" t="s">
        <v>68</v>
      </c>
      <c r="E1169" s="47">
        <v>643</v>
      </c>
      <c r="F1169" s="47">
        <v>35</v>
      </c>
      <c r="G1169" s="47">
        <v>5</v>
      </c>
      <c r="J1169" s="47">
        <v>15</v>
      </c>
      <c r="K1169" s="47" t="s">
        <v>70</v>
      </c>
    </row>
    <row r="1170" spans="1:11">
      <c r="A1170" s="2">
        <v>43942</v>
      </c>
      <c r="B1170" s="47">
        <v>0.54166666666666663</v>
      </c>
      <c r="C1170" s="47" t="s">
        <v>41</v>
      </c>
      <c r="E1170" s="47">
        <v>86</v>
      </c>
      <c r="J1170" s="47">
        <v>3</v>
      </c>
      <c r="K1170" s="47" t="s">
        <v>43</v>
      </c>
    </row>
    <row r="1171" spans="1:11">
      <c r="A1171" s="2">
        <v>43942</v>
      </c>
      <c r="B1171" s="47">
        <v>0.5625</v>
      </c>
      <c r="C1171" s="47" t="s">
        <v>61</v>
      </c>
      <c r="E1171" s="47">
        <v>115</v>
      </c>
      <c r="F1171" s="47">
        <v>3</v>
      </c>
      <c r="J1171" s="47">
        <v>6</v>
      </c>
      <c r="K1171" s="47" t="s">
        <v>430</v>
      </c>
    </row>
    <row r="1172" spans="1:11">
      <c r="A1172" s="2">
        <v>43942</v>
      </c>
      <c r="B1172" s="47">
        <v>0.60416666666666663</v>
      </c>
      <c r="C1172" s="47" t="s">
        <v>104</v>
      </c>
      <c r="E1172" s="47">
        <v>3280</v>
      </c>
      <c r="F1172" s="47">
        <v>110</v>
      </c>
      <c r="H1172" s="47">
        <v>41</v>
      </c>
      <c r="J1172" s="47">
        <v>109</v>
      </c>
      <c r="K1172" s="47" t="s">
        <v>106</v>
      </c>
    </row>
    <row r="1173" spans="1:11">
      <c r="A1173" s="2">
        <v>43942</v>
      </c>
      <c r="B1173" s="47">
        <v>0.61458333333333337</v>
      </c>
      <c r="C1173" s="47" t="s">
        <v>34</v>
      </c>
      <c r="E1173" s="47">
        <v>1017</v>
      </c>
      <c r="F1173" s="47">
        <v>43</v>
      </c>
      <c r="G1173" s="47">
        <v>18</v>
      </c>
      <c r="H1173" s="47">
        <v>18</v>
      </c>
      <c r="I1173" s="47">
        <v>680</v>
      </c>
      <c r="J1173" s="47">
        <v>29</v>
      </c>
      <c r="K1173" s="47" t="s">
        <v>371</v>
      </c>
    </row>
    <row r="1174" spans="1:11">
      <c r="A1174" s="2">
        <v>43942</v>
      </c>
      <c r="B1174" s="47">
        <v>0.70833333333333337</v>
      </c>
      <c r="C1174" s="47" t="s">
        <v>94</v>
      </c>
      <c r="E1174" s="47">
        <v>78</v>
      </c>
      <c r="F1174" s="47">
        <v>2</v>
      </c>
      <c r="I1174" s="47">
        <v>69</v>
      </c>
      <c r="J1174" s="47">
        <v>5</v>
      </c>
      <c r="K1174" s="47" t="s">
        <v>96</v>
      </c>
    </row>
    <row r="1175" spans="1:11">
      <c r="A1175" s="2">
        <v>43943</v>
      </c>
      <c r="C1175" s="47" t="s">
        <v>47</v>
      </c>
      <c r="E1175" s="47">
        <v>811</v>
      </c>
      <c r="F1175" s="47">
        <v>33</v>
      </c>
      <c r="G1175" s="47">
        <v>3</v>
      </c>
      <c r="H1175" s="47">
        <v>3</v>
      </c>
      <c r="I1175" s="47">
        <v>683</v>
      </c>
      <c r="J1175" s="47">
        <v>26</v>
      </c>
      <c r="K1175" s="47" t="s">
        <v>49</v>
      </c>
    </row>
    <row r="1176" spans="1:11">
      <c r="A1176" s="2">
        <v>43943</v>
      </c>
      <c r="C1176" s="47" t="s">
        <v>53</v>
      </c>
      <c r="E1176" s="47">
        <v>81</v>
      </c>
      <c r="J1176" s="47">
        <v>1</v>
      </c>
      <c r="K1176" s="47" t="s">
        <v>376</v>
      </c>
    </row>
    <row r="1177" spans="1:11">
      <c r="A1177" s="2">
        <v>43943</v>
      </c>
      <c r="C1177" s="47" t="s">
        <v>56</v>
      </c>
      <c r="E1177" s="47">
        <v>1006</v>
      </c>
      <c r="F1177" s="47">
        <v>57</v>
      </c>
      <c r="G1177" s="47">
        <v>5</v>
      </c>
      <c r="I1177" s="47">
        <v>116</v>
      </c>
      <c r="J1177" s="47">
        <v>76</v>
      </c>
      <c r="K1177" s="47" t="s">
        <v>434</v>
      </c>
    </row>
    <row r="1178" spans="1:11">
      <c r="A1178" s="2">
        <v>43943</v>
      </c>
      <c r="C1178" s="47" t="s">
        <v>58</v>
      </c>
      <c r="D1178" s="47">
        <v>22941</v>
      </c>
      <c r="E1178" s="47">
        <v>4691</v>
      </c>
      <c r="F1178" s="47">
        <v>288</v>
      </c>
      <c r="G1178" s="47">
        <v>30</v>
      </c>
      <c r="H1178" s="47">
        <v>27</v>
      </c>
      <c r="I1178" s="47">
        <v>589</v>
      </c>
      <c r="J1178" s="47">
        <v>229</v>
      </c>
      <c r="K1178" s="47" t="s">
        <v>60</v>
      </c>
    </row>
    <row r="1179" spans="1:11">
      <c r="A1179" s="2">
        <v>43943</v>
      </c>
      <c r="C1179" s="47" t="s">
        <v>63</v>
      </c>
      <c r="E1179" s="47">
        <v>791</v>
      </c>
      <c r="F1179" s="47">
        <v>26</v>
      </c>
      <c r="J1179" s="47">
        <v>43</v>
      </c>
      <c r="K1179" s="47" t="s">
        <v>65</v>
      </c>
    </row>
    <row r="1180" spans="1:11">
      <c r="A1180" s="2">
        <v>43943</v>
      </c>
      <c r="C1180" s="47" t="s">
        <v>66</v>
      </c>
      <c r="E1180" s="47">
        <v>196</v>
      </c>
      <c r="F1180" s="47">
        <v>12</v>
      </c>
      <c r="G1180" s="47">
        <v>4</v>
      </c>
      <c r="J1180" s="47">
        <v>6</v>
      </c>
      <c r="K1180" s="47" t="s">
        <v>424</v>
      </c>
    </row>
    <row r="1181" spans="1:11">
      <c r="A1181" s="2">
        <v>43943</v>
      </c>
      <c r="C1181" s="47" t="s">
        <v>71</v>
      </c>
      <c r="E1181" s="47">
        <v>659</v>
      </c>
      <c r="F1181" s="47">
        <v>37</v>
      </c>
      <c r="G1181" s="47">
        <v>6</v>
      </c>
      <c r="H1181" s="47">
        <v>4</v>
      </c>
      <c r="J1181" s="47">
        <v>68</v>
      </c>
      <c r="K1181" s="47" t="s">
        <v>377</v>
      </c>
    </row>
    <row r="1182" spans="1:11">
      <c r="A1182" s="2">
        <v>43943</v>
      </c>
      <c r="C1182" s="47" t="s">
        <v>73</v>
      </c>
      <c r="E1182" s="47">
        <v>108</v>
      </c>
      <c r="F1182" s="47">
        <v>4</v>
      </c>
      <c r="G1182" s="47">
        <v>1</v>
      </c>
      <c r="J1182" s="47">
        <v>3</v>
      </c>
      <c r="K1182" s="47" t="s">
        <v>357</v>
      </c>
    </row>
    <row r="1183" spans="1:11">
      <c r="A1183" s="2">
        <v>43943</v>
      </c>
      <c r="C1183" s="47" t="s">
        <v>78</v>
      </c>
      <c r="E1183" s="47">
        <v>724</v>
      </c>
      <c r="F1183" s="47">
        <v>52</v>
      </c>
      <c r="G1183" s="47">
        <v>6</v>
      </c>
      <c r="I1183" s="47">
        <v>162</v>
      </c>
      <c r="J1183" s="47">
        <v>29</v>
      </c>
      <c r="K1183" s="47" t="s">
        <v>80</v>
      </c>
    </row>
    <row r="1184" spans="1:11">
      <c r="A1184" s="2">
        <v>43943</v>
      </c>
      <c r="C1184" s="47" t="s">
        <v>88</v>
      </c>
      <c r="E1184" s="47">
        <v>341</v>
      </c>
      <c r="F1184" s="47">
        <v>23</v>
      </c>
      <c r="G1184" s="47">
        <v>9</v>
      </c>
      <c r="J1184" s="47">
        <v>14</v>
      </c>
      <c r="K1184" s="47" t="s">
        <v>90</v>
      </c>
    </row>
    <row r="1185" spans="1:11">
      <c r="A1185" s="2">
        <v>43943</v>
      </c>
      <c r="C1185" s="47" t="s">
        <v>97</v>
      </c>
      <c r="E1185" s="47">
        <v>5147</v>
      </c>
      <c r="F1185" s="47">
        <v>183</v>
      </c>
      <c r="G1185" s="47">
        <v>42</v>
      </c>
      <c r="J1185" s="47">
        <v>340</v>
      </c>
      <c r="K1185" s="47" t="s">
        <v>99</v>
      </c>
    </row>
    <row r="1186" spans="1:11">
      <c r="A1186" s="2">
        <v>43943</v>
      </c>
      <c r="C1186" s="47" t="s">
        <v>100</v>
      </c>
      <c r="E1186" s="47">
        <v>1805</v>
      </c>
      <c r="F1186" s="47">
        <v>74</v>
      </c>
      <c r="G1186" s="47">
        <v>13</v>
      </c>
      <c r="H1186" s="47">
        <v>11</v>
      </c>
      <c r="I1186" s="47">
        <v>210</v>
      </c>
      <c r="J1186" s="47">
        <v>118</v>
      </c>
      <c r="K1186" s="47" t="s">
        <v>419</v>
      </c>
    </row>
    <row r="1187" spans="1:11">
      <c r="A1187" s="2">
        <v>43943</v>
      </c>
      <c r="B1187" s="47">
        <v>0</v>
      </c>
      <c r="C1187" s="47" t="s">
        <v>83</v>
      </c>
      <c r="E1187" s="47">
        <v>368</v>
      </c>
      <c r="F1187" s="47">
        <v>18</v>
      </c>
      <c r="J1187" s="47">
        <v>11</v>
      </c>
      <c r="K1187" s="47" t="s">
        <v>387</v>
      </c>
    </row>
    <row r="1188" spans="1:11">
      <c r="A1188" s="2">
        <v>43943</v>
      </c>
      <c r="B1188" s="47">
        <v>0.33333333333333331</v>
      </c>
      <c r="C1188" s="47" t="s">
        <v>44</v>
      </c>
      <c r="E1188" s="47">
        <v>1643</v>
      </c>
      <c r="F1188" s="47">
        <v>67</v>
      </c>
      <c r="G1188" s="47">
        <v>14</v>
      </c>
      <c r="H1188" s="47">
        <v>10</v>
      </c>
      <c r="J1188" s="47">
        <v>77</v>
      </c>
      <c r="K1188" s="47" t="s">
        <v>46</v>
      </c>
    </row>
    <row r="1189" spans="1:11">
      <c r="A1189" s="2">
        <v>43943</v>
      </c>
      <c r="B1189" s="47">
        <v>0.33333333333333331</v>
      </c>
      <c r="C1189" s="47" t="s">
        <v>91</v>
      </c>
      <c r="E1189" s="47">
        <v>3089</v>
      </c>
      <c r="F1189" s="47">
        <v>213</v>
      </c>
      <c r="G1189" s="47">
        <v>42</v>
      </c>
      <c r="H1189" s="47">
        <v>32</v>
      </c>
      <c r="I1189" s="47">
        <v>661</v>
      </c>
      <c r="J1189" s="47">
        <v>295</v>
      </c>
      <c r="K1189" s="47" t="s">
        <v>378</v>
      </c>
    </row>
    <row r="1190" spans="1:11">
      <c r="A1190" s="2">
        <v>43943</v>
      </c>
      <c r="B1190" s="47">
        <v>0.33333333333333331</v>
      </c>
      <c r="C1190" s="47" t="s">
        <v>102</v>
      </c>
      <c r="E1190" s="47">
        <v>176</v>
      </c>
      <c r="F1190" s="47">
        <v>6</v>
      </c>
      <c r="G1190" s="47">
        <v>3</v>
      </c>
      <c r="I1190" s="47">
        <v>131</v>
      </c>
      <c r="J1190" s="47">
        <v>8</v>
      </c>
      <c r="K1190" s="47" t="s">
        <v>381</v>
      </c>
    </row>
    <row r="1191" spans="1:11">
      <c r="A1191" s="2">
        <v>43943</v>
      </c>
      <c r="B1191" s="47">
        <v>0.39583333333333331</v>
      </c>
      <c r="C1191" s="47" t="s">
        <v>81</v>
      </c>
      <c r="E1191" s="47">
        <v>63</v>
      </c>
      <c r="F1191" s="47">
        <v>10</v>
      </c>
      <c r="G1191" s="47">
        <v>2</v>
      </c>
      <c r="J1191" s="47">
        <v>3</v>
      </c>
      <c r="K1191" s="47" t="s">
        <v>426</v>
      </c>
    </row>
    <row r="1192" spans="1:11">
      <c r="A1192" s="2">
        <v>43943</v>
      </c>
      <c r="B1192" s="47">
        <v>0.40625</v>
      </c>
      <c r="C1192" s="47" t="s">
        <v>50</v>
      </c>
      <c r="E1192" s="47">
        <v>928</v>
      </c>
      <c r="F1192" s="47">
        <v>49</v>
      </c>
      <c r="G1192" s="47">
        <v>7</v>
      </c>
      <c r="I1192" s="47">
        <v>786</v>
      </c>
      <c r="J1192" s="47">
        <v>45</v>
      </c>
      <c r="K1192" s="47" t="s">
        <v>374</v>
      </c>
    </row>
    <row r="1193" spans="1:11">
      <c r="A1193" s="2">
        <v>43943</v>
      </c>
      <c r="B1193" s="47">
        <v>0.41666666666666669</v>
      </c>
      <c r="C1193" s="47" t="s">
        <v>86</v>
      </c>
      <c r="E1193" s="47">
        <v>282</v>
      </c>
      <c r="I1193" s="47">
        <v>194</v>
      </c>
      <c r="J1193" s="47">
        <v>16</v>
      </c>
      <c r="K1193" s="47" t="s">
        <v>427</v>
      </c>
    </row>
    <row r="1194" spans="1:11">
      <c r="A1194" s="2">
        <v>43943</v>
      </c>
      <c r="B1194" s="47">
        <v>0.45833333333333331</v>
      </c>
      <c r="C1194" s="47" t="s">
        <v>38</v>
      </c>
      <c r="E1194" s="47">
        <v>24</v>
      </c>
      <c r="K1194" s="47" t="s">
        <v>40</v>
      </c>
    </row>
    <row r="1195" spans="1:11">
      <c r="A1195" s="2">
        <v>43943</v>
      </c>
      <c r="B1195" s="47">
        <v>0.45833333333333331</v>
      </c>
      <c r="C1195" s="47" t="s">
        <v>68</v>
      </c>
      <c r="E1195" s="47">
        <v>648</v>
      </c>
      <c r="J1195" s="47">
        <v>15</v>
      </c>
      <c r="K1195" s="47" t="s">
        <v>70</v>
      </c>
    </row>
    <row r="1196" spans="1:11">
      <c r="A1196" s="2">
        <v>43943</v>
      </c>
      <c r="B1196" s="47">
        <v>0.5625</v>
      </c>
      <c r="C1196" s="47" t="s">
        <v>61</v>
      </c>
      <c r="E1196" s="47">
        <v>117</v>
      </c>
      <c r="F1196" s="47">
        <v>3</v>
      </c>
      <c r="J1196" s="47">
        <v>6</v>
      </c>
      <c r="K1196" s="47" t="s">
        <v>430</v>
      </c>
    </row>
    <row r="1197" spans="1:11">
      <c r="A1197" s="2">
        <v>43943</v>
      </c>
      <c r="B1197" s="47">
        <v>0.60416666666666663</v>
      </c>
      <c r="C1197" s="47" t="s">
        <v>104</v>
      </c>
      <c r="E1197" s="47">
        <v>3320</v>
      </c>
      <c r="F1197" s="47">
        <v>110</v>
      </c>
      <c r="H1197" s="47">
        <v>44</v>
      </c>
      <c r="J1197" s="47">
        <v>110</v>
      </c>
      <c r="K1197" s="47" t="s">
        <v>106</v>
      </c>
    </row>
    <row r="1198" spans="1:11">
      <c r="A1198" s="2">
        <v>43943</v>
      </c>
      <c r="B1198" s="47">
        <v>0.61458333333333337</v>
      </c>
      <c r="C1198" s="47" t="s">
        <v>34</v>
      </c>
      <c r="E1198" s="47">
        <v>1026</v>
      </c>
      <c r="F1198" s="47">
        <v>37</v>
      </c>
      <c r="G1198" s="47">
        <v>15</v>
      </c>
      <c r="H1198" s="47">
        <v>15</v>
      </c>
      <c r="I1198" s="47">
        <v>710</v>
      </c>
      <c r="J1198" s="47">
        <v>31</v>
      </c>
      <c r="K1198" s="47" t="s">
        <v>375</v>
      </c>
    </row>
    <row r="1199" spans="1:11">
      <c r="A1199" s="2">
        <v>43943</v>
      </c>
      <c r="B1199" s="47">
        <v>0.625</v>
      </c>
      <c r="C1199" s="47" t="s">
        <v>94</v>
      </c>
      <c r="E1199" s="47">
        <v>78</v>
      </c>
      <c r="F1199" s="47">
        <v>3</v>
      </c>
      <c r="I1199" s="47">
        <v>69</v>
      </c>
      <c r="J1199" s="47">
        <v>5</v>
      </c>
      <c r="K1199" s="47" t="s">
        <v>96</v>
      </c>
    </row>
    <row r="1200" spans="1:11">
      <c r="A1200" s="2">
        <v>43943</v>
      </c>
      <c r="B1200" s="47">
        <v>0.66666666666666663</v>
      </c>
      <c r="C1200" s="47" t="s">
        <v>75</v>
      </c>
      <c r="E1200" s="47">
        <v>67</v>
      </c>
      <c r="F1200" s="47">
        <v>0</v>
      </c>
      <c r="J1200" s="47">
        <v>0</v>
      </c>
      <c r="K1200" s="47" t="s">
        <v>77</v>
      </c>
    </row>
    <row r="1201" spans="1:11">
      <c r="A1201" s="2">
        <v>43943</v>
      </c>
      <c r="B1201" s="47">
        <v>0.75</v>
      </c>
      <c r="C1201" s="47" t="s">
        <v>41</v>
      </c>
      <c r="E1201" s="47">
        <v>87</v>
      </c>
      <c r="J1201" s="47">
        <v>3</v>
      </c>
      <c r="K1201" s="47" t="s">
        <v>43</v>
      </c>
    </row>
    <row r="1202" spans="1:11">
      <c r="A1202" s="2">
        <v>43944</v>
      </c>
      <c r="C1202" s="47" t="s">
        <v>47</v>
      </c>
      <c r="E1202" s="47">
        <v>811</v>
      </c>
      <c r="F1202" s="47">
        <v>32</v>
      </c>
      <c r="G1202" s="47">
        <v>3</v>
      </c>
      <c r="H1202" s="47">
        <v>2</v>
      </c>
      <c r="I1202" s="47">
        <v>692</v>
      </c>
      <c r="J1202" s="47">
        <v>26</v>
      </c>
      <c r="K1202" s="47" t="s">
        <v>49</v>
      </c>
    </row>
    <row r="1203" spans="1:11">
      <c r="A1203" s="2">
        <v>43944</v>
      </c>
      <c r="C1203" s="47" t="s">
        <v>53</v>
      </c>
      <c r="E1203" s="47">
        <v>81</v>
      </c>
      <c r="J1203" s="47">
        <v>1</v>
      </c>
      <c r="K1203" s="47" t="s">
        <v>384</v>
      </c>
    </row>
    <row r="1204" spans="1:11">
      <c r="A1204" s="2">
        <v>43944</v>
      </c>
      <c r="C1204" s="47" t="s">
        <v>56</v>
      </c>
      <c r="E1204" s="47">
        <v>1014</v>
      </c>
      <c r="F1204" s="47">
        <v>57</v>
      </c>
      <c r="G1204" s="47">
        <v>5</v>
      </c>
      <c r="I1204" s="47">
        <v>118</v>
      </c>
      <c r="J1204" s="47">
        <v>76</v>
      </c>
      <c r="K1204" s="47" t="s">
        <v>434</v>
      </c>
    </row>
    <row r="1205" spans="1:11">
      <c r="A1205" s="2">
        <v>43944</v>
      </c>
      <c r="C1205" s="47" t="s">
        <v>58</v>
      </c>
      <c r="D1205" s="47">
        <v>23403</v>
      </c>
      <c r="E1205" s="47">
        <v>4721</v>
      </c>
      <c r="F1205" s="47">
        <v>284</v>
      </c>
      <c r="G1205" s="47">
        <v>29</v>
      </c>
      <c r="H1205" s="47">
        <v>27</v>
      </c>
      <c r="I1205" s="47">
        <v>592</v>
      </c>
      <c r="J1205" s="47">
        <v>233</v>
      </c>
      <c r="K1205" s="47" t="s">
        <v>60</v>
      </c>
    </row>
    <row r="1206" spans="1:11">
      <c r="A1206" s="2">
        <v>43944</v>
      </c>
      <c r="C1206" s="47" t="s">
        <v>63</v>
      </c>
      <c r="E1206" s="47">
        <v>794</v>
      </c>
      <c r="F1206" s="47">
        <v>26</v>
      </c>
      <c r="J1206" s="47">
        <v>43</v>
      </c>
      <c r="K1206" s="47" t="s">
        <v>65</v>
      </c>
    </row>
    <row r="1207" spans="1:11">
      <c r="A1207" s="2">
        <v>43944</v>
      </c>
      <c r="C1207" s="47" t="s">
        <v>66</v>
      </c>
      <c r="E1207" s="47">
        <v>196</v>
      </c>
      <c r="F1207" s="47">
        <v>11</v>
      </c>
      <c r="G1207" s="47">
        <v>4</v>
      </c>
      <c r="J1207" s="47">
        <v>6</v>
      </c>
      <c r="K1207" s="47" t="s">
        <v>424</v>
      </c>
    </row>
    <row r="1208" spans="1:11">
      <c r="A1208" s="2">
        <v>43944</v>
      </c>
      <c r="C1208" s="47" t="s">
        <v>71</v>
      </c>
      <c r="E1208" s="47">
        <v>666</v>
      </c>
      <c r="F1208" s="47">
        <v>35</v>
      </c>
      <c r="G1208" s="47">
        <v>6</v>
      </c>
      <c r="H1208" s="47">
        <v>4</v>
      </c>
      <c r="J1208" s="47">
        <v>68</v>
      </c>
      <c r="K1208" s="47" t="s">
        <v>377</v>
      </c>
    </row>
    <row r="1209" spans="1:11">
      <c r="A1209" s="2">
        <v>43944</v>
      </c>
      <c r="C1209" s="47" t="s">
        <v>73</v>
      </c>
      <c r="E1209" s="47">
        <v>108</v>
      </c>
      <c r="F1209" s="47">
        <v>4</v>
      </c>
      <c r="G1209" s="47">
        <v>1</v>
      </c>
      <c r="J1209" s="47">
        <v>3</v>
      </c>
      <c r="K1209" s="47" t="s">
        <v>357</v>
      </c>
    </row>
    <row r="1210" spans="1:11">
      <c r="A1210" s="2">
        <v>43944</v>
      </c>
      <c r="C1210" s="47" t="s">
        <v>78</v>
      </c>
      <c r="E1210" s="47">
        <v>736</v>
      </c>
      <c r="F1210" s="47">
        <v>37</v>
      </c>
      <c r="G1210" s="47">
        <v>2</v>
      </c>
      <c r="I1210" s="47">
        <v>170</v>
      </c>
      <c r="J1210" s="47">
        <v>31</v>
      </c>
      <c r="K1210" s="47" t="s">
        <v>80</v>
      </c>
    </row>
    <row r="1211" spans="1:11">
      <c r="A1211" s="2">
        <v>43944</v>
      </c>
      <c r="C1211" s="47" t="s">
        <v>88</v>
      </c>
      <c r="E1211" s="47">
        <v>354</v>
      </c>
      <c r="F1211" s="47">
        <v>21</v>
      </c>
      <c r="G1211" s="47">
        <v>9</v>
      </c>
      <c r="J1211" s="47">
        <v>14</v>
      </c>
      <c r="K1211" s="47" t="s">
        <v>90</v>
      </c>
    </row>
    <row r="1212" spans="1:11">
      <c r="A1212" s="2">
        <v>43944</v>
      </c>
      <c r="C1212" s="47" t="s">
        <v>97</v>
      </c>
      <c r="E1212" s="47">
        <v>5180</v>
      </c>
      <c r="F1212" s="47">
        <v>183</v>
      </c>
      <c r="G1212" s="47">
        <v>40</v>
      </c>
      <c r="J1212" s="47">
        <v>350</v>
      </c>
      <c r="K1212" s="47" t="s">
        <v>99</v>
      </c>
    </row>
    <row r="1213" spans="1:11">
      <c r="A1213" s="2">
        <v>43944</v>
      </c>
      <c r="C1213" s="47" t="s">
        <v>100</v>
      </c>
      <c r="E1213" s="47">
        <v>1821</v>
      </c>
      <c r="F1213" s="47">
        <v>70</v>
      </c>
      <c r="G1213" s="47">
        <v>13</v>
      </c>
      <c r="H1213" s="47">
        <v>10</v>
      </c>
      <c r="I1213" s="47">
        <v>211</v>
      </c>
      <c r="J1213" s="47">
        <v>123</v>
      </c>
      <c r="K1213" s="47" t="s">
        <v>419</v>
      </c>
    </row>
    <row r="1214" spans="1:11">
      <c r="A1214" s="2">
        <v>43944</v>
      </c>
      <c r="B1214" s="47">
        <v>0</v>
      </c>
      <c r="C1214" s="47" t="s">
        <v>83</v>
      </c>
      <c r="E1214" s="47">
        <v>375</v>
      </c>
      <c r="F1214" s="47">
        <v>15</v>
      </c>
      <c r="J1214" s="47">
        <v>12</v>
      </c>
      <c r="K1214" s="47" t="s">
        <v>387</v>
      </c>
    </row>
    <row r="1215" spans="1:11">
      <c r="A1215" s="2">
        <v>43944</v>
      </c>
      <c r="B1215" s="47">
        <v>0.33333333333333331</v>
      </c>
      <c r="C1215" s="47" t="s">
        <v>44</v>
      </c>
      <c r="E1215" s="47">
        <v>1670</v>
      </c>
      <c r="F1215" s="47">
        <v>66</v>
      </c>
      <c r="G1215" s="47">
        <v>11</v>
      </c>
      <c r="H1215" s="47">
        <v>7</v>
      </c>
      <c r="J1215" s="47">
        <v>79</v>
      </c>
      <c r="K1215" s="47" t="s">
        <v>46</v>
      </c>
    </row>
    <row r="1216" spans="1:11">
      <c r="A1216" s="2">
        <v>43944</v>
      </c>
      <c r="B1216" s="47">
        <v>0.33333333333333331</v>
      </c>
      <c r="C1216" s="47" t="s">
        <v>91</v>
      </c>
      <c r="E1216" s="47">
        <v>3106</v>
      </c>
      <c r="F1216" s="47">
        <v>215</v>
      </c>
      <c r="G1216" s="47">
        <v>41</v>
      </c>
      <c r="H1216" s="47">
        <v>32</v>
      </c>
      <c r="I1216" s="47">
        <v>676</v>
      </c>
      <c r="J1216" s="47">
        <v>298</v>
      </c>
      <c r="K1216" s="47" t="s">
        <v>383</v>
      </c>
    </row>
    <row r="1217" spans="1:11">
      <c r="A1217" s="2">
        <v>43944</v>
      </c>
      <c r="B1217" s="47">
        <v>0.33333333333333331</v>
      </c>
      <c r="C1217" s="47" t="s">
        <v>102</v>
      </c>
      <c r="E1217" s="47">
        <v>178</v>
      </c>
      <c r="F1217" s="47">
        <v>6</v>
      </c>
      <c r="G1217" s="47">
        <v>3</v>
      </c>
      <c r="I1217" s="47">
        <v>133</v>
      </c>
      <c r="J1217" s="47">
        <v>8</v>
      </c>
      <c r="K1217" s="47" t="s">
        <v>381</v>
      </c>
    </row>
    <row r="1218" spans="1:11">
      <c r="A1218" s="2">
        <v>43944</v>
      </c>
      <c r="B1218" s="47">
        <v>0.375</v>
      </c>
      <c r="C1218" s="47" t="s">
        <v>50</v>
      </c>
      <c r="E1218" s="47">
        <v>931</v>
      </c>
      <c r="F1218" s="47">
        <v>42</v>
      </c>
      <c r="G1218" s="47">
        <v>7</v>
      </c>
      <c r="I1218" s="47">
        <v>793</v>
      </c>
      <c r="J1218" s="47">
        <v>45</v>
      </c>
      <c r="K1218" s="47" t="s">
        <v>386</v>
      </c>
    </row>
    <row r="1219" spans="1:11">
      <c r="A1219" s="2">
        <v>43944</v>
      </c>
      <c r="B1219" s="47">
        <v>0.39583333333333331</v>
      </c>
      <c r="C1219" s="47" t="s">
        <v>81</v>
      </c>
      <c r="E1219" s="47">
        <v>65</v>
      </c>
      <c r="F1219" s="47">
        <v>8</v>
      </c>
      <c r="G1219" s="47">
        <v>2</v>
      </c>
      <c r="J1219" s="47">
        <v>3</v>
      </c>
      <c r="K1219" s="47" t="s">
        <v>426</v>
      </c>
    </row>
    <row r="1220" spans="1:11">
      <c r="A1220" s="2">
        <v>43944</v>
      </c>
      <c r="B1220" s="47">
        <v>0.41666666666666669</v>
      </c>
      <c r="C1220" s="47" t="s">
        <v>86</v>
      </c>
      <c r="E1220" s="47">
        <v>282</v>
      </c>
      <c r="I1220" s="47">
        <v>198</v>
      </c>
      <c r="J1220" s="47">
        <v>16</v>
      </c>
      <c r="K1220" s="47" t="s">
        <v>427</v>
      </c>
    </row>
    <row r="1221" spans="1:11">
      <c r="A1221" s="2">
        <v>43944</v>
      </c>
      <c r="B1221" s="47">
        <v>0.45833333333333331</v>
      </c>
      <c r="C1221" s="47" t="s">
        <v>38</v>
      </c>
      <c r="E1221" s="47">
        <v>25</v>
      </c>
      <c r="K1221" s="47" t="s">
        <v>40</v>
      </c>
    </row>
    <row r="1222" spans="1:11">
      <c r="A1222" s="2">
        <v>43944</v>
      </c>
      <c r="B1222" s="47">
        <v>0.45833333333333331</v>
      </c>
      <c r="C1222" s="47" t="s">
        <v>68</v>
      </c>
      <c r="E1222" s="47">
        <v>654</v>
      </c>
      <c r="F1222" s="47">
        <v>38</v>
      </c>
      <c r="G1222" s="47">
        <v>7</v>
      </c>
      <c r="J1222" s="47">
        <v>15</v>
      </c>
      <c r="K1222" s="47" t="s">
        <v>70</v>
      </c>
    </row>
    <row r="1223" spans="1:11">
      <c r="A1223" s="2">
        <v>43944</v>
      </c>
      <c r="B1223" s="47">
        <v>0.54166666666666663</v>
      </c>
      <c r="C1223" s="47" t="s">
        <v>75</v>
      </c>
      <c r="E1223" s="47">
        <v>68</v>
      </c>
      <c r="F1223" s="47">
        <v>0</v>
      </c>
      <c r="J1223" s="47">
        <v>0</v>
      </c>
      <c r="K1223" s="47" t="s">
        <v>77</v>
      </c>
    </row>
    <row r="1224" spans="1:11">
      <c r="A1224" s="2">
        <v>43944</v>
      </c>
      <c r="B1224" s="47">
        <v>0.5625</v>
      </c>
      <c r="C1224" s="47" t="s">
        <v>61</v>
      </c>
      <c r="E1224" s="47">
        <v>117</v>
      </c>
      <c r="F1224" s="47">
        <v>3</v>
      </c>
      <c r="J1224" s="47">
        <v>6</v>
      </c>
      <c r="K1224" s="47" t="s">
        <v>430</v>
      </c>
    </row>
    <row r="1225" spans="1:11">
      <c r="A1225" s="2">
        <v>43944</v>
      </c>
      <c r="B1225" s="47">
        <v>0.58333333333333337</v>
      </c>
      <c r="C1225" s="47" t="s">
        <v>41</v>
      </c>
      <c r="E1225" s="47">
        <v>88</v>
      </c>
      <c r="F1225" s="47">
        <v>5</v>
      </c>
      <c r="G1225" s="47">
        <v>2</v>
      </c>
      <c r="J1225" s="47">
        <v>3</v>
      </c>
      <c r="K1225" s="47" t="s">
        <v>43</v>
      </c>
    </row>
    <row r="1226" spans="1:11">
      <c r="A1226" s="2">
        <v>43944</v>
      </c>
      <c r="B1226" s="47">
        <v>0.60416666666666663</v>
      </c>
      <c r="C1226" s="47" t="s">
        <v>104</v>
      </c>
      <c r="E1226" s="47">
        <v>3337</v>
      </c>
      <c r="F1226" s="47">
        <v>96</v>
      </c>
      <c r="H1226" s="47">
        <v>44</v>
      </c>
      <c r="J1226" s="47">
        <v>113</v>
      </c>
      <c r="K1226" s="47" t="s">
        <v>106</v>
      </c>
    </row>
    <row r="1227" spans="1:11">
      <c r="A1227" s="2">
        <v>43944</v>
      </c>
      <c r="B1227" s="47">
        <v>0.61458333333333337</v>
      </c>
      <c r="C1227" s="47" t="s">
        <v>34</v>
      </c>
      <c r="E1227" s="47">
        <v>1037</v>
      </c>
      <c r="F1227" s="47">
        <v>35</v>
      </c>
      <c r="G1227" s="47">
        <v>14</v>
      </c>
      <c r="H1227" s="47">
        <v>14</v>
      </c>
      <c r="I1227" s="47">
        <v>750</v>
      </c>
      <c r="J1227" s="47">
        <v>31</v>
      </c>
      <c r="K1227" s="47" t="s">
        <v>382</v>
      </c>
    </row>
    <row r="1228" spans="1:11">
      <c r="A1228" s="2">
        <v>43944</v>
      </c>
      <c r="B1228" s="47">
        <v>0.625</v>
      </c>
      <c r="C1228" s="47" t="s">
        <v>94</v>
      </c>
      <c r="E1228" s="47">
        <v>78</v>
      </c>
      <c r="F1228" s="47">
        <v>4</v>
      </c>
      <c r="I1228" s="47">
        <v>69</v>
      </c>
      <c r="J1228" s="47">
        <v>5</v>
      </c>
      <c r="K1228" s="47" t="s">
        <v>96</v>
      </c>
    </row>
    <row r="1229" spans="1:11">
      <c r="A1229" s="2">
        <v>43945</v>
      </c>
      <c r="C1229" s="47" t="s">
        <v>47</v>
      </c>
      <c r="E1229" s="47">
        <v>813</v>
      </c>
      <c r="F1229" s="47">
        <v>24</v>
      </c>
      <c r="G1229" s="47">
        <v>2</v>
      </c>
      <c r="H1229" s="47">
        <v>1</v>
      </c>
      <c r="I1229" s="47">
        <v>698</v>
      </c>
      <c r="J1229" s="47">
        <v>30</v>
      </c>
      <c r="K1229" s="47" t="s">
        <v>49</v>
      </c>
    </row>
    <row r="1230" spans="1:11">
      <c r="A1230" s="2">
        <v>43945</v>
      </c>
      <c r="C1230" s="47" t="s">
        <v>53</v>
      </c>
      <c r="E1230" s="47">
        <v>82</v>
      </c>
      <c r="J1230" s="47">
        <v>1</v>
      </c>
      <c r="K1230" s="47" t="s">
        <v>390</v>
      </c>
    </row>
    <row r="1231" spans="1:11">
      <c r="A1231" s="2">
        <v>43945</v>
      </c>
      <c r="C1231" s="47" t="s">
        <v>56</v>
      </c>
      <c r="E1231" s="47">
        <v>1021</v>
      </c>
      <c r="F1231" s="47">
        <v>55</v>
      </c>
      <c r="G1231" s="47">
        <v>8</v>
      </c>
      <c r="I1231" s="47">
        <v>119</v>
      </c>
      <c r="J1231" s="47">
        <v>76</v>
      </c>
      <c r="K1231" s="47" t="s">
        <v>434</v>
      </c>
    </row>
    <row r="1232" spans="1:11">
      <c r="A1232" s="2">
        <v>43945</v>
      </c>
      <c r="C1232" s="47" t="s">
        <v>58</v>
      </c>
      <c r="D1232" s="47">
        <v>23795</v>
      </c>
      <c r="E1232" s="47">
        <v>4741</v>
      </c>
      <c r="F1232" s="47">
        <v>278</v>
      </c>
      <c r="G1232" s="47">
        <v>26</v>
      </c>
      <c r="H1232" s="47">
        <v>25</v>
      </c>
      <c r="I1232" s="47">
        <v>600</v>
      </c>
      <c r="J1232" s="47">
        <v>238</v>
      </c>
      <c r="K1232" s="47" t="s">
        <v>60</v>
      </c>
    </row>
    <row r="1233" spans="1:11">
      <c r="A1233" s="2">
        <v>43945</v>
      </c>
      <c r="C1233" s="47" t="s">
        <v>63</v>
      </c>
      <c r="E1233" s="47">
        <v>799</v>
      </c>
      <c r="F1233" s="47">
        <v>29</v>
      </c>
      <c r="J1233" s="47">
        <v>44</v>
      </c>
      <c r="K1233" s="47" t="s">
        <v>65</v>
      </c>
    </row>
    <row r="1234" spans="1:11">
      <c r="A1234" s="2">
        <v>43945</v>
      </c>
      <c r="C1234" s="47" t="s">
        <v>66</v>
      </c>
      <c r="E1234" s="47">
        <v>196</v>
      </c>
      <c r="F1234" s="47">
        <v>11</v>
      </c>
      <c r="G1234" s="47">
        <v>4</v>
      </c>
      <c r="J1234" s="47">
        <v>6</v>
      </c>
      <c r="K1234" s="47" t="s">
        <v>424</v>
      </c>
    </row>
    <row r="1235" spans="1:11">
      <c r="A1235" s="2">
        <v>43945</v>
      </c>
      <c r="C1235" s="47" t="s">
        <v>71</v>
      </c>
      <c r="E1235" s="47">
        <v>669</v>
      </c>
      <c r="F1235" s="47">
        <v>36</v>
      </c>
      <c r="G1235" s="47">
        <v>6</v>
      </c>
      <c r="H1235" s="47">
        <v>4</v>
      </c>
      <c r="J1235" s="47">
        <v>70</v>
      </c>
      <c r="K1235" s="47" t="s">
        <v>377</v>
      </c>
    </row>
    <row r="1236" spans="1:11">
      <c r="A1236" s="2">
        <v>43945</v>
      </c>
      <c r="C1236" s="47" t="s">
        <v>73</v>
      </c>
      <c r="E1236" s="47">
        <v>108</v>
      </c>
      <c r="F1236" s="47">
        <v>3</v>
      </c>
      <c r="G1236" s="47">
        <v>0</v>
      </c>
      <c r="J1236" s="47">
        <v>3</v>
      </c>
      <c r="K1236" s="47" t="s">
        <v>357</v>
      </c>
    </row>
    <row r="1237" spans="1:11">
      <c r="A1237" s="2">
        <v>43945</v>
      </c>
      <c r="C1237" s="47" t="s">
        <v>78</v>
      </c>
      <c r="E1237" s="47">
        <v>745</v>
      </c>
      <c r="F1237" s="47">
        <v>43</v>
      </c>
      <c r="G1237" s="47">
        <v>4</v>
      </c>
      <c r="I1237" s="47">
        <v>175</v>
      </c>
      <c r="J1237" s="47">
        <v>31</v>
      </c>
      <c r="K1237" s="47" t="s">
        <v>80</v>
      </c>
    </row>
    <row r="1238" spans="1:11">
      <c r="A1238" s="2">
        <v>43945</v>
      </c>
      <c r="C1238" s="47" t="s">
        <v>88</v>
      </c>
      <c r="E1238" s="47">
        <v>359</v>
      </c>
      <c r="F1238" s="47">
        <v>21</v>
      </c>
      <c r="G1238" s="47">
        <v>9</v>
      </c>
      <c r="J1238" s="47">
        <v>14</v>
      </c>
      <c r="K1238" s="47" t="s">
        <v>90</v>
      </c>
    </row>
    <row r="1239" spans="1:11">
      <c r="A1239" s="2">
        <v>43945</v>
      </c>
      <c r="C1239" s="47" t="s">
        <v>97</v>
      </c>
      <c r="E1239" s="47">
        <v>5203</v>
      </c>
      <c r="F1239" s="47">
        <v>171</v>
      </c>
      <c r="G1239" s="47">
        <v>36</v>
      </c>
      <c r="J1239" s="47">
        <v>353</v>
      </c>
      <c r="K1239" s="47" t="s">
        <v>99</v>
      </c>
    </row>
    <row r="1240" spans="1:11">
      <c r="A1240" s="2">
        <v>43945</v>
      </c>
      <c r="C1240" s="47" t="s">
        <v>100</v>
      </c>
      <c r="E1240" s="47">
        <v>1830</v>
      </c>
      <c r="F1240" s="47">
        <v>66</v>
      </c>
      <c r="G1240" s="47">
        <v>14</v>
      </c>
      <c r="H1240" s="47">
        <v>10</v>
      </c>
      <c r="I1240" s="47">
        <v>218</v>
      </c>
      <c r="J1240" s="47">
        <v>127</v>
      </c>
      <c r="K1240" s="47" t="s">
        <v>419</v>
      </c>
    </row>
    <row r="1241" spans="1:11">
      <c r="A1241" s="2">
        <v>43945</v>
      </c>
      <c r="B1241" s="47">
        <v>0</v>
      </c>
      <c r="C1241" s="47" t="s">
        <v>83</v>
      </c>
      <c r="E1241" s="47">
        <v>376</v>
      </c>
      <c r="F1241" s="47">
        <v>15</v>
      </c>
      <c r="J1241" s="47">
        <v>14</v>
      </c>
      <c r="K1241" s="47" t="s">
        <v>387</v>
      </c>
    </row>
    <row r="1242" spans="1:11">
      <c r="A1242" s="2">
        <v>43945</v>
      </c>
      <c r="B1242" s="47">
        <v>0.33333333333333331</v>
      </c>
      <c r="C1242" s="47" t="s">
        <v>44</v>
      </c>
      <c r="E1242" s="47">
        <v>1694</v>
      </c>
      <c r="F1242" s="47">
        <v>60</v>
      </c>
      <c r="G1242" s="47">
        <v>11</v>
      </c>
      <c r="H1242" s="47">
        <v>8</v>
      </c>
      <c r="J1242" s="47">
        <v>82</v>
      </c>
      <c r="K1242" s="47" t="s">
        <v>46</v>
      </c>
    </row>
    <row r="1243" spans="1:11">
      <c r="A1243" s="2">
        <v>43945</v>
      </c>
      <c r="B1243" s="47">
        <v>0.33333333333333331</v>
      </c>
      <c r="C1243" s="47" t="s">
        <v>91</v>
      </c>
      <c r="E1243" s="47">
        <v>3121</v>
      </c>
      <c r="F1243" s="47">
        <v>214</v>
      </c>
      <c r="G1243" s="47">
        <v>42</v>
      </c>
      <c r="H1243" s="47">
        <v>33</v>
      </c>
      <c r="I1243" s="47">
        <v>682</v>
      </c>
      <c r="J1243" s="47">
        <v>299</v>
      </c>
      <c r="K1243" s="47" t="s">
        <v>391</v>
      </c>
    </row>
    <row r="1244" spans="1:11">
      <c r="A1244" s="2">
        <v>43945</v>
      </c>
      <c r="B1244" s="47">
        <v>0.33333333333333331</v>
      </c>
      <c r="C1244" s="47" t="s">
        <v>102</v>
      </c>
      <c r="E1244" s="47">
        <v>180</v>
      </c>
      <c r="F1244" s="47">
        <v>6</v>
      </c>
      <c r="G1244" s="47">
        <v>3</v>
      </c>
      <c r="I1244" s="47">
        <v>133</v>
      </c>
      <c r="J1244" s="47">
        <v>8</v>
      </c>
      <c r="K1244" s="47" t="s">
        <v>381</v>
      </c>
    </row>
    <row r="1245" spans="1:11">
      <c r="A1245" s="2">
        <v>43945</v>
      </c>
      <c r="B1245" s="47">
        <v>0.38541666666666669</v>
      </c>
      <c r="C1245" s="47" t="s">
        <v>50</v>
      </c>
      <c r="E1245" s="47">
        <v>936</v>
      </c>
      <c r="F1245" s="47">
        <v>40</v>
      </c>
      <c r="G1245" s="47">
        <v>7</v>
      </c>
      <c r="I1245" s="47">
        <v>800</v>
      </c>
      <c r="J1245" s="47">
        <v>46</v>
      </c>
      <c r="K1245" s="47" t="s">
        <v>385</v>
      </c>
    </row>
    <row r="1246" spans="1:11">
      <c r="A1246" s="2">
        <v>43945</v>
      </c>
      <c r="B1246" s="47">
        <v>0.39583333333333331</v>
      </c>
      <c r="C1246" s="47" t="s">
        <v>41</v>
      </c>
      <c r="E1246" s="47">
        <v>88</v>
      </c>
      <c r="F1246" s="47">
        <v>4</v>
      </c>
      <c r="G1246" s="47">
        <v>2</v>
      </c>
      <c r="J1246" s="47">
        <v>3</v>
      </c>
      <c r="K1246" s="47" t="s">
        <v>43</v>
      </c>
    </row>
    <row r="1247" spans="1:11">
      <c r="A1247" s="2">
        <v>43945</v>
      </c>
      <c r="B1247" s="47">
        <v>0.39583333333333331</v>
      </c>
      <c r="C1247" s="47" t="s">
        <v>81</v>
      </c>
      <c r="E1247" s="47">
        <v>70</v>
      </c>
      <c r="F1247" s="47">
        <v>4</v>
      </c>
      <c r="G1247" s="47">
        <v>1</v>
      </c>
      <c r="J1247" s="47">
        <v>3</v>
      </c>
      <c r="K1247" s="47" t="s">
        <v>426</v>
      </c>
    </row>
    <row r="1248" spans="1:11">
      <c r="A1248" s="2">
        <v>43945</v>
      </c>
      <c r="B1248" s="47">
        <v>0.41666666666666669</v>
      </c>
      <c r="C1248" s="47" t="s">
        <v>86</v>
      </c>
      <c r="E1248" s="47">
        <v>284</v>
      </c>
      <c r="I1248" s="47">
        <v>206</v>
      </c>
      <c r="J1248" s="47">
        <v>16</v>
      </c>
      <c r="K1248" s="47" t="s">
        <v>427</v>
      </c>
    </row>
    <row r="1249" spans="1:11">
      <c r="A1249" s="2">
        <v>43945</v>
      </c>
      <c r="B1249" s="47">
        <v>0.45833333333333331</v>
      </c>
      <c r="C1249" s="47" t="s">
        <v>38</v>
      </c>
      <c r="E1249" s="47">
        <v>25</v>
      </c>
      <c r="K1249" s="47" t="s">
        <v>40</v>
      </c>
    </row>
    <row r="1250" spans="1:11">
      <c r="A1250" s="2">
        <v>43945</v>
      </c>
      <c r="B1250" s="47">
        <v>0.45833333333333331</v>
      </c>
      <c r="C1250" s="47" t="s">
        <v>68</v>
      </c>
      <c r="E1250" s="47">
        <v>660</v>
      </c>
      <c r="J1250" s="47">
        <v>16</v>
      </c>
      <c r="K1250" s="47" t="s">
        <v>70</v>
      </c>
    </row>
    <row r="1251" spans="1:11">
      <c r="A1251" s="2">
        <v>43945</v>
      </c>
      <c r="B1251" s="47">
        <v>0.54166666666666663</v>
      </c>
      <c r="C1251" s="47" t="s">
        <v>61</v>
      </c>
      <c r="E1251" s="47">
        <v>117</v>
      </c>
      <c r="F1251" s="47">
        <v>3</v>
      </c>
      <c r="J1251" s="47">
        <v>7</v>
      </c>
      <c r="K1251" s="47" t="s">
        <v>430</v>
      </c>
    </row>
    <row r="1252" spans="1:11">
      <c r="A1252" s="2">
        <v>43945</v>
      </c>
      <c r="B1252" s="47">
        <v>0.58333333333333337</v>
      </c>
      <c r="C1252" s="47" t="s">
        <v>94</v>
      </c>
      <c r="E1252" s="47">
        <v>78</v>
      </c>
      <c r="F1252" s="47">
        <v>3</v>
      </c>
      <c r="I1252" s="47">
        <v>69</v>
      </c>
      <c r="J1252" s="47">
        <v>5</v>
      </c>
      <c r="K1252" s="47" t="s">
        <v>96</v>
      </c>
    </row>
    <row r="1253" spans="1:11">
      <c r="A1253" s="2">
        <v>43945</v>
      </c>
      <c r="B1253" s="47">
        <v>0.60416666666666663</v>
      </c>
      <c r="C1253" s="47" t="s">
        <v>104</v>
      </c>
      <c r="E1253" s="47">
        <v>3366</v>
      </c>
      <c r="F1253" s="47">
        <v>83</v>
      </c>
      <c r="H1253" s="47">
        <v>42</v>
      </c>
      <c r="J1253" s="47">
        <v>114</v>
      </c>
      <c r="K1253" s="47" t="s">
        <v>106</v>
      </c>
    </row>
    <row r="1254" spans="1:11">
      <c r="A1254" s="2">
        <v>43945</v>
      </c>
      <c r="B1254" s="47">
        <v>0.61458333333333337</v>
      </c>
      <c r="C1254" s="47" t="s">
        <v>34</v>
      </c>
      <c r="E1254" s="47">
        <v>1052</v>
      </c>
      <c r="F1254" s="47">
        <v>40</v>
      </c>
      <c r="G1254" s="47">
        <v>14</v>
      </c>
      <c r="H1254" s="47">
        <v>14</v>
      </c>
      <c r="I1254" s="47">
        <v>780</v>
      </c>
      <c r="J1254" s="47">
        <v>31</v>
      </c>
      <c r="K1254" s="47" t="s">
        <v>389</v>
      </c>
    </row>
    <row r="1255" spans="1:11">
      <c r="A1255" s="2">
        <v>43945</v>
      </c>
      <c r="B1255" s="47">
        <v>0.70833333333333337</v>
      </c>
      <c r="C1255" s="47" t="s">
        <v>75</v>
      </c>
      <c r="E1255" s="47">
        <v>71</v>
      </c>
      <c r="F1255" s="47">
        <v>0</v>
      </c>
      <c r="J1255" s="47">
        <v>0</v>
      </c>
      <c r="K1255" s="47" t="s">
        <v>77</v>
      </c>
    </row>
    <row r="1256" spans="1:11">
      <c r="A1256" s="2">
        <v>43946</v>
      </c>
      <c r="C1256" s="47" t="s">
        <v>47</v>
      </c>
      <c r="E1256" s="47">
        <v>816</v>
      </c>
      <c r="F1256" s="47">
        <v>23</v>
      </c>
      <c r="G1256" s="47">
        <v>1</v>
      </c>
      <c r="H1256" s="47">
        <v>0</v>
      </c>
      <c r="I1256" s="47">
        <v>710</v>
      </c>
      <c r="J1256" s="47">
        <v>30</v>
      </c>
      <c r="K1256" s="47" t="s">
        <v>49</v>
      </c>
    </row>
    <row r="1257" spans="1:11">
      <c r="A1257" s="2">
        <v>43946</v>
      </c>
      <c r="C1257" s="47" t="s">
        <v>53</v>
      </c>
      <c r="E1257" s="47">
        <v>82</v>
      </c>
      <c r="J1257" s="47">
        <v>1</v>
      </c>
      <c r="K1257" s="47" t="s">
        <v>397</v>
      </c>
    </row>
    <row r="1258" spans="1:11">
      <c r="A1258" s="2">
        <v>43946</v>
      </c>
      <c r="C1258" s="47" t="s">
        <v>56</v>
      </c>
      <c r="E1258" s="47">
        <v>1029</v>
      </c>
      <c r="F1258" s="47">
        <v>54</v>
      </c>
      <c r="G1258" s="47">
        <v>7</v>
      </c>
      <c r="I1258" s="47">
        <v>119</v>
      </c>
      <c r="J1258" s="47">
        <v>76</v>
      </c>
      <c r="K1258" s="47" t="s">
        <v>434</v>
      </c>
    </row>
    <row r="1259" spans="1:11">
      <c r="A1259" s="2">
        <v>43946</v>
      </c>
      <c r="C1259" s="47" t="s">
        <v>58</v>
      </c>
      <c r="D1259" s="47">
        <v>24153</v>
      </c>
      <c r="E1259" s="47">
        <v>4754</v>
      </c>
      <c r="F1259" s="47">
        <v>271</v>
      </c>
      <c r="G1259" s="47">
        <v>27</v>
      </c>
      <c r="H1259" s="47">
        <v>26</v>
      </c>
      <c r="J1259" s="47">
        <v>239</v>
      </c>
      <c r="K1259" s="47" t="s">
        <v>60</v>
      </c>
    </row>
    <row r="1260" spans="1:11">
      <c r="A1260" s="2">
        <v>43946</v>
      </c>
      <c r="C1260" s="47" t="s">
        <v>63</v>
      </c>
      <c r="E1260" s="47">
        <v>800</v>
      </c>
      <c r="F1260" s="47">
        <v>28</v>
      </c>
      <c r="J1260" s="47">
        <v>44</v>
      </c>
      <c r="K1260" s="47" t="s">
        <v>65</v>
      </c>
    </row>
    <row r="1261" spans="1:11">
      <c r="A1261" s="2">
        <v>43946</v>
      </c>
      <c r="C1261" s="47" t="s">
        <v>66</v>
      </c>
      <c r="E1261" s="47">
        <v>196</v>
      </c>
      <c r="F1261" s="47">
        <v>11</v>
      </c>
      <c r="G1261" s="47">
        <v>4</v>
      </c>
      <c r="J1261" s="47">
        <v>6</v>
      </c>
      <c r="K1261" s="47" t="s">
        <v>424</v>
      </c>
    </row>
    <row r="1262" spans="1:11">
      <c r="A1262" s="2">
        <v>43946</v>
      </c>
      <c r="C1262" s="47" t="s">
        <v>71</v>
      </c>
      <c r="E1262" s="47">
        <v>670</v>
      </c>
      <c r="F1262" s="47">
        <v>35</v>
      </c>
      <c r="G1262" s="47">
        <v>4</v>
      </c>
      <c r="H1262" s="47">
        <v>3</v>
      </c>
      <c r="J1262" s="47">
        <v>71</v>
      </c>
      <c r="K1262" s="47" t="s">
        <v>377</v>
      </c>
    </row>
    <row r="1263" spans="1:11">
      <c r="A1263" s="2">
        <v>43946</v>
      </c>
      <c r="C1263" s="47" t="s">
        <v>73</v>
      </c>
      <c r="E1263" s="47">
        <v>108</v>
      </c>
      <c r="F1263" s="47">
        <v>3</v>
      </c>
      <c r="G1263" s="47">
        <v>0</v>
      </c>
      <c r="J1263" s="47">
        <v>3</v>
      </c>
      <c r="K1263" s="47" t="s">
        <v>357</v>
      </c>
    </row>
    <row r="1264" spans="1:11">
      <c r="A1264" s="2">
        <v>43946</v>
      </c>
      <c r="C1264" s="47" t="s">
        <v>78</v>
      </c>
      <c r="E1264" s="47">
        <v>753</v>
      </c>
      <c r="J1264" s="47">
        <v>31</v>
      </c>
      <c r="K1264" s="47" t="s">
        <v>80</v>
      </c>
    </row>
    <row r="1265" spans="1:11">
      <c r="A1265" s="2">
        <v>43946</v>
      </c>
      <c r="C1265" s="47" t="s">
        <v>88</v>
      </c>
      <c r="E1265" s="47">
        <v>360</v>
      </c>
      <c r="F1265" s="47">
        <v>23</v>
      </c>
      <c r="G1265" s="47">
        <v>8</v>
      </c>
      <c r="J1265" s="47">
        <v>14</v>
      </c>
      <c r="K1265" s="47" t="s">
        <v>90</v>
      </c>
    </row>
    <row r="1266" spans="1:11">
      <c r="A1266" s="2">
        <v>43946</v>
      </c>
      <c r="C1266" s="47" t="s">
        <v>97</v>
      </c>
      <c r="E1266" s="47">
        <v>5216</v>
      </c>
      <c r="F1266" s="47">
        <v>176</v>
      </c>
      <c r="G1266" s="47">
        <v>36</v>
      </c>
      <c r="J1266" s="47">
        <v>363</v>
      </c>
      <c r="K1266" s="47" t="s">
        <v>99</v>
      </c>
    </row>
    <row r="1267" spans="1:11">
      <c r="A1267" s="2">
        <v>43946</v>
      </c>
      <c r="C1267" s="47" t="s">
        <v>100</v>
      </c>
      <c r="E1267" s="47">
        <v>1835</v>
      </c>
      <c r="F1267" s="47">
        <v>68</v>
      </c>
      <c r="G1267" s="47">
        <v>14</v>
      </c>
      <c r="H1267" s="47">
        <v>10</v>
      </c>
      <c r="I1267" s="47">
        <v>218</v>
      </c>
      <c r="J1267" s="47">
        <v>129</v>
      </c>
      <c r="K1267" s="47" t="s">
        <v>419</v>
      </c>
    </row>
    <row r="1268" spans="1:11">
      <c r="A1268" s="2">
        <v>43946</v>
      </c>
      <c r="B1268" s="47">
        <v>0</v>
      </c>
      <c r="C1268" s="47" t="s">
        <v>83</v>
      </c>
      <c r="E1268" s="47">
        <v>379</v>
      </c>
      <c r="F1268" s="47">
        <v>13</v>
      </c>
      <c r="J1268" s="47">
        <v>14</v>
      </c>
      <c r="K1268" s="47" t="s">
        <v>387</v>
      </c>
    </row>
    <row r="1269" spans="1:11">
      <c r="A1269" s="2">
        <v>43946</v>
      </c>
      <c r="B1269" s="47">
        <v>6.9444444444444447E-4</v>
      </c>
      <c r="C1269" s="47" t="s">
        <v>86</v>
      </c>
      <c r="E1269" s="47">
        <v>287</v>
      </c>
      <c r="I1269" s="47">
        <v>215</v>
      </c>
      <c r="J1269" s="47">
        <v>17</v>
      </c>
      <c r="K1269" s="47" t="s">
        <v>427</v>
      </c>
    </row>
    <row r="1270" spans="1:11">
      <c r="A1270" s="2">
        <v>43946</v>
      </c>
      <c r="B1270" s="47">
        <v>0.33333333333333331</v>
      </c>
      <c r="C1270" s="47" t="s">
        <v>44</v>
      </c>
      <c r="E1270" s="47">
        <v>1708</v>
      </c>
      <c r="F1270" s="47">
        <v>61</v>
      </c>
      <c r="G1270" s="47">
        <v>11</v>
      </c>
      <c r="H1270" s="47">
        <v>10</v>
      </c>
      <c r="J1270" s="47">
        <v>83</v>
      </c>
      <c r="K1270" s="47" t="s">
        <v>46</v>
      </c>
    </row>
    <row r="1271" spans="1:11">
      <c r="A1271" s="2">
        <v>43946</v>
      </c>
      <c r="B1271" s="47">
        <v>0.33333333333333331</v>
      </c>
      <c r="C1271" s="47" t="s">
        <v>91</v>
      </c>
      <c r="E1271" s="47">
        <v>3142</v>
      </c>
      <c r="F1271" s="47">
        <v>198</v>
      </c>
      <c r="G1271" s="47">
        <v>40</v>
      </c>
      <c r="H1271" s="47">
        <v>30</v>
      </c>
      <c r="I1271" s="47">
        <v>698</v>
      </c>
      <c r="J1271" s="47">
        <v>304</v>
      </c>
      <c r="K1271" s="47" t="s">
        <v>398</v>
      </c>
    </row>
    <row r="1272" spans="1:11">
      <c r="A1272" s="2">
        <v>43946</v>
      </c>
      <c r="B1272" s="47">
        <v>0.33333333333333331</v>
      </c>
      <c r="C1272" s="47" t="s">
        <v>102</v>
      </c>
      <c r="E1272" s="47">
        <v>181</v>
      </c>
      <c r="F1272" s="47">
        <v>6</v>
      </c>
      <c r="G1272" s="47">
        <v>3</v>
      </c>
      <c r="I1272" s="47">
        <v>133</v>
      </c>
      <c r="J1272" s="47">
        <v>8</v>
      </c>
      <c r="K1272" s="47" t="s">
        <v>381</v>
      </c>
    </row>
    <row r="1273" spans="1:11">
      <c r="A1273" s="2">
        <v>43946</v>
      </c>
      <c r="B1273" s="47">
        <v>0.39583333333333331</v>
      </c>
      <c r="C1273" s="47" t="s">
        <v>50</v>
      </c>
      <c r="E1273" s="47">
        <v>938</v>
      </c>
      <c r="J1273" s="47">
        <v>46</v>
      </c>
      <c r="K1273" s="47" t="s">
        <v>409</v>
      </c>
    </row>
    <row r="1274" spans="1:11">
      <c r="A1274" s="2">
        <v>43946</v>
      </c>
      <c r="B1274" s="47">
        <v>0.39583333333333331</v>
      </c>
      <c r="C1274" s="47" t="s">
        <v>81</v>
      </c>
      <c r="E1274" s="47">
        <v>71</v>
      </c>
      <c r="F1274" s="47">
        <v>6</v>
      </c>
      <c r="G1274" s="47">
        <v>1</v>
      </c>
      <c r="J1274" s="47">
        <v>5</v>
      </c>
      <c r="K1274" s="47" t="s">
        <v>426</v>
      </c>
    </row>
    <row r="1275" spans="1:11">
      <c r="A1275" s="2">
        <v>43946</v>
      </c>
      <c r="B1275" s="47">
        <v>0.45833333333333331</v>
      </c>
      <c r="C1275" s="47" t="s">
        <v>38</v>
      </c>
      <c r="E1275" s="47">
        <v>25</v>
      </c>
      <c r="K1275" s="47" t="s">
        <v>40</v>
      </c>
    </row>
    <row r="1276" spans="1:11">
      <c r="A1276" s="2">
        <v>43946</v>
      </c>
      <c r="B1276" s="47">
        <v>0.5</v>
      </c>
      <c r="C1276" s="47" t="s">
        <v>68</v>
      </c>
      <c r="E1276" s="47">
        <v>667</v>
      </c>
      <c r="F1276" s="47">
        <v>32</v>
      </c>
      <c r="G1276" s="47">
        <v>8</v>
      </c>
      <c r="J1276" s="47">
        <v>16</v>
      </c>
      <c r="K1276" s="47" t="s">
        <v>70</v>
      </c>
    </row>
    <row r="1277" spans="1:11">
      <c r="A1277" s="2">
        <v>43946</v>
      </c>
      <c r="B1277" s="47">
        <v>0.5</v>
      </c>
      <c r="C1277" s="47" t="s">
        <v>94</v>
      </c>
      <c r="E1277" s="47">
        <v>78</v>
      </c>
      <c r="F1277" s="47">
        <v>3</v>
      </c>
      <c r="I1277" s="47">
        <v>69</v>
      </c>
      <c r="J1277" s="47">
        <v>5</v>
      </c>
      <c r="K1277" s="47" t="s">
        <v>96</v>
      </c>
    </row>
    <row r="1278" spans="1:11">
      <c r="A1278" s="2">
        <v>43946</v>
      </c>
      <c r="B1278" s="47">
        <v>0.54166666666666663</v>
      </c>
      <c r="C1278" s="47" t="s">
        <v>61</v>
      </c>
      <c r="E1278" s="47">
        <v>120</v>
      </c>
      <c r="F1278" s="47">
        <v>3</v>
      </c>
      <c r="J1278" s="47">
        <v>7</v>
      </c>
      <c r="K1278" s="47" t="s">
        <v>430</v>
      </c>
    </row>
    <row r="1279" spans="1:11">
      <c r="A1279" s="2">
        <v>43946</v>
      </c>
      <c r="B1279" s="47">
        <v>0.60416666666666663</v>
      </c>
      <c r="C1279" s="47" t="s">
        <v>104</v>
      </c>
      <c r="E1279" s="47">
        <v>3397</v>
      </c>
      <c r="F1279" s="47">
        <v>77</v>
      </c>
      <c r="H1279" s="47">
        <v>38</v>
      </c>
      <c r="J1279" s="47">
        <v>115</v>
      </c>
      <c r="K1279" s="47" t="s">
        <v>106</v>
      </c>
    </row>
    <row r="1280" spans="1:11">
      <c r="A1280" s="2">
        <v>43947</v>
      </c>
      <c r="C1280" s="47" t="s">
        <v>47</v>
      </c>
      <c r="E1280" s="47">
        <v>816</v>
      </c>
      <c r="F1280" s="47">
        <v>21</v>
      </c>
      <c r="G1280" s="47">
        <v>0</v>
      </c>
      <c r="H1280" s="47">
        <v>0</v>
      </c>
      <c r="I1280" s="47">
        <v>724</v>
      </c>
      <c r="J1280" s="47">
        <v>30</v>
      </c>
      <c r="K1280" s="47" t="s">
        <v>49</v>
      </c>
    </row>
    <row r="1281" spans="1:11">
      <c r="A1281" s="2">
        <v>43947</v>
      </c>
      <c r="C1281" s="47" t="s">
        <v>53</v>
      </c>
      <c r="E1281" s="47">
        <v>82</v>
      </c>
      <c r="J1281" s="47">
        <v>1</v>
      </c>
      <c r="K1281" s="47" t="s">
        <v>399</v>
      </c>
    </row>
    <row r="1282" spans="1:11">
      <c r="A1282" s="2">
        <v>43947</v>
      </c>
      <c r="C1282" s="47" t="s">
        <v>56</v>
      </c>
      <c r="E1282" s="47">
        <v>1033</v>
      </c>
      <c r="F1282" s="47">
        <v>54</v>
      </c>
      <c r="G1282" s="47">
        <v>5</v>
      </c>
      <c r="I1282" s="47">
        <v>120</v>
      </c>
      <c r="J1282" s="47">
        <v>77</v>
      </c>
      <c r="K1282" s="47" t="s">
        <v>434</v>
      </c>
    </row>
    <row r="1283" spans="1:11">
      <c r="A1283" s="2">
        <v>43947</v>
      </c>
      <c r="C1283" s="47" t="s">
        <v>58</v>
      </c>
      <c r="D1283" s="47">
        <v>24347</v>
      </c>
      <c r="E1283" s="47">
        <v>4760</v>
      </c>
      <c r="F1283" s="47">
        <v>271</v>
      </c>
      <c r="G1283" s="47">
        <v>25</v>
      </c>
      <c r="H1283" s="47">
        <v>24</v>
      </c>
      <c r="I1283" s="47">
        <v>610</v>
      </c>
      <c r="J1283" s="47">
        <v>241</v>
      </c>
      <c r="K1283" s="47" t="s">
        <v>60</v>
      </c>
    </row>
    <row r="1284" spans="1:11">
      <c r="A1284" s="2">
        <v>43947</v>
      </c>
      <c r="C1284" s="47" t="s">
        <v>63</v>
      </c>
      <c r="E1284" s="47">
        <v>802</v>
      </c>
      <c r="F1284" s="47">
        <v>28</v>
      </c>
      <c r="J1284" s="47">
        <v>45</v>
      </c>
      <c r="K1284" s="47" t="s">
        <v>65</v>
      </c>
    </row>
    <row r="1285" spans="1:11">
      <c r="A1285" s="2">
        <v>43947</v>
      </c>
      <c r="C1285" s="47" t="s">
        <v>66</v>
      </c>
      <c r="E1285" s="47">
        <v>196</v>
      </c>
      <c r="F1285" s="47">
        <v>11</v>
      </c>
      <c r="G1285" s="47">
        <v>4</v>
      </c>
      <c r="J1285" s="47">
        <v>6</v>
      </c>
      <c r="K1285" s="47" t="s">
        <v>424</v>
      </c>
    </row>
    <row r="1286" spans="1:11">
      <c r="A1286" s="2">
        <v>43947</v>
      </c>
      <c r="C1286" s="47" t="s">
        <v>71</v>
      </c>
      <c r="E1286" s="47">
        <v>671</v>
      </c>
      <c r="F1286" s="47">
        <v>32</v>
      </c>
      <c r="G1286" s="47">
        <v>3</v>
      </c>
      <c r="H1286" s="47">
        <v>3</v>
      </c>
      <c r="J1286" s="47">
        <v>73</v>
      </c>
      <c r="K1286" s="47" t="s">
        <v>377</v>
      </c>
    </row>
    <row r="1287" spans="1:11">
      <c r="A1287" s="2">
        <v>43947</v>
      </c>
      <c r="C1287" s="47" t="s">
        <v>73</v>
      </c>
      <c r="E1287" s="47">
        <v>110</v>
      </c>
      <c r="F1287" s="47">
        <v>3</v>
      </c>
      <c r="G1287" s="47">
        <v>0</v>
      </c>
      <c r="J1287" s="47">
        <v>3</v>
      </c>
      <c r="K1287" s="47" t="s">
        <v>357</v>
      </c>
    </row>
    <row r="1288" spans="1:11">
      <c r="A1288" s="2">
        <v>43947</v>
      </c>
      <c r="C1288" s="47" t="s">
        <v>78</v>
      </c>
      <c r="E1288" s="47">
        <v>761</v>
      </c>
      <c r="F1288" s="47">
        <v>38</v>
      </c>
      <c r="G1288" s="47">
        <v>4</v>
      </c>
      <c r="I1288" s="47">
        <v>176</v>
      </c>
      <c r="J1288" s="47">
        <v>31</v>
      </c>
      <c r="K1288" s="47" t="s">
        <v>80</v>
      </c>
    </row>
    <row r="1289" spans="1:11">
      <c r="A1289" s="2">
        <v>43947</v>
      </c>
      <c r="C1289" s="47" t="s">
        <v>88</v>
      </c>
      <c r="E1289" s="47">
        <v>361</v>
      </c>
      <c r="F1289" s="47">
        <v>21</v>
      </c>
      <c r="G1289" s="47">
        <v>8</v>
      </c>
      <c r="J1289" s="47">
        <v>16</v>
      </c>
      <c r="K1289" s="47" t="s">
        <v>90</v>
      </c>
    </row>
    <row r="1290" spans="1:11">
      <c r="A1290" s="2">
        <v>43947</v>
      </c>
      <c r="C1290" s="47" t="s">
        <v>97</v>
      </c>
      <c r="E1290" s="47">
        <v>5228</v>
      </c>
      <c r="F1290" s="47">
        <v>184</v>
      </c>
      <c r="G1290" s="47">
        <v>36</v>
      </c>
      <c r="J1290" s="47">
        <v>366</v>
      </c>
      <c r="K1290" s="47" t="s">
        <v>99</v>
      </c>
    </row>
    <row r="1291" spans="1:11">
      <c r="A1291" s="2">
        <v>43947</v>
      </c>
      <c r="C1291" s="47" t="s">
        <v>100</v>
      </c>
      <c r="E1291" s="47">
        <v>1837</v>
      </c>
      <c r="F1291" s="47">
        <v>70</v>
      </c>
      <c r="G1291" s="47">
        <v>15</v>
      </c>
      <c r="H1291" s="47">
        <v>9</v>
      </c>
      <c r="I1291" s="47">
        <v>218</v>
      </c>
      <c r="J1291" s="47">
        <v>131</v>
      </c>
      <c r="K1291" s="47" t="s">
        <v>419</v>
      </c>
    </row>
    <row r="1292" spans="1:11">
      <c r="A1292" s="2">
        <v>43947</v>
      </c>
      <c r="B1292" s="47">
        <v>0</v>
      </c>
      <c r="C1292" s="47" t="s">
        <v>83</v>
      </c>
      <c r="E1292" s="47">
        <v>380</v>
      </c>
      <c r="F1292" s="47">
        <v>12</v>
      </c>
      <c r="J1292" s="47">
        <v>15</v>
      </c>
      <c r="K1292" s="47" t="s">
        <v>387</v>
      </c>
    </row>
    <row r="1293" spans="1:11">
      <c r="A1293" s="2">
        <v>43947</v>
      </c>
      <c r="B1293" s="47">
        <v>6.9444444444444447E-4</v>
      </c>
      <c r="C1293" s="47" t="s">
        <v>86</v>
      </c>
      <c r="E1293" s="47">
        <v>293</v>
      </c>
      <c r="I1293" s="47">
        <v>216</v>
      </c>
      <c r="J1293" s="47">
        <v>18</v>
      </c>
      <c r="K1293" s="47" t="s">
        <v>427</v>
      </c>
    </row>
    <row r="1294" spans="1:11">
      <c r="A1294" s="2">
        <v>43947</v>
      </c>
      <c r="B1294" s="47">
        <v>0.33333333333333331</v>
      </c>
      <c r="C1294" s="47" t="s">
        <v>44</v>
      </c>
      <c r="E1294" s="47">
        <v>1714</v>
      </c>
      <c r="F1294" s="47">
        <v>54</v>
      </c>
      <c r="G1294" s="47">
        <v>9</v>
      </c>
      <c r="H1294" s="47">
        <v>9</v>
      </c>
      <c r="J1294" s="47">
        <v>83</v>
      </c>
      <c r="K1294" s="47" t="s">
        <v>46</v>
      </c>
    </row>
    <row r="1295" spans="1:11">
      <c r="A1295" s="2">
        <v>43947</v>
      </c>
      <c r="B1295" s="47">
        <v>0.33333333333333331</v>
      </c>
      <c r="C1295" s="47" t="s">
        <v>91</v>
      </c>
      <c r="E1295" s="47">
        <v>3161</v>
      </c>
      <c r="F1295" s="47">
        <v>192</v>
      </c>
      <c r="G1295" s="47">
        <v>37</v>
      </c>
      <c r="H1295" s="47">
        <v>26</v>
      </c>
      <c r="I1295" s="47">
        <v>704</v>
      </c>
      <c r="J1295" s="47">
        <v>306</v>
      </c>
      <c r="K1295" s="47" t="s">
        <v>400</v>
      </c>
    </row>
    <row r="1296" spans="1:11">
      <c r="A1296" s="2">
        <v>43947</v>
      </c>
      <c r="B1296" s="47">
        <v>0.33333333333333331</v>
      </c>
      <c r="C1296" s="47" t="s">
        <v>102</v>
      </c>
      <c r="E1296" s="47">
        <v>181</v>
      </c>
      <c r="F1296" s="47">
        <v>6</v>
      </c>
      <c r="G1296" s="47">
        <v>3</v>
      </c>
      <c r="I1296" s="47">
        <v>133</v>
      </c>
      <c r="J1296" s="47">
        <v>8</v>
      </c>
      <c r="K1296" s="47" t="s">
        <v>381</v>
      </c>
    </row>
    <row r="1297" spans="1:11">
      <c r="A1297" s="2">
        <v>43947</v>
      </c>
      <c r="B1297" s="47">
        <v>0.39583333333333331</v>
      </c>
      <c r="C1297" s="47" t="s">
        <v>50</v>
      </c>
      <c r="E1297" s="47">
        <v>940</v>
      </c>
      <c r="J1297" s="47">
        <v>46</v>
      </c>
      <c r="K1297" s="47" t="s">
        <v>409</v>
      </c>
    </row>
    <row r="1298" spans="1:11">
      <c r="A1298" s="2">
        <v>43947</v>
      </c>
      <c r="B1298" s="47">
        <v>0.39583333333333331</v>
      </c>
      <c r="C1298" s="47" t="s">
        <v>81</v>
      </c>
      <c r="E1298" s="47">
        <v>72</v>
      </c>
      <c r="F1298" s="47">
        <v>9</v>
      </c>
      <c r="G1298" s="47">
        <v>2</v>
      </c>
      <c r="J1298" s="47">
        <v>5</v>
      </c>
      <c r="K1298" s="47" t="s">
        <v>426</v>
      </c>
    </row>
    <row r="1299" spans="1:11">
      <c r="A1299" s="2">
        <v>43947</v>
      </c>
      <c r="B1299" s="47">
        <v>0.5</v>
      </c>
      <c r="C1299" s="47" t="s">
        <v>68</v>
      </c>
      <c r="E1299" s="47">
        <v>670</v>
      </c>
      <c r="F1299" s="47">
        <v>26</v>
      </c>
      <c r="G1299" s="47">
        <v>7</v>
      </c>
      <c r="J1299" s="47">
        <v>16</v>
      </c>
      <c r="K1299" s="47" t="s">
        <v>70</v>
      </c>
    </row>
    <row r="1300" spans="1:11">
      <c r="A1300" s="2">
        <v>43947</v>
      </c>
      <c r="B1300" s="47">
        <v>0.5</v>
      </c>
      <c r="C1300" s="47" t="s">
        <v>94</v>
      </c>
      <c r="E1300" s="47">
        <v>80</v>
      </c>
      <c r="F1300" s="47">
        <v>3</v>
      </c>
      <c r="I1300" s="47">
        <v>69</v>
      </c>
      <c r="J1300" s="47">
        <v>5</v>
      </c>
      <c r="K1300" s="47" t="s">
        <v>96</v>
      </c>
    </row>
    <row r="1301" spans="1:11">
      <c r="A1301" s="2">
        <v>43947</v>
      </c>
      <c r="B1301" s="47">
        <v>0.54166666666666663</v>
      </c>
      <c r="C1301" s="47" t="s">
        <v>61</v>
      </c>
      <c r="E1301" s="47">
        <v>120</v>
      </c>
      <c r="F1301" s="47">
        <v>3</v>
      </c>
      <c r="J1301" s="47">
        <v>7</v>
      </c>
      <c r="K1301" s="47" t="s">
        <v>430</v>
      </c>
    </row>
    <row r="1302" spans="1:11">
      <c r="A1302" s="2">
        <v>43947</v>
      </c>
      <c r="B1302" s="47">
        <v>0.60416666666666663</v>
      </c>
      <c r="C1302" s="47" t="s">
        <v>104</v>
      </c>
      <c r="E1302" s="47">
        <v>3400</v>
      </c>
      <c r="F1302" s="47">
        <v>75</v>
      </c>
      <c r="H1302" s="47">
        <v>26</v>
      </c>
      <c r="J1302" s="47">
        <v>115</v>
      </c>
      <c r="K1302" s="47" t="s">
        <v>106</v>
      </c>
    </row>
    <row r="1303" spans="1:11">
      <c r="A1303" s="2">
        <v>43948</v>
      </c>
      <c r="C1303" s="47" t="s">
        <v>47</v>
      </c>
      <c r="E1303" s="47">
        <v>816</v>
      </c>
      <c r="F1303" s="47">
        <v>17</v>
      </c>
      <c r="G1303" s="47">
        <v>1</v>
      </c>
      <c r="H1303" s="47">
        <v>0</v>
      </c>
      <c r="I1303" s="47">
        <v>738</v>
      </c>
      <c r="J1303" s="47">
        <v>30</v>
      </c>
      <c r="K1303" s="47" t="s">
        <v>49</v>
      </c>
    </row>
    <row r="1304" spans="1:11">
      <c r="A1304" s="2">
        <v>43948</v>
      </c>
      <c r="C1304" s="47" t="s">
        <v>53</v>
      </c>
      <c r="E1304" s="47">
        <v>82</v>
      </c>
      <c r="J1304" s="47">
        <v>1</v>
      </c>
      <c r="K1304" s="47" t="s">
        <v>412</v>
      </c>
    </row>
    <row r="1305" spans="1:11">
      <c r="A1305" s="2">
        <v>43948</v>
      </c>
      <c r="C1305" s="47" t="s">
        <v>56</v>
      </c>
      <c r="E1305" s="47">
        <v>1040</v>
      </c>
      <c r="F1305" s="47">
        <v>55</v>
      </c>
      <c r="G1305" s="47">
        <v>5</v>
      </c>
      <c r="I1305" s="47">
        <v>120</v>
      </c>
      <c r="J1305" s="47">
        <v>78</v>
      </c>
      <c r="K1305" s="47" t="s">
        <v>434</v>
      </c>
    </row>
    <row r="1306" spans="1:11">
      <c r="A1306" s="2">
        <v>43948</v>
      </c>
      <c r="C1306" s="47" t="s">
        <v>58</v>
      </c>
      <c r="D1306" s="47">
        <v>24620</v>
      </c>
      <c r="E1306" s="47">
        <v>4769</v>
      </c>
      <c r="F1306" s="47">
        <v>270</v>
      </c>
      <c r="G1306" s="47">
        <v>26</v>
      </c>
      <c r="H1306" s="47">
        <v>24</v>
      </c>
      <c r="I1306" s="47">
        <v>610</v>
      </c>
      <c r="J1306" s="47">
        <v>243</v>
      </c>
      <c r="K1306" s="47" t="s">
        <v>60</v>
      </c>
    </row>
    <row r="1307" spans="1:11">
      <c r="A1307" s="2">
        <v>43948</v>
      </c>
      <c r="C1307" s="47" t="s">
        <v>63</v>
      </c>
      <c r="E1307" s="47">
        <v>807</v>
      </c>
      <c r="F1307" s="47">
        <v>29</v>
      </c>
      <c r="J1307" s="47">
        <v>45</v>
      </c>
      <c r="K1307" s="47" t="s">
        <v>65</v>
      </c>
    </row>
    <row r="1308" spans="1:11">
      <c r="A1308" s="2">
        <v>43948</v>
      </c>
      <c r="C1308" s="47" t="s">
        <v>66</v>
      </c>
      <c r="E1308" s="47">
        <v>196</v>
      </c>
      <c r="F1308" s="47">
        <v>9</v>
      </c>
      <c r="G1308" s="47">
        <v>4</v>
      </c>
      <c r="J1308" s="47">
        <v>7</v>
      </c>
      <c r="K1308" s="47" t="s">
        <v>424</v>
      </c>
    </row>
    <row r="1309" spans="1:11">
      <c r="A1309" s="2">
        <v>43948</v>
      </c>
      <c r="C1309" s="47" t="s">
        <v>71</v>
      </c>
      <c r="E1309" s="47">
        <v>676</v>
      </c>
      <c r="F1309" s="47">
        <v>28</v>
      </c>
      <c r="G1309" s="47">
        <v>3</v>
      </c>
      <c r="H1309" s="47">
        <v>3</v>
      </c>
      <c r="J1309" s="47">
        <v>73</v>
      </c>
      <c r="K1309" s="47" t="s">
        <v>377</v>
      </c>
    </row>
    <row r="1310" spans="1:11">
      <c r="A1310" s="2">
        <v>43948</v>
      </c>
      <c r="C1310" s="47" t="s">
        <v>73</v>
      </c>
      <c r="E1310" s="47">
        <v>110</v>
      </c>
      <c r="F1310" s="47">
        <v>2</v>
      </c>
      <c r="G1310" s="47">
        <v>0</v>
      </c>
      <c r="J1310" s="47">
        <v>3</v>
      </c>
      <c r="K1310" s="47" t="s">
        <v>357</v>
      </c>
    </row>
    <row r="1311" spans="1:11">
      <c r="A1311" s="2">
        <v>43948</v>
      </c>
      <c r="C1311" s="47" t="s">
        <v>78</v>
      </c>
      <c r="E1311" s="47">
        <v>767</v>
      </c>
      <c r="F1311" s="47">
        <v>39</v>
      </c>
      <c r="G1311" s="47">
        <v>2</v>
      </c>
      <c r="I1311" s="47">
        <v>176</v>
      </c>
      <c r="J1311" s="47">
        <v>31</v>
      </c>
      <c r="K1311" s="47" t="s">
        <v>80</v>
      </c>
    </row>
    <row r="1312" spans="1:11">
      <c r="A1312" s="2">
        <v>43948</v>
      </c>
      <c r="C1312" s="47" t="s">
        <v>88</v>
      </c>
      <c r="E1312" s="47">
        <v>361</v>
      </c>
      <c r="F1312" s="47">
        <v>21</v>
      </c>
      <c r="G1312" s="47">
        <v>8</v>
      </c>
      <c r="J1312" s="47">
        <v>17</v>
      </c>
      <c r="K1312" s="47" t="s">
        <v>90</v>
      </c>
    </row>
    <row r="1313" spans="1:11">
      <c r="A1313" s="2">
        <v>43948</v>
      </c>
      <c r="C1313" s="47" t="s">
        <v>97</v>
      </c>
      <c r="E1313" s="47">
        <v>5252</v>
      </c>
      <c r="F1313" s="47">
        <v>175</v>
      </c>
      <c r="G1313" s="47">
        <v>34</v>
      </c>
      <c r="J1313" s="47">
        <v>370</v>
      </c>
      <c r="K1313" s="47" t="s">
        <v>99</v>
      </c>
    </row>
    <row r="1314" spans="1:11">
      <c r="A1314" s="2">
        <v>43948</v>
      </c>
      <c r="C1314" s="47" t="s">
        <v>100</v>
      </c>
      <c r="E1314" s="47">
        <v>1850</v>
      </c>
      <c r="F1314" s="47">
        <v>60</v>
      </c>
      <c r="G1314" s="47">
        <v>14</v>
      </c>
      <c r="H1314" s="47">
        <v>10</v>
      </c>
      <c r="I1314" s="47">
        <v>220</v>
      </c>
      <c r="J1314" s="47">
        <v>132</v>
      </c>
      <c r="K1314" s="47" t="s">
        <v>419</v>
      </c>
    </row>
    <row r="1315" spans="1:11">
      <c r="A1315" s="2">
        <v>43948</v>
      </c>
      <c r="B1315" s="47">
        <v>0</v>
      </c>
      <c r="C1315" s="47" t="s">
        <v>83</v>
      </c>
      <c r="E1315" s="47">
        <v>382</v>
      </c>
      <c r="F1315" s="47">
        <v>13</v>
      </c>
      <c r="J1315" s="47">
        <v>15</v>
      </c>
      <c r="K1315" s="47" t="s">
        <v>387</v>
      </c>
    </row>
    <row r="1316" spans="1:11">
      <c r="A1316" s="2">
        <v>43948</v>
      </c>
      <c r="B1316" s="47">
        <v>0.33333333333333331</v>
      </c>
      <c r="C1316" s="47" t="s">
        <v>44</v>
      </c>
      <c r="E1316" s="47">
        <v>1722</v>
      </c>
      <c r="F1316" s="47">
        <v>54</v>
      </c>
      <c r="G1316" s="47">
        <v>10</v>
      </c>
      <c r="H1316" s="47">
        <v>9</v>
      </c>
      <c r="J1316" s="47">
        <v>83</v>
      </c>
      <c r="K1316" s="47" t="s">
        <v>46</v>
      </c>
    </row>
    <row r="1317" spans="1:11">
      <c r="A1317" s="2">
        <v>43948</v>
      </c>
      <c r="B1317" s="47">
        <v>0.33333333333333331</v>
      </c>
      <c r="C1317" s="47" t="s">
        <v>91</v>
      </c>
      <c r="E1317" s="47">
        <v>3169</v>
      </c>
      <c r="F1317" s="47">
        <v>188</v>
      </c>
      <c r="G1317" s="47">
        <v>34</v>
      </c>
      <c r="H1317" s="47">
        <v>25</v>
      </c>
      <c r="I1317" s="47">
        <v>709</v>
      </c>
      <c r="J1317" s="47">
        <v>311</v>
      </c>
      <c r="K1317" s="47" t="s">
        <v>410</v>
      </c>
    </row>
    <row r="1318" spans="1:11">
      <c r="A1318" s="2">
        <v>43948</v>
      </c>
      <c r="B1318" s="47">
        <v>0.33333333333333331</v>
      </c>
      <c r="C1318" s="47" t="s">
        <v>102</v>
      </c>
      <c r="E1318" s="47">
        <v>185</v>
      </c>
      <c r="F1318" s="47">
        <v>7</v>
      </c>
      <c r="G1318" s="47">
        <v>3</v>
      </c>
      <c r="I1318" s="47">
        <v>134</v>
      </c>
      <c r="J1318" s="47">
        <v>8</v>
      </c>
      <c r="K1318" s="47" t="s">
        <v>381</v>
      </c>
    </row>
    <row r="1319" spans="1:11">
      <c r="A1319" s="2">
        <v>43948</v>
      </c>
      <c r="B1319" s="47">
        <v>0.39583333333333331</v>
      </c>
      <c r="C1319" s="47" t="s">
        <v>81</v>
      </c>
      <c r="E1319" s="47">
        <v>73</v>
      </c>
      <c r="F1319" s="47">
        <v>12</v>
      </c>
      <c r="G1319" s="47">
        <v>3</v>
      </c>
      <c r="J1319" s="47">
        <v>5</v>
      </c>
      <c r="K1319" s="47" t="s">
        <v>426</v>
      </c>
    </row>
    <row r="1320" spans="1:11">
      <c r="A1320" s="2">
        <v>43948</v>
      </c>
      <c r="B1320" s="47">
        <v>0.41666666666666669</v>
      </c>
      <c r="C1320" s="47" t="s">
        <v>86</v>
      </c>
      <c r="E1320" s="47">
        <v>293</v>
      </c>
      <c r="I1320" s="47">
        <v>216</v>
      </c>
      <c r="J1320" s="47">
        <v>18</v>
      </c>
      <c r="K1320" s="47" t="s">
        <v>427</v>
      </c>
    </row>
    <row r="1321" spans="1:11">
      <c r="A1321" s="2">
        <v>43948</v>
      </c>
      <c r="B1321" s="47">
        <v>0.42708333333333331</v>
      </c>
      <c r="C1321" s="47" t="s">
        <v>41</v>
      </c>
      <c r="E1321" s="47">
        <v>94</v>
      </c>
      <c r="F1321" s="47">
        <v>2</v>
      </c>
      <c r="G1321" s="47">
        <v>2</v>
      </c>
      <c r="J1321" s="47">
        <v>3</v>
      </c>
      <c r="K1321" s="47" t="s">
        <v>43</v>
      </c>
    </row>
    <row r="1322" spans="1:11">
      <c r="A1322" s="2">
        <v>43948</v>
      </c>
      <c r="B1322" s="47">
        <v>0.4375</v>
      </c>
      <c r="C1322" s="47" t="s">
        <v>50</v>
      </c>
      <c r="E1322" s="47">
        <v>941</v>
      </c>
      <c r="J1322" s="47">
        <v>46</v>
      </c>
      <c r="K1322" s="47" t="s">
        <v>409</v>
      </c>
    </row>
    <row r="1323" spans="1:11">
      <c r="A1323" s="2">
        <v>43948</v>
      </c>
      <c r="B1323" s="47">
        <v>0.45833333333333331</v>
      </c>
      <c r="C1323" s="47" t="s">
        <v>38</v>
      </c>
      <c r="E1323" s="47">
        <v>25</v>
      </c>
      <c r="K1323" s="47" t="s">
        <v>40</v>
      </c>
    </row>
    <row r="1324" spans="1:11">
      <c r="A1324" s="2">
        <v>43948</v>
      </c>
      <c r="B1324" s="47">
        <v>0.5</v>
      </c>
      <c r="C1324" s="47" t="s">
        <v>68</v>
      </c>
      <c r="E1324" s="47">
        <v>674</v>
      </c>
      <c r="F1324" s="47">
        <v>32</v>
      </c>
      <c r="G1324" s="47">
        <v>7</v>
      </c>
      <c r="J1324" s="47">
        <v>16</v>
      </c>
      <c r="K1324" s="47" t="s">
        <v>70</v>
      </c>
    </row>
    <row r="1325" spans="1:11">
      <c r="A1325" s="2">
        <v>43948</v>
      </c>
      <c r="B1325" s="47">
        <v>0.5625</v>
      </c>
      <c r="C1325" s="47" t="s">
        <v>61</v>
      </c>
      <c r="E1325" s="47">
        <v>121</v>
      </c>
      <c r="F1325" s="47">
        <v>3</v>
      </c>
      <c r="J1325" s="47">
        <v>7</v>
      </c>
      <c r="K1325" s="47" t="s">
        <v>430</v>
      </c>
    </row>
    <row r="1326" spans="1:11">
      <c r="A1326" s="2">
        <v>43948</v>
      </c>
      <c r="B1326" s="47">
        <v>0.58333333333333337</v>
      </c>
      <c r="C1326" s="47" t="s">
        <v>94</v>
      </c>
      <c r="E1326" s="47">
        <v>83</v>
      </c>
      <c r="F1326" s="47">
        <v>4</v>
      </c>
      <c r="I1326" s="47">
        <v>69</v>
      </c>
      <c r="J1326" s="47">
        <v>5</v>
      </c>
      <c r="K1326" s="47" t="s">
        <v>96</v>
      </c>
    </row>
    <row r="1327" spans="1:11">
      <c r="A1327" s="2">
        <v>43948</v>
      </c>
      <c r="B1327" s="47">
        <v>0.60416666666666663</v>
      </c>
      <c r="C1327" s="47" t="s">
        <v>104</v>
      </c>
      <c r="E1327" s="47">
        <v>3418</v>
      </c>
      <c r="F1327" s="47">
        <v>73</v>
      </c>
      <c r="H1327" s="47">
        <v>24</v>
      </c>
      <c r="J1327" s="47">
        <v>119</v>
      </c>
      <c r="K1327" s="47" t="s">
        <v>106</v>
      </c>
    </row>
    <row r="1328" spans="1:11">
      <c r="A1328" s="2">
        <v>43948</v>
      </c>
      <c r="B1328" s="47">
        <v>0.61458333333333337</v>
      </c>
      <c r="C1328" s="47" t="s">
        <v>34</v>
      </c>
      <c r="E1328" s="47">
        <v>1088</v>
      </c>
      <c r="F1328" s="47">
        <v>42</v>
      </c>
      <c r="G1328" s="47">
        <v>15</v>
      </c>
      <c r="H1328" s="47">
        <v>14</v>
      </c>
      <c r="I1328" s="47">
        <v>830</v>
      </c>
      <c r="J1328" s="47">
        <v>33</v>
      </c>
      <c r="K1328" s="47" t="s">
        <v>408</v>
      </c>
    </row>
    <row r="1329" spans="1:11">
      <c r="A1329" s="2">
        <v>43948</v>
      </c>
      <c r="B1329" s="47">
        <v>0.64583333333333337</v>
      </c>
      <c r="C1329" s="47" t="s">
        <v>75</v>
      </c>
      <c r="E1329" s="47">
        <v>75</v>
      </c>
      <c r="F1329" s="47">
        <v>0</v>
      </c>
      <c r="J1329" s="47">
        <v>0</v>
      </c>
      <c r="K1329" s="47" t="s">
        <v>77</v>
      </c>
    </row>
    <row r="1330" spans="1:11">
      <c r="A1330" s="2">
        <v>43949</v>
      </c>
      <c r="C1330" s="47" t="s">
        <v>47</v>
      </c>
      <c r="E1330" s="47">
        <v>818</v>
      </c>
      <c r="F1330" s="47">
        <v>15</v>
      </c>
      <c r="G1330" s="47">
        <v>1</v>
      </c>
      <c r="H1330" s="47">
        <v>0</v>
      </c>
      <c r="I1330" s="47">
        <v>747</v>
      </c>
      <c r="J1330" s="47">
        <v>30</v>
      </c>
      <c r="K1330" s="47" t="s">
        <v>49</v>
      </c>
    </row>
    <row r="1331" spans="1:11">
      <c r="A1331" s="2">
        <v>43949</v>
      </c>
      <c r="C1331" s="47" t="s">
        <v>53</v>
      </c>
      <c r="E1331" s="47">
        <v>82</v>
      </c>
      <c r="J1331" s="47">
        <v>1</v>
      </c>
      <c r="K1331" s="47" t="s">
        <v>418</v>
      </c>
    </row>
    <row r="1332" spans="1:11">
      <c r="A1332" s="2">
        <v>43949</v>
      </c>
      <c r="C1332" s="47" t="s">
        <v>56</v>
      </c>
      <c r="E1332" s="47">
        <v>1044</v>
      </c>
      <c r="F1332" s="47">
        <v>49</v>
      </c>
      <c r="G1332" s="47">
        <v>5</v>
      </c>
      <c r="I1332" s="47">
        <v>121</v>
      </c>
      <c r="J1332" s="47">
        <v>78</v>
      </c>
      <c r="K1332" s="47" t="s">
        <v>434</v>
      </c>
    </row>
    <row r="1333" spans="1:11">
      <c r="A1333" s="2">
        <v>43949</v>
      </c>
      <c r="C1333" s="47" t="s">
        <v>58</v>
      </c>
      <c r="D1333" s="47">
        <v>25000</v>
      </c>
      <c r="E1333" s="47">
        <v>4785</v>
      </c>
      <c r="F1333" s="47">
        <v>277</v>
      </c>
      <c r="G1333" s="47">
        <v>23</v>
      </c>
      <c r="H1333" s="47">
        <v>21</v>
      </c>
      <c r="I1333" s="47">
        <v>617</v>
      </c>
      <c r="J1333" s="47">
        <v>244</v>
      </c>
      <c r="K1333" s="47" t="s">
        <v>60</v>
      </c>
    </row>
    <row r="1334" spans="1:11">
      <c r="A1334" s="2">
        <v>43949</v>
      </c>
      <c r="C1334" s="47" t="s">
        <v>63</v>
      </c>
      <c r="E1334" s="47">
        <v>809</v>
      </c>
      <c r="F1334" s="47">
        <v>27</v>
      </c>
      <c r="J1334" s="47">
        <v>45</v>
      </c>
      <c r="K1334" s="47" t="s">
        <v>65</v>
      </c>
    </row>
    <row r="1335" spans="1:11">
      <c r="A1335" s="2">
        <v>43949</v>
      </c>
      <c r="C1335" s="47" t="s">
        <v>66</v>
      </c>
      <c r="E1335" s="47">
        <v>197</v>
      </c>
      <c r="F1335" s="47">
        <v>9</v>
      </c>
      <c r="G1335" s="47">
        <v>5</v>
      </c>
      <c r="J1335" s="47">
        <v>7</v>
      </c>
      <c r="K1335" s="47" t="s">
        <v>424</v>
      </c>
    </row>
    <row r="1336" spans="1:11">
      <c r="A1336" s="2">
        <v>43949</v>
      </c>
      <c r="C1336" s="47" t="s">
        <v>68</v>
      </c>
      <c r="E1336" s="47">
        <v>677</v>
      </c>
      <c r="F1336" s="47">
        <v>29</v>
      </c>
      <c r="G1336" s="47">
        <v>7</v>
      </c>
      <c r="J1336" s="47">
        <v>17</v>
      </c>
      <c r="K1336" s="47" t="s">
        <v>70</v>
      </c>
    </row>
    <row r="1337" spans="1:11">
      <c r="A1337" s="2">
        <v>43949</v>
      </c>
      <c r="C1337" s="47" t="s">
        <v>71</v>
      </c>
      <c r="F1337" s="47">
        <v>26</v>
      </c>
      <c r="G1337" s="47">
        <v>3</v>
      </c>
      <c r="H1337" s="47">
        <v>3</v>
      </c>
      <c r="J1337" s="47">
        <v>74</v>
      </c>
      <c r="K1337" s="47" t="s">
        <v>377</v>
      </c>
    </row>
    <row r="1338" spans="1:11">
      <c r="A1338" s="2">
        <v>43949</v>
      </c>
      <c r="C1338" s="47" t="s">
        <v>73</v>
      </c>
      <c r="E1338" s="47">
        <v>111</v>
      </c>
      <c r="F1338" s="47">
        <v>2</v>
      </c>
      <c r="G1338" s="47">
        <v>0</v>
      </c>
      <c r="J1338" s="47">
        <v>3</v>
      </c>
      <c r="K1338" s="47" t="s">
        <v>357</v>
      </c>
    </row>
    <row r="1339" spans="1:11">
      <c r="A1339" s="2">
        <v>43949</v>
      </c>
      <c r="C1339" s="47" t="s">
        <v>78</v>
      </c>
      <c r="E1339" s="47">
        <v>775</v>
      </c>
      <c r="F1339" s="47">
        <v>44</v>
      </c>
      <c r="G1339" s="47">
        <v>3</v>
      </c>
      <c r="I1339" s="47">
        <v>176</v>
      </c>
      <c r="J1339" s="47">
        <v>33</v>
      </c>
      <c r="K1339" s="47" t="s">
        <v>80</v>
      </c>
    </row>
    <row r="1340" spans="1:11">
      <c r="A1340" s="2">
        <v>43949</v>
      </c>
      <c r="C1340" s="47" t="s">
        <v>88</v>
      </c>
      <c r="E1340" s="47">
        <v>362</v>
      </c>
      <c r="F1340" s="47">
        <v>21</v>
      </c>
      <c r="G1340" s="47">
        <v>8</v>
      </c>
      <c r="J1340" s="47">
        <v>17</v>
      </c>
      <c r="K1340" s="47" t="s">
        <v>90</v>
      </c>
    </row>
    <row r="1341" spans="1:11">
      <c r="A1341" s="2">
        <v>43949</v>
      </c>
      <c r="C1341" s="47" t="s">
        <v>97</v>
      </c>
      <c r="E1341" s="47">
        <v>5271</v>
      </c>
      <c r="F1341" s="47">
        <v>164</v>
      </c>
      <c r="G1341" s="47">
        <v>33</v>
      </c>
      <c r="J1341" s="47">
        <v>375</v>
      </c>
      <c r="K1341" s="47" t="s">
        <v>99</v>
      </c>
    </row>
    <row r="1342" spans="1:11">
      <c r="A1342" s="2">
        <v>43949</v>
      </c>
      <c r="C1342" s="47" t="s">
        <v>100</v>
      </c>
      <c r="E1342" s="47">
        <v>1852</v>
      </c>
      <c r="F1342" s="47">
        <v>56</v>
      </c>
      <c r="G1342" s="47">
        <v>13</v>
      </c>
      <c r="H1342" s="47">
        <v>9</v>
      </c>
      <c r="I1342" s="47">
        <v>233</v>
      </c>
      <c r="J1342" s="47">
        <v>135</v>
      </c>
      <c r="K1342" s="47" t="s">
        <v>419</v>
      </c>
    </row>
    <row r="1343" spans="1:11">
      <c r="A1343" s="2">
        <v>43949</v>
      </c>
      <c r="B1343" s="47">
        <v>0</v>
      </c>
      <c r="C1343" s="47" t="s">
        <v>83</v>
      </c>
      <c r="E1343" s="47">
        <v>383</v>
      </c>
      <c r="F1343" s="47">
        <v>13</v>
      </c>
      <c r="J1343" s="47">
        <v>15</v>
      </c>
      <c r="K1343" s="47" t="s">
        <v>387</v>
      </c>
    </row>
    <row r="1344" spans="1:11">
      <c r="A1344" s="2">
        <v>43949</v>
      </c>
      <c r="B1344" s="47">
        <v>0.33333333333333331</v>
      </c>
      <c r="C1344" s="47" t="s">
        <v>44</v>
      </c>
      <c r="E1344" s="47">
        <v>1733</v>
      </c>
      <c r="F1344" s="47">
        <v>47</v>
      </c>
      <c r="G1344" s="47">
        <v>7</v>
      </c>
      <c r="H1344" s="47">
        <v>7</v>
      </c>
      <c r="J1344" s="47">
        <v>83</v>
      </c>
      <c r="K1344" s="47" t="s">
        <v>46</v>
      </c>
    </row>
    <row r="1345" spans="1:11">
      <c r="A1345" s="2">
        <v>43949</v>
      </c>
      <c r="B1345" s="47">
        <v>0.33333333333333331</v>
      </c>
      <c r="C1345" s="47" t="s">
        <v>91</v>
      </c>
      <c r="E1345" s="47">
        <v>3176</v>
      </c>
      <c r="F1345" s="47">
        <v>186</v>
      </c>
      <c r="G1345" s="47">
        <v>30</v>
      </c>
      <c r="H1345" s="47">
        <v>22</v>
      </c>
      <c r="I1345" s="47">
        <v>712</v>
      </c>
      <c r="J1345" s="47">
        <v>316</v>
      </c>
      <c r="K1345" s="47" t="s">
        <v>420</v>
      </c>
    </row>
    <row r="1346" spans="1:11">
      <c r="A1346" s="2">
        <v>43949</v>
      </c>
      <c r="B1346" s="47">
        <v>0.33333333333333331</v>
      </c>
      <c r="C1346" s="47" t="s">
        <v>102</v>
      </c>
      <c r="E1346" s="47">
        <v>185</v>
      </c>
      <c r="F1346" s="47">
        <v>7</v>
      </c>
      <c r="G1346" s="47">
        <v>3</v>
      </c>
      <c r="I1346" s="47">
        <v>134</v>
      </c>
      <c r="J1346" s="47">
        <v>8</v>
      </c>
      <c r="K1346" s="47" t="s">
        <v>381</v>
      </c>
    </row>
    <row r="1347" spans="1:11">
      <c r="A1347" s="2">
        <v>43949</v>
      </c>
      <c r="B1347" s="47">
        <v>0.39583333333333331</v>
      </c>
      <c r="C1347" s="47" t="s">
        <v>50</v>
      </c>
      <c r="E1347" s="47">
        <v>943</v>
      </c>
      <c r="F1347" s="47">
        <v>28</v>
      </c>
      <c r="G1347" s="47">
        <v>7</v>
      </c>
      <c r="J1347" s="47">
        <v>49</v>
      </c>
      <c r="K1347" s="47" t="s">
        <v>413</v>
      </c>
    </row>
    <row r="1348" spans="1:11">
      <c r="A1348" s="2">
        <v>43949</v>
      </c>
      <c r="B1348" s="47">
        <v>0.39583333333333331</v>
      </c>
      <c r="C1348" s="47" t="s">
        <v>81</v>
      </c>
      <c r="E1348" s="47">
        <v>74</v>
      </c>
      <c r="F1348" s="47">
        <v>10</v>
      </c>
      <c r="G1348" s="47">
        <v>2</v>
      </c>
      <c r="J1348" s="47">
        <v>6</v>
      </c>
      <c r="K1348" s="47" t="s">
        <v>426</v>
      </c>
    </row>
    <row r="1349" spans="1:11">
      <c r="A1349" s="2">
        <v>43949</v>
      </c>
      <c r="B1349" s="47">
        <v>0.40277777777777779</v>
      </c>
      <c r="C1349" s="47" t="s">
        <v>41</v>
      </c>
      <c r="E1349" s="47">
        <v>94</v>
      </c>
      <c r="F1349" s="47">
        <v>4</v>
      </c>
      <c r="G1349" s="47">
        <v>2</v>
      </c>
      <c r="J1349" s="47">
        <v>3</v>
      </c>
      <c r="K1349" s="47" t="s">
        <v>43</v>
      </c>
    </row>
    <row r="1350" spans="1:11">
      <c r="A1350" s="2">
        <v>43949</v>
      </c>
      <c r="B1350" s="47">
        <v>0.41666666666666669</v>
      </c>
      <c r="C1350" s="47" t="s">
        <v>86</v>
      </c>
      <c r="E1350" s="47">
        <v>295</v>
      </c>
      <c r="I1350" s="47">
        <v>223</v>
      </c>
      <c r="J1350" s="47">
        <v>20</v>
      </c>
      <c r="K1350" s="47" t="s">
        <v>427</v>
      </c>
    </row>
    <row r="1351" spans="1:11">
      <c r="A1351" s="2">
        <v>43949</v>
      </c>
      <c r="B1351" s="47">
        <v>0.45833333333333331</v>
      </c>
      <c r="C1351" s="47" t="s">
        <v>38</v>
      </c>
      <c r="E1351" s="47">
        <v>25</v>
      </c>
      <c r="K1351" s="47" t="s">
        <v>40</v>
      </c>
    </row>
    <row r="1352" spans="1:11">
      <c r="A1352" s="2">
        <v>43949</v>
      </c>
      <c r="B1352" s="47">
        <v>0.5</v>
      </c>
      <c r="C1352" s="47" t="s">
        <v>94</v>
      </c>
      <c r="E1352" s="47">
        <v>85</v>
      </c>
      <c r="F1352" s="47">
        <v>5</v>
      </c>
      <c r="I1352" s="47">
        <v>71</v>
      </c>
      <c r="J1352" s="47">
        <v>5</v>
      </c>
      <c r="K1352" s="47" t="s">
        <v>96</v>
      </c>
    </row>
    <row r="1353" spans="1:11">
      <c r="A1353" s="2">
        <v>43949</v>
      </c>
      <c r="B1353" s="47">
        <v>0.5625</v>
      </c>
      <c r="C1353" s="47" t="s">
        <v>61</v>
      </c>
      <c r="E1353" s="47">
        <v>121</v>
      </c>
      <c r="F1353" s="47">
        <v>3</v>
      </c>
      <c r="J1353" s="47">
        <v>8</v>
      </c>
      <c r="K1353" s="47" t="s">
        <v>430</v>
      </c>
    </row>
    <row r="1354" spans="1:11">
      <c r="A1354" s="2">
        <v>43949</v>
      </c>
      <c r="B1354" s="47">
        <v>0.60416666666666663</v>
      </c>
      <c r="C1354" s="47" t="s">
        <v>104</v>
      </c>
      <c r="E1354" s="47">
        <v>3433</v>
      </c>
      <c r="F1354" s="47">
        <v>84</v>
      </c>
      <c r="H1354" s="47">
        <v>19</v>
      </c>
      <c r="J1354" s="47">
        <v>119</v>
      </c>
      <c r="K1354" s="47" t="s">
        <v>106</v>
      </c>
    </row>
    <row r="1355" spans="1:11">
      <c r="A1355" s="2">
        <v>43949</v>
      </c>
      <c r="B1355" s="47">
        <v>0.61458333333333337</v>
      </c>
      <c r="C1355" s="47" t="s">
        <v>34</v>
      </c>
      <c r="E1355" s="47">
        <v>1093</v>
      </c>
      <c r="F1355" s="47">
        <v>39</v>
      </c>
      <c r="G1355" s="47">
        <v>12</v>
      </c>
      <c r="H1355" s="47">
        <v>11</v>
      </c>
      <c r="I1355" s="47">
        <v>840</v>
      </c>
      <c r="J1355" s="47">
        <v>33</v>
      </c>
      <c r="K1355" s="47" t="s">
        <v>421</v>
      </c>
    </row>
    <row r="1356" spans="1:11">
      <c r="A1356" s="2">
        <v>43949</v>
      </c>
      <c r="B1356" s="47">
        <v>0.63541666666666663</v>
      </c>
      <c r="C1356" s="47" t="s">
        <v>75</v>
      </c>
      <c r="E1356" s="47">
        <v>78</v>
      </c>
      <c r="F1356" s="47">
        <v>1</v>
      </c>
      <c r="J1356" s="47">
        <v>0</v>
      </c>
      <c r="K1356" s="47" t="s">
        <v>77</v>
      </c>
    </row>
    <row r="1357" spans="1:11">
      <c r="A1357" s="2">
        <v>43950</v>
      </c>
      <c r="C1357" s="47" t="s">
        <v>47</v>
      </c>
      <c r="E1357" s="47">
        <v>822</v>
      </c>
      <c r="F1357" s="47">
        <v>12</v>
      </c>
      <c r="G1357" s="47">
        <v>1</v>
      </c>
      <c r="H1357" s="47">
        <v>1</v>
      </c>
      <c r="I1357" s="47">
        <v>752</v>
      </c>
      <c r="J1357" s="47">
        <v>30</v>
      </c>
      <c r="K1357" s="47" t="s">
        <v>49</v>
      </c>
    </row>
    <row r="1358" spans="1:11">
      <c r="A1358" s="2">
        <v>43950</v>
      </c>
      <c r="C1358" s="47" t="s">
        <v>53</v>
      </c>
      <c r="E1358" s="47">
        <v>82</v>
      </c>
      <c r="K1358" s="47" t="s">
        <v>422</v>
      </c>
    </row>
    <row r="1359" spans="1:11">
      <c r="A1359" s="2">
        <v>43950</v>
      </c>
      <c r="C1359" s="47" t="s">
        <v>56</v>
      </c>
      <c r="E1359" s="47">
        <v>1057</v>
      </c>
      <c r="F1359" s="47">
        <v>48</v>
      </c>
      <c r="G1359" s="47">
        <v>7</v>
      </c>
      <c r="I1359" s="47">
        <v>123</v>
      </c>
      <c r="J1359" s="47">
        <v>78</v>
      </c>
      <c r="K1359" s="47" t="s">
        <v>434</v>
      </c>
    </row>
    <row r="1360" spans="1:11">
      <c r="A1360" s="2">
        <v>43950</v>
      </c>
      <c r="C1360" s="47" t="s">
        <v>63</v>
      </c>
      <c r="E1360" s="47">
        <v>811</v>
      </c>
      <c r="F1360" s="47">
        <v>23</v>
      </c>
      <c r="J1360" s="47">
        <v>45</v>
      </c>
      <c r="K1360" s="47" t="s">
        <v>65</v>
      </c>
    </row>
    <row r="1361" spans="1:11">
      <c r="A1361" s="2">
        <v>43950</v>
      </c>
      <c r="C1361" s="47" t="s">
        <v>66</v>
      </c>
      <c r="E1361" s="47">
        <v>197</v>
      </c>
      <c r="F1361" s="47">
        <v>8</v>
      </c>
      <c r="G1361" s="47">
        <v>5</v>
      </c>
      <c r="J1361" s="47">
        <v>7</v>
      </c>
      <c r="K1361" s="47" t="s">
        <v>424</v>
      </c>
    </row>
    <row r="1362" spans="1:11">
      <c r="A1362" s="2">
        <v>43950</v>
      </c>
      <c r="C1362" s="47" t="s">
        <v>68</v>
      </c>
      <c r="E1362" s="47">
        <v>687</v>
      </c>
      <c r="F1362" s="47">
        <v>31</v>
      </c>
      <c r="G1362" s="47">
        <v>8</v>
      </c>
      <c r="J1362" s="47">
        <v>17</v>
      </c>
      <c r="K1362" s="47" t="s">
        <v>70</v>
      </c>
    </row>
    <row r="1363" spans="1:11">
      <c r="A1363" s="2">
        <v>43950</v>
      </c>
      <c r="C1363" s="47" t="s">
        <v>71</v>
      </c>
      <c r="F1363" s="47">
        <v>26</v>
      </c>
      <c r="G1363" s="47">
        <v>4</v>
      </c>
      <c r="H1363" s="47">
        <v>4</v>
      </c>
      <c r="K1363" s="47" t="s">
        <v>377</v>
      </c>
    </row>
    <row r="1364" spans="1:11">
      <c r="A1364" s="2">
        <v>43950</v>
      </c>
      <c r="C1364" s="47" t="s">
        <v>73</v>
      </c>
      <c r="E1364" s="47">
        <v>111</v>
      </c>
      <c r="F1364" s="47">
        <v>2</v>
      </c>
      <c r="G1364" s="47">
        <v>0</v>
      </c>
      <c r="J1364" s="47">
        <v>3</v>
      </c>
      <c r="K1364" s="47" t="s">
        <v>357</v>
      </c>
    </row>
    <row r="1365" spans="1:11">
      <c r="A1365" s="2">
        <v>43950</v>
      </c>
      <c r="C1365" s="47" t="s">
        <v>78</v>
      </c>
      <c r="E1365" s="47">
        <v>776</v>
      </c>
      <c r="F1365" s="47">
        <v>44</v>
      </c>
      <c r="G1365" s="47">
        <v>10</v>
      </c>
      <c r="I1365" s="47">
        <v>176</v>
      </c>
      <c r="J1365" s="47">
        <v>33</v>
      </c>
      <c r="K1365" s="47" t="s">
        <v>80</v>
      </c>
    </row>
    <row r="1366" spans="1:11">
      <c r="A1366" s="2">
        <v>43950</v>
      </c>
      <c r="C1366" s="47" t="s">
        <v>88</v>
      </c>
      <c r="E1366" s="47">
        <v>363</v>
      </c>
      <c r="F1366" s="47">
        <v>15</v>
      </c>
      <c r="G1366" s="47">
        <v>7</v>
      </c>
      <c r="J1366" s="47">
        <v>17</v>
      </c>
      <c r="K1366" s="47" t="s">
        <v>90</v>
      </c>
    </row>
    <row r="1367" spans="1:11">
      <c r="A1367" s="2">
        <v>43950</v>
      </c>
      <c r="C1367" s="47" t="s">
        <v>97</v>
      </c>
      <c r="E1367" s="47">
        <v>5274</v>
      </c>
      <c r="F1367" s="47">
        <v>156</v>
      </c>
      <c r="G1367" s="47">
        <v>33</v>
      </c>
      <c r="J1367" s="47">
        <v>375</v>
      </c>
      <c r="K1367" s="47" t="s">
        <v>99</v>
      </c>
    </row>
    <row r="1368" spans="1:11">
      <c r="A1368" s="2">
        <v>43950</v>
      </c>
      <c r="C1368" s="47" t="s">
        <v>100</v>
      </c>
      <c r="E1368" s="47">
        <v>1853</v>
      </c>
      <c r="F1368" s="47">
        <v>56</v>
      </c>
      <c r="G1368" s="47">
        <v>11</v>
      </c>
      <c r="H1368" s="47">
        <v>9</v>
      </c>
      <c r="I1368" s="47">
        <v>237</v>
      </c>
      <c r="J1368" s="47">
        <v>136</v>
      </c>
      <c r="K1368" s="47" t="s">
        <v>419</v>
      </c>
    </row>
    <row r="1369" spans="1:11">
      <c r="A1369" s="2">
        <v>43950</v>
      </c>
      <c r="B1369" s="47">
        <v>0</v>
      </c>
      <c r="C1369" s="47" t="s">
        <v>83</v>
      </c>
      <c r="E1369" s="47">
        <v>384</v>
      </c>
      <c r="F1369" s="47">
        <v>12</v>
      </c>
      <c r="J1369" s="47">
        <v>15</v>
      </c>
      <c r="K1369" s="47" t="s">
        <v>387</v>
      </c>
    </row>
    <row r="1370" spans="1:11">
      <c r="A1370" s="2">
        <v>43950</v>
      </c>
      <c r="B1370" s="47">
        <v>0.33333333333333331</v>
      </c>
      <c r="C1370" s="47" t="s">
        <v>44</v>
      </c>
      <c r="E1370" s="47">
        <v>1741</v>
      </c>
      <c r="F1370" s="47">
        <v>44</v>
      </c>
      <c r="G1370" s="47">
        <v>10</v>
      </c>
      <c r="H1370" s="47">
        <v>10</v>
      </c>
      <c r="J1370" s="47">
        <v>83</v>
      </c>
      <c r="K1370" s="47" t="s">
        <v>46</v>
      </c>
    </row>
    <row r="1371" spans="1:11">
      <c r="A1371" s="2">
        <v>43950</v>
      </c>
      <c r="B1371" s="47">
        <v>0.33333333333333331</v>
      </c>
      <c r="C1371" s="47" t="s">
        <v>91</v>
      </c>
      <c r="E1371" s="47">
        <v>3191</v>
      </c>
      <c r="F1371" s="47">
        <v>172</v>
      </c>
      <c r="G1371" s="47">
        <v>29</v>
      </c>
      <c r="H1371" s="47">
        <v>21</v>
      </c>
      <c r="I1371" s="47">
        <v>728</v>
      </c>
      <c r="J1371" s="47">
        <v>318</v>
      </c>
      <c r="K1371" s="47" t="s">
        <v>423</v>
      </c>
    </row>
    <row r="1372" spans="1:11">
      <c r="A1372" s="2">
        <v>43950</v>
      </c>
      <c r="B1372" s="47">
        <v>0.33333333333333331</v>
      </c>
      <c r="C1372" s="47" t="s">
        <v>102</v>
      </c>
      <c r="E1372" s="47">
        <v>185</v>
      </c>
      <c r="F1372" s="47">
        <v>6</v>
      </c>
      <c r="G1372" s="47">
        <v>3</v>
      </c>
      <c r="I1372" s="47">
        <v>135</v>
      </c>
      <c r="J1372" s="47">
        <v>8</v>
      </c>
      <c r="K1372" s="47" t="s">
        <v>381</v>
      </c>
    </row>
    <row r="1373" spans="1:11">
      <c r="A1373" s="2">
        <v>43950</v>
      </c>
      <c r="B1373" s="47">
        <v>0.39583333333333331</v>
      </c>
      <c r="C1373" s="47" t="s">
        <v>81</v>
      </c>
      <c r="E1373" s="47">
        <v>74</v>
      </c>
      <c r="F1373" s="47">
        <v>12</v>
      </c>
      <c r="G1373" s="47">
        <v>2</v>
      </c>
      <c r="J1373" s="47">
        <v>6</v>
      </c>
      <c r="K1373" s="47" t="s">
        <v>426</v>
      </c>
    </row>
    <row r="1374" spans="1:11">
      <c r="A1374" s="2">
        <v>43950</v>
      </c>
      <c r="B1374" s="47">
        <v>0.41666666666666669</v>
      </c>
      <c r="C1374" s="47" t="s">
        <v>86</v>
      </c>
      <c r="E1374" s="47">
        <v>295</v>
      </c>
      <c r="I1374" s="47">
        <v>224</v>
      </c>
      <c r="J1374" s="47">
        <v>20</v>
      </c>
      <c r="K1374" s="47" t="s">
        <v>427</v>
      </c>
    </row>
    <row r="1375" spans="1:11">
      <c r="A1375" s="2">
        <v>43950</v>
      </c>
      <c r="B1375" s="47">
        <v>0.43055555555555558</v>
      </c>
      <c r="C1375" s="47" t="s">
        <v>41</v>
      </c>
      <c r="E1375" s="47">
        <v>94</v>
      </c>
      <c r="F1375" s="47">
        <v>2</v>
      </c>
      <c r="G1375" s="47">
        <v>2</v>
      </c>
      <c r="J1375" s="47">
        <v>3</v>
      </c>
      <c r="K1375" s="47" t="s">
        <v>43</v>
      </c>
    </row>
    <row r="1376" spans="1:11">
      <c r="A1376" s="2">
        <v>43950</v>
      </c>
      <c r="B1376" s="47">
        <v>0.4375</v>
      </c>
      <c r="C1376" s="47" t="s">
        <v>50</v>
      </c>
      <c r="E1376" s="47">
        <v>946</v>
      </c>
      <c r="F1376" s="47">
        <v>26</v>
      </c>
      <c r="G1376" s="47">
        <v>7</v>
      </c>
      <c r="I1376" s="47">
        <v>810</v>
      </c>
      <c r="J1376" s="47">
        <v>49</v>
      </c>
      <c r="K1376" s="47" t="s">
        <v>417</v>
      </c>
    </row>
    <row r="1377" spans="1:11">
      <c r="A1377" s="2">
        <v>43950</v>
      </c>
      <c r="B1377" s="47">
        <v>0.45833333333333331</v>
      </c>
      <c r="C1377" s="47" t="s">
        <v>38</v>
      </c>
      <c r="E1377" s="47">
        <v>25</v>
      </c>
      <c r="K1377" s="47" t="s">
        <v>40</v>
      </c>
    </row>
    <row r="1378" spans="1:11">
      <c r="A1378" s="2">
        <v>43950</v>
      </c>
      <c r="B1378" s="47">
        <v>0.5</v>
      </c>
      <c r="C1378" s="47" t="s">
        <v>58</v>
      </c>
      <c r="F1378" s="47">
        <v>254</v>
      </c>
      <c r="G1378" s="47">
        <v>21</v>
      </c>
      <c r="H1378" s="47">
        <v>19</v>
      </c>
      <c r="I1378" s="47">
        <v>634</v>
      </c>
      <c r="K1378" s="47" t="s">
        <v>60</v>
      </c>
    </row>
    <row r="1379" spans="1:11">
      <c r="A1379" s="2">
        <v>43950</v>
      </c>
      <c r="B1379" s="47">
        <v>0.5625</v>
      </c>
      <c r="C1379" s="47" t="s">
        <v>61</v>
      </c>
      <c r="E1379" s="47">
        <v>122</v>
      </c>
      <c r="F1379" s="47">
        <v>3</v>
      </c>
      <c r="J1379" s="47">
        <v>9</v>
      </c>
      <c r="K1379" s="47" t="s">
        <v>430</v>
      </c>
    </row>
    <row r="1380" spans="1:11">
      <c r="A1380" s="2">
        <v>43950</v>
      </c>
      <c r="B1380" s="47">
        <v>0.58333333333333337</v>
      </c>
      <c r="C1380" s="47" t="s">
        <v>94</v>
      </c>
      <c r="E1380" s="47">
        <v>85</v>
      </c>
      <c r="F1380" s="47">
        <v>5</v>
      </c>
      <c r="I1380" s="47">
        <v>71</v>
      </c>
      <c r="J1380" s="47">
        <v>5</v>
      </c>
      <c r="K1380" s="47" t="s">
        <v>96</v>
      </c>
    </row>
    <row r="1381" spans="1:11">
      <c r="A1381" s="2">
        <v>43950</v>
      </c>
      <c r="B1381" s="47">
        <v>0.60416666666666663</v>
      </c>
      <c r="C1381" s="47" t="s">
        <v>104</v>
      </c>
      <c r="E1381" s="47">
        <v>3462</v>
      </c>
      <c r="F1381" s="47">
        <v>82</v>
      </c>
      <c r="H1381" s="47">
        <v>19</v>
      </c>
      <c r="J1381" s="47">
        <v>121</v>
      </c>
      <c r="K1381" s="47" t="s">
        <v>106</v>
      </c>
    </row>
    <row r="1382" spans="1:11">
      <c r="A1382" s="2">
        <v>43950</v>
      </c>
      <c r="B1382" s="47">
        <v>0.61458333333333337</v>
      </c>
      <c r="C1382" s="47" t="s">
        <v>34</v>
      </c>
      <c r="E1382" s="47">
        <v>1099</v>
      </c>
      <c r="F1382" s="47">
        <v>38</v>
      </c>
      <c r="G1382" s="47">
        <v>10</v>
      </c>
      <c r="H1382" s="47">
        <v>9</v>
      </c>
      <c r="I1382" s="47">
        <v>850</v>
      </c>
      <c r="J1382" s="47">
        <v>33</v>
      </c>
      <c r="K1382" s="47" t="s">
        <v>416</v>
      </c>
    </row>
    <row r="1383" spans="1:11">
      <c r="A1383" s="2">
        <v>43950</v>
      </c>
      <c r="B1383" s="47">
        <v>0.63541666666666663</v>
      </c>
      <c r="C1383" s="47" t="s">
        <v>75</v>
      </c>
      <c r="E1383" s="47">
        <v>78</v>
      </c>
      <c r="F1383" s="47">
        <v>2</v>
      </c>
      <c r="J1383" s="47">
        <v>0</v>
      </c>
      <c r="K1383" s="47" t="s">
        <v>77</v>
      </c>
    </row>
    <row r="1384" spans="1:11">
      <c r="A1384" s="2">
        <v>43951</v>
      </c>
      <c r="C1384" s="47" t="s">
        <v>47</v>
      </c>
      <c r="E1384" s="47">
        <v>824</v>
      </c>
      <c r="F1384" s="47">
        <v>9</v>
      </c>
      <c r="G1384" s="47">
        <v>1</v>
      </c>
      <c r="H1384" s="47">
        <v>1</v>
      </c>
      <c r="I1384" s="47">
        <v>756</v>
      </c>
      <c r="J1384" s="47">
        <v>30</v>
      </c>
      <c r="K1384" s="47" t="s">
        <v>49</v>
      </c>
    </row>
    <row r="1385" spans="1:11">
      <c r="A1385" s="2">
        <v>43951</v>
      </c>
      <c r="C1385" s="47" t="s">
        <v>56</v>
      </c>
      <c r="E1385" s="47">
        <v>1070</v>
      </c>
      <c r="F1385" s="47">
        <v>46</v>
      </c>
      <c r="G1385" s="47">
        <v>6</v>
      </c>
      <c r="I1385" s="47">
        <v>123</v>
      </c>
      <c r="J1385" s="47">
        <v>78</v>
      </c>
      <c r="K1385" s="47" t="s">
        <v>434</v>
      </c>
    </row>
    <row r="1386" spans="1:11">
      <c r="A1386" s="2">
        <v>43951</v>
      </c>
      <c r="C1386" s="47" t="s">
        <v>68</v>
      </c>
      <c r="E1386" s="47">
        <v>694</v>
      </c>
      <c r="F1386" s="47">
        <v>31</v>
      </c>
      <c r="G1386" s="47">
        <v>8</v>
      </c>
      <c r="J1386" s="47">
        <v>17</v>
      </c>
      <c r="K1386" s="47" t="s">
        <v>70</v>
      </c>
    </row>
    <row r="1387" spans="1:11">
      <c r="A1387" s="2">
        <v>43951</v>
      </c>
      <c r="C1387" s="47" t="s">
        <v>78</v>
      </c>
      <c r="E1387" s="47">
        <v>780</v>
      </c>
      <c r="F1387" s="47">
        <v>37</v>
      </c>
      <c r="G1387" s="47">
        <v>3</v>
      </c>
      <c r="I1387" s="47">
        <v>184</v>
      </c>
      <c r="J1387" s="47">
        <v>33</v>
      </c>
      <c r="K1387" s="47" t="s">
        <v>80</v>
      </c>
    </row>
    <row r="1388" spans="1:11">
      <c r="A1388" s="2">
        <v>43951</v>
      </c>
      <c r="C1388" s="47" t="s">
        <v>88</v>
      </c>
      <c r="E1388" s="47">
        <v>365</v>
      </c>
      <c r="F1388" s="47">
        <v>14</v>
      </c>
      <c r="G1388" s="47">
        <v>7</v>
      </c>
      <c r="J1388" s="47">
        <v>17</v>
      </c>
      <c r="K1388" s="47" t="s">
        <v>90</v>
      </c>
    </row>
    <row r="1389" spans="1:11">
      <c r="A1389" s="2">
        <v>43951</v>
      </c>
      <c r="B1389" s="47">
        <v>0</v>
      </c>
      <c r="C1389" s="47" t="s">
        <v>83</v>
      </c>
      <c r="E1389" s="47">
        <v>388</v>
      </c>
      <c r="F1389" s="47">
        <v>12</v>
      </c>
      <c r="J1389" s="47">
        <v>15</v>
      </c>
      <c r="K1389" s="47" t="s">
        <v>387</v>
      </c>
    </row>
    <row r="1390" spans="1:11">
      <c r="A1390" s="2">
        <v>43951</v>
      </c>
      <c r="B1390" s="47">
        <v>0.33333333333333331</v>
      </c>
      <c r="C1390" s="47" t="s">
        <v>44</v>
      </c>
      <c r="E1390" s="47">
        <v>1757</v>
      </c>
      <c r="F1390" s="47">
        <v>39</v>
      </c>
      <c r="G1390" s="47">
        <v>9</v>
      </c>
      <c r="H1390" s="47">
        <v>9</v>
      </c>
      <c r="J1390" s="47">
        <v>85</v>
      </c>
      <c r="K1390" s="47" t="s">
        <v>46</v>
      </c>
    </row>
    <row r="1391" spans="1:11">
      <c r="A1391" s="2">
        <v>43951</v>
      </c>
      <c r="B1391" s="47">
        <v>0.33333333333333331</v>
      </c>
      <c r="C1391" s="47" t="s">
        <v>91</v>
      </c>
      <c r="E1391" s="47">
        <v>3210</v>
      </c>
      <c r="F1391" s="47">
        <v>172</v>
      </c>
      <c r="G1391" s="47">
        <v>29</v>
      </c>
      <c r="H1391" s="47">
        <v>21</v>
      </c>
      <c r="I1391" s="47">
        <v>728</v>
      </c>
      <c r="J1391" s="47">
        <v>321</v>
      </c>
      <c r="K1391" s="47" t="s">
        <v>423</v>
      </c>
    </row>
    <row r="1392" spans="1:11">
      <c r="A1392" s="2">
        <v>43951</v>
      </c>
      <c r="B1392" s="47">
        <v>0.33333333333333331</v>
      </c>
      <c r="C1392" s="47" t="s">
        <v>102</v>
      </c>
      <c r="E1392" s="47">
        <v>189</v>
      </c>
      <c r="F1392" s="47">
        <v>6</v>
      </c>
      <c r="G1392" s="47">
        <v>3</v>
      </c>
      <c r="I1392" s="47">
        <v>135</v>
      </c>
      <c r="J1392" s="47">
        <v>8</v>
      </c>
      <c r="K1392" s="47" t="s">
        <v>381</v>
      </c>
    </row>
    <row r="1393" spans="1:11">
      <c r="A1393" s="2">
        <v>43951</v>
      </c>
      <c r="B1393" s="47">
        <v>0.375</v>
      </c>
      <c r="C1393" s="47" t="s">
        <v>50</v>
      </c>
      <c r="E1393" s="47">
        <v>951</v>
      </c>
      <c r="F1393" s="47">
        <v>24</v>
      </c>
      <c r="G1393" s="47">
        <v>8</v>
      </c>
      <c r="I1393" s="47">
        <v>828</v>
      </c>
      <c r="J1393" s="47">
        <v>50</v>
      </c>
      <c r="K1393" s="47" t="s">
        <v>425</v>
      </c>
    </row>
    <row r="1394" spans="1:11">
      <c r="A1394" s="2">
        <v>43951</v>
      </c>
      <c r="B1394" s="47">
        <v>0.39583333333333331</v>
      </c>
      <c r="C1394" s="47" t="s">
        <v>41</v>
      </c>
      <c r="E1394" s="47">
        <v>94</v>
      </c>
      <c r="F1394" s="47">
        <v>2</v>
      </c>
      <c r="G1394" s="47">
        <v>2</v>
      </c>
      <c r="J1394" s="47">
        <v>3</v>
      </c>
      <c r="K1394" s="47" t="s">
        <v>43</v>
      </c>
    </row>
    <row r="1395" spans="1:11">
      <c r="A1395" s="2">
        <v>43951</v>
      </c>
      <c r="B1395" s="47">
        <v>0.39583333333333331</v>
      </c>
      <c r="C1395" s="47" t="s">
        <v>81</v>
      </c>
      <c r="E1395" s="47">
        <v>75</v>
      </c>
      <c r="F1395" s="47">
        <v>8</v>
      </c>
      <c r="G1395" s="47">
        <v>2</v>
      </c>
      <c r="J1395" s="47">
        <v>6</v>
      </c>
      <c r="K1395" s="47" t="s">
        <v>426</v>
      </c>
    </row>
    <row r="1396" spans="1:11">
      <c r="A1396" s="2">
        <v>43951</v>
      </c>
      <c r="B1396" s="47">
        <v>0.41666666666666669</v>
      </c>
      <c r="C1396" s="47" t="s">
        <v>86</v>
      </c>
      <c r="E1396" s="47">
        <v>302</v>
      </c>
      <c r="I1396" s="47">
        <v>239</v>
      </c>
      <c r="J1396" s="47">
        <v>20</v>
      </c>
      <c r="K1396" s="47" t="s">
        <v>427</v>
      </c>
    </row>
    <row r="1397" spans="1:11">
      <c r="A1397" s="2">
        <v>43951</v>
      </c>
      <c r="B1397" s="47">
        <v>0.45833333333333331</v>
      </c>
      <c r="C1397" s="47" t="s">
        <v>38</v>
      </c>
      <c r="E1397" s="47">
        <v>25</v>
      </c>
      <c r="K1397" s="47" t="s">
        <v>40</v>
      </c>
    </row>
    <row r="1398" spans="1:11">
      <c r="A1398" s="2">
        <v>43951</v>
      </c>
      <c r="B1398" s="47">
        <v>0.54166666666666663</v>
      </c>
      <c r="C1398" s="47" t="s">
        <v>61</v>
      </c>
      <c r="E1398" s="47">
        <v>122</v>
      </c>
      <c r="F1398" s="47">
        <v>2</v>
      </c>
      <c r="J1398" s="47">
        <v>10</v>
      </c>
      <c r="K1398" s="47" t="s">
        <v>430</v>
      </c>
    </row>
    <row r="1399" spans="1:11">
      <c r="A1399" s="2">
        <v>43951</v>
      </c>
      <c r="B1399" s="47">
        <v>0.60416666666666663</v>
      </c>
      <c r="C1399" s="47" t="s">
        <v>104</v>
      </c>
      <c r="E1399" s="47">
        <v>3473</v>
      </c>
      <c r="F1399" s="47">
        <v>61</v>
      </c>
      <c r="H1399" s="47">
        <v>15</v>
      </c>
      <c r="J1399" s="47">
        <v>122</v>
      </c>
      <c r="K1399" s="47" t="s">
        <v>106</v>
      </c>
    </row>
    <row r="1400" spans="1:11">
      <c r="A1400" s="2">
        <v>43951</v>
      </c>
      <c r="B1400" s="47">
        <v>0.61458333333333337</v>
      </c>
      <c r="C1400" s="47" t="s">
        <v>34</v>
      </c>
      <c r="E1400" s="47">
        <v>1108</v>
      </c>
      <c r="F1400" s="47">
        <v>33</v>
      </c>
      <c r="G1400" s="47">
        <v>9</v>
      </c>
      <c r="H1400" s="47">
        <v>8</v>
      </c>
      <c r="I1400" s="47">
        <v>870</v>
      </c>
      <c r="J1400" s="47">
        <v>33</v>
      </c>
      <c r="K1400" s="47" t="s">
        <v>435</v>
      </c>
    </row>
    <row r="1401" spans="1:11">
      <c r="A1401" s="2">
        <v>43951</v>
      </c>
      <c r="B1401" s="47">
        <v>0.625</v>
      </c>
      <c r="C1401" s="47" t="s">
        <v>100</v>
      </c>
      <c r="E1401" s="47">
        <v>1866</v>
      </c>
      <c r="F1401" s="47">
        <v>55</v>
      </c>
      <c r="G1401" s="47">
        <v>11</v>
      </c>
      <c r="H1401" s="47">
        <v>9</v>
      </c>
      <c r="I1401" s="47">
        <v>238</v>
      </c>
      <c r="J1401" s="47">
        <v>137</v>
      </c>
      <c r="K1401" s="47" t="s">
        <v>436</v>
      </c>
    </row>
    <row r="1402" spans="1:11">
      <c r="A1402" s="2">
        <v>43951</v>
      </c>
      <c r="B1402" s="47">
        <v>0.66666666666666663</v>
      </c>
      <c r="C1402" s="47" t="s">
        <v>75</v>
      </c>
      <c r="E1402" s="47">
        <v>78</v>
      </c>
      <c r="F1402" s="47">
        <v>0</v>
      </c>
      <c r="J1402" s="47">
        <v>0</v>
      </c>
      <c r="K1402" s="47" t="s">
        <v>77</v>
      </c>
    </row>
    <row r="1403" spans="1:11">
      <c r="A1403" s="2">
        <v>43951</v>
      </c>
      <c r="B1403" s="47">
        <v>0.66666666666666663</v>
      </c>
      <c r="C1403" s="47" t="s">
        <v>94</v>
      </c>
      <c r="E1403" s="47">
        <v>86</v>
      </c>
      <c r="F1403" s="47">
        <v>4</v>
      </c>
      <c r="I1403" s="47">
        <v>71</v>
      </c>
      <c r="J1403" s="47">
        <v>5</v>
      </c>
      <c r="K1403" s="47" t="s">
        <v>96</v>
      </c>
    </row>
  </sheetData>
  <pageMargins left="0.7" right="0.7" top="0.78740157499999996" bottom="0.78740157499999996" header="0.3" footer="0.3"/>
  <pageSetup paperSize="9"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D71"/>
  <sheetViews>
    <sheetView topLeftCell="A22" workbookViewId="0">
      <selection activeCell="C77" sqref="C77"/>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4">
      <c r="A3" s="16" t="s">
        <v>319</v>
      </c>
      <c r="B3" t="s">
        <v>406</v>
      </c>
      <c r="C3" t="s">
        <v>404</v>
      </c>
      <c r="D3" t="s">
        <v>405</v>
      </c>
    </row>
    <row r="4" spans="1:4">
      <c r="A4" s="46">
        <v>43886</v>
      </c>
      <c r="B4" s="1">
        <v>1</v>
      </c>
      <c r="C4" s="1"/>
      <c r="D4" s="1">
        <v>0</v>
      </c>
    </row>
    <row r="5" spans="1:4">
      <c r="A5" s="46">
        <v>43887</v>
      </c>
      <c r="B5" s="1">
        <v>1</v>
      </c>
      <c r="C5" s="1"/>
      <c r="D5" s="1">
        <v>0</v>
      </c>
    </row>
    <row r="6" spans="1:4">
      <c r="A6" s="46">
        <v>43888</v>
      </c>
      <c r="B6" s="1">
        <v>5</v>
      </c>
      <c r="C6" s="1"/>
      <c r="D6" s="1">
        <v>0</v>
      </c>
    </row>
    <row r="7" spans="1:4">
      <c r="A7" s="46">
        <v>43889</v>
      </c>
      <c r="B7" s="1">
        <v>12</v>
      </c>
      <c r="C7" s="1"/>
      <c r="D7" s="1">
        <v>0</v>
      </c>
    </row>
    <row r="8" spans="1:4">
      <c r="A8" s="46">
        <v>43890</v>
      </c>
      <c r="B8" s="1">
        <v>17</v>
      </c>
      <c r="C8" s="1"/>
      <c r="D8" s="1">
        <v>0</v>
      </c>
    </row>
    <row r="9" spans="1:4">
      <c r="A9" s="46">
        <v>43891</v>
      </c>
      <c r="B9" s="1">
        <v>25</v>
      </c>
      <c r="C9" s="1">
        <v>0</v>
      </c>
      <c r="D9" s="1">
        <v>0</v>
      </c>
    </row>
    <row r="10" spans="1:4">
      <c r="A10" s="46">
        <v>43892</v>
      </c>
      <c r="B10" s="1">
        <v>37</v>
      </c>
      <c r="C10" s="1">
        <v>0</v>
      </c>
      <c r="D10" s="1">
        <v>0</v>
      </c>
    </row>
    <row r="11" spans="1:4">
      <c r="A11" s="46">
        <v>43893</v>
      </c>
      <c r="B11" s="1">
        <v>48</v>
      </c>
      <c r="C11" s="1">
        <v>0</v>
      </c>
      <c r="D11" s="1">
        <v>0</v>
      </c>
    </row>
    <row r="12" spans="1:4">
      <c r="A12" s="46">
        <v>43894</v>
      </c>
      <c r="B12" s="1">
        <v>74</v>
      </c>
      <c r="C12" s="1">
        <v>0</v>
      </c>
      <c r="D12" s="1">
        <v>0</v>
      </c>
    </row>
    <row r="13" spans="1:4">
      <c r="A13" s="46">
        <v>43895</v>
      </c>
      <c r="B13" s="1">
        <v>108</v>
      </c>
      <c r="C13" s="1">
        <v>0</v>
      </c>
      <c r="D13" s="1">
        <v>0</v>
      </c>
    </row>
    <row r="14" spans="1:4">
      <c r="A14" s="46">
        <v>43896</v>
      </c>
      <c r="B14" s="1">
        <v>158</v>
      </c>
      <c r="C14" s="1">
        <v>1</v>
      </c>
      <c r="D14" s="1">
        <v>1</v>
      </c>
    </row>
    <row r="15" spans="1:4">
      <c r="A15" s="46">
        <v>43897</v>
      </c>
      <c r="B15" s="1">
        <v>209</v>
      </c>
      <c r="C15" s="1">
        <v>0</v>
      </c>
      <c r="D15" s="1">
        <v>1</v>
      </c>
    </row>
    <row r="16" spans="1:4">
      <c r="A16" s="46">
        <v>43898</v>
      </c>
      <c r="B16" s="1">
        <v>272</v>
      </c>
      <c r="C16" s="1">
        <v>0</v>
      </c>
      <c r="D16" s="1">
        <v>2</v>
      </c>
    </row>
    <row r="17" spans="1:4">
      <c r="A17" s="46">
        <v>43899</v>
      </c>
      <c r="B17" s="1">
        <v>387</v>
      </c>
      <c r="C17" s="1">
        <v>3</v>
      </c>
      <c r="D17" s="1">
        <v>2</v>
      </c>
    </row>
    <row r="18" spans="1:4">
      <c r="A18" s="46">
        <v>43900</v>
      </c>
      <c r="B18" s="1">
        <v>410</v>
      </c>
      <c r="C18" s="1">
        <v>7</v>
      </c>
      <c r="D18" s="1">
        <v>4</v>
      </c>
    </row>
    <row r="19" spans="1:4">
      <c r="A19" s="46">
        <v>43901</v>
      </c>
      <c r="B19" s="1">
        <v>592</v>
      </c>
      <c r="C19" s="1">
        <v>9</v>
      </c>
      <c r="D19" s="1">
        <v>4</v>
      </c>
    </row>
    <row r="20" spans="1:4">
      <c r="A20" s="46">
        <v>43902</v>
      </c>
      <c r="B20" s="1">
        <v>1016</v>
      </c>
      <c r="C20" s="1">
        <v>10</v>
      </c>
      <c r="D20" s="1">
        <v>8</v>
      </c>
    </row>
    <row r="21" spans="1:4">
      <c r="A21" s="46">
        <v>43903</v>
      </c>
      <c r="B21" s="1">
        <v>1349</v>
      </c>
      <c r="C21" s="1">
        <v>9</v>
      </c>
      <c r="D21" s="1">
        <v>9</v>
      </c>
    </row>
    <row r="22" spans="1:4">
      <c r="A22" s="46">
        <v>43904</v>
      </c>
      <c r="B22" s="1">
        <v>1652</v>
      </c>
      <c r="C22" s="1">
        <v>7</v>
      </c>
      <c r="D22" s="1">
        <v>13</v>
      </c>
    </row>
    <row r="23" spans="1:4">
      <c r="A23" s="46">
        <v>43905</v>
      </c>
      <c r="B23" s="1">
        <v>1836</v>
      </c>
      <c r="C23" s="1">
        <v>6</v>
      </c>
      <c r="D23" s="1">
        <v>20</v>
      </c>
    </row>
    <row r="24" spans="1:4">
      <c r="A24" s="46">
        <v>43906</v>
      </c>
      <c r="B24" s="1">
        <v>2705</v>
      </c>
      <c r="C24" s="1">
        <v>13</v>
      </c>
      <c r="D24" s="1">
        <v>30</v>
      </c>
    </row>
    <row r="25" spans="1:4">
      <c r="A25" s="46">
        <v>43907</v>
      </c>
      <c r="B25" s="1">
        <v>3475</v>
      </c>
      <c r="C25" s="1">
        <v>44</v>
      </c>
      <c r="D25" s="1">
        <v>36</v>
      </c>
    </row>
    <row r="26" spans="1:4">
      <c r="A26" s="46">
        <v>43908</v>
      </c>
      <c r="B26" s="1">
        <v>4773</v>
      </c>
      <c r="C26" s="1">
        <v>62</v>
      </c>
      <c r="D26" s="1">
        <v>48</v>
      </c>
    </row>
    <row r="27" spans="1:4">
      <c r="A27" s="46">
        <v>43909</v>
      </c>
      <c r="B27" s="1">
        <v>5658</v>
      </c>
      <c r="C27" s="1">
        <v>65</v>
      </c>
      <c r="D27" s="1">
        <v>57</v>
      </c>
    </row>
    <row r="28" spans="1:4">
      <c r="A28" s="46">
        <v>43910</v>
      </c>
      <c r="B28" s="1">
        <v>6923</v>
      </c>
      <c r="C28" s="1">
        <v>70</v>
      </c>
      <c r="D28" s="1">
        <v>78</v>
      </c>
    </row>
    <row r="29" spans="1:4">
      <c r="A29" s="46">
        <v>43911</v>
      </c>
      <c r="B29" s="1">
        <v>7288</v>
      </c>
      <c r="C29" s="1">
        <v>83</v>
      </c>
      <c r="D29" s="1">
        <v>97</v>
      </c>
    </row>
    <row r="30" spans="1:4">
      <c r="A30" s="46">
        <v>43912</v>
      </c>
      <c r="B30" s="1">
        <v>7595</v>
      </c>
      <c r="C30" s="1">
        <v>99</v>
      </c>
      <c r="D30" s="1">
        <v>109</v>
      </c>
    </row>
    <row r="31" spans="1:4">
      <c r="A31" s="46">
        <v>43913</v>
      </c>
      <c r="B31" s="1">
        <v>9718</v>
      </c>
      <c r="C31" s="1">
        <v>119</v>
      </c>
      <c r="D31" s="1">
        <v>143</v>
      </c>
    </row>
    <row r="32" spans="1:4">
      <c r="A32" s="46">
        <v>43914</v>
      </c>
      <c r="B32" s="1">
        <v>10823</v>
      </c>
      <c r="C32" s="1">
        <v>271</v>
      </c>
      <c r="D32" s="1">
        <v>165</v>
      </c>
    </row>
    <row r="33" spans="1:4">
      <c r="A33" s="46">
        <v>43915</v>
      </c>
      <c r="B33" s="1">
        <v>11823</v>
      </c>
      <c r="C33" s="1">
        <v>324</v>
      </c>
      <c r="D33" s="1">
        <v>200</v>
      </c>
    </row>
    <row r="34" spans="1:4">
      <c r="A34" s="46">
        <v>43916</v>
      </c>
      <c r="B34" s="1">
        <v>13058</v>
      </c>
      <c r="C34" s="1">
        <v>404</v>
      </c>
      <c r="D34" s="1">
        <v>245</v>
      </c>
    </row>
    <row r="35" spans="1:4">
      <c r="A35" s="46">
        <v>43917</v>
      </c>
      <c r="B35" s="1">
        <v>14392</v>
      </c>
      <c r="C35" s="1">
        <v>473</v>
      </c>
      <c r="D35" s="1">
        <v>282</v>
      </c>
    </row>
    <row r="36" spans="1:4">
      <c r="A36" s="46">
        <v>43918</v>
      </c>
      <c r="B36" s="1">
        <v>14824</v>
      </c>
      <c r="C36" s="1">
        <v>543</v>
      </c>
      <c r="D36" s="1">
        <v>331</v>
      </c>
    </row>
    <row r="37" spans="1:4">
      <c r="A37" s="46">
        <v>43919</v>
      </c>
      <c r="B37" s="1">
        <v>15409</v>
      </c>
      <c r="C37" s="1">
        <v>593</v>
      </c>
      <c r="D37" s="1">
        <v>375</v>
      </c>
    </row>
    <row r="38" spans="1:4">
      <c r="A38" s="46">
        <v>43920</v>
      </c>
      <c r="B38" s="1">
        <v>16748</v>
      </c>
      <c r="C38" s="1">
        <v>708</v>
      </c>
      <c r="D38" s="1">
        <v>437</v>
      </c>
    </row>
    <row r="39" spans="1:4">
      <c r="A39" s="46">
        <v>43921</v>
      </c>
      <c r="B39" s="1">
        <v>17856</v>
      </c>
      <c r="C39" s="1">
        <v>1075</v>
      </c>
      <c r="D39" s="1">
        <v>504</v>
      </c>
    </row>
    <row r="40" spans="1:4">
      <c r="A40" s="46">
        <v>43922</v>
      </c>
      <c r="B40" s="1">
        <v>18890</v>
      </c>
      <c r="C40" s="1">
        <v>1249</v>
      </c>
      <c r="D40" s="1">
        <v>567</v>
      </c>
    </row>
    <row r="41" spans="1:4">
      <c r="A41" s="46">
        <v>43923</v>
      </c>
      <c r="B41" s="1">
        <v>19924</v>
      </c>
      <c r="C41" s="1">
        <v>1460</v>
      </c>
      <c r="D41" s="1">
        <v>628</v>
      </c>
    </row>
    <row r="42" spans="1:4">
      <c r="A42" s="46">
        <v>43924</v>
      </c>
      <c r="B42" s="1">
        <v>20878</v>
      </c>
      <c r="C42" s="1">
        <v>1566</v>
      </c>
      <c r="D42" s="1">
        <v>689</v>
      </c>
    </row>
    <row r="43" spans="1:4">
      <c r="A43" s="46">
        <v>43925</v>
      </c>
      <c r="B43" s="1">
        <v>20763</v>
      </c>
      <c r="C43" s="1">
        <v>1721</v>
      </c>
      <c r="D43" s="1">
        <v>744</v>
      </c>
    </row>
    <row r="44" spans="1:4">
      <c r="A44" s="46">
        <v>43926</v>
      </c>
      <c r="B44" s="1">
        <v>21124</v>
      </c>
      <c r="C44" s="1">
        <v>1786</v>
      </c>
      <c r="D44" s="1">
        <v>796</v>
      </c>
    </row>
    <row r="45" spans="1:4">
      <c r="A45" s="46">
        <v>43927</v>
      </c>
      <c r="B45" s="1">
        <v>22492</v>
      </c>
      <c r="C45" s="1">
        <v>2004</v>
      </c>
      <c r="D45" s="1">
        <v>866</v>
      </c>
    </row>
    <row r="46" spans="1:4">
      <c r="A46" s="46">
        <v>43928</v>
      </c>
      <c r="B46" s="1">
        <v>23221</v>
      </c>
      <c r="C46" s="1">
        <v>2368</v>
      </c>
      <c r="D46" s="1">
        <v>927</v>
      </c>
    </row>
    <row r="47" spans="1:4">
      <c r="A47" s="46">
        <v>43929</v>
      </c>
      <c r="B47" s="1">
        <v>23813</v>
      </c>
      <c r="C47" s="1">
        <v>2585</v>
      </c>
      <c r="D47" s="1">
        <v>994</v>
      </c>
    </row>
    <row r="48" spans="1:4">
      <c r="A48" s="46">
        <v>43930</v>
      </c>
      <c r="B48" s="1">
        <v>24481</v>
      </c>
      <c r="C48" s="1">
        <v>2293</v>
      </c>
      <c r="D48" s="1">
        <v>1045</v>
      </c>
    </row>
    <row r="49" spans="1:4">
      <c r="A49" s="46">
        <v>43931</v>
      </c>
      <c r="B49" s="1">
        <v>24923</v>
      </c>
      <c r="C49" s="1">
        <v>2569</v>
      </c>
      <c r="D49" s="1">
        <v>1096</v>
      </c>
    </row>
    <row r="50" spans="1:4">
      <c r="A50" s="46">
        <v>43932</v>
      </c>
      <c r="B50" s="1">
        <v>25410</v>
      </c>
      <c r="C50" s="1">
        <v>2985</v>
      </c>
      <c r="D50" s="1">
        <v>1134</v>
      </c>
    </row>
    <row r="51" spans="1:4">
      <c r="A51" s="46">
        <v>43933</v>
      </c>
      <c r="B51" s="1">
        <v>25582</v>
      </c>
      <c r="C51" s="1">
        <v>2787</v>
      </c>
      <c r="D51" s="1">
        <v>1187</v>
      </c>
    </row>
    <row r="52" spans="1:4">
      <c r="A52" s="46">
        <v>43934</v>
      </c>
      <c r="B52" s="1">
        <v>25934</v>
      </c>
      <c r="C52" s="1">
        <v>2867</v>
      </c>
      <c r="D52" s="1">
        <v>1220</v>
      </c>
    </row>
    <row r="53" spans="1:4">
      <c r="A53" s="46">
        <v>43935</v>
      </c>
      <c r="B53" s="1">
        <v>26238</v>
      </c>
      <c r="C53" s="1">
        <v>3329</v>
      </c>
      <c r="D53" s="1">
        <v>1257</v>
      </c>
    </row>
    <row r="54" spans="1:4">
      <c r="A54" s="46">
        <v>43936</v>
      </c>
      <c r="B54" s="1">
        <v>26636</v>
      </c>
      <c r="C54" s="1">
        <v>3493</v>
      </c>
      <c r="D54" s="1">
        <v>1311</v>
      </c>
    </row>
    <row r="55" spans="1:4">
      <c r="A55" s="46">
        <v>43937</v>
      </c>
      <c r="B55" s="1">
        <v>26935</v>
      </c>
      <c r="C55" s="1">
        <v>3653</v>
      </c>
      <c r="D55" s="1">
        <v>1356</v>
      </c>
    </row>
    <row r="56" spans="1:4">
      <c r="A56" s="46">
        <v>43938</v>
      </c>
      <c r="B56" s="1">
        <v>27258</v>
      </c>
      <c r="C56" s="1">
        <v>3761</v>
      </c>
      <c r="D56" s="1">
        <v>1402</v>
      </c>
    </row>
    <row r="57" spans="1:4">
      <c r="A57" s="46">
        <v>43939</v>
      </c>
      <c r="B57" s="1">
        <v>27369</v>
      </c>
      <c r="C57" s="1">
        <v>3336</v>
      </c>
      <c r="D57" s="1">
        <v>1441</v>
      </c>
    </row>
    <row r="58" spans="1:4">
      <c r="A58" s="46">
        <v>43940</v>
      </c>
      <c r="B58" s="1">
        <v>27570</v>
      </c>
      <c r="C58" s="1">
        <v>3406</v>
      </c>
      <c r="D58" s="1">
        <v>1465</v>
      </c>
    </row>
    <row r="59" spans="1:4">
      <c r="A59" s="46">
        <v>43941</v>
      </c>
      <c r="B59" s="1">
        <v>27920</v>
      </c>
      <c r="C59" s="1">
        <v>4082</v>
      </c>
      <c r="D59" s="1">
        <v>1510</v>
      </c>
    </row>
    <row r="60" spans="1:4">
      <c r="A60" s="46">
        <v>43942</v>
      </c>
      <c r="B60" s="1">
        <v>28079</v>
      </c>
      <c r="C60" s="1">
        <v>4204</v>
      </c>
      <c r="D60" s="1">
        <v>1551</v>
      </c>
    </row>
    <row r="61" spans="1:4">
      <c r="A61" s="46">
        <v>43943</v>
      </c>
      <c r="B61" s="1">
        <v>28276</v>
      </c>
      <c r="C61" s="1">
        <v>4311</v>
      </c>
      <c r="D61" s="1">
        <v>1578</v>
      </c>
    </row>
    <row r="62" spans="1:4">
      <c r="A62" s="46">
        <v>43944</v>
      </c>
      <c r="B62" s="1">
        <v>28493</v>
      </c>
      <c r="C62" s="1">
        <v>4402</v>
      </c>
      <c r="D62" s="1">
        <v>1608</v>
      </c>
    </row>
    <row r="63" spans="1:4">
      <c r="A63" s="46">
        <v>43945</v>
      </c>
      <c r="B63" s="1">
        <v>28684</v>
      </c>
      <c r="C63" s="1">
        <v>4480</v>
      </c>
      <c r="D63" s="1">
        <v>1637</v>
      </c>
    </row>
    <row r="64" spans="1:4">
      <c r="A64" s="46">
        <v>43946</v>
      </c>
      <c r="B64" s="1">
        <v>27612</v>
      </c>
      <c r="C64" s="1">
        <v>2162</v>
      </c>
      <c r="D64" s="1">
        <v>1627</v>
      </c>
    </row>
    <row r="65" spans="1:4">
      <c r="A65" s="46">
        <v>43947</v>
      </c>
      <c r="B65" s="1">
        <v>27668</v>
      </c>
      <c r="C65" s="1">
        <v>2970</v>
      </c>
      <c r="D65" s="1">
        <v>1644</v>
      </c>
    </row>
    <row r="66" spans="1:4">
      <c r="A66" s="46">
        <v>43948</v>
      </c>
      <c r="B66" s="1">
        <v>29069</v>
      </c>
      <c r="C66" s="1">
        <v>3822</v>
      </c>
      <c r="D66" s="1">
        <v>1699</v>
      </c>
    </row>
    <row r="67" spans="1:4">
      <c r="A67" s="46">
        <v>43949</v>
      </c>
      <c r="B67" s="1">
        <v>28501</v>
      </c>
      <c r="C67" s="1">
        <v>3874</v>
      </c>
      <c r="D67" s="1">
        <v>1724</v>
      </c>
    </row>
    <row r="68" spans="1:4">
      <c r="A68" s="17" t="s">
        <v>403</v>
      </c>
      <c r="B68" s="1"/>
      <c r="C68" s="1"/>
      <c r="D68" s="1"/>
    </row>
    <row r="69" spans="1:4">
      <c r="A69" s="46">
        <v>43950</v>
      </c>
      <c r="B69" s="1">
        <v>23814</v>
      </c>
      <c r="C69" s="1">
        <v>4740</v>
      </c>
      <c r="D69" s="1">
        <v>1409</v>
      </c>
    </row>
    <row r="70" spans="1:4">
      <c r="A70" s="46">
        <v>43951</v>
      </c>
      <c r="B70" s="1">
        <v>7746</v>
      </c>
      <c r="C70" s="1">
        <v>2114</v>
      </c>
      <c r="D70" s="1">
        <v>541</v>
      </c>
    </row>
    <row r="71" spans="1:4">
      <c r="A71" s="17" t="s">
        <v>320</v>
      </c>
      <c r="B71" s="1">
        <v>916580</v>
      </c>
      <c r="C71" s="1">
        <v>95377</v>
      </c>
      <c r="D71" s="1">
        <v>39854</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1"/>
  <sheetViews>
    <sheetView workbookViewId="0">
      <selection activeCell="AA28" sqref="AA28"/>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19" width="3.81640625" bestFit="1" customWidth="1"/>
    <col min="20" max="20" width="3"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30" width="14.36328125" bestFit="1" customWidth="1"/>
  </cols>
  <sheetData>
    <row r="3" spans="1:29">
      <c r="A3" s="16" t="s">
        <v>428</v>
      </c>
      <c r="B3" s="16" t="s">
        <v>321</v>
      </c>
    </row>
    <row r="4" spans="1:29">
      <c r="A4" s="16" t="s">
        <v>319</v>
      </c>
      <c r="B4" t="s">
        <v>56</v>
      </c>
      <c r="C4" t="s">
        <v>83</v>
      </c>
      <c r="D4" t="s">
        <v>34</v>
      </c>
      <c r="E4" t="s">
        <v>38</v>
      </c>
      <c r="F4" t="s">
        <v>41</v>
      </c>
      <c r="G4" t="s">
        <v>44</v>
      </c>
      <c r="H4" t="s">
        <v>47</v>
      </c>
      <c r="I4" t="s">
        <v>50</v>
      </c>
      <c r="J4" t="s">
        <v>53</v>
      </c>
      <c r="K4" t="s">
        <v>58</v>
      </c>
      <c r="L4" t="s">
        <v>61</v>
      </c>
      <c r="M4" t="s">
        <v>63</v>
      </c>
      <c r="N4" t="s">
        <v>66</v>
      </c>
      <c r="O4" t="s">
        <v>68</v>
      </c>
      <c r="P4" t="s">
        <v>71</v>
      </c>
      <c r="Q4" t="s">
        <v>73</v>
      </c>
      <c r="R4" t="s">
        <v>75</v>
      </c>
      <c r="S4" t="s">
        <v>78</v>
      </c>
      <c r="T4" t="s">
        <v>81</v>
      </c>
      <c r="U4" t="s">
        <v>86</v>
      </c>
      <c r="V4" t="s">
        <v>88</v>
      </c>
      <c r="W4" t="s">
        <v>91</v>
      </c>
      <c r="X4" t="s">
        <v>94</v>
      </c>
      <c r="Y4" t="s">
        <v>97</v>
      </c>
      <c r="Z4" t="s">
        <v>100</v>
      </c>
      <c r="AA4" t="s">
        <v>102</v>
      </c>
      <c r="AB4" t="s">
        <v>104</v>
      </c>
      <c r="AC4" t="s">
        <v>320</v>
      </c>
    </row>
    <row r="5" spans="1:29">
      <c r="A5" s="46">
        <v>43886</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29">
      <c r="A6" s="46">
        <v>43887</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29">
      <c r="A7" s="46">
        <v>43888</v>
      </c>
      <c r="B7" s="1"/>
      <c r="C7" s="1"/>
      <c r="D7" s="1"/>
      <c r="E7" s="1"/>
      <c r="F7" s="1"/>
      <c r="G7" s="1"/>
      <c r="H7" s="1"/>
      <c r="I7" s="1"/>
      <c r="J7" s="1"/>
      <c r="K7" s="1">
        <v>0</v>
      </c>
      <c r="L7" s="1"/>
      <c r="M7" s="1"/>
      <c r="N7" s="1">
        <v>0</v>
      </c>
      <c r="O7" s="1"/>
      <c r="P7" s="1"/>
      <c r="Q7" s="1"/>
      <c r="R7" s="1"/>
      <c r="S7" s="1"/>
      <c r="T7" s="1"/>
      <c r="U7" s="1"/>
      <c r="V7" s="1"/>
      <c r="W7" s="1"/>
      <c r="X7" s="1"/>
      <c r="Y7" s="1"/>
      <c r="Z7" s="1"/>
      <c r="AA7" s="1"/>
      <c r="AB7" s="1"/>
      <c r="AC7" s="1">
        <v>0</v>
      </c>
    </row>
    <row r="8" spans="1:29">
      <c r="A8" s="46">
        <v>43889</v>
      </c>
      <c r="B8" s="1"/>
      <c r="C8" s="1"/>
      <c r="D8" s="1"/>
      <c r="E8" s="1"/>
      <c r="F8" s="1"/>
      <c r="G8" s="1"/>
      <c r="H8" s="1"/>
      <c r="I8" s="1"/>
      <c r="J8" s="1"/>
      <c r="K8" s="1">
        <v>0</v>
      </c>
      <c r="L8" s="1"/>
      <c r="M8" s="1"/>
      <c r="N8" s="1">
        <v>0</v>
      </c>
      <c r="O8" s="1"/>
      <c r="P8" s="1"/>
      <c r="Q8" s="1"/>
      <c r="R8" s="1"/>
      <c r="S8" s="1"/>
      <c r="T8" s="1"/>
      <c r="U8" s="1"/>
      <c r="V8" s="1"/>
      <c r="W8" s="1"/>
      <c r="X8" s="1"/>
      <c r="Y8" s="1"/>
      <c r="Z8" s="1">
        <v>0</v>
      </c>
      <c r="AA8" s="1"/>
      <c r="AB8" s="1"/>
      <c r="AC8" s="1">
        <v>0</v>
      </c>
    </row>
    <row r="9" spans="1:29">
      <c r="A9" s="46">
        <v>43890</v>
      </c>
      <c r="B9" s="1"/>
      <c r="C9" s="1"/>
      <c r="D9" s="1"/>
      <c r="E9" s="1"/>
      <c r="F9" s="1"/>
      <c r="G9" s="1"/>
      <c r="H9" s="1"/>
      <c r="I9" s="1"/>
      <c r="J9" s="1"/>
      <c r="K9" s="1">
        <v>0</v>
      </c>
      <c r="L9" s="1"/>
      <c r="M9" s="1"/>
      <c r="N9" s="1">
        <v>0</v>
      </c>
      <c r="O9" s="1"/>
      <c r="P9" s="1"/>
      <c r="Q9" s="1"/>
      <c r="R9" s="1"/>
      <c r="S9" s="1"/>
      <c r="T9" s="1"/>
      <c r="U9" s="1"/>
      <c r="V9" s="1"/>
      <c r="W9" s="1"/>
      <c r="X9" s="1"/>
      <c r="Y9" s="1"/>
      <c r="Z9" s="1">
        <v>0</v>
      </c>
      <c r="AA9" s="1">
        <v>0</v>
      </c>
      <c r="AB9" s="1"/>
      <c r="AC9" s="1">
        <v>0</v>
      </c>
    </row>
    <row r="10" spans="1:29">
      <c r="A10" s="46">
        <v>43891</v>
      </c>
      <c r="B10" s="1"/>
      <c r="C10" s="1"/>
      <c r="D10" s="1"/>
      <c r="E10" s="1"/>
      <c r="F10" s="1"/>
      <c r="G10" s="1"/>
      <c r="H10" s="1"/>
      <c r="I10" s="1"/>
      <c r="J10" s="1"/>
      <c r="K10" s="1">
        <v>0</v>
      </c>
      <c r="L10" s="1"/>
      <c r="M10" s="1"/>
      <c r="N10" s="1">
        <v>0</v>
      </c>
      <c r="O10" s="1"/>
      <c r="P10" s="1"/>
      <c r="Q10" s="1"/>
      <c r="R10" s="1"/>
      <c r="S10" s="1"/>
      <c r="T10" s="1"/>
      <c r="U10" s="1"/>
      <c r="V10" s="1"/>
      <c r="W10" s="1"/>
      <c r="X10" s="1"/>
      <c r="Y10" s="1"/>
      <c r="Z10" s="1">
        <v>0</v>
      </c>
      <c r="AA10" s="1">
        <v>0</v>
      </c>
      <c r="AB10" s="1"/>
      <c r="AC10" s="1">
        <v>0</v>
      </c>
    </row>
    <row r="11" spans="1:29">
      <c r="A11" s="46">
        <v>43892</v>
      </c>
      <c r="B11" s="1"/>
      <c r="C11" s="1"/>
      <c r="D11" s="1"/>
      <c r="E11" s="1"/>
      <c r="F11" s="1"/>
      <c r="G11" s="1"/>
      <c r="H11" s="1"/>
      <c r="I11" s="1"/>
      <c r="J11" s="1"/>
      <c r="K11" s="1">
        <v>0</v>
      </c>
      <c r="L11" s="1"/>
      <c r="M11" s="1"/>
      <c r="N11" s="1">
        <v>0</v>
      </c>
      <c r="O11" s="1"/>
      <c r="P11" s="1"/>
      <c r="Q11" s="1"/>
      <c r="R11" s="1"/>
      <c r="S11" s="1"/>
      <c r="T11" s="1"/>
      <c r="U11" s="1"/>
      <c r="V11" s="1"/>
      <c r="W11" s="1"/>
      <c r="X11" s="1"/>
      <c r="Y11" s="1"/>
      <c r="Z11" s="1">
        <v>0</v>
      </c>
      <c r="AA11" s="1">
        <v>0</v>
      </c>
      <c r="AB11" s="1"/>
      <c r="AC11" s="1">
        <v>0</v>
      </c>
    </row>
    <row r="12" spans="1:29">
      <c r="A12" s="46">
        <v>43893</v>
      </c>
      <c r="B12" s="1"/>
      <c r="C12" s="1"/>
      <c r="D12" s="1"/>
      <c r="E12" s="1"/>
      <c r="F12" s="1"/>
      <c r="G12" s="1"/>
      <c r="H12" s="1"/>
      <c r="I12" s="1"/>
      <c r="J12" s="1"/>
      <c r="K12" s="1">
        <v>0</v>
      </c>
      <c r="L12" s="1"/>
      <c r="M12" s="1"/>
      <c r="N12" s="1">
        <v>0</v>
      </c>
      <c r="O12" s="1"/>
      <c r="P12" s="1"/>
      <c r="Q12" s="1"/>
      <c r="R12" s="1"/>
      <c r="S12" s="1"/>
      <c r="T12" s="1"/>
      <c r="U12" s="1"/>
      <c r="V12" s="1"/>
      <c r="W12" s="1"/>
      <c r="X12" s="1"/>
      <c r="Y12" s="1"/>
      <c r="Z12" s="1">
        <v>0</v>
      </c>
      <c r="AA12" s="1">
        <v>0</v>
      </c>
      <c r="AB12" s="1"/>
      <c r="AC12" s="1">
        <v>0</v>
      </c>
    </row>
    <row r="13" spans="1:29">
      <c r="A13" s="46">
        <v>43894</v>
      </c>
      <c r="B13" s="1"/>
      <c r="C13" s="1"/>
      <c r="D13" s="1"/>
      <c r="E13" s="1"/>
      <c r="F13" s="1"/>
      <c r="G13" s="1"/>
      <c r="H13" s="1"/>
      <c r="I13" s="1"/>
      <c r="J13" s="1"/>
      <c r="K13" s="1">
        <v>0</v>
      </c>
      <c r="L13" s="1"/>
      <c r="M13" s="1"/>
      <c r="N13" s="1">
        <v>0</v>
      </c>
      <c r="O13" s="1"/>
      <c r="P13" s="1"/>
      <c r="Q13" s="1"/>
      <c r="R13" s="1"/>
      <c r="S13" s="1"/>
      <c r="T13" s="1"/>
      <c r="U13" s="1"/>
      <c r="V13" s="1"/>
      <c r="W13" s="1"/>
      <c r="X13" s="1"/>
      <c r="Y13" s="1">
        <v>1</v>
      </c>
      <c r="Z13" s="1">
        <v>0</v>
      </c>
      <c r="AA13" s="1">
        <v>0</v>
      </c>
      <c r="AB13" s="1"/>
      <c r="AC13" s="1">
        <v>1</v>
      </c>
    </row>
    <row r="14" spans="1:29">
      <c r="A14" s="46">
        <v>43895</v>
      </c>
      <c r="B14" s="1"/>
      <c r="C14" s="1"/>
      <c r="D14" s="1"/>
      <c r="E14" s="1"/>
      <c r="F14" s="1"/>
      <c r="G14" s="1"/>
      <c r="H14" s="1"/>
      <c r="I14" s="1"/>
      <c r="J14" s="1"/>
      <c r="K14" s="1">
        <v>0</v>
      </c>
      <c r="L14" s="1"/>
      <c r="M14" s="1"/>
      <c r="N14" s="1">
        <v>0</v>
      </c>
      <c r="O14" s="1"/>
      <c r="P14" s="1"/>
      <c r="Q14" s="1"/>
      <c r="R14" s="1"/>
      <c r="S14" s="1"/>
      <c r="T14" s="1"/>
      <c r="U14" s="1"/>
      <c r="V14" s="1"/>
      <c r="W14" s="1"/>
      <c r="X14" s="1"/>
      <c r="Y14" s="1">
        <v>1</v>
      </c>
      <c r="Z14" s="1">
        <v>0</v>
      </c>
      <c r="AA14" s="1">
        <v>0</v>
      </c>
      <c r="AB14" s="1"/>
      <c r="AC14" s="1">
        <v>1</v>
      </c>
    </row>
    <row r="15" spans="1:29">
      <c r="A15" s="46">
        <v>43896</v>
      </c>
      <c r="B15" s="1"/>
      <c r="C15" s="1"/>
      <c r="D15" s="1"/>
      <c r="E15" s="1"/>
      <c r="F15" s="1"/>
      <c r="G15" s="1"/>
      <c r="H15" s="1">
        <v>2</v>
      </c>
      <c r="I15" s="1"/>
      <c r="J15" s="1"/>
      <c r="K15" s="1">
        <v>0</v>
      </c>
      <c r="L15" s="1"/>
      <c r="M15" s="1"/>
      <c r="N15" s="1">
        <v>0</v>
      </c>
      <c r="O15" s="1"/>
      <c r="P15" s="1"/>
      <c r="Q15" s="1"/>
      <c r="R15" s="1"/>
      <c r="S15" s="1"/>
      <c r="T15" s="1"/>
      <c r="U15" s="1"/>
      <c r="V15" s="1"/>
      <c r="W15" s="1"/>
      <c r="X15" s="1"/>
      <c r="Y15" s="1">
        <v>2</v>
      </c>
      <c r="Z15" s="1">
        <v>0</v>
      </c>
      <c r="AA15" s="1">
        <v>0</v>
      </c>
      <c r="AB15" s="1"/>
      <c r="AC15" s="1">
        <v>4</v>
      </c>
    </row>
    <row r="16" spans="1:29">
      <c r="A16" s="46">
        <v>43897</v>
      </c>
      <c r="B16" s="1"/>
      <c r="C16" s="1"/>
      <c r="D16" s="1"/>
      <c r="E16" s="1"/>
      <c r="F16" s="1"/>
      <c r="G16" s="1"/>
      <c r="H16" s="1">
        <v>2</v>
      </c>
      <c r="I16" s="1"/>
      <c r="J16" s="1"/>
      <c r="K16" s="1">
        <v>0</v>
      </c>
      <c r="L16" s="1"/>
      <c r="M16" s="1"/>
      <c r="N16" s="1">
        <v>0</v>
      </c>
      <c r="O16" s="1"/>
      <c r="P16" s="1"/>
      <c r="Q16" s="1"/>
      <c r="R16" s="1"/>
      <c r="S16" s="1"/>
      <c r="T16" s="1"/>
      <c r="U16" s="1"/>
      <c r="V16" s="1"/>
      <c r="W16" s="1"/>
      <c r="X16" s="1"/>
      <c r="Y16" s="1">
        <v>4</v>
      </c>
      <c r="Z16" s="1">
        <v>0</v>
      </c>
      <c r="AA16" s="1">
        <v>0</v>
      </c>
      <c r="AB16" s="1"/>
      <c r="AC16" s="1">
        <v>6</v>
      </c>
    </row>
    <row r="17" spans="1:29">
      <c r="A17" s="46">
        <v>43898</v>
      </c>
      <c r="B17" s="1"/>
      <c r="C17" s="1"/>
      <c r="D17" s="1"/>
      <c r="E17" s="1"/>
      <c r="F17" s="1"/>
      <c r="G17" s="1"/>
      <c r="H17" s="1">
        <v>2</v>
      </c>
      <c r="I17" s="1"/>
      <c r="J17" s="1"/>
      <c r="K17" s="1">
        <v>0</v>
      </c>
      <c r="L17" s="1"/>
      <c r="M17" s="1"/>
      <c r="N17" s="1">
        <v>0</v>
      </c>
      <c r="O17" s="1"/>
      <c r="P17" s="1"/>
      <c r="Q17" s="1"/>
      <c r="R17" s="1"/>
      <c r="S17" s="1"/>
      <c r="T17" s="1"/>
      <c r="U17" s="1"/>
      <c r="V17" s="1"/>
      <c r="W17" s="1"/>
      <c r="X17" s="1"/>
      <c r="Y17" s="1">
        <v>3</v>
      </c>
      <c r="Z17" s="1">
        <v>1</v>
      </c>
      <c r="AA17" s="1">
        <v>0</v>
      </c>
      <c r="AB17" s="1"/>
      <c r="AC17" s="1">
        <v>6</v>
      </c>
    </row>
    <row r="18" spans="1:29">
      <c r="A18" s="46">
        <v>43899</v>
      </c>
      <c r="B18" s="1"/>
      <c r="C18" s="1"/>
      <c r="D18" s="1"/>
      <c r="E18" s="1"/>
      <c r="F18" s="1"/>
      <c r="G18" s="1"/>
      <c r="H18" s="1">
        <v>4</v>
      </c>
      <c r="I18" s="1"/>
      <c r="J18" s="1"/>
      <c r="K18" s="1">
        <v>3</v>
      </c>
      <c r="L18" s="1"/>
      <c r="M18" s="1"/>
      <c r="N18" s="1">
        <v>0</v>
      </c>
      <c r="O18" s="1"/>
      <c r="P18" s="1"/>
      <c r="Q18" s="1"/>
      <c r="R18" s="1"/>
      <c r="S18" s="1"/>
      <c r="T18" s="1"/>
      <c r="U18" s="1"/>
      <c r="V18" s="1"/>
      <c r="W18" s="1"/>
      <c r="X18" s="1"/>
      <c r="Y18" s="1">
        <v>5</v>
      </c>
      <c r="Z18" s="1">
        <v>1</v>
      </c>
      <c r="AA18" s="1">
        <v>0</v>
      </c>
      <c r="AB18" s="1"/>
      <c r="AC18" s="1">
        <v>13</v>
      </c>
    </row>
    <row r="19" spans="1:29">
      <c r="A19" s="46">
        <v>43900</v>
      </c>
      <c r="B19" s="1"/>
      <c r="C19" s="1"/>
      <c r="D19" s="1"/>
      <c r="E19" s="1"/>
      <c r="F19" s="1"/>
      <c r="G19" s="1"/>
      <c r="H19" s="1">
        <v>1</v>
      </c>
      <c r="I19" s="1"/>
      <c r="J19" s="1"/>
      <c r="K19" s="1">
        <v>4</v>
      </c>
      <c r="L19" s="1"/>
      <c r="M19" s="1"/>
      <c r="N19" s="1">
        <v>0</v>
      </c>
      <c r="O19" s="1"/>
      <c r="P19" s="1"/>
      <c r="Q19" s="1"/>
      <c r="R19" s="1"/>
      <c r="S19" s="1"/>
      <c r="T19" s="1"/>
      <c r="U19" s="1"/>
      <c r="V19" s="1"/>
      <c r="W19" s="1"/>
      <c r="X19" s="1"/>
      <c r="Y19" s="1">
        <v>8</v>
      </c>
      <c r="Z19" s="1">
        <v>1</v>
      </c>
      <c r="AA19" s="1">
        <v>0</v>
      </c>
      <c r="AB19" s="1"/>
      <c r="AC19" s="1">
        <v>14</v>
      </c>
    </row>
    <row r="20" spans="1:29">
      <c r="A20" s="46">
        <v>43901</v>
      </c>
      <c r="B20" s="1"/>
      <c r="C20" s="1"/>
      <c r="D20" s="1"/>
      <c r="E20" s="1"/>
      <c r="F20" s="1"/>
      <c r="G20" s="1"/>
      <c r="H20" s="1">
        <v>1</v>
      </c>
      <c r="I20" s="1">
        <v>2</v>
      </c>
      <c r="J20" s="1"/>
      <c r="K20" s="1">
        <v>6</v>
      </c>
      <c r="L20" s="1"/>
      <c r="M20" s="1"/>
      <c r="N20" s="1">
        <v>0</v>
      </c>
      <c r="O20" s="1"/>
      <c r="P20" s="1"/>
      <c r="Q20" s="1"/>
      <c r="R20" s="1"/>
      <c r="S20" s="1"/>
      <c r="T20" s="1"/>
      <c r="U20" s="1"/>
      <c r="V20" s="1"/>
      <c r="W20" s="1"/>
      <c r="X20" s="1"/>
      <c r="Y20" s="1">
        <v>7</v>
      </c>
      <c r="Z20" s="1">
        <v>1</v>
      </c>
      <c r="AA20" s="1">
        <v>0</v>
      </c>
      <c r="AB20" s="1"/>
      <c r="AC20" s="1">
        <v>17</v>
      </c>
    </row>
    <row r="21" spans="1:29">
      <c r="A21" s="46">
        <v>43902</v>
      </c>
      <c r="B21" s="1"/>
      <c r="C21" s="1"/>
      <c r="D21" s="1"/>
      <c r="E21" s="1"/>
      <c r="F21" s="1"/>
      <c r="G21" s="1"/>
      <c r="H21" s="1">
        <v>3</v>
      </c>
      <c r="I21" s="1"/>
      <c r="J21" s="1"/>
      <c r="K21" s="1">
        <v>6</v>
      </c>
      <c r="L21" s="1"/>
      <c r="M21" s="1"/>
      <c r="N21" s="1">
        <v>0</v>
      </c>
      <c r="O21" s="1"/>
      <c r="P21" s="1"/>
      <c r="Q21" s="1"/>
      <c r="R21" s="1"/>
      <c r="S21" s="1"/>
      <c r="T21" s="1"/>
      <c r="U21" s="1"/>
      <c r="V21" s="1"/>
      <c r="W21" s="1"/>
      <c r="X21" s="1"/>
      <c r="Y21" s="1">
        <v>6</v>
      </c>
      <c r="Z21" s="1">
        <v>1</v>
      </c>
      <c r="AA21" s="1">
        <v>0</v>
      </c>
      <c r="AB21" s="1"/>
      <c r="AC21" s="1">
        <v>16</v>
      </c>
    </row>
    <row r="22" spans="1:29">
      <c r="A22" s="46">
        <v>43903</v>
      </c>
      <c r="B22" s="1"/>
      <c r="C22" s="1"/>
      <c r="D22" s="1"/>
      <c r="E22" s="1"/>
      <c r="F22" s="1"/>
      <c r="G22" s="1"/>
      <c r="H22" s="1">
        <v>3</v>
      </c>
      <c r="I22" s="1"/>
      <c r="J22" s="1"/>
      <c r="K22" s="1">
        <v>7</v>
      </c>
      <c r="L22" s="1"/>
      <c r="M22" s="1"/>
      <c r="N22" s="1">
        <v>0</v>
      </c>
      <c r="O22" s="1"/>
      <c r="P22" s="1"/>
      <c r="Q22" s="1"/>
      <c r="R22" s="1"/>
      <c r="S22" s="1"/>
      <c r="T22" s="1"/>
      <c r="U22" s="1"/>
      <c r="V22" s="1"/>
      <c r="W22" s="1">
        <v>13</v>
      </c>
      <c r="X22" s="1"/>
      <c r="Y22" s="1">
        <v>7</v>
      </c>
      <c r="Z22" s="1">
        <v>1</v>
      </c>
      <c r="AA22" s="1">
        <v>0</v>
      </c>
      <c r="AB22" s="1"/>
      <c r="AC22" s="1">
        <v>31</v>
      </c>
    </row>
    <row r="23" spans="1:29">
      <c r="A23" s="46">
        <v>43904</v>
      </c>
      <c r="B23" s="1"/>
      <c r="C23" s="1"/>
      <c r="D23" s="1"/>
      <c r="E23" s="1"/>
      <c r="F23" s="1"/>
      <c r="G23" s="1"/>
      <c r="H23" s="1">
        <v>2</v>
      </c>
      <c r="I23" s="1"/>
      <c r="J23" s="1"/>
      <c r="K23" s="1">
        <v>8</v>
      </c>
      <c r="L23" s="1"/>
      <c r="M23" s="1"/>
      <c r="N23" s="1">
        <v>0</v>
      </c>
      <c r="O23" s="1"/>
      <c r="P23" s="1"/>
      <c r="Q23" s="1"/>
      <c r="R23" s="1"/>
      <c r="S23" s="1"/>
      <c r="T23" s="1"/>
      <c r="U23" s="1"/>
      <c r="V23" s="1"/>
      <c r="W23" s="1"/>
      <c r="X23" s="1"/>
      <c r="Y23" s="1">
        <v>10</v>
      </c>
      <c r="Z23" s="1">
        <v>1</v>
      </c>
      <c r="AA23" s="1">
        <v>0</v>
      </c>
      <c r="AB23" s="1"/>
      <c r="AC23" s="1">
        <v>21</v>
      </c>
    </row>
    <row r="24" spans="1:29">
      <c r="A24" s="46">
        <v>43905</v>
      </c>
      <c r="B24" s="1"/>
      <c r="C24" s="1"/>
      <c r="D24" s="1"/>
      <c r="E24" s="1"/>
      <c r="F24" s="1"/>
      <c r="G24" s="1"/>
      <c r="H24" s="1">
        <v>2</v>
      </c>
      <c r="I24" s="1"/>
      <c r="J24" s="1"/>
      <c r="K24" s="1">
        <v>12</v>
      </c>
      <c r="L24" s="1"/>
      <c r="M24" s="1"/>
      <c r="N24" s="1">
        <v>0</v>
      </c>
      <c r="O24" s="1"/>
      <c r="P24" s="1"/>
      <c r="Q24" s="1"/>
      <c r="R24" s="1"/>
      <c r="S24" s="1"/>
      <c r="T24" s="1"/>
      <c r="U24" s="1"/>
      <c r="V24" s="1"/>
      <c r="W24" s="1"/>
      <c r="X24" s="1"/>
      <c r="Y24" s="1">
        <v>10</v>
      </c>
      <c r="Z24" s="1">
        <v>1</v>
      </c>
      <c r="AA24" s="1">
        <v>0</v>
      </c>
      <c r="AB24" s="1"/>
      <c r="AC24" s="1">
        <v>25</v>
      </c>
    </row>
    <row r="25" spans="1:29">
      <c r="A25" s="46">
        <v>43906</v>
      </c>
      <c r="B25" s="1"/>
      <c r="C25" s="1"/>
      <c r="D25" s="1"/>
      <c r="E25" s="1"/>
      <c r="F25" s="1"/>
      <c r="G25" s="1"/>
      <c r="H25" s="1">
        <v>4</v>
      </c>
      <c r="I25" s="1"/>
      <c r="J25" s="1"/>
      <c r="K25" s="1">
        <v>10</v>
      </c>
      <c r="L25" s="1"/>
      <c r="M25" s="1"/>
      <c r="N25" s="1">
        <v>0</v>
      </c>
      <c r="O25" s="1"/>
      <c r="P25" s="1"/>
      <c r="Q25" s="1"/>
      <c r="R25" s="1"/>
      <c r="S25" s="1"/>
      <c r="T25" s="1"/>
      <c r="U25" s="1"/>
      <c r="V25" s="1"/>
      <c r="W25" s="1"/>
      <c r="X25" s="1"/>
      <c r="Y25" s="1">
        <v>20</v>
      </c>
      <c r="Z25" s="1">
        <v>2</v>
      </c>
      <c r="AA25" s="1">
        <v>0</v>
      </c>
      <c r="AB25" s="1"/>
      <c r="AC25" s="1">
        <v>36</v>
      </c>
    </row>
    <row r="26" spans="1:29">
      <c r="A26" s="46">
        <v>43907</v>
      </c>
      <c r="B26" s="1"/>
      <c r="C26" s="1"/>
      <c r="D26" s="1"/>
      <c r="E26" s="1"/>
      <c r="F26" s="1"/>
      <c r="G26" s="1"/>
      <c r="H26" s="1">
        <v>5</v>
      </c>
      <c r="I26" s="1"/>
      <c r="J26" s="1"/>
      <c r="K26" s="1">
        <v>19</v>
      </c>
      <c r="L26" s="1"/>
      <c r="M26" s="1"/>
      <c r="N26" s="1">
        <v>0</v>
      </c>
      <c r="O26" s="1"/>
      <c r="P26" s="1"/>
      <c r="Q26" s="1"/>
      <c r="R26" s="1"/>
      <c r="S26" s="1"/>
      <c r="T26" s="1"/>
      <c r="U26" s="1"/>
      <c r="V26" s="1"/>
      <c r="W26" s="1"/>
      <c r="X26" s="1"/>
      <c r="Y26" s="1">
        <v>24</v>
      </c>
      <c r="Z26" s="1">
        <v>2</v>
      </c>
      <c r="AA26" s="1">
        <v>0</v>
      </c>
      <c r="AB26" s="1"/>
      <c r="AC26" s="1">
        <v>50</v>
      </c>
    </row>
    <row r="27" spans="1:29">
      <c r="A27" s="46">
        <v>43908</v>
      </c>
      <c r="B27" s="1">
        <v>5</v>
      </c>
      <c r="C27" s="1"/>
      <c r="D27" s="1"/>
      <c r="E27" s="1"/>
      <c r="F27" s="1"/>
      <c r="G27" s="1"/>
      <c r="H27" s="1">
        <v>2</v>
      </c>
      <c r="I27" s="1"/>
      <c r="J27" s="1"/>
      <c r="K27" s="1">
        <v>20</v>
      </c>
      <c r="L27" s="1"/>
      <c r="M27" s="1"/>
      <c r="N27" s="1">
        <v>0</v>
      </c>
      <c r="O27" s="1"/>
      <c r="P27" s="1"/>
      <c r="Q27" s="1"/>
      <c r="R27" s="1"/>
      <c r="S27" s="1"/>
      <c r="T27" s="1"/>
      <c r="U27" s="1"/>
      <c r="V27" s="1"/>
      <c r="W27" s="1"/>
      <c r="X27" s="1"/>
      <c r="Y27" s="1">
        <v>24</v>
      </c>
      <c r="Z27" s="1">
        <v>2</v>
      </c>
      <c r="AA27" s="1">
        <v>0</v>
      </c>
      <c r="AB27" s="1"/>
      <c r="AC27" s="1">
        <v>53</v>
      </c>
    </row>
    <row r="28" spans="1:29">
      <c r="A28" s="46">
        <v>43909</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6">
        <v>43910</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6">
        <v>43911</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6">
        <v>43912</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6">
        <v>43913</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39</v>
      </c>
      <c r="Z32" s="1">
        <v>12</v>
      </c>
      <c r="AA32" s="1">
        <v>0</v>
      </c>
      <c r="AB32" s="1"/>
      <c r="AC32" s="1">
        <v>173</v>
      </c>
    </row>
    <row r="33" spans="1:29">
      <c r="A33" s="46">
        <v>43914</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40</v>
      </c>
      <c r="Z33" s="1">
        <v>13</v>
      </c>
      <c r="AA33" s="1">
        <v>0</v>
      </c>
      <c r="AB33" s="1"/>
      <c r="AC33" s="1">
        <v>176</v>
      </c>
    </row>
    <row r="34" spans="1:29">
      <c r="A34" s="46">
        <v>43915</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51</v>
      </c>
      <c r="Z34" s="1">
        <v>15</v>
      </c>
      <c r="AA34" s="1">
        <v>1</v>
      </c>
      <c r="AB34" s="1"/>
      <c r="AC34" s="1">
        <v>209</v>
      </c>
    </row>
    <row r="35" spans="1:29">
      <c r="A35" s="46">
        <v>43916</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55</v>
      </c>
      <c r="Z35" s="1">
        <v>19</v>
      </c>
      <c r="AA35" s="1">
        <v>1</v>
      </c>
      <c r="AB35" s="1"/>
      <c r="AC35" s="1">
        <v>233</v>
      </c>
    </row>
    <row r="36" spans="1:29">
      <c r="A36" s="46">
        <v>43917</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59</v>
      </c>
      <c r="Z36" s="1">
        <v>20</v>
      </c>
      <c r="AA36" s="1">
        <v>5</v>
      </c>
      <c r="AB36" s="1"/>
      <c r="AC36" s="1">
        <v>254</v>
      </c>
    </row>
    <row r="37" spans="1:29">
      <c r="A37" s="46">
        <v>43918</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60</v>
      </c>
      <c r="Z37" s="1">
        <v>21</v>
      </c>
      <c r="AA37" s="1">
        <v>5</v>
      </c>
      <c r="AB37" s="1"/>
      <c r="AC37" s="1">
        <v>268</v>
      </c>
    </row>
    <row r="38" spans="1:29">
      <c r="A38" s="46">
        <v>43919</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61</v>
      </c>
      <c r="Z38" s="1">
        <v>22</v>
      </c>
      <c r="AA38" s="1">
        <v>5</v>
      </c>
      <c r="AB38" s="1"/>
      <c r="AC38" s="1">
        <v>278</v>
      </c>
    </row>
    <row r="39" spans="1:29">
      <c r="A39" s="46">
        <v>43920</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63</v>
      </c>
      <c r="Z39" s="1">
        <v>25</v>
      </c>
      <c r="AA39" s="1">
        <v>5</v>
      </c>
      <c r="AB39" s="1"/>
      <c r="AC39" s="1">
        <v>336</v>
      </c>
    </row>
    <row r="40" spans="1:29">
      <c r="A40" s="46">
        <v>43921</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66</v>
      </c>
      <c r="Z40" s="1">
        <v>24</v>
      </c>
      <c r="AA40" s="1">
        <v>6</v>
      </c>
      <c r="AB40" s="1"/>
      <c r="AC40" s="1">
        <v>358</v>
      </c>
    </row>
    <row r="41" spans="1:29">
      <c r="A41" s="46">
        <v>43922</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68</v>
      </c>
      <c r="Z41" s="1">
        <v>26</v>
      </c>
      <c r="AA41" s="1">
        <v>5</v>
      </c>
      <c r="AB41" s="1"/>
      <c r="AC41" s="1">
        <v>384</v>
      </c>
    </row>
    <row r="42" spans="1:29">
      <c r="A42" s="46">
        <v>43923</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69</v>
      </c>
      <c r="Z42" s="1">
        <v>28</v>
      </c>
      <c r="AA42" s="1">
        <v>5</v>
      </c>
      <c r="AB42" s="1"/>
      <c r="AC42" s="1">
        <v>390</v>
      </c>
    </row>
    <row r="43" spans="1:29">
      <c r="A43" s="46">
        <v>43924</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67</v>
      </c>
      <c r="Z43" s="1">
        <v>26</v>
      </c>
      <c r="AA43" s="1">
        <v>7</v>
      </c>
      <c r="AB43" s="1"/>
      <c r="AC43" s="1">
        <v>396</v>
      </c>
    </row>
    <row r="44" spans="1:29">
      <c r="A44" s="46">
        <v>43925</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67</v>
      </c>
      <c r="Z44" s="1">
        <v>28</v>
      </c>
      <c r="AA44" s="1">
        <v>7</v>
      </c>
      <c r="AB44" s="1"/>
      <c r="AC44" s="1">
        <v>369</v>
      </c>
    </row>
    <row r="45" spans="1:29">
      <c r="A45" s="46">
        <v>43926</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66</v>
      </c>
      <c r="Z45" s="1">
        <v>26</v>
      </c>
      <c r="AA45" s="1">
        <v>7</v>
      </c>
      <c r="AB45" s="1"/>
      <c r="AC45" s="1">
        <v>359</v>
      </c>
    </row>
    <row r="46" spans="1:29">
      <c r="A46" s="46">
        <v>43927</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64</v>
      </c>
      <c r="Z46" s="1">
        <v>26</v>
      </c>
      <c r="AA46" s="1">
        <v>8</v>
      </c>
      <c r="AB46" s="1"/>
      <c r="AC46" s="1">
        <v>386</v>
      </c>
    </row>
    <row r="47" spans="1:29">
      <c r="A47" s="46">
        <v>43928</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63</v>
      </c>
      <c r="Z47" s="1">
        <v>25</v>
      </c>
      <c r="AA47" s="1">
        <v>8</v>
      </c>
      <c r="AB47" s="1"/>
      <c r="AC47" s="1">
        <v>378</v>
      </c>
    </row>
    <row r="48" spans="1:29">
      <c r="A48" s="46">
        <v>43929</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62</v>
      </c>
      <c r="Z48" s="1">
        <v>26</v>
      </c>
      <c r="AA48" s="1">
        <v>9</v>
      </c>
      <c r="AB48" s="1"/>
      <c r="AC48" s="1">
        <v>373</v>
      </c>
    </row>
    <row r="49" spans="1:29">
      <c r="A49" s="46">
        <v>43930</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62</v>
      </c>
      <c r="Z49" s="1">
        <v>24</v>
      </c>
      <c r="AA49" s="1">
        <v>9</v>
      </c>
      <c r="AB49" s="1"/>
      <c r="AC49" s="1">
        <v>372</v>
      </c>
    </row>
    <row r="50" spans="1:29">
      <c r="A50" s="46">
        <v>43931</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64</v>
      </c>
      <c r="Z50" s="1">
        <v>24</v>
      </c>
      <c r="AA50" s="1">
        <v>9</v>
      </c>
      <c r="AB50" s="1"/>
      <c r="AC50" s="1">
        <v>343</v>
      </c>
    </row>
    <row r="51" spans="1:29">
      <c r="A51" s="46">
        <v>43932</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64</v>
      </c>
      <c r="Z51" s="1">
        <v>20</v>
      </c>
      <c r="AA51" s="1">
        <v>9</v>
      </c>
      <c r="AB51" s="1"/>
      <c r="AC51" s="1">
        <v>346</v>
      </c>
    </row>
    <row r="52" spans="1:29">
      <c r="A52" s="46">
        <v>43933</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63</v>
      </c>
      <c r="Z52" s="1">
        <v>22</v>
      </c>
      <c r="AA52" s="1">
        <v>9</v>
      </c>
      <c r="AB52" s="1"/>
      <c r="AC52" s="1">
        <v>332</v>
      </c>
    </row>
    <row r="53" spans="1:29">
      <c r="A53" s="46">
        <v>43934</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59</v>
      </c>
      <c r="Z53" s="1">
        <v>21</v>
      </c>
      <c r="AA53" s="1">
        <v>9</v>
      </c>
      <c r="AB53" s="1"/>
      <c r="AC53" s="1">
        <v>315</v>
      </c>
    </row>
    <row r="54" spans="1:29">
      <c r="A54" s="46">
        <v>43935</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58</v>
      </c>
      <c r="Z54" s="1">
        <v>20</v>
      </c>
      <c r="AA54" s="1">
        <v>9</v>
      </c>
      <c r="AB54" s="1"/>
      <c r="AC54" s="1">
        <v>335</v>
      </c>
    </row>
    <row r="55" spans="1:29">
      <c r="A55" s="46">
        <v>43936</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55</v>
      </c>
      <c r="Z55" s="1">
        <v>20</v>
      </c>
      <c r="AA55" s="1">
        <v>9</v>
      </c>
      <c r="AB55" s="1"/>
      <c r="AC55" s="1">
        <v>315</v>
      </c>
    </row>
    <row r="56" spans="1:29">
      <c r="A56" s="46">
        <v>43937</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54</v>
      </c>
      <c r="Z56" s="1">
        <v>17</v>
      </c>
      <c r="AA56" s="1">
        <v>7</v>
      </c>
      <c r="AB56" s="1"/>
      <c r="AC56" s="1">
        <v>294</v>
      </c>
    </row>
    <row r="57" spans="1:29">
      <c r="A57" s="46">
        <v>43938</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53</v>
      </c>
      <c r="Z57" s="1">
        <v>16</v>
      </c>
      <c r="AA57" s="1">
        <v>6</v>
      </c>
      <c r="AB57" s="1"/>
      <c r="AC57" s="1">
        <v>288</v>
      </c>
    </row>
    <row r="58" spans="1:29">
      <c r="A58" s="46">
        <v>43939</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50</v>
      </c>
      <c r="Z58" s="1">
        <v>18</v>
      </c>
      <c r="AA58" s="1">
        <v>6</v>
      </c>
      <c r="AB58" s="1"/>
      <c r="AC58" s="1">
        <v>248</v>
      </c>
    </row>
    <row r="59" spans="1:29">
      <c r="A59" s="46">
        <v>43940</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50</v>
      </c>
      <c r="Z59" s="1">
        <v>16</v>
      </c>
      <c r="AA59" s="1">
        <v>6</v>
      </c>
      <c r="AB59" s="1"/>
      <c r="AC59" s="1">
        <v>241</v>
      </c>
    </row>
    <row r="60" spans="1:29">
      <c r="A60" s="46">
        <v>43941</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44</v>
      </c>
      <c r="Z60" s="1">
        <v>15</v>
      </c>
      <c r="AA60" s="1">
        <v>5</v>
      </c>
      <c r="AB60" s="1"/>
      <c r="AC60" s="1">
        <v>247</v>
      </c>
    </row>
    <row r="61" spans="1:29">
      <c r="A61" s="46">
        <v>43942</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44</v>
      </c>
      <c r="Z61" s="1">
        <v>14</v>
      </c>
      <c r="AA61" s="1">
        <v>4</v>
      </c>
      <c r="AB61" s="1"/>
      <c r="AC61" s="1">
        <v>242</v>
      </c>
    </row>
    <row r="62" spans="1:29">
      <c r="A62" s="46">
        <v>43943</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42</v>
      </c>
      <c r="Z62" s="1">
        <v>13</v>
      </c>
      <c r="AA62" s="1">
        <v>3</v>
      </c>
      <c r="AB62" s="1"/>
      <c r="AC62" s="1">
        <v>202</v>
      </c>
    </row>
    <row r="63" spans="1:29">
      <c r="A63" s="46">
        <v>43944</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40</v>
      </c>
      <c r="Z63" s="1">
        <v>13</v>
      </c>
      <c r="AA63" s="1">
        <v>3</v>
      </c>
      <c r="AB63" s="1"/>
      <c r="AC63" s="1">
        <v>199</v>
      </c>
    </row>
    <row r="64" spans="1:29">
      <c r="A64" s="46">
        <v>43945</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36</v>
      </c>
      <c r="Z64" s="1">
        <v>14</v>
      </c>
      <c r="AA64" s="1">
        <v>3</v>
      </c>
      <c r="AB64" s="1"/>
      <c r="AC64" s="1">
        <v>189</v>
      </c>
    </row>
    <row r="65" spans="1:29">
      <c r="A65" s="46">
        <v>43946</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36</v>
      </c>
      <c r="Z65" s="1">
        <v>14</v>
      </c>
      <c r="AA65" s="1">
        <v>3</v>
      </c>
      <c r="AB65" s="1"/>
      <c r="AC65" s="1">
        <v>164</v>
      </c>
    </row>
    <row r="66" spans="1:29">
      <c r="A66" s="46">
        <v>43947</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36</v>
      </c>
      <c r="Z66" s="1">
        <v>15</v>
      </c>
      <c r="AA66" s="1">
        <v>3</v>
      </c>
      <c r="AB66" s="1"/>
      <c r="AC66" s="1">
        <v>158</v>
      </c>
    </row>
    <row r="67" spans="1:29">
      <c r="A67" s="46">
        <v>43948</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34</v>
      </c>
      <c r="Z67" s="1">
        <v>14</v>
      </c>
      <c r="AA67" s="1">
        <v>3</v>
      </c>
      <c r="AB67" s="1"/>
      <c r="AC67" s="1">
        <v>171</v>
      </c>
    </row>
    <row r="68" spans="1:29">
      <c r="A68" s="46">
        <v>43949</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33</v>
      </c>
      <c r="Z68" s="1">
        <v>13</v>
      </c>
      <c r="AA68" s="1">
        <v>3</v>
      </c>
      <c r="AB68" s="1"/>
      <c r="AC68" s="1">
        <v>164</v>
      </c>
    </row>
    <row r="69" spans="1:29">
      <c r="A69" s="46">
        <v>43950</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33</v>
      </c>
      <c r="Z69" s="1">
        <v>11</v>
      </c>
      <c r="AA69" s="1">
        <v>3</v>
      </c>
      <c r="AB69" s="1"/>
      <c r="AC69" s="1">
        <v>170</v>
      </c>
    </row>
    <row r="70" spans="1:29">
      <c r="A70" s="46">
        <v>43951</v>
      </c>
      <c r="B70" s="1"/>
      <c r="C70" s="1"/>
      <c r="D70" s="1"/>
      <c r="E70" s="1"/>
      <c r="F70" s="1">
        <v>2</v>
      </c>
      <c r="G70" s="1">
        <v>9</v>
      </c>
      <c r="H70" s="1"/>
      <c r="I70" s="1">
        <v>8</v>
      </c>
      <c r="J70" s="1"/>
      <c r="K70" s="1"/>
      <c r="L70" s="1"/>
      <c r="M70" s="1"/>
      <c r="N70" s="1"/>
      <c r="O70" s="1"/>
      <c r="P70" s="1"/>
      <c r="Q70" s="1"/>
      <c r="R70" s="1"/>
      <c r="S70" s="1">
        <v>3</v>
      </c>
      <c r="T70" s="1">
        <v>2</v>
      </c>
      <c r="U70" s="1"/>
      <c r="V70" s="1"/>
      <c r="W70" s="1">
        <v>29</v>
      </c>
      <c r="X70" s="1"/>
      <c r="Y70" s="1"/>
      <c r="Z70" s="1"/>
      <c r="AA70" s="1">
        <v>3</v>
      </c>
      <c r="AB70" s="1"/>
      <c r="AC70" s="1">
        <v>56</v>
      </c>
    </row>
    <row r="71" spans="1:29">
      <c r="A71" s="17" t="s">
        <v>320</v>
      </c>
      <c r="B71" s="1">
        <v>538</v>
      </c>
      <c r="C71" s="1"/>
      <c r="D71" s="1">
        <v>487</v>
      </c>
      <c r="E71" s="1"/>
      <c r="F71" s="1">
        <v>12</v>
      </c>
      <c r="G71" s="1">
        <v>742</v>
      </c>
      <c r="H71" s="1">
        <v>463</v>
      </c>
      <c r="I71" s="1">
        <v>308</v>
      </c>
      <c r="J71" s="1"/>
      <c r="K71" s="1">
        <v>1882</v>
      </c>
      <c r="L71" s="1"/>
      <c r="M71" s="1"/>
      <c r="N71" s="1">
        <v>172</v>
      </c>
      <c r="O71" s="1">
        <v>169</v>
      </c>
      <c r="P71" s="1">
        <v>356</v>
      </c>
      <c r="Q71" s="1">
        <v>41</v>
      </c>
      <c r="R71" s="1"/>
      <c r="S71" s="1">
        <v>233</v>
      </c>
      <c r="T71" s="1">
        <v>79</v>
      </c>
      <c r="U71" s="1"/>
      <c r="V71" s="1">
        <v>283</v>
      </c>
      <c r="W71" s="1">
        <v>2430</v>
      </c>
      <c r="X71" s="1"/>
      <c r="Y71" s="1">
        <v>2262</v>
      </c>
      <c r="Z71" s="1">
        <v>780</v>
      </c>
      <c r="AA71" s="1">
        <v>208</v>
      </c>
      <c r="AB71" s="1"/>
      <c r="AC71" s="1">
        <v>11445</v>
      </c>
    </row>
  </sheetData>
  <pageMargins left="0.7" right="0.7" top="0.78740157499999996" bottom="0.78740157499999996"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t="s">
        <v>1</v>
      </c>
      <c r="B1" t="s">
        <v>17</v>
      </c>
      <c r="C1" t="s">
        <v>2</v>
      </c>
      <c r="D1" t="s">
        <v>18</v>
      </c>
      <c r="E1" t="s">
        <v>19</v>
      </c>
      <c r="F1" t="s">
        <v>20</v>
      </c>
      <c r="G1" t="s">
        <v>21</v>
      </c>
      <c r="H1" t="s">
        <v>22</v>
      </c>
      <c r="I1" t="s">
        <v>3</v>
      </c>
      <c r="J1" t="s">
        <v>23</v>
      </c>
      <c r="K1" t="s">
        <v>24</v>
      </c>
      <c r="L1" t="s">
        <v>300</v>
      </c>
      <c r="M1" t="s">
        <v>9</v>
      </c>
      <c r="N1" t="s">
        <v>26</v>
      </c>
      <c r="O1" t="s">
        <v>27</v>
      </c>
      <c r="P1" t="s">
        <v>12</v>
      </c>
      <c r="Q1" t="s">
        <v>28</v>
      </c>
      <c r="R1" t="s">
        <v>13</v>
      </c>
      <c r="S1" t="s">
        <v>11</v>
      </c>
      <c r="T1" t="s">
        <v>29</v>
      </c>
      <c r="U1" t="s">
        <v>30</v>
      </c>
      <c r="V1" t="s">
        <v>337</v>
      </c>
      <c r="W1" t="s">
        <v>301</v>
      </c>
      <c r="X1" t="s">
        <v>31</v>
      </c>
      <c r="Y1" t="s">
        <v>32</v>
      </c>
      <c r="Z1" t="s">
        <v>25</v>
      </c>
      <c r="AA1" t="s">
        <v>325</v>
      </c>
      <c r="AB1" t="s">
        <v>14</v>
      </c>
      <c r="AC1" t="s">
        <v>15</v>
      </c>
      <c r="AD1" t="s">
        <v>33</v>
      </c>
      <c r="AE1" t="s">
        <v>407</v>
      </c>
      <c r="AF1" t="s">
        <v>411</v>
      </c>
    </row>
    <row r="2" spans="1:32">
      <c r="A2" s="3">
        <v>43951.627430555556</v>
      </c>
      <c r="B2" s="3">
        <v>43951.53125</v>
      </c>
      <c r="C2" s="1" t="s">
        <v>16</v>
      </c>
      <c r="D2" s="1" t="s">
        <v>34</v>
      </c>
      <c r="E2" s="1" t="s">
        <v>35</v>
      </c>
      <c r="F2">
        <v>1</v>
      </c>
      <c r="G2">
        <v>47.409660000000002</v>
      </c>
      <c r="H2">
        <v>8.1568799999999992</v>
      </c>
      <c r="J2">
        <v>1108</v>
      </c>
      <c r="K2">
        <v>1108</v>
      </c>
      <c r="L2">
        <v>-5</v>
      </c>
      <c r="M2">
        <v>33</v>
      </c>
      <c r="N2">
        <v>165.13</v>
      </c>
      <c r="O2">
        <v>4.9180000000000001</v>
      </c>
      <c r="P2">
        <v>870</v>
      </c>
      <c r="Q2">
        <v>0</v>
      </c>
      <c r="R2">
        <v>33</v>
      </c>
      <c r="S2">
        <v>9</v>
      </c>
      <c r="T2">
        <v>8</v>
      </c>
      <c r="V2" s="1" t="s">
        <v>36</v>
      </c>
      <c r="W2" s="1" t="s">
        <v>36</v>
      </c>
      <c r="X2" s="1" t="s">
        <v>36</v>
      </c>
      <c r="Z2">
        <v>9</v>
      </c>
      <c r="AA2">
        <v>0</v>
      </c>
      <c r="AB2">
        <v>52.333011999999997</v>
      </c>
      <c r="AC2">
        <v>55.433719000000004</v>
      </c>
      <c r="AD2" s="1" t="s">
        <v>435</v>
      </c>
      <c r="AE2" s="1" t="s">
        <v>36</v>
      </c>
      <c r="AF2" s="1" t="s">
        <v>36</v>
      </c>
    </row>
    <row r="3" spans="1:32">
      <c r="A3" s="3">
        <v>43951.627430555556</v>
      </c>
      <c r="B3" s="3">
        <v>43951.375</v>
      </c>
      <c r="C3" s="1" t="s">
        <v>16</v>
      </c>
      <c r="D3" s="1" t="s">
        <v>38</v>
      </c>
      <c r="E3" s="1" t="s">
        <v>39</v>
      </c>
      <c r="F3">
        <v>16</v>
      </c>
      <c r="G3">
        <v>47.317264000000002</v>
      </c>
      <c r="H3">
        <v>9.4167539999999992</v>
      </c>
      <c r="J3">
        <v>25</v>
      </c>
      <c r="K3">
        <v>25</v>
      </c>
      <c r="L3">
        <v>0</v>
      </c>
      <c r="M3">
        <v>1</v>
      </c>
      <c r="N3">
        <v>155.28</v>
      </c>
      <c r="Q3">
        <v>0</v>
      </c>
      <c r="V3" s="1" t="s">
        <v>36</v>
      </c>
      <c r="W3" s="1" t="s">
        <v>36</v>
      </c>
      <c r="X3" s="1" t="s">
        <v>36</v>
      </c>
      <c r="Z3">
        <v>0</v>
      </c>
      <c r="AC3">
        <v>0</v>
      </c>
      <c r="AD3" s="1" t="s">
        <v>40</v>
      </c>
      <c r="AE3" s="1" t="s">
        <v>36</v>
      </c>
      <c r="AF3" s="1" t="s">
        <v>36</v>
      </c>
    </row>
    <row r="4" spans="1:32">
      <c r="A4" s="3">
        <v>43951.627430555556</v>
      </c>
      <c r="B4" s="3">
        <v>43951.3125</v>
      </c>
      <c r="C4" s="1" t="s">
        <v>16</v>
      </c>
      <c r="D4" s="1" t="s">
        <v>41</v>
      </c>
      <c r="E4" s="1" t="s">
        <v>42</v>
      </c>
      <c r="F4">
        <v>15</v>
      </c>
      <c r="G4">
        <v>47.416351999999996</v>
      </c>
      <c r="H4">
        <v>9.3679100000000002</v>
      </c>
      <c r="J4">
        <v>94</v>
      </c>
      <c r="K4">
        <v>94</v>
      </c>
      <c r="L4">
        <v>0</v>
      </c>
      <c r="M4">
        <v>2</v>
      </c>
      <c r="N4">
        <v>170.29</v>
      </c>
      <c r="O4">
        <v>5.4349999999999996</v>
      </c>
      <c r="Q4">
        <v>0</v>
      </c>
      <c r="R4">
        <v>3</v>
      </c>
      <c r="S4">
        <v>2</v>
      </c>
      <c r="V4" s="1" t="s">
        <v>36</v>
      </c>
      <c r="W4" s="1" t="s">
        <v>36</v>
      </c>
      <c r="X4" s="1" t="s">
        <v>36</v>
      </c>
      <c r="Z4">
        <v>0</v>
      </c>
      <c r="AA4">
        <v>0</v>
      </c>
      <c r="AB4">
        <v>52.544612999999998</v>
      </c>
      <c r="AD4" s="1" t="s">
        <v>43</v>
      </c>
      <c r="AE4" s="1" t="s">
        <v>36</v>
      </c>
      <c r="AF4" s="1" t="s">
        <v>36</v>
      </c>
    </row>
    <row r="5" spans="1:32">
      <c r="A5" s="3">
        <v>43951.627430555556</v>
      </c>
      <c r="B5" s="3">
        <v>43951.25</v>
      </c>
      <c r="C5" s="1" t="s">
        <v>16</v>
      </c>
      <c r="D5" s="1" t="s">
        <v>44</v>
      </c>
      <c r="E5" s="1" t="s">
        <v>45</v>
      </c>
      <c r="F5">
        <v>2</v>
      </c>
      <c r="G5">
        <v>46.823608</v>
      </c>
      <c r="H5">
        <v>7.6366670000000001</v>
      </c>
      <c r="J5">
        <v>1757</v>
      </c>
      <c r="K5">
        <v>1757</v>
      </c>
      <c r="L5">
        <v>-5</v>
      </c>
      <c r="M5">
        <v>39</v>
      </c>
      <c r="N5">
        <v>170.4</v>
      </c>
      <c r="O5">
        <v>8.2439999999999998</v>
      </c>
      <c r="Q5">
        <v>0</v>
      </c>
      <c r="R5">
        <v>85</v>
      </c>
      <c r="S5">
        <v>9</v>
      </c>
      <c r="T5">
        <v>9</v>
      </c>
      <c r="V5" s="1" t="s">
        <v>36</v>
      </c>
      <c r="W5" s="1" t="s">
        <v>36</v>
      </c>
      <c r="X5" s="1" t="s">
        <v>36</v>
      </c>
      <c r="Z5">
        <v>16</v>
      </c>
      <c r="AA5">
        <v>2</v>
      </c>
      <c r="AB5">
        <v>122.530351</v>
      </c>
      <c r="AC5">
        <v>145.55403100000001</v>
      </c>
      <c r="AD5" s="1" t="s">
        <v>46</v>
      </c>
      <c r="AE5" s="1" t="s">
        <v>36</v>
      </c>
      <c r="AF5" s="1" t="s">
        <v>36</v>
      </c>
    </row>
    <row r="6" spans="1:32">
      <c r="A6" s="3">
        <v>43951.627430555556</v>
      </c>
      <c r="B6" s="3">
        <v>43951.041666666664</v>
      </c>
      <c r="C6" s="1" t="s">
        <v>16</v>
      </c>
      <c r="D6" s="1" t="s">
        <v>47</v>
      </c>
      <c r="E6" s="1" t="s">
        <v>48</v>
      </c>
      <c r="F6">
        <v>13</v>
      </c>
      <c r="G6">
        <v>47.45176</v>
      </c>
      <c r="H6">
        <v>7.7024140000000001</v>
      </c>
      <c r="J6">
        <v>824</v>
      </c>
      <c r="K6">
        <v>824</v>
      </c>
      <c r="L6">
        <v>-3</v>
      </c>
      <c r="M6">
        <v>9</v>
      </c>
      <c r="N6">
        <v>287.11</v>
      </c>
      <c r="O6">
        <v>10.452999999999999</v>
      </c>
      <c r="P6">
        <v>756</v>
      </c>
      <c r="Q6">
        <v>0</v>
      </c>
      <c r="R6">
        <v>30</v>
      </c>
      <c r="S6">
        <v>1</v>
      </c>
      <c r="T6">
        <v>1</v>
      </c>
      <c r="V6" s="1" t="s">
        <v>36</v>
      </c>
      <c r="W6" s="1" t="s">
        <v>36</v>
      </c>
      <c r="X6" s="1" t="s">
        <v>36</v>
      </c>
      <c r="Z6">
        <v>2</v>
      </c>
      <c r="AA6">
        <v>0</v>
      </c>
      <c r="AB6">
        <v>355.23511200000002</v>
      </c>
      <c r="AD6" s="1" t="s">
        <v>49</v>
      </c>
      <c r="AE6" s="1" t="s">
        <v>36</v>
      </c>
      <c r="AF6" s="1" t="s">
        <v>36</v>
      </c>
    </row>
    <row r="7" spans="1:32">
      <c r="A7" s="3">
        <v>43951.627430555556</v>
      </c>
      <c r="B7" s="3">
        <v>43951.291666666664</v>
      </c>
      <c r="C7" s="1" t="s">
        <v>16</v>
      </c>
      <c r="D7" s="1" t="s">
        <v>50</v>
      </c>
      <c r="E7" s="1" t="s">
        <v>51</v>
      </c>
      <c r="F7">
        <v>12</v>
      </c>
      <c r="G7">
        <v>47.564869000000002</v>
      </c>
      <c r="H7">
        <v>7.615259</v>
      </c>
      <c r="I7">
        <v>235</v>
      </c>
      <c r="J7">
        <v>951</v>
      </c>
      <c r="K7">
        <v>951</v>
      </c>
      <c r="L7">
        <v>-2</v>
      </c>
      <c r="M7">
        <v>24</v>
      </c>
      <c r="N7">
        <v>490.46</v>
      </c>
      <c r="O7">
        <v>25.786000000000001</v>
      </c>
      <c r="P7">
        <v>828</v>
      </c>
      <c r="Q7">
        <v>0</v>
      </c>
      <c r="R7">
        <v>50</v>
      </c>
      <c r="S7">
        <v>8</v>
      </c>
      <c r="U7">
        <v>517</v>
      </c>
      <c r="V7" s="1" t="s">
        <v>433</v>
      </c>
      <c r="W7" s="1" t="s">
        <v>36</v>
      </c>
      <c r="X7" s="1" t="s">
        <v>36</v>
      </c>
      <c r="Z7">
        <v>5</v>
      </c>
      <c r="AA7">
        <v>1</v>
      </c>
      <c r="AB7">
        <v>251.79506799999999</v>
      </c>
      <c r="AC7">
        <v>41.564751999999999</v>
      </c>
      <c r="AD7" s="1" t="s">
        <v>425</v>
      </c>
      <c r="AE7" s="1" t="s">
        <v>36</v>
      </c>
      <c r="AF7" s="1" t="s">
        <v>36</v>
      </c>
    </row>
    <row r="8" spans="1:32">
      <c r="A8" s="3">
        <v>43951.627430555556</v>
      </c>
      <c r="B8" s="3">
        <v>43950.041666666664</v>
      </c>
      <c r="C8" s="1" t="s">
        <v>16</v>
      </c>
      <c r="D8" s="1" t="s">
        <v>53</v>
      </c>
      <c r="E8" s="1" t="s">
        <v>54</v>
      </c>
      <c r="F8">
        <v>0</v>
      </c>
      <c r="G8">
        <v>47.166666999999997</v>
      </c>
      <c r="H8">
        <v>9.509722</v>
      </c>
      <c r="I8">
        <v>900</v>
      </c>
      <c r="J8">
        <v>82</v>
      </c>
      <c r="K8">
        <v>82</v>
      </c>
      <c r="N8">
        <v>212.44</v>
      </c>
      <c r="O8">
        <v>2.5910000000000002</v>
      </c>
      <c r="P8">
        <v>1</v>
      </c>
      <c r="Q8">
        <v>0</v>
      </c>
      <c r="R8">
        <v>1</v>
      </c>
      <c r="V8" s="1" t="s">
        <v>36</v>
      </c>
      <c r="W8" s="1" t="s">
        <v>36</v>
      </c>
      <c r="X8" s="1" t="s">
        <v>36</v>
      </c>
      <c r="Z8">
        <v>0</v>
      </c>
      <c r="AA8">
        <v>0</v>
      </c>
      <c r="AD8" s="1" t="s">
        <v>422</v>
      </c>
      <c r="AE8" s="1" t="s">
        <v>36</v>
      </c>
      <c r="AF8" s="1" t="s">
        <v>36</v>
      </c>
    </row>
    <row r="9" spans="1:32">
      <c r="A9" s="3">
        <v>43951.627430555556</v>
      </c>
      <c r="B9" s="3">
        <v>43951.041666666664</v>
      </c>
      <c r="C9" s="1" t="s">
        <v>16</v>
      </c>
      <c r="D9" s="1" t="s">
        <v>56</v>
      </c>
      <c r="E9" s="1" t="s">
        <v>57</v>
      </c>
      <c r="F9">
        <v>10</v>
      </c>
      <c r="G9">
        <v>46.718390999999997</v>
      </c>
      <c r="H9">
        <v>7.0740080000000001</v>
      </c>
      <c r="I9">
        <v>30</v>
      </c>
      <c r="J9">
        <v>1070</v>
      </c>
      <c r="K9">
        <v>1070</v>
      </c>
      <c r="L9">
        <v>-2</v>
      </c>
      <c r="M9">
        <v>46</v>
      </c>
      <c r="N9">
        <v>339.57</v>
      </c>
      <c r="O9">
        <v>24.754000000000001</v>
      </c>
      <c r="P9">
        <v>123</v>
      </c>
      <c r="Q9">
        <v>0</v>
      </c>
      <c r="R9">
        <v>78</v>
      </c>
      <c r="S9">
        <v>6</v>
      </c>
      <c r="V9" s="1" t="s">
        <v>36</v>
      </c>
      <c r="W9" s="1" t="s">
        <v>36</v>
      </c>
      <c r="X9" s="1" t="s">
        <v>36</v>
      </c>
      <c r="Z9">
        <v>13</v>
      </c>
      <c r="AA9">
        <v>0</v>
      </c>
      <c r="AB9">
        <v>88.703102000000001</v>
      </c>
      <c r="AC9">
        <v>133.42332999999999</v>
      </c>
      <c r="AD9" s="1" t="s">
        <v>434</v>
      </c>
      <c r="AE9" s="1" t="s">
        <v>36</v>
      </c>
      <c r="AF9" s="1" t="s">
        <v>36</v>
      </c>
    </row>
    <row r="10" spans="1:32">
      <c r="A10" s="3">
        <v>43951.627430555556</v>
      </c>
      <c r="B10" s="3">
        <v>43950.416666666664</v>
      </c>
      <c r="C10" s="1" t="s">
        <v>16</v>
      </c>
      <c r="D10" s="1" t="s">
        <v>58</v>
      </c>
      <c r="E10" s="1" t="s">
        <v>59</v>
      </c>
      <c r="F10">
        <v>25</v>
      </c>
      <c r="G10">
        <v>46.220528000000002</v>
      </c>
      <c r="H10">
        <v>6.1329349999999998</v>
      </c>
      <c r="I10">
        <v>25000</v>
      </c>
      <c r="J10">
        <v>4785</v>
      </c>
      <c r="K10">
        <v>4785</v>
      </c>
      <c r="L10">
        <v>-23</v>
      </c>
      <c r="M10">
        <v>254</v>
      </c>
      <c r="N10">
        <v>966.28</v>
      </c>
      <c r="O10">
        <v>49.273000000000003</v>
      </c>
      <c r="P10">
        <v>634</v>
      </c>
      <c r="Q10">
        <v>0</v>
      </c>
      <c r="R10">
        <v>244</v>
      </c>
      <c r="S10">
        <v>21</v>
      </c>
      <c r="T10">
        <v>19</v>
      </c>
      <c r="V10" s="1" t="s">
        <v>36</v>
      </c>
      <c r="W10" s="1" t="s">
        <v>36</v>
      </c>
      <c r="X10" s="1" t="s">
        <v>36</v>
      </c>
      <c r="Y10">
        <v>16</v>
      </c>
      <c r="Z10">
        <v>0</v>
      </c>
      <c r="AA10">
        <v>0</v>
      </c>
      <c r="AB10">
        <v>375.16324300000002</v>
      </c>
      <c r="AC10">
        <v>139.19986800000001</v>
      </c>
      <c r="AD10" s="1" t="s">
        <v>60</v>
      </c>
      <c r="AE10" s="1" t="s">
        <v>36</v>
      </c>
      <c r="AF10" s="1" t="s">
        <v>36</v>
      </c>
    </row>
    <row r="11" spans="1:32">
      <c r="A11" s="3">
        <v>43951.627430555556</v>
      </c>
      <c r="B11" s="3">
        <v>43951.458333333336</v>
      </c>
      <c r="C11" s="1" t="s">
        <v>16</v>
      </c>
      <c r="D11" s="1" t="s">
        <v>61</v>
      </c>
      <c r="E11" s="1" t="s">
        <v>62</v>
      </c>
      <c r="F11">
        <v>8</v>
      </c>
      <c r="G11">
        <v>46.931042000000005</v>
      </c>
      <c r="H11">
        <v>9.0657510000000006</v>
      </c>
      <c r="J11">
        <v>122</v>
      </c>
      <c r="K11">
        <v>122</v>
      </c>
      <c r="L11">
        <v>-1</v>
      </c>
      <c r="M11">
        <v>2</v>
      </c>
      <c r="N11">
        <v>302.73</v>
      </c>
      <c r="O11">
        <v>24.814</v>
      </c>
      <c r="Q11">
        <v>0</v>
      </c>
      <c r="R11">
        <v>10</v>
      </c>
      <c r="V11" s="1" t="s">
        <v>36</v>
      </c>
      <c r="W11" s="1" t="s">
        <v>36</v>
      </c>
      <c r="X11" s="1" t="s">
        <v>36</v>
      </c>
      <c r="Z11">
        <v>0</v>
      </c>
      <c r="AA11">
        <v>1</v>
      </c>
      <c r="AB11">
        <v>209.672248</v>
      </c>
      <c r="AC11">
        <v>9.7167910000000006</v>
      </c>
      <c r="AD11" s="1" t="s">
        <v>430</v>
      </c>
      <c r="AE11" s="1" t="s">
        <v>36</v>
      </c>
      <c r="AF11" s="1" t="s">
        <v>36</v>
      </c>
    </row>
    <row r="12" spans="1:32">
      <c r="A12" s="3">
        <v>43951.627430555556</v>
      </c>
      <c r="B12" s="3">
        <v>43950.041666666664</v>
      </c>
      <c r="C12" s="1" t="s">
        <v>16</v>
      </c>
      <c r="D12" s="1" t="s">
        <v>63</v>
      </c>
      <c r="E12" s="1" t="s">
        <v>64</v>
      </c>
      <c r="F12">
        <v>1</v>
      </c>
      <c r="G12">
        <v>46.656247999999998</v>
      </c>
      <c r="H12">
        <v>9.6281979999999994</v>
      </c>
      <c r="J12">
        <v>811</v>
      </c>
      <c r="K12">
        <v>811</v>
      </c>
      <c r="L12">
        <v>-4</v>
      </c>
      <c r="M12">
        <v>23</v>
      </c>
      <c r="N12">
        <v>409.8</v>
      </c>
      <c r="O12">
        <v>22.739000000000001</v>
      </c>
      <c r="Q12">
        <v>0</v>
      </c>
      <c r="R12">
        <v>45</v>
      </c>
      <c r="V12" s="1" t="s">
        <v>36</v>
      </c>
      <c r="W12" s="1" t="s">
        <v>36</v>
      </c>
      <c r="X12" s="1" t="s">
        <v>36</v>
      </c>
      <c r="Z12">
        <v>2</v>
      </c>
      <c r="AA12">
        <v>0</v>
      </c>
      <c r="AB12">
        <v>232.488811</v>
      </c>
      <c r="AC12">
        <v>154.21875700000001</v>
      </c>
      <c r="AD12" s="1" t="s">
        <v>65</v>
      </c>
      <c r="AE12" s="1" t="s">
        <v>36</v>
      </c>
      <c r="AF12" s="1" t="s">
        <v>36</v>
      </c>
    </row>
    <row r="13" spans="1:32">
      <c r="A13" s="3">
        <v>43951.627430555556</v>
      </c>
      <c r="B13" s="3">
        <v>43950.041666666664</v>
      </c>
      <c r="C13" s="1" t="s">
        <v>16</v>
      </c>
      <c r="D13" s="1" t="s">
        <v>66</v>
      </c>
      <c r="E13" s="1" t="s">
        <v>67</v>
      </c>
      <c r="F13">
        <v>26</v>
      </c>
      <c r="G13">
        <v>47.350743999999999</v>
      </c>
      <c r="H13">
        <v>7.1561070000000004</v>
      </c>
      <c r="J13">
        <v>197</v>
      </c>
      <c r="K13">
        <v>197</v>
      </c>
      <c r="L13">
        <v>-1</v>
      </c>
      <c r="M13">
        <v>8</v>
      </c>
      <c r="N13">
        <v>268.76</v>
      </c>
      <c r="O13">
        <v>9.5500000000000007</v>
      </c>
      <c r="Q13">
        <v>0</v>
      </c>
      <c r="R13">
        <v>7</v>
      </c>
      <c r="S13">
        <v>5</v>
      </c>
      <c r="V13" s="1" t="s">
        <v>36</v>
      </c>
      <c r="W13" s="1" t="s">
        <v>36</v>
      </c>
      <c r="X13" s="1" t="s">
        <v>36</v>
      </c>
      <c r="Z13">
        <v>0</v>
      </c>
      <c r="AA13">
        <v>0</v>
      </c>
      <c r="AB13">
        <v>681.01563499999997</v>
      </c>
      <c r="AC13">
        <v>22.482780999999999</v>
      </c>
      <c r="AD13" s="1" t="s">
        <v>424</v>
      </c>
      <c r="AE13" s="1" t="s">
        <v>36</v>
      </c>
      <c r="AF13" s="1" t="s">
        <v>36</v>
      </c>
    </row>
    <row r="14" spans="1:32">
      <c r="A14" s="3">
        <v>43951.627430555556</v>
      </c>
      <c r="B14" s="3">
        <v>43951.041666666664</v>
      </c>
      <c r="C14" s="1" t="s">
        <v>16</v>
      </c>
      <c r="D14" s="1" t="s">
        <v>68</v>
      </c>
      <c r="E14" s="1" t="s">
        <v>69</v>
      </c>
      <c r="F14">
        <v>3</v>
      </c>
      <c r="G14">
        <v>47.067762999999999</v>
      </c>
      <c r="H14">
        <v>8.1102000000000007</v>
      </c>
      <c r="J14">
        <v>694</v>
      </c>
      <c r="K14">
        <v>694</v>
      </c>
      <c r="L14">
        <v>0</v>
      </c>
      <c r="M14">
        <v>31</v>
      </c>
      <c r="N14">
        <v>170.73</v>
      </c>
      <c r="O14">
        <v>4.1820000000000004</v>
      </c>
      <c r="Q14">
        <v>0</v>
      </c>
      <c r="R14">
        <v>17</v>
      </c>
      <c r="S14">
        <v>8</v>
      </c>
      <c r="V14" s="1" t="s">
        <v>36</v>
      </c>
      <c r="W14" s="1" t="s">
        <v>36</v>
      </c>
      <c r="X14" s="1" t="s">
        <v>36</v>
      </c>
      <c r="Z14">
        <v>7</v>
      </c>
      <c r="AA14">
        <v>0</v>
      </c>
      <c r="AB14">
        <v>87.337920999999994</v>
      </c>
      <c r="AC14">
        <v>57.167133999999997</v>
      </c>
      <c r="AD14" s="1" t="s">
        <v>70</v>
      </c>
      <c r="AE14" s="1" t="s">
        <v>36</v>
      </c>
      <c r="AF14" s="1" t="s">
        <v>36</v>
      </c>
    </row>
    <row r="15" spans="1:32">
      <c r="A15" s="3">
        <v>43951.627430555556</v>
      </c>
      <c r="B15" s="3">
        <v>43950.041666666664</v>
      </c>
      <c r="C15" s="1" t="s">
        <v>16</v>
      </c>
      <c r="D15" s="1" t="s">
        <v>71</v>
      </c>
      <c r="E15" s="1" t="s">
        <v>72</v>
      </c>
      <c r="F15">
        <v>24</v>
      </c>
      <c r="G15">
        <v>46.995533999999999</v>
      </c>
      <c r="H15">
        <v>6.7801260000000001</v>
      </c>
      <c r="J15">
        <v>676</v>
      </c>
      <c r="K15">
        <v>676</v>
      </c>
      <c r="L15">
        <v>0</v>
      </c>
      <c r="M15">
        <v>26</v>
      </c>
      <c r="N15">
        <v>379.78</v>
      </c>
      <c r="O15">
        <v>41.573</v>
      </c>
      <c r="Q15">
        <v>0</v>
      </c>
      <c r="R15">
        <v>74</v>
      </c>
      <c r="S15">
        <v>4</v>
      </c>
      <c r="T15">
        <v>4</v>
      </c>
      <c r="V15" s="1" t="s">
        <v>36</v>
      </c>
      <c r="W15" s="1" t="s">
        <v>36</v>
      </c>
      <c r="X15" s="1" t="s">
        <v>36</v>
      </c>
      <c r="Z15">
        <v>0</v>
      </c>
      <c r="AA15">
        <v>0</v>
      </c>
      <c r="AB15">
        <v>332.95519300000001</v>
      </c>
      <c r="AC15">
        <v>62.367198000000002</v>
      </c>
      <c r="AD15" s="1" t="s">
        <v>377</v>
      </c>
      <c r="AE15" s="1" t="s">
        <v>36</v>
      </c>
      <c r="AF15" s="1" t="s">
        <v>36</v>
      </c>
    </row>
    <row r="16" spans="1:32">
      <c r="A16" s="3">
        <v>43951.627430555556</v>
      </c>
      <c r="B16" s="3">
        <v>43950.041666666664</v>
      </c>
      <c r="C16" s="1" t="s">
        <v>16</v>
      </c>
      <c r="D16" s="1" t="s">
        <v>73</v>
      </c>
      <c r="E16" s="1" t="s">
        <v>74</v>
      </c>
      <c r="F16">
        <v>7</v>
      </c>
      <c r="G16">
        <v>46.926755</v>
      </c>
      <c r="H16">
        <v>8.4053020000000007</v>
      </c>
      <c r="J16">
        <v>111</v>
      </c>
      <c r="K16">
        <v>111</v>
      </c>
      <c r="L16">
        <v>0</v>
      </c>
      <c r="M16">
        <v>2</v>
      </c>
      <c r="N16">
        <v>258.14</v>
      </c>
      <c r="O16">
        <v>6.9770000000000003</v>
      </c>
      <c r="Q16">
        <v>0</v>
      </c>
      <c r="R16">
        <v>3</v>
      </c>
      <c r="S16">
        <v>0</v>
      </c>
      <c r="V16" s="1" t="s">
        <v>36</v>
      </c>
      <c r="W16" s="1" t="s">
        <v>36</v>
      </c>
      <c r="X16" s="1" t="s">
        <v>36</v>
      </c>
      <c r="Z16">
        <v>0</v>
      </c>
      <c r="AA16">
        <v>0</v>
      </c>
      <c r="AB16">
        <v>126.49144699999999</v>
      </c>
      <c r="AD16" s="1" t="s">
        <v>357</v>
      </c>
      <c r="AE16" s="1" t="s">
        <v>36</v>
      </c>
      <c r="AF16" s="1" t="s">
        <v>36</v>
      </c>
    </row>
    <row r="17" spans="1:32">
      <c r="A17" s="3">
        <v>43951.627430555556</v>
      </c>
      <c r="B17" s="3">
        <v>43951.583333333336</v>
      </c>
      <c r="C17" s="1" t="s">
        <v>16</v>
      </c>
      <c r="D17" s="1" t="s">
        <v>75</v>
      </c>
      <c r="E17" s="1" t="s">
        <v>76</v>
      </c>
      <c r="F17">
        <v>6</v>
      </c>
      <c r="G17">
        <v>46.804527</v>
      </c>
      <c r="H17">
        <v>8.1443170000000009</v>
      </c>
      <c r="I17">
        <v>6</v>
      </c>
      <c r="J17">
        <v>78</v>
      </c>
      <c r="K17">
        <v>78</v>
      </c>
      <c r="L17">
        <v>-2</v>
      </c>
      <c r="M17">
        <v>0</v>
      </c>
      <c r="N17">
        <v>207.45</v>
      </c>
      <c r="O17">
        <v>0</v>
      </c>
      <c r="P17">
        <v>1</v>
      </c>
      <c r="Q17">
        <v>0</v>
      </c>
      <c r="R17">
        <v>0</v>
      </c>
      <c r="V17" s="1" t="s">
        <v>36</v>
      </c>
      <c r="W17" s="1" t="s">
        <v>36</v>
      </c>
      <c r="X17" s="1" t="s">
        <v>36</v>
      </c>
      <c r="Z17">
        <v>0</v>
      </c>
      <c r="AA17">
        <v>0</v>
      </c>
      <c r="AB17">
        <v>25.260259000000001</v>
      </c>
      <c r="AC17">
        <v>0</v>
      </c>
      <c r="AD17" s="1" t="s">
        <v>77</v>
      </c>
      <c r="AE17" s="1" t="s">
        <v>36</v>
      </c>
      <c r="AF17" s="1" t="s">
        <v>36</v>
      </c>
    </row>
    <row r="18" spans="1:32">
      <c r="A18" s="3">
        <v>43951.627430555556</v>
      </c>
      <c r="B18" s="3">
        <v>43951.041666666664</v>
      </c>
      <c r="C18" s="1" t="s">
        <v>16</v>
      </c>
      <c r="D18" s="1" t="s">
        <v>78</v>
      </c>
      <c r="E18" s="1" t="s">
        <v>79</v>
      </c>
      <c r="F18">
        <v>17</v>
      </c>
      <c r="G18">
        <v>47.183199999999999</v>
      </c>
      <c r="H18">
        <v>9.2747440000000001</v>
      </c>
      <c r="J18">
        <v>780</v>
      </c>
      <c r="K18">
        <v>780</v>
      </c>
      <c r="L18">
        <v>-7</v>
      </c>
      <c r="M18">
        <v>37</v>
      </c>
      <c r="N18">
        <v>154.55000000000001</v>
      </c>
      <c r="O18">
        <v>6.5389999999999997</v>
      </c>
      <c r="P18">
        <v>184</v>
      </c>
      <c r="Q18">
        <v>0</v>
      </c>
      <c r="R18">
        <v>33</v>
      </c>
      <c r="S18">
        <v>3</v>
      </c>
      <c r="V18" s="1" t="s">
        <v>36</v>
      </c>
      <c r="W18" s="1" t="s">
        <v>36</v>
      </c>
      <c r="X18" s="1" t="s">
        <v>36</v>
      </c>
      <c r="Z18">
        <v>4</v>
      </c>
      <c r="AA18">
        <v>0</v>
      </c>
      <c r="AB18">
        <v>98.378217000000006</v>
      </c>
      <c r="AC18">
        <v>55.433719000000004</v>
      </c>
      <c r="AD18" s="1" t="s">
        <v>80</v>
      </c>
      <c r="AE18" s="1" t="s">
        <v>36</v>
      </c>
      <c r="AF18" s="1" t="s">
        <v>36</v>
      </c>
    </row>
    <row r="19" spans="1:32">
      <c r="A19" s="3">
        <v>43951.627430555556</v>
      </c>
      <c r="B19" s="3">
        <v>43951.3125</v>
      </c>
      <c r="C19" s="1" t="s">
        <v>16</v>
      </c>
      <c r="D19" s="1" t="s">
        <v>81</v>
      </c>
      <c r="E19" s="1" t="s">
        <v>82</v>
      </c>
      <c r="F19">
        <v>14</v>
      </c>
      <c r="G19">
        <v>47.713569999999997</v>
      </c>
      <c r="H19">
        <v>8.5916700000000006</v>
      </c>
      <c r="J19">
        <v>75</v>
      </c>
      <c r="K19">
        <v>75</v>
      </c>
      <c r="L19">
        <v>-4</v>
      </c>
      <c r="M19">
        <v>8</v>
      </c>
      <c r="N19">
        <v>92.14</v>
      </c>
      <c r="O19">
        <v>7.3710000000000004</v>
      </c>
      <c r="Q19">
        <v>0</v>
      </c>
      <c r="R19">
        <v>6</v>
      </c>
      <c r="S19">
        <v>2</v>
      </c>
      <c r="V19" s="1" t="s">
        <v>36</v>
      </c>
      <c r="W19" s="1" t="s">
        <v>36</v>
      </c>
      <c r="X19" s="1" t="s">
        <v>36</v>
      </c>
      <c r="Z19">
        <v>1</v>
      </c>
      <c r="AA19">
        <v>0</v>
      </c>
      <c r="AB19">
        <v>63.233851999999999</v>
      </c>
      <c r="AC19">
        <v>19.00892</v>
      </c>
      <c r="AD19" s="1" t="s">
        <v>426</v>
      </c>
      <c r="AE19" s="1" t="s">
        <v>36</v>
      </c>
      <c r="AF19" s="1" t="s">
        <v>36</v>
      </c>
    </row>
    <row r="20" spans="1:32">
      <c r="A20" s="3">
        <v>43951.627430555556</v>
      </c>
      <c r="B20" s="3">
        <v>43951.041666666664</v>
      </c>
      <c r="C20" s="1" t="s">
        <v>16</v>
      </c>
      <c r="D20" s="1" t="s">
        <v>83</v>
      </c>
      <c r="E20" s="1" t="s">
        <v>84</v>
      </c>
      <c r="F20">
        <v>11</v>
      </c>
      <c r="G20">
        <v>47.304135000000002</v>
      </c>
      <c r="H20">
        <v>7.6393880000000003</v>
      </c>
      <c r="J20">
        <v>388</v>
      </c>
      <c r="K20">
        <v>388</v>
      </c>
      <c r="L20">
        <v>0</v>
      </c>
      <c r="M20">
        <v>12</v>
      </c>
      <c r="N20">
        <v>142.96</v>
      </c>
      <c r="O20">
        <v>5.5270000000000001</v>
      </c>
      <c r="Q20">
        <v>0</v>
      </c>
      <c r="R20">
        <v>15</v>
      </c>
      <c r="V20" s="1" t="s">
        <v>36</v>
      </c>
      <c r="W20" s="1" t="s">
        <v>36</v>
      </c>
      <c r="X20" s="1" t="s">
        <v>36</v>
      </c>
      <c r="Z20">
        <v>4</v>
      </c>
      <c r="AA20">
        <v>0</v>
      </c>
      <c r="AB20">
        <v>147.67207999999999</v>
      </c>
      <c r="AC20">
        <v>50.233246000000001</v>
      </c>
      <c r="AD20" s="1" t="s">
        <v>387</v>
      </c>
      <c r="AE20" s="1" t="s">
        <v>36</v>
      </c>
      <c r="AF20" s="1" t="s">
        <v>36</v>
      </c>
    </row>
    <row r="21" spans="1:32">
      <c r="A21" s="3">
        <v>43951.627430555556</v>
      </c>
      <c r="B21" s="3">
        <v>43951.333333333336</v>
      </c>
      <c r="C21" s="1" t="s">
        <v>16</v>
      </c>
      <c r="D21" s="1" t="s">
        <v>86</v>
      </c>
      <c r="E21" s="1" t="s">
        <v>87</v>
      </c>
      <c r="F21">
        <v>5</v>
      </c>
      <c r="G21">
        <v>47.061787000000002</v>
      </c>
      <c r="H21">
        <v>8.7565849999999994</v>
      </c>
      <c r="I21">
        <v>10</v>
      </c>
      <c r="J21">
        <v>302</v>
      </c>
      <c r="K21">
        <v>302</v>
      </c>
      <c r="L21">
        <v>0</v>
      </c>
      <c r="M21">
        <v>1</v>
      </c>
      <c r="N21">
        <v>191.99</v>
      </c>
      <c r="O21">
        <v>12.715</v>
      </c>
      <c r="P21">
        <v>239</v>
      </c>
      <c r="Q21">
        <v>0</v>
      </c>
      <c r="R21">
        <v>20</v>
      </c>
      <c r="V21" s="1" t="s">
        <v>36</v>
      </c>
      <c r="W21" s="1" t="s">
        <v>36</v>
      </c>
      <c r="X21" s="1" t="s">
        <v>36</v>
      </c>
      <c r="Z21">
        <v>7</v>
      </c>
      <c r="AA21">
        <v>0</v>
      </c>
      <c r="AB21">
        <v>68.029235</v>
      </c>
      <c r="AC21">
        <v>21.325120999999999</v>
      </c>
      <c r="AD21" s="1" t="s">
        <v>427</v>
      </c>
      <c r="AE21" s="1" t="s">
        <v>36</v>
      </c>
      <c r="AF21" s="1" t="s">
        <v>36</v>
      </c>
    </row>
    <row r="22" spans="1:32">
      <c r="A22" s="3">
        <v>43951.627430555556</v>
      </c>
      <c r="B22" s="3">
        <v>43951.041666666664</v>
      </c>
      <c r="C22" s="1" t="s">
        <v>16</v>
      </c>
      <c r="D22" s="1" t="s">
        <v>88</v>
      </c>
      <c r="E22" s="1" t="s">
        <v>89</v>
      </c>
      <c r="F22">
        <v>1</v>
      </c>
      <c r="G22">
        <v>47.568714999999997</v>
      </c>
      <c r="H22">
        <v>9.0919570000000007</v>
      </c>
      <c r="I22">
        <v>276</v>
      </c>
      <c r="J22">
        <v>365</v>
      </c>
      <c r="K22">
        <v>365</v>
      </c>
      <c r="L22">
        <v>-1</v>
      </c>
      <c r="M22">
        <v>14</v>
      </c>
      <c r="N22">
        <v>133.31</v>
      </c>
      <c r="O22">
        <v>6.2089999999999996</v>
      </c>
      <c r="Q22">
        <v>0</v>
      </c>
      <c r="R22">
        <v>17</v>
      </c>
      <c r="S22">
        <v>7</v>
      </c>
      <c r="V22" s="1" t="s">
        <v>36</v>
      </c>
      <c r="W22" s="1" t="s">
        <v>36</v>
      </c>
      <c r="X22" s="1" t="s">
        <v>36</v>
      </c>
      <c r="Z22">
        <v>2</v>
      </c>
      <c r="AA22">
        <v>0</v>
      </c>
      <c r="AB22">
        <v>251.26186899999999</v>
      </c>
      <c r="AC22">
        <v>17.850263000000002</v>
      </c>
      <c r="AD22" s="1" t="s">
        <v>90</v>
      </c>
      <c r="AE22" s="1" t="s">
        <v>36</v>
      </c>
      <c r="AF22" s="1" t="s">
        <v>36</v>
      </c>
    </row>
    <row r="23" spans="1:32">
      <c r="A23" s="3">
        <v>43951.627430555556</v>
      </c>
      <c r="B23" s="3">
        <v>43951.25</v>
      </c>
      <c r="C23" s="1" t="s">
        <v>16</v>
      </c>
      <c r="D23" s="1" t="s">
        <v>91</v>
      </c>
      <c r="E23" s="1" t="s">
        <v>92</v>
      </c>
      <c r="F23">
        <v>21</v>
      </c>
      <c r="G23">
        <v>46.295617</v>
      </c>
      <c r="H23">
        <v>8.8089239999999993</v>
      </c>
      <c r="J23">
        <v>3210</v>
      </c>
      <c r="K23">
        <v>3210</v>
      </c>
      <c r="L23">
        <v>0</v>
      </c>
      <c r="M23">
        <v>172</v>
      </c>
      <c r="N23">
        <v>907.55</v>
      </c>
      <c r="O23">
        <v>90.754999999999995</v>
      </c>
      <c r="P23">
        <v>728</v>
      </c>
      <c r="Q23">
        <v>0</v>
      </c>
      <c r="R23">
        <v>321</v>
      </c>
      <c r="S23">
        <v>29</v>
      </c>
      <c r="T23">
        <v>21</v>
      </c>
      <c r="V23" s="1" t="s">
        <v>36</v>
      </c>
      <c r="W23" s="1" t="s">
        <v>36</v>
      </c>
      <c r="X23" s="1" t="s">
        <v>36</v>
      </c>
      <c r="Z23">
        <v>19</v>
      </c>
      <c r="AA23">
        <v>3</v>
      </c>
      <c r="AB23">
        <v>161.86407</v>
      </c>
      <c r="AC23">
        <v>63.692666000000003</v>
      </c>
      <c r="AD23" s="1" t="s">
        <v>423</v>
      </c>
      <c r="AE23" s="1" t="s">
        <v>36</v>
      </c>
      <c r="AF23" s="1" t="s">
        <v>36</v>
      </c>
    </row>
    <row r="24" spans="1:32">
      <c r="A24" s="3">
        <v>43951.627430555556</v>
      </c>
      <c r="B24" s="3">
        <v>43951.583333333336</v>
      </c>
      <c r="C24" s="1" t="s">
        <v>16</v>
      </c>
      <c r="D24" s="1" t="s">
        <v>94</v>
      </c>
      <c r="E24" s="1" t="s">
        <v>95</v>
      </c>
      <c r="F24">
        <v>4</v>
      </c>
      <c r="G24">
        <v>46.771849000000003</v>
      </c>
      <c r="H24">
        <v>8.6285860000000003</v>
      </c>
      <c r="I24">
        <v>85</v>
      </c>
      <c r="J24">
        <v>86</v>
      </c>
      <c r="K24">
        <v>86</v>
      </c>
      <c r="L24">
        <v>-1</v>
      </c>
      <c r="M24">
        <v>4</v>
      </c>
      <c r="N24">
        <v>236.91</v>
      </c>
      <c r="O24">
        <v>13.773999999999999</v>
      </c>
      <c r="P24">
        <v>71</v>
      </c>
      <c r="Q24">
        <v>0</v>
      </c>
      <c r="R24">
        <v>5</v>
      </c>
      <c r="V24" s="1" t="s">
        <v>36</v>
      </c>
      <c r="W24" s="1" t="s">
        <v>36</v>
      </c>
      <c r="X24" s="1" t="s">
        <v>36</v>
      </c>
      <c r="Z24">
        <v>1</v>
      </c>
      <c r="AA24">
        <v>0</v>
      </c>
      <c r="AB24">
        <v>35.495598000000001</v>
      </c>
      <c r="AD24" s="1" t="s">
        <v>96</v>
      </c>
      <c r="AE24" s="1" t="s">
        <v>36</v>
      </c>
      <c r="AF24" s="1" t="s">
        <v>36</v>
      </c>
    </row>
    <row r="25" spans="1:32">
      <c r="A25" s="3">
        <v>43951.627430555556</v>
      </c>
      <c r="B25" s="3">
        <v>43950.041666666664</v>
      </c>
      <c r="C25" s="1" t="s">
        <v>16</v>
      </c>
      <c r="D25" s="1" t="s">
        <v>97</v>
      </c>
      <c r="E25" s="1" t="s">
        <v>98</v>
      </c>
      <c r="F25">
        <v>22</v>
      </c>
      <c r="G25">
        <v>46.570090999999998</v>
      </c>
      <c r="H25">
        <v>6.5578090000000007</v>
      </c>
      <c r="J25">
        <v>5274</v>
      </c>
      <c r="K25">
        <v>5274</v>
      </c>
      <c r="L25">
        <v>-8</v>
      </c>
      <c r="M25">
        <v>156</v>
      </c>
      <c r="N25">
        <v>664.99</v>
      </c>
      <c r="O25">
        <v>47.283000000000001</v>
      </c>
      <c r="Q25">
        <v>0</v>
      </c>
      <c r="R25">
        <v>375</v>
      </c>
      <c r="S25">
        <v>33</v>
      </c>
      <c r="V25" s="1" t="s">
        <v>36</v>
      </c>
      <c r="W25" s="1" t="s">
        <v>36</v>
      </c>
      <c r="X25" s="1" t="s">
        <v>36</v>
      </c>
      <c r="Z25">
        <v>3</v>
      </c>
      <c r="AA25">
        <v>0</v>
      </c>
      <c r="AB25">
        <v>255.70393799999999</v>
      </c>
      <c r="AC25">
        <v>57.324716000000002</v>
      </c>
      <c r="AD25" s="1" t="s">
        <v>99</v>
      </c>
      <c r="AE25" s="1" t="s">
        <v>36</v>
      </c>
      <c r="AF25" s="1" t="s">
        <v>36</v>
      </c>
    </row>
    <row r="26" spans="1:32">
      <c r="A26" s="3">
        <v>43951.627430555556</v>
      </c>
      <c r="B26" s="3">
        <v>43951.541666666664</v>
      </c>
      <c r="C26" s="1" t="s">
        <v>16</v>
      </c>
      <c r="D26" s="1" t="s">
        <v>100</v>
      </c>
      <c r="E26" s="1" t="s">
        <v>101</v>
      </c>
      <c r="F26">
        <v>23</v>
      </c>
      <c r="G26">
        <v>46.209567</v>
      </c>
      <c r="H26">
        <v>7.6046589999999998</v>
      </c>
      <c r="J26">
        <v>1866</v>
      </c>
      <c r="K26">
        <v>1866</v>
      </c>
      <c r="L26">
        <v>-1</v>
      </c>
      <c r="M26">
        <v>55</v>
      </c>
      <c r="N26">
        <v>546.41</v>
      </c>
      <c r="O26">
        <v>40.116999999999997</v>
      </c>
      <c r="P26">
        <v>238</v>
      </c>
      <c r="Q26">
        <v>0</v>
      </c>
      <c r="R26">
        <v>137</v>
      </c>
      <c r="S26">
        <v>11</v>
      </c>
      <c r="T26">
        <v>9</v>
      </c>
      <c r="V26" s="1" t="s">
        <v>36</v>
      </c>
      <c r="W26" s="1" t="s">
        <v>36</v>
      </c>
      <c r="X26" s="1" t="s">
        <v>36</v>
      </c>
      <c r="Z26">
        <v>13</v>
      </c>
      <c r="AA26">
        <v>1</v>
      </c>
      <c r="AB26">
        <v>206.87723500000001</v>
      </c>
      <c r="AC26">
        <v>57.600482999999997</v>
      </c>
      <c r="AD26" s="1" t="s">
        <v>436</v>
      </c>
      <c r="AE26" s="1" t="s">
        <v>36</v>
      </c>
      <c r="AF26" s="1" t="s">
        <v>36</v>
      </c>
    </row>
    <row r="27" spans="1:32">
      <c r="A27" s="3">
        <v>43951.627430555556</v>
      </c>
      <c r="B27" s="3">
        <v>43951.25</v>
      </c>
      <c r="C27" s="1" t="s">
        <v>16</v>
      </c>
      <c r="D27" s="1" t="s">
        <v>102</v>
      </c>
      <c r="E27" s="1" t="s">
        <v>103</v>
      </c>
      <c r="F27">
        <v>9</v>
      </c>
      <c r="G27">
        <v>47.157296000000002</v>
      </c>
      <c r="H27">
        <v>8.5372939999999993</v>
      </c>
      <c r="J27">
        <v>189</v>
      </c>
      <c r="K27">
        <v>189</v>
      </c>
      <c r="L27">
        <v>0</v>
      </c>
      <c r="M27">
        <v>6</v>
      </c>
      <c r="N27">
        <v>150.72</v>
      </c>
      <c r="O27">
        <v>6.38</v>
      </c>
      <c r="P27">
        <v>135</v>
      </c>
      <c r="Q27">
        <v>0</v>
      </c>
      <c r="R27">
        <v>8</v>
      </c>
      <c r="S27">
        <v>3</v>
      </c>
      <c r="V27" s="1" t="s">
        <v>36</v>
      </c>
      <c r="W27" s="1" t="s">
        <v>36</v>
      </c>
      <c r="X27" s="1" t="s">
        <v>36</v>
      </c>
      <c r="Z27">
        <v>4</v>
      </c>
      <c r="AA27">
        <v>0</v>
      </c>
      <c r="AB27">
        <v>80.132651999999993</v>
      </c>
      <c r="AD27" s="1" t="s">
        <v>381</v>
      </c>
      <c r="AE27" s="1" t="s">
        <v>36</v>
      </c>
      <c r="AF27" s="1" t="s">
        <v>36</v>
      </c>
    </row>
    <row r="28" spans="1:32">
      <c r="A28" s="3">
        <v>43951.627430555556</v>
      </c>
      <c r="B28" s="3">
        <v>43951.520833333336</v>
      </c>
      <c r="C28" s="1" t="s">
        <v>16</v>
      </c>
      <c r="D28" s="1" t="s">
        <v>104</v>
      </c>
      <c r="E28" s="1" t="s">
        <v>105</v>
      </c>
      <c r="F28">
        <v>1</v>
      </c>
      <c r="G28">
        <v>47.412750000000003</v>
      </c>
      <c r="H28">
        <v>8.6550799999999999</v>
      </c>
      <c r="J28">
        <v>3473</v>
      </c>
      <c r="K28">
        <v>3473</v>
      </c>
      <c r="L28">
        <v>-21</v>
      </c>
      <c r="M28">
        <v>61</v>
      </c>
      <c r="N28">
        <v>230.87</v>
      </c>
      <c r="O28">
        <v>8.11</v>
      </c>
      <c r="Q28">
        <v>0</v>
      </c>
      <c r="R28">
        <v>122</v>
      </c>
      <c r="S28">
        <v>15</v>
      </c>
      <c r="T28">
        <v>15</v>
      </c>
      <c r="V28" s="1" t="s">
        <v>36</v>
      </c>
      <c r="W28" s="1" t="s">
        <v>36</v>
      </c>
      <c r="X28" s="1" t="s">
        <v>36</v>
      </c>
      <c r="Z28">
        <v>11</v>
      </c>
      <c r="AA28">
        <v>1</v>
      </c>
      <c r="AB28">
        <v>156.635752</v>
      </c>
      <c r="AC28">
        <v>58.652892999999999</v>
      </c>
      <c r="AD28" s="1" t="s">
        <v>106</v>
      </c>
      <c r="AE28" s="1" t="s">
        <v>36</v>
      </c>
      <c r="AF28" s="1" t="s">
        <v>36</v>
      </c>
    </row>
  </sheetData>
  <phoneticPr fontId="27" type="noConversion"/>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C39" sqref="C39"/>
    </sheetView>
  </sheetViews>
  <sheetFormatPr baseColWidth="10" defaultRowHeight="14.5"/>
  <cols>
    <col min="1" max="1" width="14.6328125" customWidth="1"/>
  </cols>
  <sheetData>
    <row r="1" spans="1:25">
      <c r="A1" s="7" t="s">
        <v>315</v>
      </c>
      <c r="B1" s="7" t="s">
        <v>316</v>
      </c>
      <c r="C1" s="8" t="s">
        <v>380</v>
      </c>
      <c r="D1" s="8" t="s">
        <v>379</v>
      </c>
      <c r="E1" s="7" t="s">
        <v>317</v>
      </c>
      <c r="F1" s="8"/>
      <c r="H1" s="8"/>
      <c r="I1" s="8"/>
      <c r="J1" s="8"/>
      <c r="K1" s="8"/>
      <c r="L1" s="8"/>
      <c r="M1" s="8"/>
      <c r="N1" s="8"/>
      <c r="O1" s="8"/>
      <c r="P1" s="8"/>
      <c r="Q1" s="8"/>
      <c r="R1" s="8"/>
      <c r="S1" s="8"/>
      <c r="T1" s="8"/>
      <c r="U1" s="8"/>
      <c r="V1" s="8"/>
      <c r="W1" s="8"/>
      <c r="X1" s="8"/>
      <c r="Y1" s="8"/>
    </row>
    <row r="2" spans="1:25">
      <c r="A2" t="s">
        <v>318</v>
      </c>
      <c r="B2" t="s">
        <v>34</v>
      </c>
      <c r="C2" s="9" t="str">
        <f>kt_latest!E2</f>
        <v>Aargau</v>
      </c>
      <c r="D2" s="9">
        <f>kt_latest!R2</f>
        <v>33</v>
      </c>
      <c r="E2" s="5">
        <v>878</v>
      </c>
      <c r="F2" s="9"/>
      <c r="H2" s="9"/>
      <c r="I2" s="9"/>
      <c r="J2" s="9"/>
      <c r="K2" s="9"/>
      <c r="L2" s="9"/>
      <c r="M2" s="9"/>
      <c r="N2" s="9"/>
      <c r="O2" s="9"/>
      <c r="P2" s="11"/>
      <c r="Q2" s="11"/>
      <c r="R2" s="9"/>
      <c r="S2" s="9"/>
      <c r="T2" s="11"/>
      <c r="U2" s="9"/>
      <c r="V2" s="11"/>
      <c r="W2" s="9"/>
      <c r="X2" s="9"/>
      <c r="Y2" s="9"/>
    </row>
    <row r="3" spans="1:25">
      <c r="A3" t="s">
        <v>318</v>
      </c>
      <c r="B3" t="s">
        <v>38</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318</v>
      </c>
      <c r="B4" t="s">
        <v>41</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318</v>
      </c>
      <c r="B5" t="s">
        <v>44</v>
      </c>
      <c r="C5" s="10" t="str">
        <f>kt_latest!E5</f>
        <v>Bern/Berne</v>
      </c>
      <c r="D5" s="10">
        <f>kt_latest!R5</f>
        <v>85</v>
      </c>
      <c r="E5" s="6">
        <v>1419</v>
      </c>
      <c r="F5" s="10"/>
      <c r="H5" s="10"/>
      <c r="I5" s="10"/>
      <c r="J5" s="10"/>
      <c r="K5" s="10"/>
      <c r="L5" s="10"/>
      <c r="M5" s="10"/>
      <c r="N5" s="10"/>
      <c r="O5" s="10"/>
      <c r="P5" s="12"/>
      <c r="Q5" s="12"/>
      <c r="R5" s="10"/>
      <c r="S5" s="10"/>
      <c r="T5" s="12"/>
      <c r="U5" s="10"/>
      <c r="V5" s="12"/>
      <c r="W5" s="10"/>
      <c r="X5" s="10"/>
      <c r="Y5" s="10"/>
    </row>
    <row r="6" spans="1:25">
      <c r="A6" t="s">
        <v>318</v>
      </c>
      <c r="B6" t="s">
        <v>47</v>
      </c>
      <c r="C6" s="9" t="str">
        <f>kt_latest!E6</f>
        <v>Basel-Landschaft</v>
      </c>
      <c r="D6" s="9">
        <f>kt_latest!R6</f>
        <v>30</v>
      </c>
      <c r="E6" s="5">
        <v>736</v>
      </c>
      <c r="F6" s="9"/>
      <c r="H6" s="9"/>
      <c r="I6" s="9"/>
      <c r="J6" s="9"/>
      <c r="K6" s="9"/>
      <c r="L6" s="9"/>
      <c r="M6" s="9"/>
      <c r="N6" s="9"/>
      <c r="O6" s="9"/>
      <c r="P6" s="11"/>
      <c r="Q6" s="11"/>
      <c r="R6" s="9"/>
      <c r="S6" s="9"/>
      <c r="T6" s="11"/>
      <c r="U6" s="9"/>
      <c r="V6" s="11"/>
      <c r="W6" s="9"/>
      <c r="X6" s="9"/>
      <c r="Y6" s="9"/>
    </row>
    <row r="7" spans="1:25">
      <c r="A7" t="s">
        <v>318</v>
      </c>
      <c r="B7" t="s">
        <v>50</v>
      </c>
      <c r="C7" s="10" t="str">
        <f>kt_latest!E7</f>
        <v>Basel-Stadt</v>
      </c>
      <c r="D7" s="10">
        <f>kt_latest!R7</f>
        <v>50</v>
      </c>
      <c r="E7" s="6">
        <v>882</v>
      </c>
      <c r="F7" s="10"/>
      <c r="H7" s="10"/>
      <c r="I7" s="10"/>
      <c r="J7" s="10"/>
      <c r="K7" s="10"/>
      <c r="L7" s="10"/>
      <c r="M7" s="10"/>
      <c r="N7" s="10"/>
      <c r="O7" s="10"/>
      <c r="P7" s="12"/>
      <c r="Q7" s="12"/>
      <c r="R7" s="10"/>
      <c r="S7" s="10"/>
      <c r="T7" s="12"/>
      <c r="U7" s="10"/>
      <c r="V7" s="12"/>
      <c r="W7" s="10"/>
      <c r="X7" s="10"/>
      <c r="Y7" s="10"/>
    </row>
    <row r="8" spans="1:25">
      <c r="A8" t="s">
        <v>318</v>
      </c>
      <c r="B8" t="s">
        <v>56</v>
      </c>
      <c r="C8" s="10" t="str">
        <f>kt_latest!E9</f>
        <v>Fribourg</v>
      </c>
      <c r="D8" s="10">
        <f>kt_latest!R9</f>
        <v>78</v>
      </c>
      <c r="E8" s="6">
        <v>846</v>
      </c>
      <c r="F8" s="10"/>
      <c r="H8" s="10"/>
      <c r="I8" s="10"/>
      <c r="J8" s="10"/>
      <c r="K8" s="10"/>
      <c r="L8" s="10"/>
      <c r="M8" s="10"/>
      <c r="N8" s="10"/>
      <c r="O8" s="10"/>
      <c r="P8" s="12"/>
      <c r="Q8" s="12"/>
      <c r="R8" s="10"/>
      <c r="S8" s="10"/>
      <c r="T8" s="12"/>
      <c r="U8" s="10"/>
      <c r="V8" s="12"/>
      <c r="W8" s="10"/>
      <c r="X8" s="10"/>
      <c r="Y8" s="10"/>
    </row>
    <row r="9" spans="1:25">
      <c r="A9" t="s">
        <v>318</v>
      </c>
      <c r="B9" t="s">
        <v>58</v>
      </c>
      <c r="C9" s="9" t="str">
        <f>kt_latest!E10</f>
        <v>Genève</v>
      </c>
      <c r="D9" s="9">
        <f>kt_latest!R10</f>
        <v>244</v>
      </c>
      <c r="E9" s="5">
        <v>4310</v>
      </c>
      <c r="F9" s="9"/>
      <c r="H9" s="9"/>
      <c r="I9" s="9"/>
      <c r="J9" s="9"/>
      <c r="K9" s="9"/>
      <c r="L9" s="9"/>
      <c r="M9" s="9"/>
      <c r="N9" s="9"/>
      <c r="O9" s="9"/>
      <c r="P9" s="11"/>
      <c r="Q9" s="11"/>
      <c r="R9" s="9"/>
      <c r="S9" s="9"/>
      <c r="T9" s="11"/>
      <c r="U9" s="9"/>
      <c r="V9" s="11"/>
      <c r="W9" s="9"/>
      <c r="X9" s="9"/>
      <c r="Y9" s="9"/>
    </row>
    <row r="10" spans="1:25">
      <c r="A10" t="s">
        <v>318</v>
      </c>
      <c r="B10" t="s">
        <v>61</v>
      </c>
      <c r="C10" s="10" t="str">
        <f>kt_latest!E11</f>
        <v>Glarus</v>
      </c>
      <c r="D10" s="10">
        <f>kt_latest!R11</f>
        <v>10</v>
      </c>
      <c r="E10" s="6">
        <v>91</v>
      </c>
      <c r="F10" s="10"/>
      <c r="H10" s="10"/>
      <c r="I10" s="10"/>
      <c r="J10" s="10"/>
      <c r="K10" s="10"/>
      <c r="L10" s="10"/>
      <c r="M10" s="10"/>
      <c r="N10" s="10"/>
      <c r="O10" s="10"/>
      <c r="P10" s="12"/>
      <c r="Q10" s="12"/>
      <c r="R10" s="10"/>
      <c r="S10" s="10"/>
      <c r="T10" s="12"/>
      <c r="U10" s="10"/>
      <c r="V10" s="12"/>
      <c r="W10" s="10"/>
      <c r="X10" s="10"/>
      <c r="Y10" s="10"/>
    </row>
    <row r="11" spans="1:25">
      <c r="A11" t="s">
        <v>318</v>
      </c>
      <c r="B11" t="s">
        <v>63</v>
      </c>
      <c r="C11" s="9" t="str">
        <f>kt_latest!E12</f>
        <v>Graubünden/Grigioni</v>
      </c>
      <c r="D11" s="9">
        <f>kt_latest!R12</f>
        <v>45</v>
      </c>
      <c r="E11" s="5">
        <v>715</v>
      </c>
      <c r="F11" s="9"/>
      <c r="H11" s="9"/>
      <c r="I11" s="9"/>
      <c r="J11" s="9"/>
      <c r="K11" s="9"/>
      <c r="L11" s="9"/>
      <c r="M11" s="9"/>
      <c r="N11" s="9"/>
      <c r="O11" s="9"/>
      <c r="P11" s="11"/>
      <c r="Q11" s="11"/>
      <c r="R11" s="9"/>
      <c r="S11" s="9"/>
      <c r="T11" s="11"/>
      <c r="U11" s="9"/>
      <c r="V11" s="11"/>
      <c r="W11" s="9"/>
      <c r="X11" s="9"/>
      <c r="Y11" s="9"/>
    </row>
    <row r="12" spans="1:25">
      <c r="A12" t="s">
        <v>318</v>
      </c>
      <c r="B12" t="s">
        <v>66</v>
      </c>
      <c r="C12" s="10" t="str">
        <f>kt_latest!E13</f>
        <v>Jura</v>
      </c>
      <c r="D12" s="1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318</v>
      </c>
      <c r="B13" t="s">
        <v>68</v>
      </c>
      <c r="C13" s="9" t="str">
        <f>kt_latest!E14</f>
        <v>Luzern</v>
      </c>
      <c r="D13" s="9">
        <f>kt_latest!R14</f>
        <v>17</v>
      </c>
      <c r="E13" s="5">
        <v>568</v>
      </c>
      <c r="F13" s="9"/>
      <c r="H13" s="9"/>
      <c r="I13" s="9"/>
      <c r="J13" s="9"/>
      <c r="K13" s="9"/>
      <c r="L13" s="9"/>
      <c r="M13" s="9"/>
      <c r="N13" s="9"/>
      <c r="O13" s="9"/>
      <c r="P13" s="11"/>
      <c r="Q13" s="11"/>
      <c r="R13" s="9"/>
      <c r="S13" s="9"/>
      <c r="T13" s="11"/>
      <c r="U13" s="9"/>
      <c r="V13" s="11"/>
      <c r="W13" s="9"/>
      <c r="X13" s="9"/>
      <c r="Y13" s="9"/>
    </row>
    <row r="14" spans="1:25">
      <c r="A14" t="s">
        <v>318</v>
      </c>
      <c r="B14" t="s">
        <v>71</v>
      </c>
      <c r="C14" s="10" t="str">
        <f>kt_latest!E15</f>
        <v>Neuchâtel</v>
      </c>
      <c r="D14" s="10">
        <f>kt_latest!R15</f>
        <v>74</v>
      </c>
      <c r="E14" s="6">
        <v>552</v>
      </c>
      <c r="F14" s="10"/>
      <c r="H14" s="10"/>
      <c r="I14" s="10"/>
      <c r="J14" s="10"/>
      <c r="K14" s="10"/>
      <c r="L14" s="10"/>
      <c r="M14" s="10"/>
      <c r="N14" s="10"/>
      <c r="O14" s="10"/>
      <c r="P14" s="12"/>
      <c r="Q14" s="12"/>
      <c r="R14" s="10"/>
      <c r="S14" s="10"/>
      <c r="T14" s="12"/>
      <c r="U14" s="10"/>
      <c r="V14" s="12"/>
      <c r="W14" s="10"/>
      <c r="X14" s="10"/>
      <c r="Y14" s="10"/>
    </row>
    <row r="15" spans="1:25">
      <c r="A15" t="s">
        <v>318</v>
      </c>
      <c r="B15" t="s">
        <v>73</v>
      </c>
      <c r="C15" s="9" t="str">
        <f>kt_latest!E16</f>
        <v>Nidwalden</v>
      </c>
      <c r="D15" s="9">
        <f>kt_latest!R16</f>
        <v>3</v>
      </c>
      <c r="E15" s="5">
        <v>103</v>
      </c>
      <c r="F15" s="9"/>
      <c r="H15" s="9"/>
      <c r="I15" s="9"/>
      <c r="J15" s="9"/>
      <c r="K15" s="9"/>
      <c r="L15" s="9"/>
      <c r="M15" s="9"/>
      <c r="N15" s="9"/>
      <c r="O15" s="9"/>
      <c r="P15" s="11"/>
      <c r="Q15" s="11"/>
      <c r="R15" s="9"/>
      <c r="S15" s="9"/>
      <c r="T15" s="11"/>
      <c r="U15" s="9"/>
      <c r="V15" s="11"/>
      <c r="W15" s="9"/>
      <c r="X15" s="9"/>
      <c r="Y15" s="9"/>
    </row>
    <row r="16" spans="1:25">
      <c r="A16" t="s">
        <v>318</v>
      </c>
      <c r="B16" t="s">
        <v>75</v>
      </c>
      <c r="C16" s="10" t="str">
        <f>kt_latest!E17</f>
        <v>Obwalden</v>
      </c>
      <c r="D16" s="1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318</v>
      </c>
      <c r="B17" t="s">
        <v>78</v>
      </c>
      <c r="C17" s="9" t="str">
        <f>kt_latest!E18</f>
        <v>St. Gallen</v>
      </c>
      <c r="D17" s="9">
        <f>kt_latest!R18</f>
        <v>33</v>
      </c>
      <c r="E17" s="5">
        <v>649</v>
      </c>
      <c r="F17" s="9"/>
      <c r="H17" s="9"/>
      <c r="I17" s="9"/>
      <c r="J17" s="9"/>
      <c r="K17" s="9"/>
      <c r="L17" s="9"/>
      <c r="M17" s="9"/>
      <c r="N17" s="9"/>
      <c r="O17" s="9"/>
      <c r="P17" s="11"/>
      <c r="Q17" s="11"/>
      <c r="R17" s="9"/>
      <c r="S17" s="9"/>
      <c r="T17" s="11"/>
      <c r="U17" s="9"/>
      <c r="V17" s="11"/>
      <c r="W17" s="9"/>
      <c r="X17" s="9"/>
      <c r="Y17" s="9"/>
    </row>
    <row r="18" spans="1:25">
      <c r="A18" t="s">
        <v>318</v>
      </c>
      <c r="B18" t="s">
        <v>81</v>
      </c>
      <c r="C18" s="10" t="str">
        <f>kt_latest!E19</f>
        <v>Schaffhausen</v>
      </c>
      <c r="D18" s="1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318</v>
      </c>
      <c r="B19" t="s">
        <v>83</v>
      </c>
      <c r="C19" s="9" t="str">
        <f>kt_latest!E20</f>
        <v>Solothurn</v>
      </c>
      <c r="D19" s="9">
        <f>kt_latest!R20</f>
        <v>15</v>
      </c>
      <c r="E19" s="5">
        <v>306</v>
      </c>
      <c r="F19" s="9"/>
      <c r="H19" s="9"/>
      <c r="I19" s="9"/>
      <c r="J19" s="9"/>
      <c r="K19" s="9"/>
      <c r="L19" s="9"/>
      <c r="M19" s="9"/>
      <c r="N19" s="9"/>
      <c r="O19" s="9"/>
      <c r="P19" s="11"/>
      <c r="Q19" s="11"/>
      <c r="R19" s="9"/>
      <c r="S19" s="9"/>
      <c r="T19" s="11"/>
      <c r="U19" s="9"/>
      <c r="V19" s="11"/>
      <c r="W19" s="9"/>
      <c r="X19" s="9"/>
      <c r="Y19" s="9"/>
    </row>
    <row r="20" spans="1:25">
      <c r="A20" t="s">
        <v>318</v>
      </c>
      <c r="B20" t="s">
        <v>86</v>
      </c>
      <c r="C20" s="10" t="str">
        <f>kt_latest!E21</f>
        <v>Schwyz</v>
      </c>
      <c r="D20" s="10">
        <f>kt_latest!R21</f>
        <v>20</v>
      </c>
      <c r="E20" s="6">
        <v>251</v>
      </c>
      <c r="F20" s="10"/>
      <c r="H20" s="10"/>
      <c r="I20" s="10"/>
      <c r="J20" s="10"/>
      <c r="K20" s="10"/>
      <c r="L20" s="10"/>
      <c r="M20" s="10"/>
      <c r="N20" s="10"/>
      <c r="O20" s="10"/>
      <c r="P20" s="12"/>
      <c r="Q20" s="12"/>
      <c r="R20" s="10"/>
      <c r="S20" s="10"/>
      <c r="T20" s="12"/>
      <c r="U20" s="10"/>
      <c r="V20" s="12"/>
      <c r="W20" s="10"/>
      <c r="X20" s="10"/>
      <c r="Y20" s="10"/>
    </row>
    <row r="21" spans="1:25">
      <c r="A21" t="s">
        <v>318</v>
      </c>
      <c r="B21" t="s">
        <v>88</v>
      </c>
      <c r="C21" s="9" t="str">
        <f>kt_latest!E22</f>
        <v>Thurgau</v>
      </c>
      <c r="D21" s="9">
        <f>kt_latest!R22</f>
        <v>17</v>
      </c>
      <c r="E21" s="5">
        <v>274</v>
      </c>
      <c r="F21" s="9"/>
      <c r="H21" s="9"/>
      <c r="I21" s="9"/>
      <c r="J21" s="9"/>
      <c r="K21" s="9"/>
      <c r="L21" s="9"/>
      <c r="M21" s="9"/>
      <c r="N21" s="9"/>
      <c r="O21" s="9"/>
      <c r="P21" s="11"/>
      <c r="Q21" s="11"/>
      <c r="R21" s="9"/>
      <c r="S21" s="9"/>
      <c r="T21" s="11"/>
      <c r="U21" s="9"/>
      <c r="V21" s="11"/>
      <c r="W21" s="9"/>
      <c r="X21" s="9"/>
      <c r="Y21" s="9"/>
    </row>
    <row r="22" spans="1:25">
      <c r="A22" t="s">
        <v>318</v>
      </c>
      <c r="B22" t="s">
        <v>91</v>
      </c>
      <c r="C22" s="10" t="str">
        <f>kt_latest!E23</f>
        <v>Ticino</v>
      </c>
      <c r="D22" s="10">
        <f>kt_latest!R23</f>
        <v>321</v>
      </c>
      <c r="E22" s="6">
        <v>2869</v>
      </c>
      <c r="F22" s="10"/>
      <c r="H22" s="10"/>
      <c r="I22" s="10"/>
      <c r="J22" s="10"/>
      <c r="K22" s="10"/>
      <c r="L22" s="10"/>
      <c r="M22" s="10"/>
      <c r="N22" s="10"/>
      <c r="O22" s="10"/>
      <c r="P22" s="12"/>
      <c r="Q22" s="12"/>
      <c r="R22" s="10"/>
      <c r="S22" s="10"/>
      <c r="T22" s="12"/>
      <c r="U22" s="10"/>
      <c r="V22" s="12"/>
      <c r="W22" s="10"/>
      <c r="X22" s="10"/>
      <c r="Y22" s="10"/>
    </row>
    <row r="23" spans="1:25">
      <c r="A23" t="s">
        <v>318</v>
      </c>
      <c r="B23" t="s">
        <v>94</v>
      </c>
      <c r="C23" s="9" t="str">
        <f>kt_latest!E24</f>
        <v>Uri</v>
      </c>
      <c r="D23" s="9">
        <f>kt_latest!R24</f>
        <v>5</v>
      </c>
      <c r="E23" s="5">
        <v>75</v>
      </c>
      <c r="F23" s="9"/>
      <c r="H23" s="9"/>
      <c r="I23" s="9"/>
      <c r="J23" s="9"/>
      <c r="K23" s="9"/>
      <c r="L23" s="9"/>
      <c r="M23" s="9"/>
      <c r="N23" s="9"/>
      <c r="O23" s="9"/>
      <c r="P23" s="11"/>
      <c r="Q23" s="11"/>
      <c r="R23" s="9"/>
      <c r="S23" s="9"/>
      <c r="T23" s="11"/>
      <c r="U23" s="9"/>
      <c r="V23" s="11"/>
      <c r="W23" s="9"/>
      <c r="X23" s="9"/>
      <c r="Y23" s="9"/>
    </row>
    <row r="24" spans="1:25">
      <c r="A24" t="s">
        <v>318</v>
      </c>
      <c r="B24" t="s">
        <v>97</v>
      </c>
      <c r="C24" s="10" t="str">
        <f>kt_latest!E25</f>
        <v>Vaud</v>
      </c>
      <c r="D24" s="10">
        <f>kt_latest!R25</f>
        <v>375</v>
      </c>
      <c r="E24" s="6">
        <v>4524</v>
      </c>
      <c r="F24" s="10"/>
      <c r="H24" s="10"/>
      <c r="I24" s="10"/>
      <c r="J24" s="10"/>
      <c r="K24" s="10"/>
      <c r="L24" s="10"/>
      <c r="M24" s="10"/>
      <c r="N24" s="10"/>
      <c r="O24" s="10"/>
      <c r="P24" s="12"/>
      <c r="Q24" s="12"/>
      <c r="R24" s="10"/>
      <c r="S24" s="10"/>
      <c r="T24" s="12"/>
      <c r="U24" s="10"/>
      <c r="V24" s="12"/>
      <c r="W24" s="10"/>
      <c r="X24" s="10"/>
      <c r="Y24" s="10"/>
    </row>
    <row r="25" spans="1:25">
      <c r="A25" t="s">
        <v>318</v>
      </c>
      <c r="B25" t="s">
        <v>100</v>
      </c>
      <c r="C25" s="9" t="str">
        <f>kt_latest!E26</f>
        <v>Valais/Wallis</v>
      </c>
      <c r="D25" s="9">
        <f>kt_latest!R26</f>
        <v>137</v>
      </c>
      <c r="E25" s="5">
        <v>1592</v>
      </c>
      <c r="F25" s="9"/>
      <c r="H25" s="9"/>
      <c r="I25" s="9"/>
      <c r="J25" s="9"/>
      <c r="K25" s="9"/>
      <c r="L25" s="9"/>
      <c r="M25" s="9"/>
      <c r="N25" s="9"/>
      <c r="O25" s="9"/>
      <c r="P25" s="11"/>
      <c r="Q25" s="11"/>
      <c r="R25" s="9"/>
      <c r="S25" s="9"/>
      <c r="T25" s="11"/>
      <c r="U25" s="9"/>
      <c r="V25" s="11"/>
      <c r="W25" s="9"/>
      <c r="X25" s="9"/>
      <c r="Y25" s="9"/>
    </row>
    <row r="26" spans="1:25">
      <c r="A26" t="s">
        <v>318</v>
      </c>
      <c r="B26" t="s">
        <v>102</v>
      </c>
      <c r="C26" t="str">
        <f>kt_latest!E27</f>
        <v>Zug</v>
      </c>
      <c r="D26">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318</v>
      </c>
      <c r="B27" t="s">
        <v>104</v>
      </c>
      <c r="C27" t="str">
        <f>kt_latest!E28</f>
        <v>Zürich</v>
      </c>
      <c r="D27">
        <f>kt_latest!R28</f>
        <v>122</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C12" sqref="C12"/>
    </sheetView>
  </sheetViews>
  <sheetFormatPr baseColWidth="10" defaultRowHeight="14.5"/>
  <cols>
    <col min="1" max="1" width="14.81640625" style="2" customWidth="1"/>
    <col min="2" max="2" width="16.26953125" customWidth="1"/>
    <col min="3" max="3" width="22.26953125" customWidth="1"/>
  </cols>
  <sheetData>
    <row r="1" spans="1:3">
      <c r="A1" s="2" t="s">
        <v>327</v>
      </c>
      <c r="B1" t="s">
        <v>328</v>
      </c>
    </row>
    <row r="2" spans="1:3">
      <c r="B2">
        <f>MAX(ch_latest!G1:'ch_latest'!G215)</f>
        <v>29393</v>
      </c>
      <c r="C2" s="18"/>
    </row>
    <row r="4" spans="1:3">
      <c r="A4" s="2" t="s">
        <v>329</v>
      </c>
      <c r="B4" t="s">
        <v>6</v>
      </c>
      <c r="C4" t="s">
        <v>14</v>
      </c>
    </row>
    <row r="5" spans="1:3">
      <c r="B5">
        <f>INDEX(ch_latest!L2:'ch_latest'!L215,COUNTA(ch_latest!L2:'ch_latest'!L215)+1)</f>
        <v>118</v>
      </c>
      <c r="C5">
        <f>INDEX(ch_latest!Q2:'ch_latest'!Q215,COUNTA(ch_latest!Q2:'ch_latest'!Q215))</f>
        <v>176.977924</v>
      </c>
    </row>
    <row r="6" spans="1:3">
      <c r="B6" s="21"/>
    </row>
    <row r="7" spans="1:3">
      <c r="A7" s="2" t="s">
        <v>333</v>
      </c>
      <c r="B7" t="s">
        <v>332</v>
      </c>
    </row>
    <row r="8" spans="1:3">
      <c r="A8" s="2" t="s">
        <v>334</v>
      </c>
      <c r="B8">
        <f>INDEX(ch_latest!I1:'ch_latest'!I215,COUNTA(ch_latest!I1:'ch_latest'!I215))</f>
        <v>4808</v>
      </c>
    </row>
    <row r="9" spans="1:3">
      <c r="A9" s="2" t="s">
        <v>335</v>
      </c>
      <c r="B9">
        <f>INDEX(ch_latest!I1:'ch_latest'!I215,COUNTA(ch_latest!I1:'ch_latest'!I215)-1)</f>
        <v>4742</v>
      </c>
    </row>
    <row r="10" spans="1:3">
      <c r="A10" s="2" t="s">
        <v>336</v>
      </c>
      <c r="B10">
        <f>B8-B9</f>
        <v>66</v>
      </c>
    </row>
    <row r="11" spans="1:3">
      <c r="B11" s="19"/>
    </row>
    <row r="12" spans="1:3">
      <c r="A12" s="2" t="s">
        <v>347</v>
      </c>
      <c r="B12" s="2">
        <f>INDEX(ch_latest!A1:'ch_latest'!A215,COUNTA(ch_latest!A1:'ch_latest'!A215))</f>
        <v>43951</v>
      </c>
      <c r="C12" s="4">
        <f>INDEX(ch_latest!B1:'ch_latest'!B215,COUNTA(ch_latest!B1:'ch_latest'!B215))</f>
        <v>43951.627592592595</v>
      </c>
    </row>
    <row r="13" spans="1:3">
      <c r="B13" s="20"/>
    </row>
    <row r="14" spans="1:3">
      <c r="A14" s="2" t="s">
        <v>414</v>
      </c>
      <c r="B14" t="s">
        <v>415</v>
      </c>
    </row>
    <row r="15" spans="1:3">
      <c r="A15" s="2" t="s">
        <v>335</v>
      </c>
      <c r="B15">
        <f>INDEX(ch_latest!E1:'ch_latest'!E215,COUNTA(ch_latest!E1:'ch_latest'!E215))</f>
        <v>1026</v>
      </c>
    </row>
    <row r="16" spans="1:3">
      <c r="A16" s="2" t="s">
        <v>334</v>
      </c>
      <c r="B16">
        <f>INDEX(ch_latest!E1:'ch_latest'!E215,COUNTA(ch_latest!E1:'ch_latest'!E215)-1)</f>
        <v>1081</v>
      </c>
    </row>
    <row r="17" spans="1:2">
      <c r="A17" s="2" t="s">
        <v>336</v>
      </c>
      <c r="B17">
        <f>B15-B16</f>
        <v>-55</v>
      </c>
    </row>
    <row r="19" spans="1:2">
      <c r="A19" s="2" t="s">
        <v>431</v>
      </c>
      <c r="B19" t="s">
        <v>432</v>
      </c>
    </row>
    <row r="20" spans="1:2">
      <c r="A20" s="2" t="s">
        <v>335</v>
      </c>
      <c r="B20">
        <f>INDEX(ch_latest!D6:'ch_latest'!D220,COUNTA(ch_latest!D6:'ch_latest'!D220))</f>
        <v>176</v>
      </c>
    </row>
    <row r="21" spans="1:2">
      <c r="A21" s="2" t="s">
        <v>334</v>
      </c>
      <c r="B21">
        <f>INDEX(ch_latest!D6:'ch_latest'!D220,COUNTA(ch_latest!D6:'ch_latest'!D220)-1)</f>
        <v>189</v>
      </c>
    </row>
    <row r="22" spans="1:2">
      <c r="A22" s="2" t="s">
        <v>336</v>
      </c>
      <c r="B22">
        <f>B20-B21</f>
        <v>-13</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9</vt:i4>
      </vt:variant>
      <vt:variant>
        <vt:lpstr>Benannte Bereiche</vt:lpstr>
      </vt:variant>
      <vt:variant>
        <vt:i4>1</vt:i4>
      </vt:variant>
    </vt:vector>
  </HeadingPairs>
  <TitlesOfParts>
    <vt:vector size="10" baseType="lpstr">
      <vt:lpstr>Graphs</vt:lpstr>
      <vt:lpstr>Readme</vt:lpstr>
      <vt:lpstr>ch_latest</vt:lpstr>
      <vt:lpstr>Fallzahlen_CH</vt:lpstr>
      <vt:lpstr>pivot_ch_days</vt:lpstr>
      <vt:lpstr>pivot_icu</vt:lpstr>
      <vt:lpstr>kt_latest</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2020-04-30T15:37:03Z</dcterms:modified>
</cp:coreProperties>
</file>