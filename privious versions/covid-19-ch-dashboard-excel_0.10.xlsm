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pivotTables/pivotTable2.xml" ContentType="application/vnd.openxmlformats-officedocument.spreadsheetml.pivotTable+xml"/>
  <Override PartName="/xl/drawings/drawing3.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drawings/drawing4.xml" ContentType="application/vnd.openxmlformats-officedocument.drawing+xml"/>
  <Override PartName="/xl/charts/chartEx2.xml" ContentType="application/vnd.ms-office.chartex+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workbookPr codeName="DieseArbeitsmappe" hidePivotFieldList="1"/>
  <mc:AlternateContent xmlns:mc="http://schemas.openxmlformats.org/markup-compatibility/2006">
    <mc:Choice Requires="x15">
      <x15ac:absPath xmlns:x15ac="http://schemas.microsoft.com/office/spreadsheetml/2010/11/ac" url="C:\Users\tgdbepe4\myCloud\QGIS_Projekte_github\covid_19_excel\privious versions\"/>
    </mc:Choice>
  </mc:AlternateContent>
  <xr:revisionPtr revIDLastSave="0" documentId="13_ncr:1_{6FA63100-9969-4A0C-A60A-06FC1C800D7E}" xr6:coauthVersionLast="45" xr6:coauthVersionMax="45" xr10:uidLastSave="{00000000-0000-0000-0000-000000000000}"/>
  <bookViews>
    <workbookView xWindow="-110" yWindow="-110" windowWidth="23260" windowHeight="14020" activeTab="1" xr2:uid="{B7984E8D-725D-425C-9EA3-75DA3EFF58B2}"/>
  </bookViews>
  <sheets>
    <sheet name="Graphs" sheetId="4" r:id="rId1"/>
    <sheet name="ch_latest" sheetId="20" r:id="rId2"/>
    <sheet name="analyse" sheetId="24" r:id="rId3"/>
    <sheet name="pivot_1" sheetId="32" r:id="rId4"/>
    <sheet name="pivot2" sheetId="33" r:id="rId5"/>
    <sheet name="kt_latest" sheetId="37" r:id="rId6"/>
    <sheet name="Fallzahlen_CH" sheetId="31" r:id="rId7"/>
    <sheet name="Map death" sheetId="15" r:id="rId8"/>
    <sheet name="Readme" sheetId="29" r:id="rId9"/>
  </sheets>
  <definedNames>
    <definedName name="_xlchart.v5.0" hidden="1">'Map death'!$A$1:$C$1</definedName>
    <definedName name="_xlchart.v5.1" hidden="1">'Map death'!$A$2:$C$27</definedName>
    <definedName name="_xlchart.v5.2" hidden="1">'Map death'!$D$1</definedName>
    <definedName name="_xlchart.v5.3" hidden="1">'Map death'!$D$2:$D$27</definedName>
    <definedName name="_xlchart.v5.4" hidden="1">'Map death'!$A$1:$C$1</definedName>
    <definedName name="_xlchart.v5.5" hidden="1">'Map death'!$A$2:$C$27</definedName>
    <definedName name="_xlchart.v5.6" hidden="1">'Map death'!$D$1</definedName>
    <definedName name="_xlchart.v5.7" hidden="1">'Map death'!$D$2:$D$27</definedName>
    <definedName name="_xlnm.Print_Area" localSheetId="0">Graphs!$A$2:$F$65</definedName>
    <definedName name="ExterneDaten_1" localSheetId="1" hidden="1">ch_latest!$A$1:$R$65</definedName>
    <definedName name="ExterneDaten_1" localSheetId="5" hidden="1">kt_latest!$A$1:$AF$28</definedName>
    <definedName name="ExterneDaten_3" localSheetId="6" hidden="1">Fallzahlen_CH!$A$1:$K$1324</definedName>
    <definedName name="ExterneDaten_5" localSheetId="1" hidden="1">ch_latest!#REF!</definedName>
  </definedNames>
  <calcPr calcId="191029"/>
  <pivotCaches>
    <pivotCache cacheId="0"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 i="15" l="1"/>
  <c r="D3" i="15"/>
  <c r="D4" i="15"/>
  <c r="D5" i="15"/>
  <c r="D6" i="15"/>
  <c r="D7" i="15"/>
  <c r="D8" i="15"/>
  <c r="D9" i="15"/>
  <c r="D10" i="15"/>
  <c r="D11" i="15"/>
  <c r="D12" i="15"/>
  <c r="D13" i="15"/>
  <c r="D14" i="15"/>
  <c r="D15" i="15"/>
  <c r="D16" i="15"/>
  <c r="D17" i="15"/>
  <c r="D18" i="15"/>
  <c r="D19" i="15"/>
  <c r="D20" i="15"/>
  <c r="D21" i="15"/>
  <c r="D22" i="15"/>
  <c r="D23" i="15"/>
  <c r="D24" i="15"/>
  <c r="D25" i="15"/>
  <c r="D26" i="15"/>
  <c r="D27" i="15"/>
  <c r="C2" i="15"/>
  <c r="C3" i="15"/>
  <c r="C4" i="15"/>
  <c r="C5" i="15"/>
  <c r="C6" i="15"/>
  <c r="C7" i="15"/>
  <c r="C8" i="15"/>
  <c r="C9" i="15"/>
  <c r="C10" i="15"/>
  <c r="C11" i="15"/>
  <c r="C12" i="15"/>
  <c r="C13" i="15"/>
  <c r="C14" i="15"/>
  <c r="C15" i="15"/>
  <c r="C16" i="15"/>
  <c r="C17" i="15"/>
  <c r="C18" i="15"/>
  <c r="C19" i="15"/>
  <c r="C20" i="15"/>
  <c r="C21" i="15"/>
  <c r="C22" i="15"/>
  <c r="C23" i="15"/>
  <c r="C24" i="15"/>
  <c r="C25" i="15"/>
  <c r="C26" i="15"/>
  <c r="C27" i="15"/>
  <c r="B3" i="4"/>
  <c r="C4" i="4"/>
  <c r="B8" i="24"/>
  <c r="C3" i="4"/>
  <c r="AE69" i="33"/>
  <c r="D3" i="4"/>
  <c r="C12" i="24" l="1"/>
  <c r="F4" i="4" s="1"/>
  <c r="B12" i="24"/>
  <c r="F3" i="4" s="1"/>
  <c r="C5" i="24" l="1"/>
  <c r="E3" i="4" s="1"/>
  <c r="B5" i="24"/>
  <c r="B9" i="24" l="1"/>
  <c r="B2" i="24"/>
  <c r="A3" i="4" s="1"/>
  <c r="B10" i="24" l="1"/>
  <c r="A4"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3368061-A837-49C8-B42E-988B1379A1B9}" keepAlive="1" interval="20" name="Abfrage - COVID19_Fallzahlen_CH_total" description="Verbindung mit der Abfrage 'COVID19_Fallzahlen_CH_total' in der Arbeitsmappe." type="5" refreshedVersion="6" background="1" refreshOnLoad="1" saveData="1">
    <dbPr connection="Provider=Microsoft.Mashup.OleDb.1;Data Source=$Workbook$;Location=COVID19_Fallzahlen_CH_total;Extended Properties=&quot;&quot;" command="SELECT * FROM [COVID19_Fallzahlen_CH_total]"/>
  </connection>
  <connection id="2" xr16:uid="{B798EE6E-B1B6-4B30-B682-C2252D6FA82D}" keepAlive="1" interval="20" name="Abfrage - dd-covid19-openzh-cantons-latest" description="Verbindung mit der Abfrage 'dd-covid19-openzh-cantons-latest' in der Arbeitsmappe." type="5" refreshedVersion="6" background="1" refreshOnLoad="1" saveData="1">
    <dbPr connection="Provider=Microsoft.Mashup.OleDb.1;Data Source=$Workbook$;Location=dd-covid19-openzh-cantons-latest;Extended Properties=&quot;&quot;" command="SELECT * FROM [dd-covid19-openzh-cantons-latest]"/>
  </connection>
  <connection id="3" xr16:uid="{B3A74981-1224-44A6-969D-E78AE7515E1D}" keepAlive="1" interval="20" name="Abfrage - dd-covid19-openzh-switzerland-latest" description="Verbindung mit der Abfrage 'dd-covid19-openzh-switzerland-latest' in der Arbeitsmappe." type="5" refreshedVersion="6" background="1" refreshOnLoad="1" saveData="1">
    <dbPr connection="Provider=Microsoft.Mashup.OleDb.1;Data Source=$Workbook$;Location=dd-covid19-openzh-switzerland-latest;Extended Properties=&quot;&quot;" command="SELECT * FROM [dd-covid19-openzh-switzerland-latest]"/>
  </connection>
</connections>
</file>

<file path=xl/sharedStrings.xml><?xml version="1.0" encoding="utf-8"?>
<sst xmlns="http://schemas.openxmlformats.org/spreadsheetml/2006/main" count="3370" uniqueCount="486">
  <si>
    <t>date</t>
  </si>
  <si>
    <t>last_update</t>
  </si>
  <si>
    <t>country</t>
  </si>
  <si>
    <t>tests_performed</t>
  </si>
  <si>
    <t>total_currently_positive</t>
  </si>
  <si>
    <t>total_positive</t>
  </si>
  <si>
    <t>new_positive</t>
  </si>
  <si>
    <t>old_positive</t>
  </si>
  <si>
    <t>home_confinment</t>
  </si>
  <si>
    <t>total_hospitalized</t>
  </si>
  <si>
    <t>hospitalized_with_symptoms</t>
  </si>
  <si>
    <t>intensive_care</t>
  </si>
  <si>
    <t>released</t>
  </si>
  <si>
    <t>deaths</t>
  </si>
  <si>
    <t>doubling_time_total_positive</t>
  </si>
  <si>
    <t>doubling_time_fatalities</t>
  </si>
  <si>
    <t>CH</t>
  </si>
  <si>
    <t>timestamp</t>
  </si>
  <si>
    <t>abbreviation_canton</t>
  </si>
  <si>
    <t>name_canton</t>
  </si>
  <si>
    <t>number_canton</t>
  </si>
  <si>
    <t>lat</t>
  </si>
  <si>
    <t>long</t>
  </si>
  <si>
    <t>total_currently_positive_cases</t>
  </si>
  <si>
    <t>total_positive_cases</t>
  </si>
  <si>
    <t>new_positive_cases</t>
  </si>
  <si>
    <t>total_currently_positive_per_100k</t>
  </si>
  <si>
    <t>deaths_per_100k</t>
  </si>
  <si>
    <t>ncumul_ICU_intub</t>
  </si>
  <si>
    <t>ncumul_vent</t>
  </si>
  <si>
    <t>ncumul_confirmed_non_resident</t>
  </si>
  <si>
    <t>ninst_ICU_intub</t>
  </si>
  <si>
    <t>ncumul_ICF</t>
  </si>
  <si>
    <t>source</t>
  </si>
  <si>
    <t>AG</t>
  </si>
  <si>
    <t>Aargau</t>
  </si>
  <si>
    <t/>
  </si>
  <si>
    <t>https://www.ag.ch/media/kanton_aargau/themen_1/coronavirus_1/lagebulletins/200409_KFS_Coronavirus_Lagebulletin_30.pdf</t>
  </si>
  <si>
    <t>AI</t>
  </si>
  <si>
    <t>Appenzell Innerrhoden</t>
  </si>
  <si>
    <t>https://www.ai.ch/themen/gesundheit-alter-und-soziales/gesundheitsfoerderung-und-praevention/uebertragbare-krankheiten/coronavirus</t>
  </si>
  <si>
    <t>AR</t>
  </si>
  <si>
    <t>Appenzell Ausserrhoden</t>
  </si>
  <si>
    <t>https://www.ar.ch/verwaltung/departement-gesundheit-und-soziales/amt-fuer-gesundheit/informationsseite-coronavirus/</t>
  </si>
  <si>
    <t>BE</t>
  </si>
  <si>
    <t>Bern/Berne</t>
  </si>
  <si>
    <t>https://www.besondere-lage.sites.be.ch/besondere-lage_sites/de/index/corona/index.html</t>
  </si>
  <si>
    <t>BL</t>
  </si>
  <si>
    <t>Basel-Landschaft</t>
  </si>
  <si>
    <t>https://www.baselland.ch/politik-und-behorden/direktionen/volkswirtschafts-und-gesundheitsdirektion/amt-fur-gesundheit/medizinische-dienste/kantonsarztlicher-dienst/aktuelles/covid-19-faelle-kanton-basel-landschaft</t>
  </si>
  <si>
    <t>BS</t>
  </si>
  <si>
    <t>Basel-Stadt</t>
  </si>
  <si>
    <t>https://www.gd.bs.ch//nm/2020-tagesbulletin-coronavirus-846-bestaetigte-faelle-im-kanton-basel-stadt-gd.html</t>
  </si>
  <si>
    <t>FL</t>
  </si>
  <si>
    <t>Fürstentum Lichtenstein</t>
  </si>
  <si>
    <t>https://www.regierung.li/de/mitteilungen/223366/?typ=news</t>
  </si>
  <si>
    <t>FR</t>
  </si>
  <si>
    <t>Fribourg</t>
  </si>
  <si>
    <t>GE</t>
  </si>
  <si>
    <t>Genève</t>
  </si>
  <si>
    <t>https://www.ge.ch/document/covid-19-situation-epidemiologique-geneve/telecharger</t>
  </si>
  <si>
    <t>GL</t>
  </si>
  <si>
    <t>Glarus</t>
  </si>
  <si>
    <t>GR</t>
  </si>
  <si>
    <t>Graubünden/Grigioni</t>
  </si>
  <si>
    <t>https://www.gr.ch/DE/institutionen/verwaltung/djsg/ga/coronavirus/info/Seiten/Start.aspx</t>
  </si>
  <si>
    <t>JU</t>
  </si>
  <si>
    <t>Jura</t>
  </si>
  <si>
    <t>LU</t>
  </si>
  <si>
    <t>Luzern</t>
  </si>
  <si>
    <t>https://gesundheit.lu.ch/themen/Humanmedizin/Infektionskrankheiten/Coronavirus</t>
  </si>
  <si>
    <t>NE</t>
  </si>
  <si>
    <t>Neuchâtel</t>
  </si>
  <si>
    <t>NW</t>
  </si>
  <si>
    <t>Nidwalden</t>
  </si>
  <si>
    <t>OW</t>
  </si>
  <si>
    <t>Obwalden</t>
  </si>
  <si>
    <t>https://www.ow.ch/de/verwaltung/dienstleistungen/?dienst_id=5962</t>
  </si>
  <si>
    <t>SG</t>
  </si>
  <si>
    <t>St. Gallen</t>
  </si>
  <si>
    <t>https://www.sg.ch/tools/informationen-coronavirus.html</t>
  </si>
  <si>
    <t>SH</t>
  </si>
  <si>
    <t>Schaffhausen</t>
  </si>
  <si>
    <t>SO</t>
  </si>
  <si>
    <t>Solothurn</t>
  </si>
  <si>
    <t>https://corona.so.ch/</t>
  </si>
  <si>
    <t>SZ</t>
  </si>
  <si>
    <t>Schwyz</t>
  </si>
  <si>
    <t>TG</t>
  </si>
  <si>
    <t>Thurgau</t>
  </si>
  <si>
    <t>https://www.tg.ch/news/fachdossier-coronavirus.html/10552</t>
  </si>
  <si>
    <t>TI</t>
  </si>
  <si>
    <t>Ticino</t>
  </si>
  <si>
    <t>https://www4.ti.ch/area-media/comunicati/dettaglio-comunicato/?NEWS_ID=187601&amp;tx_tichareamedia_comunicazioni%5Baction%5D=show&amp;tx_tichareamedia_comunicazioni%5Bcontroller%5D=Comunicazioni&amp;cHash=a02f7a88b61d913138f4f86dbeeaa599</t>
  </si>
  <si>
    <t>UR</t>
  </si>
  <si>
    <t>Uri</t>
  </si>
  <si>
    <t>https://www.ur.ch/themen/2962</t>
  </si>
  <si>
    <t>VD</t>
  </si>
  <si>
    <t>Vaud</t>
  </si>
  <si>
    <t>https://www.vd.ch/toutes-les-actualites/hotline-et-informations-sur-le-coronavirus/point-de-situation-statistique-dans-le-canton-de-vaud/</t>
  </si>
  <si>
    <t>VS</t>
  </si>
  <si>
    <t>Valais/Wallis</t>
  </si>
  <si>
    <t>ZG</t>
  </si>
  <si>
    <t>Zug</t>
  </si>
  <si>
    <t>ZH</t>
  </si>
  <si>
    <t>Zürich</t>
  </si>
  <si>
    <t>https://gd.zh.ch/internet/gesundheitsdirektion/de/themen/coronavirus.html</t>
  </si>
  <si>
    <t>time</t>
  </si>
  <si>
    <t>https://www.srf.ch/news/schweiz/tessiner-patient-erster-coronavirus-fall-in-der-schweiz</t>
  </si>
  <si>
    <t>https://www.coronavirus.bs.ch/nm/2020-coronavirus-erster-positiver-fall-in-basel-stadt-zweiter-positiv-getesteter-ausserkantonaler-fall-gd.html</t>
  </si>
  <si>
    <t>https://www.regierung.li/media/attachments/83-verdachtsfaelle-negativ-getestet.pdf?t=637202562374055719</t>
  </si>
  <si>
    <t>https://www.ag.ch/media/kanton_aargau/themen_1/coronavirus_1/20200228_KFS_20200106_Coronavirus_Lagebulletin_AG_Unterschrieben.pdf</t>
  </si>
  <si>
    <t>https://www.be.ch/portal/de/index/mediencenter/medienmitteilungen/suche.archiv.meldungNeu.html/portal/de/meldungen/mm/2020/02/20200229_0936_corona.html</t>
  </si>
  <si>
    <t>https://www.baselland.ch/politik-und-behorden/direktionen/volkswirtschafts-und-gesundheitsdirektion/medienmitteilungen/neuer-coronavirus-covid-19-erster-bestaetigter-fall-aus-dem-kanton-basel-landschaft</t>
  </si>
  <si>
    <t>https://twitter.com/BR_Sprecher/status/1233316679863631873?s=20</t>
  </si>
  <si>
    <t>https://www.vd.ch/toutes-les-actualites/hotline-et-informations-sur-le-coronavirus/</t>
  </si>
  <si>
    <t>https://www.baselland.ch/politik-und-behorden/direktionen/volkswirtschafts-und-gesundheitsdirektion/medienmitteilungen/weiterer-bestaetigter-fall-aus-dem-kanton-basel-landschaft</t>
  </si>
  <si>
    <t>https://twitter.com/BAG_OFSP_UFSP/status/1233759578241863681?s=20</t>
  </si>
  <si>
    <t>https://www.be.ch/portal/de/index/mediencenter/medienmitteilungen/suche.meldungNeu.html/portal/de/meldungen/mm/2020/03/20200302_1522_zweiter_bestaetigtercorona-fallinbiel</t>
  </si>
  <si>
    <t>https://www.coronavirus.bs.ch/nm/2020-coronavirus-anzahl-der-getesteten-faelle-und-zwischenstand-kita-riehen-gd.html</t>
  </si>
  <si>
    <t>https://www.fr.ch/sites/default/files/2020-03/200301_commd_dsas_covid_cas_fr.pdf</t>
  </si>
  <si>
    <t>https://www.ag.ch/media/kanton_aargau/themen_1/coronavirus_1/200302_KFS_Coronavirus_Lagebulletin_2.pdf</t>
  </si>
  <si>
    <t>https://www.be.ch/portal/de/index/mediencenter/medienmitteilungen/suche.meldungNeu.html/portal/de/meldungen/mm/2020/03/20200303_1333_mann_in_spital_interlakenpositivgetestet</t>
  </si>
  <si>
    <t>https://www.coronavirus.bs.ch/nm/2020-coronavirus-zwei-neue-positive-faelle-in-basel-stadt-gd.html</t>
  </si>
  <si>
    <t>https://www.fr.ch/sites/default/files/2020-03/200302_CommD_DSAS_covid_cas%20FR.pdf</t>
  </si>
  <si>
    <t>https://www.sg.ch/news/sgch_allgemein/2020/03/zwei-personen-in-quarantaene---kein-bestaetigter-fall.html</t>
  </si>
  <si>
    <t>https://www4.ti.ch/area-media/comunicati/dettaglio-comunicato/?NEWS_ID=187352&amp;tx_tichareamedia_comunicazioni%5Baction%5D=show&amp;tx_tichareamedia_comunicazioni%5Bcontroller%5D=Comunicazioni&amp;cHash=ea65dbcabb28d4711459f3b613bbc1b7</t>
  </si>
  <si>
    <t>https://www.ag.ch/media/kanton_aargau/themen_1/coronavirus_1/lagebulletins/200303_KFS_Coronavirus_Lagebulletin_3.pdf</t>
  </si>
  <si>
    <t>https://twitter.com/BAG_OFSP_UFSP/status/1234880556095213569?s=20</t>
  </si>
  <si>
    <t>https://www.regierung.li/media/attachments/90-coronavirus.pdf?t=637202562374055719</t>
  </si>
  <si>
    <t>https://www.sz.ch/public/upload/assets/45351/MM_Coronavirus_4_3_2020.pdf</t>
  </si>
  <si>
    <t>https://www4.ti.ch/area-media/comunicati/dettaglio-comunicato/?NEWS_ID=187363&amp;tx_tichareamedia_comunicazioni%5Baction%5D=show&amp;tx_tichareamedia_comunicazioni%5Bcontroller%5D=Comunicazioni&amp;cHash=b34e82602a39cad67a7f8d54150dcf70   https://www4.ti.ch/area-media/comunicati/dettaglio-comunicato/?NEWS_ID=187369&amp;tx_tichareamedia_comunicazioni%5Baction%5D=show&amp;tx_tichareamedia_comunicazioni%5Bcontroller%5D=Comunicazioni&amp;cHash=3154d18e72821fc23d7b3c5cdfe9f9a3</t>
  </si>
  <si>
    <t>https://www.ag.ch/media/kanton_aargau/themen_1/coronavirus_1/lagebulletins/200304_KFS_Coronavirus_Lagebulletin_4.pdf</t>
  </si>
  <si>
    <t>https://www.be.ch/portal/de/index/mediencenter/medienmitteilungen/suche.meldungNeu.html/portal/de/meldungen/mm/2020/03/20200304_1443_corona-4-3-2020</t>
  </si>
  <si>
    <t>https://twitter.com/BAG_OFSP_UFSP/status/1235240377134862336?s=20</t>
  </si>
  <si>
    <t>https://www.regierung.li/media/attachments/97-coronavirus.pdf?t=637202562374055719</t>
  </si>
  <si>
    <t>https://www.fr.ch/sites/default/files/2020-03/200304_CommD_DSAS_covid_cas%20FR.pdf</t>
  </si>
  <si>
    <t>https://web.archive.org/web/20200304173939/https://gesundheit.lu.ch/themen/Humanmedizin/Infektionskrankheiten/Coronavirus</t>
  </si>
  <si>
    <t>https://www.sg.ch/news/sgch_allgemein/2020/03/erster-bestaetigter-corona-fall-im-kanton-.html</t>
  </si>
  <si>
    <t>https://www4.ti.ch/area-media/comunicati/dettaglio-comunicato/?NEWS_ID=187371&amp;tx_tichareamedia_comunicazioni%5Baction%5D=show&amp;tx_tichareamedia_comunicazioni%5Bcontroller%5D=Comunicazioni&amp;cHash=174f2d754f3b657af79f343c92fc5c89</t>
  </si>
  <si>
    <t>https://www.ag.ch/media/kanton_aargau/themen_1/coronavirus_1/lagebulletins/200305_KFS_Coronavirus_Lagebulletin_5.pdf</t>
  </si>
  <si>
    <t>https://www.ar.ch/verwaltung/departement-gesundheit-und-soziales/news-aus-dem-departement/detail/news/coronavirusersterfallinappenzellausserrhoden/?tx_news_pi1[controller]=News&amp;tx_news_pi1[action]=detail&amp;cHash=fb1a9cf08108cdc7b82780b9239b009d</t>
  </si>
  <si>
    <t>https://www.baselland.ch/politik-und-behorden/direktionen/volkswirtschafts-und-gesundheitsdirektion/medienmitteilungen/neuer-coronavirus-covid-19-sechs-bestaetigte-faelle-im-kanton-basel-landschaft</t>
  </si>
  <si>
    <t>https://www.coronavirus.bs.ch/nm/2020-coronavirus-fuenf-neue-positive-faelle-in-basel-stadt-gd.html</t>
  </si>
  <si>
    <t>https://www.regierung.li/media/attachments/100-coronavirus-18-verdachtsfaelle-0305.pdf?t=637202562374055719</t>
  </si>
  <si>
    <t>https://www.fr.ch/de/covid19/gesundheit/covid-19/coronavirus-entwicklungen-der-situation</t>
  </si>
  <si>
    <t>https://www4.ti.ch/area-media/comunicati/dettaglio-comunicato/?NEWS_ID=187385&amp;tx_tichareamedia_comunicazioni%5Baction%5D=show&amp;tx_tichareamedia_comunicazioni%5Bcontroller%5D=Comunicazioni&amp;cHash=a9ddddfae2c7446e5b856451e178a61a</t>
  </si>
  <si>
    <t>https://www.ag.ch/media/kanton_aargau/themen_1/coronavirus_1/lagebulletins/200305_KFS_Coronavirus_Lagebulletin_6.pdf</t>
  </si>
  <si>
    <t>https://www.be.ch/portal/de/index/mediencenter/medienmitteilungen/suche.meldungNeu.html/portal/de/meldungen/mm/2020/03/20200306_1343_corona6-3</t>
  </si>
  <si>
    <t>https://twitter.com/BAG_OFSP_UFSP/status/1235934884167852035?s=20</t>
  </si>
  <si>
    <t>https://www.regierung.li/media/attachments/104-coronavirus-vorsicht.pdf?t=637202562374055719</t>
  </si>
  <si>
    <t>https://www.sg.ch/news/sgch_allgemein/2020/03/zweiter-bestaetigter-fall-einer-corona-patientin.html</t>
  </si>
  <si>
    <t>https://so.ch/startseite/aktuell/news/erster-laborbestaetigter-covid-19-fall-im-kanton-solothurn/?tx_news_pi1%5Bcontroller%5D=News&amp;tx_news_pi1%5Baction%5D=detail&amp;cHash=3074bbdc8f0fcdcb9f1e11a21fc05e73</t>
  </si>
  <si>
    <t>https://www.sz.ch/public/upload/assets/45417/MM_Coronavirus_6_3_2020.pdf</t>
  </si>
  <si>
    <t>https://www.baselland.ch/politik-und-behorden/direktionen/volkswirtschafts-und-gesundheitsdirektion/medienmitteilungen/update-15-bestaetigte-faelle-in-basel-landschaft</t>
  </si>
  <si>
    <t>https://twitter.com/BAG_OFSP_UFSP/status/1236249864473894914?s=20</t>
  </si>
  <si>
    <t>https://www4.ti.ch/area-media/comunicati/dettaglio-comunicato/?NEWS_ID=187406&amp;tx_tichareamedia_comunicazioni%5Baction%5D=show&amp;tx_tichareamedia_comunicazioni%5Bcontroller%5D=Comunicazioni&amp;cHash=e553d0b42db2ead87a7d05e499fac4db</t>
  </si>
  <si>
    <t>https://www.baselland.ch/politik-und-behorden/direktionen/volkswirtschafts-und-gesundheitsdirektion/medienmitteilungen/patient-im-kantonsspital-baselland-stirbt-an-den-folgen-einer-coronavirus-infektion</t>
  </si>
  <si>
    <t>https://twitter.com/BAG_OFSP_UFSP/status/1236609191831384064?s=20</t>
  </si>
  <si>
    <t>https://www4.ti.ch/area-media/comunicati/dettaglio-comunicato/?NEWS_ID=187407&amp;tx_tichareamedia_comunicazioni%5Baction%5D=show&amp;tx_tichareamedia_comunicazioni%5Bcontroller%5D=Comunicazioni&amp;cHash=8d1ff4bf2a674892913340827de952ea</t>
  </si>
  <si>
    <t>https://www.ag.ch/media/kanton_aargau/themen_1/coronavirus_1/lagebulletins/200309_KFS_Coronavirus_Lagebulletin_7.pdf</t>
  </si>
  <si>
    <t>https://www.ar.ch/schnellzugriff/medienmitteilungen-der-kantonalen-verwaltung/detail/news/zweiter-coronafall-in-appenzell-ausserrhoden/?tx_news_pi1[controller]=News&amp;tx_news_pi1[action]=detail&amp;cHash=de7ec38198b5e60b6dce8fccc7735501</t>
  </si>
  <si>
    <t>https://www.be.ch/portal/de/index/mediencenter/medienmitteilungen/suche.meldungNeu.html/portal/de/meldungen/mm/2020/03/20200309_1545_corona-9-3</t>
  </si>
  <si>
    <t>https://www.baselland.ch/politik-und-behorden/direktionen/volkswirtschafts-und-gesundheitsdirektion/medienmitteilungen/update-xx-bestaetigte-faelle-in-basel-landschaft</t>
  </si>
  <si>
    <t>https://twitter.com/BAG_OFSP_UFSP/status/1236973685602426881?s=20</t>
  </si>
  <si>
    <t>https://www.regierung.li/media/attachments/106-coronavirus-anpassung-massnahmen.pdf?t=637202562374055719</t>
  </si>
  <si>
    <t>https://www4.ti.ch/area-media/comunicati/dettaglio-comunicato/?NEWS_ID=187417&amp;tx_tichareamedia_comunicazioni%5Baction%5D=show&amp;tx_tichareamedia_comunicazioni%5Bcontroller%5D=Comunicazioni&amp;cHash=20e9b76118246e98781581881b459523</t>
  </si>
  <si>
    <t>https://www.ag.ch/media/kanton_aargau/themen_1/coronavirus_1/lagebulletins/200310_KFS_Coronavirus_Lagebulletin_8.pdf</t>
  </si>
  <si>
    <t>https://www.baselland.ch/politik-und-behorden/direktionen/volkswirtschafts-und-gesundheitsdirektion/medienmitteilungen/update</t>
  </si>
  <si>
    <t>https://twitter.com/BAG_OFSP_UFSP/status/1237336196772175873?s=20</t>
  </si>
  <si>
    <t>https://www.regierung.li/media/attachments/110-corona-0310.pdf?t=637202562374055719</t>
  </si>
  <si>
    <t>https://www4.ti.ch/area-media/comunicati/dettaglio-comunicato/?NEWS_ID=187422&amp;tx_tichareamedia_comunicazioni%5Baction%5D=show&amp;tx_tichareamedia_comunicazioni%5Bcontroller%5D=Comunicazioni&amp;cHash=24aa247e65de88fdd1551a61fcc407d9</t>
  </si>
  <si>
    <t>https://www.ag.ch/media/kanton_aargau/themen_1/coronavirus_1/lagebulletins/200311_KFS_Coronavirus_Lagebulletin_9.pdf</t>
  </si>
  <si>
    <t>https://www.baselland.ch/politik-und-behorden/direktionen/volkswirtschafts-und-gesundheitsdirektion/medienmitteilungen/update-26-bestaetigte-faelle-in-basel-landschaft-1</t>
  </si>
  <si>
    <t>https://www.coronavirus.bs.ch/nm/2020-coronavirus-ende-der-quarantaenemassnahmen-im-fall-kita-riehen-gd.html</t>
  </si>
  <si>
    <t>https://www.regierung.li/media/attachments/112-drei-personen-infiziert.pdf?t=637202562374055719</t>
  </si>
  <si>
    <t>https://www.ag.ch/media/kanton_aargau/themen_1/coronavirus_1/lagebulletins/200312_KFS_Coronavirus_Lagebulletin_10.pdf</t>
  </si>
  <si>
    <t>https://www.ar.ch/schnellzugriff/medienmitteilungen-der-kantonalen-verwaltung/detail/news/coronavirus-drei-neue-faelle-in-appenzell-ausserrhoden/?tx_news_pi1[controller]=News&amp;tx_news_pi1[action]=detail&amp;cHash=272411484066c8fb971dcc838aa96ef9</t>
  </si>
  <si>
    <t>https://twitter.com/BAG_OFSP_UFSP/status/1238073089902235648?s=20 https://www.coronavirus.bs.ch/nm/2020-coronavirus-erster-todesfall-im-kanton-basel-stadt-gd.html</t>
  </si>
  <si>
    <t>https://www.regierung.li/media/attachments/114-hallenbaeder-geschlossen-0312.pdf?t=637202562374055719</t>
  </si>
  <si>
    <t>https://www4.ti.ch/area-media/comunicati/dettaglio-comunicato/?NEWS_ID=187437&amp;tx_tichareamedia_comunicazioni%5Baction%5D=show&amp;tx_tichareamedia_comunicazioni%5Bcontroller%5D=Comunicazioni&amp;cHash=59cf6112c82abed490acd8901f5a0bb2</t>
  </si>
  <si>
    <t>https://www.ag.ch/media/kanton_aargau/themen_1/coronavirus_1/lagebulletins/200313_KFS_Coronavirus_Lagebulletin_11.pdf</t>
  </si>
  <si>
    <t>https://www.baselland.ch/politik-und-behorden/direktionen/volkswirtschafts-und-gesundheitsdirektion/medienmitteilungen/update-26-bestaetigte-faelle-in-basel-landschaft-2</t>
  </si>
  <si>
    <t>https://twitter.com/BAG_OFSP_UFSP/status/1238430659762364417?s=20</t>
  </si>
  <si>
    <t>https://www.ow.ch/de/aktuelles/aktuellesinformationen/amtsmitteilungen/welcome.php?action=showinfo&amp;info_id=63566&amp;ls=0&amp;sq=&amp;kategorie_id=&amp;date_from=&amp;date_to=</t>
  </si>
  <si>
    <t>https://www.sz.ch/public/upload/assets/45585/MM_Coronavirus_13_03_2020.pdf</t>
  </si>
  <si>
    <t>https://www.youtube.com/watch?v=_x_yQ6uwGAQ</t>
  </si>
  <si>
    <t>https://www.ai.ch/themen/gesundheit-alter-und-soziales/gesundheitsfoerderung-und-praevention/aktuelles/erste-bestaetigte-coronavirus-faelle-auch-in-innerrhoden</t>
  </si>
  <si>
    <t>https://www.baselland.ch/politik-und-behorden/direktionen/volkswirtschafts-und-gesundheitsdirektion/medienmitteilungen/update-47-bestaetigte-faelle-in-basel-landschaft</t>
  </si>
  <si>
    <t>https://twitter.com/BAG_OFSP_UFSP/status/1238773726423941127?s=20</t>
  </si>
  <si>
    <t>https://www.regierung.li/media/attachments/118-corona-rueckkehrer-skiferien-0314.pdf?t=637202562374055719</t>
  </si>
  <si>
    <t>https://www4.ti.ch/area-media/comunicati/dettaglio-comunicato/?NEWS_ID=187466&amp;tx_tichareamedia_comunicazioni%5Baction%5D=show&amp;tx_tichareamedia_comunicazioni%5Bcontroller%5D=Comunicazioni&amp;cHash=1b10e6e8117296766155edcf9c317a4c</t>
  </si>
  <si>
    <t>https://www.baselland.ch/politik-und-behorden/direktionen/volkswirtschafts-und-gesundheitsdirektion/medienmitteilungen/update-54-bestaetigte-faelle-in-basel-landschaft</t>
  </si>
  <si>
    <t>https://www.regierung.li/media/attachments/119-corona-massnahmen-verschaerft-0315.pdf?t=637202562374055719</t>
  </si>
  <si>
    <t>https://www.sz.ch/public/upload/assets/45590/MM_Coronavirus_15_3_2020.pdf</t>
  </si>
  <si>
    <t>https://www4.ti.ch/area-media/comunicati/dettaglio-comunicato/?NEWS_ID=187467&amp;tx_tichareamedia_comunicazioni%5Baction%5D=show&amp;tx_tichareamedia_comunicazioni%5Bcontroller%5D=Comunicazioni&amp;cHash=af5473066754ef4d1272e156056acc07</t>
  </si>
  <si>
    <t>https://www.ag.ch/media/kanton_aargau/themen_1/coronavirus_1/lagebulletins/200316_KFS_Coronavirus_Lagebulletin_12.pdf</t>
  </si>
  <si>
    <t>Kantonaler Führungsstab Appenzell Innerrhoden</t>
  </si>
  <si>
    <t>https://www.baselland.ch/politik-und-behorden/direktionen/volkswirtschafts-und-gesundheitsdirektion/medienmitteilungen/update-67-bestaetigte-faelle-in-basel-landschaft</t>
  </si>
  <si>
    <t>https://www.coronavirus.bs.ch/nm/2020-tagesbulletin-coronavirus-144-bestaetigte-faelle-im-kanton-basel-stadt-gd.html</t>
  </si>
  <si>
    <t>https://www4.ti.ch/area-media/comunicati/dettaglio-comunicato/?NEWS_ID=187475&amp;tx_tichareamedia_comunicazioni%5Baction%5D=show&amp;tx_tichareamedia_comunicazioni%5Bcontroller%5D=Comunicazioni&amp;cHash=dee4a529abd4e9300e116c7ff4db5774</t>
  </si>
  <si>
    <t>https://www.ag.ch/media/kanton_aargau/themen_1/coronavirus_1/lagebulletins/200317_KFS_Coronavirus_Lagebulletin_13.pdf</t>
  </si>
  <si>
    <t>https://www.baselland.ch/politik-und-behorden/direktionen/volkswirtschafts-und-gesundheitsdirektion/medienmitteilungen/update-89-bestaetigte-faelle-in-basel-landschaft</t>
  </si>
  <si>
    <t>https://www.coronavirus.bs.ch/nm/2020-tagesbulletin-coronavirus-165-bestaetigte-faelle-im-kanton-basel-stadt-gd.html</t>
  </si>
  <si>
    <t>https://www.regierung.li/media/attachments/126-corona-generelles-veranstaltungsverbot-weitere-schliessungen.pdf?t=637202562374055719</t>
  </si>
  <si>
    <t>https://www4.ti.ch/area-media/comunicati/dettaglio-comunicato/?NEWS_ID=187486&amp;tx_tichareamedia_comunicazioni%5Baction%5D=show&amp;tx_tichareamedia_comunicazioni%5Bcontroller%5D=Comunicazioni&amp;cHash=d106aab74491da09b294ff13ffadd02f</t>
  </si>
  <si>
    <t>https://www.ag.ch/media/kanton_aargau/themen_1/coronavirus_1/lagebulletins/200318_KFS_Coronavirus_Lagebulletin_14.pdf</t>
  </si>
  <si>
    <t>https://www.ar.ch/schnellzugriff/medienmitteilungen-der-kantonalen-verwaltung/detail/news/coronavirus-bevoelkerung-und-alle-spitaeler-machen-bei-der-gesundheitsversorgung-mit/?tx_news_pi1%5Bcontroller%5D=News&amp;tx_news_pi1%5Baction%5D=detail&amp;cHash=3d2a0733446b5fc7cdad0f48f61c28fd</t>
  </si>
  <si>
    <t>https://www.baselland.ch/politik-und-behorden/direktionen/volkswirtschafts-und-gesundheitsdirektion/medienmitteilungen/update-116-bestaetigte-faelle-in-basel-landschaft</t>
  </si>
  <si>
    <t>https://www.coronavirus.bs.ch/nm/2020-tagesbulletin-coronavirus-182-bestaetigte-faelle-im-kanton-basel-stadt-treffen-mit-allen-spitaelern-gd.html</t>
  </si>
  <si>
    <t>https://www.regierung.li/media/attachments/131-corona-hotline-0318.pdf?t=637202562374055719</t>
  </si>
  <si>
    <t>https://web.archive.org/web/20200318191404/https://gesundheit.lu.ch/themen/Humanmedizin/Infektionskrankheiten/Coronavirus</t>
  </si>
  <si>
    <t>https://www.oltnertagblatt.ch/solothurn/kanton-solothurn/zivilschuetzer-kontrollieren-wer-in-die-solothurner-spitaeler-rein-will-137174885</t>
  </si>
  <si>
    <t>https://www4.ti.ch/area-media/comunicati/dettaglio-comunicato/?NEWS_ID=187493&amp;tx_tichareamedia_comunicazioni%5Baction%5D=show&amp;tx_tichareamedia_comunicazioni%5Bcontroller%5D=Comunicazioni&amp;cHash=7803bbc03dd49ef2e421dfd6b12dd239</t>
  </si>
  <si>
    <t>https://www.ur.ch/mmdirektionen/63802</t>
  </si>
  <si>
    <t>https://www.ag.ch/media/kanton_aargau/themen_1/coronavirus_1/lagebulletins/200319_KFS_Coronavirus_Lagebulletin_15.pdf</t>
  </si>
  <si>
    <t>https://www.baselland.ch/politik-und-behorden/direktionen/volkswirtschafts-und-gesundheitsdirektion/medienmitteilungen/update-131-bestaetigte-faelle-in-basel-landschaft</t>
  </si>
  <si>
    <t>https://www.coronavirus.bs.ch/nm/2020-tagesbulletin-coronavirus-222-bestaetigte-faelle-basel-stadt-trifft-gemeinsam-mit-den-spitaelern-vorkehrungen-fuer-intensiv--und-beatmungskapazitaeten-gd.html</t>
  </si>
  <si>
    <t>https://www4.ti.ch/area-media/comunicati/dettaglio-comunicato/?NEWS_ID=187499&amp;tx_tichareamedia_comunicazioni%5Baction%5D=show&amp;tx_tichareamedia_comunicazioni%5Bcontroller%5D=Comunicazioni&amp;cHash=634a783514bdcbb426c005f1ea916268 https://www.youtube.com/watch?v=34RQ7OOWYoI</t>
  </si>
  <si>
    <t>https://www.ur.ch/mmdirektionen/63841</t>
  </si>
  <si>
    <t>https://www.ag.ch/media/kanton_aargau/themen_1/coronavirus_1/lagebulletins/200320_KFS_Coronavirus_Lagebulletin_16.pdf</t>
  </si>
  <si>
    <t>https://www.baselland.ch/politik-und-behorden/direktionen/volkswirtschafts-und-gesundheitsdirektion/medienmitteilungen/update-170-bestaetigte-faelle-in-basel-landschaft</t>
  </si>
  <si>
    <t>https://www.coronavirus.bs.ch/nm/2020-tagesbulletin-coronavirus-272-bestaetigte-faelle-im-kanton-basel-stadt-gd.html</t>
  </si>
  <si>
    <t>https://www.regierung.li/media/attachments/136-soziale-kontakte-reduktion-corona.pdf?t=637203388043363286</t>
  </si>
  <si>
    <t>https://twitter.com/KantonSolothurn/status/1241041303024041989?p=p</t>
  </si>
  <si>
    <t>https://www4.ti.ch/dss/dsp/covid19/home/ https://www.youtube.com/watch?v=34RQ7OOWYoI</t>
  </si>
  <si>
    <t>https://www.ur.ch/themen/2920</t>
  </si>
  <si>
    <t>https://www.ar.ch/schnellzugriff/medienmitteilungen-der-kantonalen-verwaltung/detail/news/coronavirus-erster-todesfall-in-appenzell-ausserrhoden/?tx_news_pi1%5Bcontroller%5D=News&amp;tx_news_pi1%5Baction%5D=detail&amp;cHash=a88f209df29c38474f9c5f9e1c5dd53f</t>
  </si>
  <si>
    <t>https://www.baselland.ch/politik-und-behorden/direktionen/volkswirtschafts-und-gesundheitsdirektion/medienmitteilungen/update-282-bestaetigte-faelle-in-basel-landschaft</t>
  </si>
  <si>
    <t>https://www.coronavirus.bs.ch/nm/2020-tagesbulletin-coronavirus-299-bestaetigte-faelle-im-kanton-basel-stadt-gd.html</t>
  </si>
  <si>
    <t>https://www.regierung.li/media/attachments/138-corona-starke-zunahme-0321.pdf?t=637204593432337675</t>
  </si>
  <si>
    <t>https://gesundheit.lu.ch/themen/Humanmedizin/Infektionskrankheiten/Coronavirus;https://newsletter.lu.ch/inxmail/html_mail.jsp?params=7UGt4J1Fx6OIONHlV9upAAuOzkQ6ZmQA%2FxRrLjJkeDWZdweUdKfwhAE94i2Apium%2F6rIvcF2Z5MaTtV52A77W2jrwVmrkZ8UhFPVmHC4iuI%3D</t>
  </si>
  <si>
    <t>https://www4.ti.ch/dss/dsp/covid19/home/ https://www.youtube.com/watch?v=7g2sALU9bQM</t>
  </si>
  <si>
    <t>https://www.ag.ch/de/aktuelles/medienportal/medienmitteilung/medienmitteilungen/mediendetails_139237.jsp</t>
  </si>
  <si>
    <t>https://www.baselland.ch/politik-und-behorden/direktionen/volkswirtschafts-und-gesundheitsdirektion/medienmitteilungen/update-289-bestaetigte-faelle-in-basel-landschaft</t>
  </si>
  <si>
    <t>https://www.coronavirus.bs.ch/nm/2020-tagesbulletin-coronavirus-358-bestaetigte-faelle-im-kanton-basel-stadt-gd.html</t>
  </si>
  <si>
    <t>https://www.regierung.li/media/attachments/139-46-faelle-0322.pdf?t=637204971345932209</t>
  </si>
  <si>
    <t>https://web.archive.org/web/20200322153528/https://www4.ti.ch/dss/dsp/covid19/home/</t>
  </si>
  <si>
    <t>https://www.ag.ch/media/kanton_aargau/themen_1/coronavirus_1/lagebulletins/200323_KFS_Coronavirus_Lagebulletin_17.pdf</t>
  </si>
  <si>
    <t>https://www.baselland.ch/politik-und-behorden/direktionen/volkswirtschafts-und-gesundheitsdirektion/medienmitteilungen/update-289-bestaetigte-faelle-in-basel-landschaft-1</t>
  </si>
  <si>
    <t>https://www.coronavirus.bs.ch/nm/2020-tagesbulletin-coronavirus-376-bestaetigte-faelle-im-kanton-basel-stadt-gd.html</t>
  </si>
  <si>
    <t>https://www.regierung.li/media/attachments/140-corona-regierung-0323.pdf?t=637205847493377066</t>
  </si>
  <si>
    <t>https://www4.ti.ch/area-media/comunicati/dettaglio-comunicato/?NEWS_ID=187510&amp;tx_tichareamedia_comunicazioni%5Baction%5D=show&amp;tx_tichareamedia_comunicazioni%5Bcontroller%5D=Comunicazioni&amp;cHash=0120f665ab49651b9d66c876ef272a91</t>
  </si>
  <si>
    <t>https://www.ag.ch/media/kanton_aargau/themen_1/coronavirus_1/lagebulletins/200324_KFS_Coronavirus_Lagebulletin_18.pdf</t>
  </si>
  <si>
    <t>https://www.coronavirus.bs.ch/nm/2020-tagesbulletin-coronavirus-414-bestaetigte-faelle-im-kanton-basel-stadt-gd.html</t>
  </si>
  <si>
    <t>https://www.regierung.li/media/attachments/143-coronavirus-praesenz-fernunterricht.pdf?t=637207680400073990</t>
  </si>
  <si>
    <t>https://www.tg.ch/news/fachdossier-coronavirus.html/10552 &amp; https://www.tg.ch/news/news-detailseite.html/485/news/44925</t>
  </si>
  <si>
    <t>https://www4.ti.ch/area-media/comunicati/dettaglio-comunicato/?NEWS_ID=187520&amp;tx_tichareamedia_comunicazioni%5Baction%5D=show&amp;tx_tichareamedia_comunicazioni%5Bcontroller%5D=Comunicazioni&amp;cHash=4d581f57e92de04937175bab9e5b0f14</t>
  </si>
  <si>
    <t>https://www.ag.ch/media/kanton_aargau/themen_1/coronavirus_1/lagebulletins/200325_KFS_Coronavirus_Lagebulletin_19.pdf</t>
  </si>
  <si>
    <t>https://www.coronavirus.bs.ch/nm/2020-tagesbulletin-coronavirus-466-bestaetigte-faelle-im-kanton-basel-stadt-gd.html</t>
  </si>
  <si>
    <t>https://www.regierung.li/media/attachments/145-drive-trouhg-anlage-corona.pdf?t=637207634421649200</t>
  </si>
  <si>
    <t>https://www4.ti.ch/area-media/comunicati/dettaglio-comunicato/?NEWS_ID=187523&amp;tx_tichareamedia_comunicazioni%5Baction%5D=show&amp;tx_tichareamedia_comunicazioni%5Bcontroller%5D=Comunicazioni&amp;cHash=982795a2c13394282accc3a8506c9ba0</t>
  </si>
  <si>
    <t>https://www.ag.ch/media/kanton_aargau/themen_1/coronavirus_1/lagebulletins/200326_KFS_Coronavirus_Lagebulletin_20.pdf</t>
  </si>
  <si>
    <t>https://www.coronavirus.bs.ch/nm/2020-tagesbulletin-coronavirus-505-bestaetigte-faelle-im-kanton-basel-stadt-gd.html</t>
  </si>
  <si>
    <t>https://www.regierung.li/media/attachments/151-900-personen-getestet.pdf?t=637208497707275503</t>
  </si>
  <si>
    <t>https://www4.ti.ch/area-media/comunicati/dettaglio-comunicato/?NEWS_ID=187529&amp;tx_tichareamedia_comunicazioni%5Baction%5D=show&amp;tx_tichareamedia_comunicazioni%5Bcontroller%5D=Comunicazioni&amp;cHash=8ce8f2f412a3bb9022fb4a28c9ad7fa4</t>
  </si>
  <si>
    <t>https://www.ag.ch/media/kanton_aargau/themen_1/coronavirus_1/lagebulletins/200327_KFS_Coronavirus_Lagebulletin_21.pdf</t>
  </si>
  <si>
    <t>https://www.coronavirus.bs.ch/nm/2020-tagesbulletin-coronavirus-534-bestaetigte-faelle-im-kanton-basel-stadt-gd.html</t>
  </si>
  <si>
    <t>https://www.regierung.li/media/attachments/152-regierung-bedankt-sich.pdf?t=637209361840426241</t>
  </si>
  <si>
    <t>https://www.tg.ch/news/fachdossier-coronavirus.html/10552 &amp; email der Staatskanzlei des Kanton Thurgau</t>
  </si>
  <si>
    <t>https://www4.ti.ch/area-media/comunicati/dettaglio-comunicato/?NEWS_ID=187533&amp;tx_tichareamedia_comunicazioni%5Baction%5D=show&amp;tx_tichareamedia_comunicazioni%5Bcontroller%5D=Comunicazioni&amp;cHash=0f01b9fd5e63dbb0f6f5cec02aa32b40</t>
  </si>
  <si>
    <t>https://www.coronavirus.bs.ch/nm/2020-tagesbulletin-coronavirus-573-bestaetigte-faelle-im-kanton-basel-stadt-gd.html</t>
  </si>
  <si>
    <t>https://www.regierung.li/de/mitteilungen/223346/?typ=news</t>
  </si>
  <si>
    <t>https://www4.ti.ch/area-media/comunicati/dettaglio-comunicato/?NEWS_ID=187538&amp;tx_tichareamedia_comunicazioni%5Baction%5D=show&amp;tx_tichareamedia_comunicazioni%5Bcontroller%5D=Comunicazioni&amp;cHash=736a7f1a780ed9bdb1d8e45f8a0326ff</t>
  </si>
  <si>
    <t>https://www.coronavirus.bs.ch/nm/2020-tagesbulletin-coronavirus-609-bestaetigte-faelle-im-kanton-basel-stadt-gd.html</t>
  </si>
  <si>
    <t>https://www.regierung.li/de/mitteilungen/223347/?typ=news</t>
  </si>
  <si>
    <t>https://www4.ti.ch/area-media/comunicati/dettaglio-comunicato/?NEWS_ID=187540&amp;tx_tichareamedia_comunicazioni%5Baction%5D=show&amp;tx_tichareamedia_comunicazioni%5Bcontroller%5D=Comunicazioni&amp;cHash=ae32268e60ac2b59add1b9d55de51cbf</t>
  </si>
  <si>
    <t>https://www.ag.ch/media/kanton_aargau/themen_1/coronavirus_1/lagebulletins/200330_KFS_Coronavirus_Lagebulletin_22.pdf</t>
  </si>
  <si>
    <t>https://www.coronavirus.bs.ch/nm/2020-tagesbulletin-coronavirus-621-bestaetigte-faelle-im-kanton-basel-stadt-gd.html</t>
  </si>
  <si>
    <t>https://www.regierung.li/de/mitteilungen/223349/?typ=newss</t>
  </si>
  <si>
    <t>https://www4.ti.ch/area-media/comunicati/dettaglio-comunicato/?NEWS_ID=187546&amp;tx_tichareamedia_comunicazioni%5Baction%5D=show&amp;tx_tichareamedia_comunicazioni%5Bcontroller%5D=Comunicazioni&amp;cHash=1465eace9ac68357130a7327d0c9b8f9</t>
  </si>
  <si>
    <t>https://www.ag.ch/media/kanton_aargau/themen_1/coronavirus_1/lagebulletins/200331_KFS_Coronavirus_Lagebulletin_23.pdf</t>
  </si>
  <si>
    <t>https://www.coronavirus.bs.ch/nm/2020-tagesbulletin-coronavirus-628-bestaetigte-faelle-im-kanton-basel-stadt-gd.html https://www.coronavirus.bs.ch/nm/2020-tagesbulletin-coronavirus-691-bestaetigte-faelle-im-kanton-basel-stadt-gd.html</t>
  </si>
  <si>
    <t>https://www.regierung.li/media/attachments/160-coronavirus-68-personen-positiv.pdf?t=637212737830081294</t>
  </si>
  <si>
    <t>https://www4.ti.ch/area-media/comunicati/dettaglio-comunicato/?NEWS_ID=187550&amp;tx_tichareamedia_comunicazioni%5Baction%5D=show&amp;tx_tichareamedia_comunicazioni%5Bcontroller%5D=Comunicazioni&amp;cHash=007dc1182450e5b85ee4f533dfdcd6e3</t>
  </si>
  <si>
    <t>https://www.ag.ch/media/kanton_aargau/themen_1/coronavirus_1/lagebulletins/200401_KFS_Coronavirus_Lagebulletin_24.pdf</t>
  </si>
  <si>
    <t>https://www.coronavirus.bs.ch/nm/2020-tagesbulletin-coronavirus-691-bestaetigte-faelle-im-kanton-basel-stadt-gd.html</t>
  </si>
  <si>
    <t>https://www.regierung.li/media/attachments/164-corona-schweizer-sanitaetssoldaten-0401.pdf?t=637213766824962451</t>
  </si>
  <si>
    <t>https://www4.ti.ch/area-media/comunicati/dettaglio-comunicato/?NEWS_ID=187555&amp;tx_tichareamedia_comunicazioni%5Baction%5D=show&amp;tx_tichareamedia_comunicazioni%5Bcontroller%5D=Comunicazioni&amp;cHash=843d72993004667ab731d64142591372</t>
  </si>
  <si>
    <t>https://www.ag.ch/media/kanton_aargau/themen_1/coronavirus_1/lagebulletins/200402_KFS_Coronavirus_Lagebulletin_25.pdf</t>
  </si>
  <si>
    <t>https://www.gd.bs.ch//nm/2020-tagesbulletin-coronavirus-718-bestaetigte-faelle-im-kanton-basel-stadt-gd.html</t>
  </si>
  <si>
    <t>https://www.regierung.li/media/attachments/166-massnahmen-weiter-einhalten-0402.pdf?t=637214501732587547</t>
  </si>
  <si>
    <t>https://www4.ti.ch/area-media/comunicati/dettaglio-comunicato/?NEWS_ID=187564&amp;tx_tichareamedia_comunicazioni%5Baction%5D=show&amp;tx_tichareamedia_comunicazioni%5Bcontroller%5D=Comunicazioni&amp;cHash=6abbcb9cd18b83f8ce260e2748b9a326</t>
  </si>
  <si>
    <t>https://www.ag.ch/media/kanton_aargau/themen_1/coronavirus_1/lagebulletins/200403_KFS_Coronavirus_Lagebulletin_26.pdf</t>
  </si>
  <si>
    <t>https://www.gd.bs.ch/nm/2020-tagesbulletin-coronavirus-748-bestaetigte-faelle-im-kanton-basel-stadt-gd.html https://www.coronavirus.bs.ch/nm/2020-tagesbulletin-coronavirus-771-bestaetigte-faelle-im-kanton-basel-stadt-gd.html</t>
  </si>
  <si>
    <t>https://www4.ti.ch/area-media/comunicati/dettaglio-comunicato/?NEWS_ID=187570&amp;tx_tichareamedia_comunicazioni%5Baction%5D=show&amp;tx_tichareamedia_comunicazioni%5Bcontroller%5D=Comunicazioni&amp;cHash=bf727072887350e7700586450c3cf957</t>
  </si>
  <si>
    <t>https://www.gd.bs.ch//nm/2020-tagesbulletin-coronavirus-771-bestaetigte-faelle-im-kanton-basel-stadt-gd.html</t>
  </si>
  <si>
    <t>https://www.regierung.li/media/attachments/168-corona-person-verstorben-0404.pdf?t=637216219078826521</t>
  </si>
  <si>
    <t>https://www4.ti.ch/area-media/comunicati/dettaglio-comunicato/?NEWS_ID=187575&amp;tx_tichareamedia_comunicazioni%5Baction%5D=show&amp;tx_tichareamedia_comunicazioni%5Bcontroller%5D=Comunicazioni&amp;cHash=4b3f64139a9dd36b9fd30a1ace23654a</t>
  </si>
  <si>
    <t>https://www.gd.bs.ch//nm/2020-tagesbulletin-coronavirus-794-bestaetigte-faelle-im-kanton-basel-stadt-gd.html</t>
  </si>
  <si>
    <t>https://www4.ti.ch/area-media/comunicati/dettaglio-comunicato/?NEWS_ID=187576&amp;tx_tichareamedia_comunicazioni%5Baction%5D=show&amp;tx_tichareamedia_comunicazioni%5Bcontroller%5D=Comunicazioni&amp;cHash=7486178287491dbfa00376059224e150</t>
  </si>
  <si>
    <t>https://www.ag.ch/media/kanton_aargau/themen_1/coronavirus_1/lagebulletins/200406_KFS_Coronavirus_Lagebulletin_27.pdf</t>
  </si>
  <si>
    <t>https://www.coronavirus.bs.ch/nm/2020-tagesbulletin-coronavirus-803-bestaetigte-faelle-im-kanton-basel-stadt-gd.html</t>
  </si>
  <si>
    <t>https://www4.ti.ch/area-media/comunicati/dettaglio-comunicato/?NEWS_ID=187585&amp;cHash=71dae3c15afd6b09d15f28f43d415af1</t>
  </si>
  <si>
    <t>https://www.ag.ch/media/kanton_aargau/themen_1/coronavirus_1/lagebulletins/200407_KFS_Coronavirus_Lagebulletin_28.pdf</t>
  </si>
  <si>
    <t>https://www.gd.bs.ch//nm/2020-tagesbulletin-coronavirus-813-bestaetigte-faelle-im-kanton-basel-stadt-gd.html</t>
  </si>
  <si>
    <t>https://www4.ti.ch/area-media/comunicati/dettaglio-comunicato/?NEWS_ID=187585&amp;tx_tichareamedia_comunicazioni%5Baction%5D=show&amp;tx_tichareamedia_comunicazioni%5Bcontroller%5D=Comunicazioni&amp;cHash=4bf78e02dc8ee0d240e06c4603f5605c</t>
  </si>
  <si>
    <t>https://www.ag.ch/media/kanton_aargau/themen_1/coronavirus_1/lagebulletins/200408_KFS_Coronavirus_Lagebulletin_29.pdf</t>
  </si>
  <si>
    <t>https://www.gd.bs.ch//nm/2020-tagesbulletin-coronavirus-834-bestaetigte-faelle-im-kanton-basel-stadt-gd.html</t>
  </si>
  <si>
    <t>https://www4.ti.ch/area-media/comunicati/dettaglio-comunicato/?NEWS_ID=187593&amp;cHash=04877af9adec32de4f5ef43a5916f801</t>
  </si>
  <si>
    <t>new_hosp</t>
  </si>
  <si>
    <t>TotalPosTests1</t>
  </si>
  <si>
    <t>https://www.gd.bs.ch//nm/2020-tagesbulletin-coronavirus-866-bestaetigte-faelle-im-kanton-basel-stadt-gd.html</t>
  </si>
  <si>
    <t>https://www4.ti.ch/area-media/comunicati/dettaglio-comunicato/?NEWS_ID=187607&amp;tx_tichareamedia_comunicazioni%5Baction%5D=show&amp;tx_tichareamedia_comunicazioni%5Bcontroller%5D=Comunicazioni&amp;cHash=e9c51debb7c11815ec53651f6c8c8d24</t>
  </si>
  <si>
    <t>https://www.gd.bs.ch//nm/2020-tagesbulletin-coronavirus-859-bestaetigte-faelle-im-kanton-basel-stadt-gd.html</t>
  </si>
  <si>
    <t>Confirmed cases</t>
  </si>
  <si>
    <t>Current hospitalized</t>
  </si>
  <si>
    <t>Fatalities</t>
  </si>
  <si>
    <t>Total released</t>
  </si>
  <si>
    <t xml:space="preserve">Doubling time confirmed cases </t>
  </si>
  <si>
    <t>https://www.ag.ch/media/kanton_aargau/themen_1/coronavirus_1/lagebulletins/200411_KFS_Coronavirus_Lagebulletin_31.pdf</t>
  </si>
  <si>
    <t>https://www.regierung.li/media/attachments/188-corona-keine-neuen-faelle-0410.pdf?t=637222261316868970</t>
  </si>
  <si>
    <t>https://www.regierung.li/media/attachments/189-corona-keine-neuen-faelle-0411.pdf?t=637222261316868970</t>
  </si>
  <si>
    <t>https://www4.ti.ch/area-media/comunicati/dettaglio-comunicato/?NEWS_ID=187611&amp;tx_tichareamedia_comunicazioni%5Baction%5D=show&amp;tx_tichareamedia_comunicazioni%5Bcontroller%5D=Comunicazioni&amp;cHash=6f94f1f1d5cf92bdf5a1e053e6602530</t>
  </si>
  <si>
    <t>https://www.gd.bs.ch//nm/2020-tagesbulletin-coronavirus-882-bestaetigte-faelle-im-kanton-basel-stadt-gd.html</t>
  </si>
  <si>
    <t>Land</t>
  </si>
  <si>
    <t>Kanton</t>
  </si>
  <si>
    <t>Bevölkerung</t>
  </si>
  <si>
    <t>Schweiz</t>
  </si>
  <si>
    <t>Zeilenbeschriftungen</t>
  </si>
  <si>
    <t>Gesamtergebnis</t>
  </si>
  <si>
    <t>25. Feb</t>
  </si>
  <si>
    <t>26. Feb</t>
  </si>
  <si>
    <t>27. Feb</t>
  </si>
  <si>
    <t>28. Feb</t>
  </si>
  <si>
    <t>29. Feb</t>
  </si>
  <si>
    <t>01. Mär</t>
  </si>
  <si>
    <t>02. Mär</t>
  </si>
  <si>
    <t>03. Mär</t>
  </si>
  <si>
    <t>04. Mär</t>
  </si>
  <si>
    <t>05. Mär</t>
  </si>
  <si>
    <t>06. Mär</t>
  </si>
  <si>
    <t>07. Mär</t>
  </si>
  <si>
    <t>08. Mär</t>
  </si>
  <si>
    <t>09. Mär</t>
  </si>
  <si>
    <t>10. Mär</t>
  </si>
  <si>
    <t>11. Mär</t>
  </si>
  <si>
    <t>12. Mär</t>
  </si>
  <si>
    <t>13. Mär</t>
  </si>
  <si>
    <t>14. Mär</t>
  </si>
  <si>
    <t>15. Mär</t>
  </si>
  <si>
    <t>16. Mär</t>
  </si>
  <si>
    <t>17. Mär</t>
  </si>
  <si>
    <t>18. Mär</t>
  </si>
  <si>
    <t>19. Mär</t>
  </si>
  <si>
    <t>20. Mär</t>
  </si>
  <si>
    <t>21. Mär</t>
  </si>
  <si>
    <t>22. Mär</t>
  </si>
  <si>
    <t>23. Mär</t>
  </si>
  <si>
    <t>24. Mär</t>
  </si>
  <si>
    <t>25. Mär</t>
  </si>
  <si>
    <t>26. Mär</t>
  </si>
  <si>
    <t>27. Mär</t>
  </si>
  <si>
    <t>28. Mär</t>
  </si>
  <si>
    <t>29. Mär</t>
  </si>
  <si>
    <t>30. Mär</t>
  </si>
  <si>
    <t>31. Mär</t>
  </si>
  <si>
    <t>01. Apr</t>
  </si>
  <si>
    <t>02. Apr</t>
  </si>
  <si>
    <t>03. Apr</t>
  </si>
  <si>
    <t>04. Apr</t>
  </si>
  <si>
    <t>05. Apr</t>
  </si>
  <si>
    <t>06. Apr</t>
  </si>
  <si>
    <t>07. Apr</t>
  </si>
  <si>
    <t>08. Apr</t>
  </si>
  <si>
    <t>09. Apr</t>
  </si>
  <si>
    <t>10. Apr</t>
  </si>
  <si>
    <t>11. Apr</t>
  </si>
  <si>
    <t>12. Apr</t>
  </si>
  <si>
    <t>Spaltenbeschriftungen</t>
  </si>
  <si>
    <t>https://www.regierung.li/media/attachments/190-corona-zusaetzliche-person-0412.pdf?t=637223083991919653</t>
  </si>
  <si>
    <t>https://www4.ti.ch/area-media/comunicati/dettaglio-comunicato/?NEWS_ID=187612&amp;tx_tichareamedia_comunicazioni%5Baction%5D=show&amp;tx_tichareamedia_comunicazioni%5Bcontroller%5D=Comunicazioni&amp;cHash=01ed3fadc99b1b00f0a8c4a0e41e7252</t>
  </si>
  <si>
    <t>https://www.gd.bs.ch//nm/2020-tagesbulletin-coronavirus-893-bestaetigte-faelle-im-kanton-basel-stadt-gd.html</t>
  </si>
  <si>
    <t>new_deaths</t>
  </si>
  <si>
    <t>old_deaths</t>
  </si>
  <si>
    <t>13. Apr</t>
  </si>
  <si>
    <t>Gröster Wert</t>
  </si>
  <si>
    <t>totel_positive</t>
  </si>
  <si>
    <t>Letzter Wert</t>
  </si>
  <si>
    <t>https://www.regierung.li/media/attachments/191-corona-keine-neuen-faelle-0413.pdf?t=637224053004137202</t>
  </si>
  <si>
    <t>https://www4.ti.ch/area-media/comunicati/dettaglio-comunicato/?NEWS_ID=187614&amp;tx_tichareamedia_comunicazioni%5Baction%5D=show&amp;tx_tichareamedia_comunicazioni%5Bcontroller%5D=Comunicazioni&amp;cHash=0464d89cb8c291fbc9c266e6b7008814</t>
  </si>
  <si>
    <t>newreleased</t>
  </si>
  <si>
    <t>New Released</t>
  </si>
  <si>
    <t>latest</t>
  </si>
  <si>
    <t>latest-1</t>
  </si>
  <si>
    <t>diff</t>
  </si>
  <si>
    <t>14. Apr</t>
  </si>
  <si>
    <t>current_hosp_non_resident</t>
  </si>
  <si>
    <t>https://www.gd.bs.ch//nm/2020-tagesbulletin-coronavirus-899-bestaetigte-faelle-im-kanton-basel-stadt-gd.html</t>
  </si>
  <si>
    <t>https://www.liechtenstein.li/news-detail/article/aktuelle-informationen-zum-coronavirus/</t>
  </si>
  <si>
    <t>https://www.ag.ch/media/kanton_aargau/themen_1/coronavirus_1/lagebulletins/200414_KFS_Coronavirus_Lagebulletin_32.pdf</t>
  </si>
  <si>
    <t>https://www4.ti.ch/area-media/comunicati/dettaglio-comunicato/?NEWS_ID=187617&amp;tx_tichareamedia_comunicazioni%5Baction%5D=show&amp;tx_tichareamedia_comunicazioni%5Bcontroller%5D=Comunicazioni&amp;cHash=64be59067038bfdaf603d60bfab0aa52</t>
  </si>
  <si>
    <t>https://www.gd.bs.ch//nm/2020-tagesbulletin-coronavirus-909-bestaetigte-faelle-im-kanton-basel-stadt-gd.html</t>
  </si>
  <si>
    <t>15. Apr</t>
  </si>
  <si>
    <t>https://www.gd.bs.ch//nm/2020-tagesbulletin-coronavirus-917-bestaetigte-faelle-im-kanton-basel-stadt-gd.html</t>
  </si>
  <si>
    <t>https://www.regierung.li/media/attachments/194-corona-neue-wege-zur-messung-0415.pdf?t=637225709239139141</t>
  </si>
  <si>
    <t>https://www4.ti.ch/area-media/comunicati/dettaglio-comunicato/?NEWS_ID=187624&amp;tx_tichareamedia_comunicazioni%5Baction%5D=show&amp;tx_tichareamedia_comunicazioni%5Bcontroller%5D=Comunicazioni&amp;cHash=c6ac05de202d47a4a41e41ec4d16b3b1</t>
  </si>
  <si>
    <t>https://www.ag.ch/media/kanton_aargau/themen_1/coronavirus_1/lagebulletins/200415_KFS_Coronavirus_Lagebulletin_33.pdf</t>
  </si>
  <si>
    <t>Latest date</t>
  </si>
  <si>
    <t>Date of collection</t>
  </si>
  <si>
    <t>16. Apr</t>
  </si>
  <si>
    <t>Covid_19 Dashboard Peter Berger, https://github.com/tgdbepe4/covid_19_excel based on data form https://github.com/openZH/covid_19 and https://github.com/zdavatz/covid19_ch. All the data will be updated fraquently from these sources</t>
  </si>
  <si>
    <t>Covid19 CH Dashboard in MS Excel
Ausgangslage
Zurzeit existieren mindestens drei verschiedene Online Covid-19 CH Dashboads. Alle drei bieten gute Grafiken jedoch teilweise mit verschiedenen Diagrammen an. Die Daten sind alle up-to-date.
Covid-19 CH als Excelfile
Die Online Dashboards sind betreffend den Daten und Grafiken statisch. Da heisst, der Endbenutzer hat keine Möglichkeiten die Daten anders auszuwerten und auch andere Grafiken anzufertigen. Daraus entstand die Idee inwieweit sich ein solches Dashboard in MS Excel realisieren liesse. 
Datenbezug
Die Daten werden über Webverbindungen aus Excel heraus bezogen und transformiert. 
Quellen sind: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Weil diese Daten in einem anderen Projekt mit Python:Scripts aufbereitet werden besteht eine Abhängigkeit bezüglich Aktualisierung. Wird die Datenstruktur verändert so funktionieren die Updates nicht mehr. Die Daten im Excelfile sind dann quasi eingefroren.
Datenaktualisierung
In Excel muss die Datenbearbeitung aktiviert sein. Danach verbindet Excel bei jedem neuen Start des Excelfiles die Daten und aktualisiert diese alle 20 Minuten.
Vorteile
Da man das Excelfile nach eigenem Wunsch anpassen kann sind Auswertungen aller Art möglich.
Warnung
Die Tabellenblätter „ch_latest“, „kt_latest“, kt_serie“, pivot_kt_latest und „pivot_kt_serie“ sollten nicht verändert werden, da sonst auch das Blatt Graphs nicht mehr funktionieren könnte. Will man eigene Auswertungen machen, so empfiehlt es sich sehr neue Tablellenblätter anzulegen und dort tätig zu werden.
Updates
Das Excelfile wird periodisch updated. Die aktuelle Version ist über https://github.com/tgdbepe4/covid_19_excel zu finden.
Kontakt
Meinungen, Fehlermeldungen, etc bitte an mailto:corona@bergi-it-consulting.ch
Peter Berger, Zürich, 2020-04-19</t>
  </si>
  <si>
    <t xml:space="preserve">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t>
  </si>
  <si>
    <t>https://www.ag.ch/media/kanton_aargau/themen_1/coronavirus_1/lagebulletins/200420_KFS_Coronavirus_Lagebulletin_36.pdf</t>
  </si>
  <si>
    <t>https://www.gd.bs.ch//nm/2020-tagesbulletin-coronavirus-933-bestaetigte-faelle-im-kanton-basel-stadt-gd.html</t>
  </si>
  <si>
    <t>https://www.regierung.li/de/mitteilungen/223410/?typ=news</t>
  </si>
  <si>
    <t>https://www4.ti.ch/area-media/comunicati/dettaglio-comunicato/?NEWS_ID=187648&amp;tx_tichareamedia_comunicazioni%5Baction%5D=show&amp;tx_tichareamedia_comunicazioni%5Bcontroller%5D=Comunicazioni&amp;cHash=8c7fb45c6eada1e8d97d120f23176eb1</t>
  </si>
  <si>
    <t>https://www.gd.bs.ch//nm/2020-tagesbulletin-coronavirus-933-bestaetigte-faelle-im-kanton-basel-stadt-gd-2.html</t>
  </si>
  <si>
    <t>http://www.nw.ch/coronastatistik</t>
  </si>
  <si>
    <t>https://www.ag.ch/media/kanton_aargau/themen_1/coronavirus_1/lagebulletins/200416_KFS_Coronavirus_Lagebulletin_34.pdf</t>
  </si>
  <si>
    <t>https://www.regierung.li/media/attachments/196-corona-regierung-informiert-freitag-0416.pdf?t=637226573940474014</t>
  </si>
  <si>
    <t>https://www4.ti.ch/area-media/comunicati/dettaglio-comunicato/?NEWS_ID=187632&amp;tx_tichareamedia_comunicazioni%5Baction%5D=show&amp;tx_tichareamedia_comunicazioni%5Bcontroller%5D=Comunicazioni&amp;cHash=65b441f9003d32defd9e1c4f2650c177</t>
  </si>
  <si>
    <t>https://www.ag.ch/media/kanton_aargau/themen_1/coronavirus_1/lagebulletins/200417_KFS_Coronavirus_Lagebulletin_35.pdf</t>
  </si>
  <si>
    <t>https://www.gd.bs.ch//nm/2020-tagesbulletin-coronavirus-923-bestaetigte-faelle-im-kanton-basel-stadt-gd.html</t>
  </si>
  <si>
    <t>https://www.regierung.li/media/attachments/197-corona-regierung-orientiert-ueber-vorgehen-0417.pdf?t=637227446845695629</t>
  </si>
  <si>
    <t>https://www4.ti.ch/area-media/comunicati/dettaglio-comunicato/?NEWS_ID=187639&amp;tx_tichareamedia_comunicazioni%5Baction%5D=show&amp;tx_tichareamedia_comunicazioni%5Bcontroller%5D=Comunicazioni&amp;cHash=293da33bc5267650fbd8e590032cd6f3</t>
  </si>
  <si>
    <t>https://www.gd.bs.ch//nm/2020-tagesbulletin-coronavirus-929-bestaetigte-faelle-im-kanton-basel-stadt-gd.html</t>
  </si>
  <si>
    <t>https://www.regierung.li/media/attachments/198-corona-kein-zusaetzlicher-fall-0418.pdf?t=637228301134424983</t>
  </si>
  <si>
    <t>https://www4.ti.ch/area-media/comunicati/dettaglio-comunicato/?NEWS_ID=187644&amp;tx_tichareamedia_comunicazioni%5Baction%5D=show&amp;tx_tichareamedia_comunicazioni%5Bcontroller%5D=Comunicazioni&amp;cHash=df3ace8d6228b4587b78db3bfa080a83</t>
  </si>
  <si>
    <t>https://www.gd.bs.ch//nm/2020-tagesbulletin-coronavirus-932-bestaetigte-faelle-im-kanton-basel-stadt-gd.html</t>
  </si>
  <si>
    <t>https://www.regierung.li/media/attachments/199-corona-keine-neuen-faelle-0419.pdf?t=637229165752237624</t>
  </si>
  <si>
    <t>https://www4.ti.ch/area-media/comunicati/dettaglio-comunicato/?NEWS_ID=187645&amp;tx_tichareamedia_comunicazioni%5Baction%5D=show&amp;tx_tichareamedia_comunicazioni%5Bcontroller%5D=Comunicazioni&amp;cHash=7c0ead3ab8e681d79f11cb3d67995946</t>
  </si>
  <si>
    <t>https://www.ag.ch/media/kanton_aargau/themen_1/coronavirus_1/lagebulletins/200421_KFS_Coronavirus_Lagebulletin_37.pdf</t>
  </si>
  <si>
    <t>https://www.regierung.li/media/attachments/207-corona-keine-neuen-Faelle-0421.pdf?t=637230900737305962</t>
  </si>
  <si>
    <t>https://www4.ti.ch/area-media/comunicati/dettaglio-comunicato/?NEWS_ID=187654&amp;tx_tichareamedia_comunicazioni%5Baction%5D=show&amp;tx_tichareamedia_comunicazioni%5Bcontroller%5D=Comunicazioni&amp;cHash=8ae7085e87cf92c2997d0e458baa17f9</t>
  </si>
  <si>
    <t>17. Apr</t>
  </si>
  <si>
    <t>18. Apr</t>
  </si>
  <si>
    <t>19. Apr</t>
  </si>
  <si>
    <t>20. Apr</t>
  </si>
  <si>
    <t>21. Apr</t>
  </si>
  <si>
    <t>https://www.gd.bs.ch//nm/2020-tagesbulletin-coronavirus-933-bestaetigte-faelle-im-kanton-basel-stadt-gd-3.html</t>
  </si>
  <si>
    <t>https://www.ag.ch/media/kanton_aargau/themen_1/coronavirus_1/lagebulletins/200422_KFS_Coronavirus_Lagebulletin_38.pdf</t>
  </si>
  <si>
    <t>https://www.regierung.li/de/mitteilungen/223419/?typ=news</t>
  </si>
  <si>
    <t>https://www.ne.ch/autorites/DFS/SCSP/medecin-cantonal/maladies-vaccinations/Documents/Covid-19-Statistiques/COVID19_PublicationInternet.xlsx</t>
  </si>
  <si>
    <t>https://www4.ti.ch/area-media/comunicati/dettaglio-comunicato/?NEWS_ID=187672&amp;cHash=73c20eed4b20c3cb714758f2678c3f15</t>
  </si>
  <si>
    <t>death</t>
  </si>
  <si>
    <t>Bez</t>
  </si>
  <si>
    <t>22. Apr</t>
  </si>
  <si>
    <t>23. Apr</t>
  </si>
  <si>
    <t>https://www.zg.ch/behoerden/gesundheitsdirektion/statistikfachstelle/themen/gesundheit/corona</t>
  </si>
  <si>
    <t>https://www.ag.ch/media/kanton_aargau/themen_1/coronavirus_1/lagebulletins/200423_KFS_Coronavirus_Lagebulletin_39.pdf</t>
  </si>
  <si>
    <t>https://www4.ti.ch/area-media/comunicati/dettaglio-comunicato/?NEWS_ID=187678&amp;tx_tichareamedia_comunicazioni%5Baction%5D=show&amp;tx_tichareamedia_comunicazioni%5Bcontroller%5D=Comunicazioni&amp;cHash=c546dd2da307919487d6578b8c7353cd</t>
  </si>
  <si>
    <t>https://www.regierung.li/de/mitteilungen/223424/?typ=news</t>
  </si>
  <si>
    <t>https://www.gd.bs.ch//nm/2020-tagesbulletin-coronavirus-936-bestaetigte-faelle-im-kanton-basel-stadt-gd.html</t>
  </si>
  <si>
    <t>https://www.gd.bs.ch//nm/2020-tagesbulletin-coronavirus-931-bestaetigte-faelle-im-kanton-basel-stadt-gd.html</t>
  </si>
  <si>
    <t>https://www.gl.ch/public/upload/assets/27574/COVID-19_Fallzahlen_Kanton_Glarus.xlsx</t>
  </si>
  <si>
    <t>24. Apr</t>
  </si>
  <si>
    <t>https://corona.so.ch/index.php?id=27979</t>
  </si>
  <si>
    <t>https://www.bote.ch/nachrichten/schwyz/schwyz_bdu/coronavirus-einsatz-fuer-spitalbataillon-5</t>
  </si>
  <si>
    <t>https://www.ag.ch/media/kanton_aargau/themen_1/coronavirus_1/lagebulletins/200424_KFS_Coronavirus_Lagebulletin_40.pdf</t>
  </si>
  <si>
    <t>https://www.regierung.li/media/attachments/212-corona-massnahmen-und-wirtschaft.pdf?t=637233485133850178</t>
  </si>
  <si>
    <t>https://www4.ti.ch/area-media/comunicati/dettaglio-comunicato/?NEWS_ID=187683&amp;tx_tichareamedia_comunicazioni%5Baction%5D=show&amp;tx_tichareamedia_comunicazioni%5Bcontroller%5D=Comunicazioni&amp;cHash=96a9e3da92c22f69b3a6ed9000584d1b</t>
  </si>
  <si>
    <t>25. Apr</t>
  </si>
  <si>
    <t>abbreviation_canton_and_fl</t>
  </si>
  <si>
    <t>ncumul_tested</t>
  </si>
  <si>
    <t>ncumul_conf</t>
  </si>
  <si>
    <t>ncumul_released</t>
  </si>
  <si>
    <t>ncumul_deceased</t>
  </si>
  <si>
    <t>https://www.fr.ch/sites/default/files/2020-04/statistiques_situation_FR_2704.xlsx</t>
  </si>
  <si>
    <t>https://sh.ch/CMS/get/file/b9efa343-2987-4ab2-a060-9c16eacb0326</t>
  </si>
  <si>
    <t>https://www.sz.ch/behoerden/information-medien/medienmitteilungen/coronavirus.html/72-416-412-1379-6948</t>
  </si>
  <si>
    <t>https://www.regierung.li/de/mitteilungen/223427/?typ=news</t>
  </si>
  <si>
    <t>https://www4.ti.ch/area-media/comunicati/dettaglio-comunicato/?NEWS_ID=187687&amp;tx_tichareamedia_comunicazioni%5Baction%5D=show&amp;tx_tichareamedia_comunicazioni%5Bcontroller%5D=Comunicazioni&amp;cHash=4113a890fda2606d774861e2b936b052</t>
  </si>
  <si>
    <t>https://www.regierung.li/de/mitteilungen/223428/?typ=news</t>
  </si>
  <si>
    <t>https://www4.ti.ch/area-media/comunicati/dettaglio-comunicato/?NEWS_ID=187688&amp;tx_tichareamedia_comunicazioni%5Baction%5D=show&amp;tx_tichareamedia_comunicazioni%5Bcontroller%5D=Comunicazioni&amp;cHash=88b9dbc8a11bbaf69e33668cf73a2501</t>
  </si>
  <si>
    <t>ncumul_hosp</t>
  </si>
  <si>
    <t>ncumul_ICU</t>
  </si>
  <si>
    <t>(Leer)</t>
  </si>
  <si>
    <t>26. Apr</t>
  </si>
  <si>
    <t>27. Apr</t>
  </si>
  <si>
    <t>Gesamt: Summe von ncumul_released</t>
  </si>
  <si>
    <t>Summe von ncumul_released</t>
  </si>
  <si>
    <t>Summe von ncumul_deceased</t>
  </si>
  <si>
    <t>Gesamt: Summe von ncumul_deceased</t>
  </si>
  <si>
    <t>Gesamt: Summe von ncumul_conf</t>
  </si>
  <si>
    <t>Summe von ncumul_conf</t>
  </si>
  <si>
    <t>Max Anzal Tote</t>
  </si>
  <si>
    <t>Column1</t>
  </si>
  <si>
    <t>https://www.ag.ch/media/kanton_aargau/themen_1/coronavirus_1/lagebulletins/200427_KFS_Coronavirus_Lagebulletin_41.pdf</t>
  </si>
  <si>
    <t>https://www.gd.bs.ch//nm/2020-tagesbulletin-coronavirus-941-bestaetigte-faelle-im-kanton-basel-stadt-gd.html</t>
  </si>
  <si>
    <t>https://www4.ti.ch/area-media/comunicati/dettaglio-comunicato/?NEWS_ID=187690&amp;tx_tichareamedia_comunicazioni%5Baction%5D=show&amp;tx_tichareamedia_comunicazioni%5Bcontroller%5D=Comunicazioni&amp;cHash=b776cbdac6ff3c231bf4c3da4ce22b7f</t>
  </si>
  <si>
    <t>_1</t>
  </si>
  <si>
    <t>https://www.jura.ch/Htdocs/Files/v/34263.xlsx/Departements/CHA/SIC/Carrousel/Coronavirus/Cornavirus/Chiffres/donnees_27_04.xlsx?download=1</t>
  </si>
  <si>
    <t>https://www.vs.ch/documents/6756452/7008787/2020%2004%2027%20Sit%20Epid%20-%20%C3%89tat%20Stand</t>
  </si>
  <si>
    <t>https://www.regierung.li/de/mitteilungen/223429/?typ=content&amp;nid=11076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</si>
</sst>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400]h:mm:ss\ AM/PM"/>
    <numFmt numFmtId="165" formatCode="&quot;+&quot;\ #,##0\ &quot; today&quot;"/>
    <numFmt numFmtId="166" formatCode="&quot;+&quot;0"/>
    <numFmt numFmtId="167" formatCode="0\ &quot;days&quot;"/>
  </numFmts>
  <fonts count="29">
    <font>
      <sz val="11"/>
      <color theme="1"/>
      <name val="Calibri"/>
      <family val="2"/>
      <scheme val="minor"/>
    </font>
    <font>
      <sz val="11"/>
      <color theme="5" tint="0.39997558519241921"/>
      <name val="Calibri"/>
      <family val="2"/>
      <scheme val="minor"/>
    </font>
    <font>
      <sz val="36"/>
      <color theme="5" tint="0.39997558519241921"/>
      <name val="Calibri"/>
      <family val="2"/>
      <scheme val="minor"/>
    </font>
    <font>
      <sz val="24"/>
      <color theme="5" tint="0.39997558519241921"/>
      <name val="Calibri"/>
      <family val="2"/>
      <scheme val="minor"/>
    </font>
    <font>
      <sz val="11"/>
      <color rgb="FFFF66FF"/>
      <name val="Calibri"/>
      <family val="2"/>
      <scheme val="minor"/>
    </font>
    <font>
      <sz val="36"/>
      <color rgb="FFFF66FF"/>
      <name val="Calibri"/>
      <family val="2"/>
      <scheme val="minor"/>
    </font>
    <font>
      <sz val="24"/>
      <color rgb="FFFF66FF"/>
      <name val="Calibri"/>
      <family val="2"/>
      <scheme val="minor"/>
    </font>
    <font>
      <sz val="11"/>
      <color theme="0" tint="-0.14999847407452621"/>
      <name val="Calibri"/>
      <family val="2"/>
      <scheme val="minor"/>
    </font>
    <font>
      <sz val="36"/>
      <color theme="0" tint="-0.14999847407452621"/>
      <name val="Calibri"/>
      <family val="2"/>
      <scheme val="minor"/>
    </font>
    <font>
      <sz val="24"/>
      <color theme="0" tint="-0.14999847407452621"/>
      <name val="Calibri"/>
      <family val="2"/>
      <scheme val="minor"/>
    </font>
    <font>
      <sz val="11"/>
      <color rgb="FF33CC33"/>
      <name val="Calibri"/>
      <family val="2"/>
      <scheme val="minor"/>
    </font>
    <font>
      <sz val="36"/>
      <color rgb="FF33CC33"/>
      <name val="Calibri"/>
      <family val="2"/>
      <scheme val="minor"/>
    </font>
    <font>
      <sz val="24"/>
      <color rgb="FF33CC33"/>
      <name val="Calibri"/>
      <family val="2"/>
      <scheme val="minor"/>
    </font>
    <font>
      <sz val="11"/>
      <color rgb="FF33CCFF"/>
      <name val="Calibri"/>
      <family val="2"/>
      <scheme val="minor"/>
    </font>
    <font>
      <sz val="36"/>
      <color rgb="FF33CCFF"/>
      <name val="Calibri"/>
      <family val="2"/>
      <scheme val="minor"/>
    </font>
    <font>
      <sz val="24"/>
      <color rgb="FF33CCFF"/>
      <name val="Calibri"/>
      <family val="2"/>
      <scheme val="minor"/>
    </font>
    <font>
      <b/>
      <sz val="11"/>
      <color theme="1"/>
      <name val="Calibri"/>
      <family val="2"/>
      <scheme val="minor"/>
    </font>
    <font>
      <b/>
      <sz val="11"/>
      <color theme="0"/>
      <name val="Calibri"/>
      <family val="2"/>
      <scheme val="minor"/>
    </font>
    <font>
      <sz val="9"/>
      <color rgb="FF232323"/>
      <name val="Inherit"/>
    </font>
    <font>
      <sz val="9"/>
      <color rgb="FF400F0F"/>
      <name val="Arial"/>
      <family val="2"/>
    </font>
    <font>
      <b/>
      <sz val="7"/>
      <color rgb="FF777777"/>
      <name val="Open Sans"/>
      <family val="2"/>
    </font>
    <font>
      <sz val="6"/>
      <color rgb="FF000000"/>
      <name val="Verdana"/>
      <family val="2"/>
    </font>
    <font>
      <sz val="8"/>
      <color rgb="FF5A5A5A"/>
      <name val="Consolas"/>
      <family val="3"/>
    </font>
    <font>
      <sz val="11"/>
      <color theme="0"/>
      <name val="Calibri"/>
      <family val="2"/>
      <scheme val="minor"/>
    </font>
    <font>
      <sz val="36"/>
      <color theme="0"/>
      <name val="Calibri"/>
      <family val="2"/>
      <scheme val="minor"/>
    </font>
    <font>
      <sz val="24"/>
      <color theme="0"/>
      <name val="Calibri"/>
      <family val="2"/>
      <scheme val="minor"/>
    </font>
    <font>
      <u/>
      <sz val="11"/>
      <color theme="10"/>
      <name val="Calibri"/>
      <family val="2"/>
      <scheme val="minor"/>
    </font>
    <font>
      <b/>
      <sz val="12"/>
      <color theme="1"/>
      <name val="Calibri"/>
      <family val="2"/>
      <scheme val="minor"/>
    </font>
    <font>
      <sz val="8"/>
      <name val="Calibri"/>
      <family val="2"/>
      <scheme val="minor"/>
    </font>
  </fonts>
  <fills count="6">
    <fill>
      <patternFill patternType="none"/>
    </fill>
    <fill>
      <patternFill patternType="gray125"/>
    </fill>
    <fill>
      <patternFill patternType="solid">
        <fgColor theme="1" tint="0.249977111117893"/>
        <bgColor indexed="64"/>
      </patternFill>
    </fill>
    <fill>
      <patternFill patternType="solid">
        <fgColor theme="9" tint="0.79998168889431442"/>
        <bgColor theme="9" tint="0.79998168889431442"/>
      </patternFill>
    </fill>
    <fill>
      <patternFill patternType="solid">
        <fgColor theme="9"/>
        <bgColor theme="9"/>
      </patternFill>
    </fill>
    <fill>
      <patternFill patternType="solid">
        <fgColor rgb="FFFFFF00"/>
        <bgColor indexed="64"/>
      </patternFill>
    </fill>
  </fills>
  <borders count="4">
    <border>
      <left/>
      <right/>
      <top/>
      <bottom/>
      <diagonal/>
    </border>
    <border>
      <left/>
      <right/>
      <top style="thin">
        <color theme="9" tint="0.39997558519241921"/>
      </top>
      <bottom style="thin">
        <color theme="9" tint="0.3999755851924192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2">
    <xf numFmtId="0" fontId="0" fillId="0" borderId="0"/>
    <xf numFmtId="0" fontId="26" fillId="0" borderId="0" applyNumberFormat="0" applyFill="0" applyBorder="0" applyAlignment="0" applyProtection="0"/>
  </cellStyleXfs>
  <cellXfs count="51">
    <xf numFmtId="0" fontId="0" fillId="0" borderId="0" xfId="0"/>
    <xf numFmtId="0" fontId="0" fillId="0" borderId="0" xfId="0" applyNumberFormat="1"/>
    <xf numFmtId="14" fontId="0" fillId="0" borderId="0" xfId="0" applyNumberFormat="1"/>
    <xf numFmtId="22" fontId="0" fillId="0" borderId="0" xfId="0" applyNumberFormat="1"/>
    <xf numFmtId="164" fontId="0" fillId="0" borderId="0" xfId="0" applyNumberFormat="1"/>
    <xf numFmtId="0" fontId="0" fillId="3" borderId="1" xfId="0" applyFill="1" applyBorder="1"/>
    <xf numFmtId="0" fontId="0" fillId="0" borderId="1" xfId="0" applyBorder="1"/>
    <xf numFmtId="0" fontId="16" fillId="0" borderId="0" xfId="0" applyFont="1"/>
    <xf numFmtId="0" fontId="17" fillId="4" borderId="1" xfId="0" applyFont="1" applyFill="1" applyBorder="1"/>
    <xf numFmtId="0" fontId="0" fillId="3" borderId="1" xfId="0" applyFont="1" applyFill="1" applyBorder="1"/>
    <xf numFmtId="0" fontId="0" fillId="0" borderId="1" xfId="0" applyFont="1" applyBorder="1"/>
    <xf numFmtId="0" fontId="0" fillId="3" borderId="1" xfId="0" applyNumberFormat="1" applyFont="1" applyFill="1" applyBorder="1"/>
    <xf numFmtId="0" fontId="0" fillId="0" borderId="1" xfId="0" applyNumberFormat="1" applyFont="1" applyBorder="1"/>
    <xf numFmtId="0" fontId="0" fillId="2" borderId="2" xfId="0" applyFill="1" applyBorder="1"/>
    <xf numFmtId="165" fontId="3" fillId="2" borderId="2" xfId="0" applyNumberFormat="1" applyFont="1" applyFill="1" applyBorder="1" applyAlignment="1">
      <alignment horizontal="center"/>
    </xf>
    <xf numFmtId="0" fontId="6" fillId="2" borderId="2" xfId="0" applyFont="1" applyFill="1" applyBorder="1" applyAlignment="1">
      <alignment horizontal="center"/>
    </xf>
    <xf numFmtId="0" fontId="12" fillId="2" borderId="2" xfId="0" applyFont="1" applyFill="1" applyBorder="1" applyAlignment="1">
      <alignment horizontal="center"/>
    </xf>
    <xf numFmtId="0" fontId="15" fillId="2" borderId="2" xfId="0" applyFont="1" applyFill="1" applyBorder="1" applyAlignment="1">
      <alignment horizontal="center"/>
    </xf>
    <xf numFmtId="0" fontId="0" fillId="0" borderId="0" xfId="0" pivotButton="1"/>
    <xf numFmtId="0" fontId="0" fillId="0" borderId="0" xfId="0" applyAlignment="1">
      <alignment horizontal="left"/>
    </xf>
    <xf numFmtId="0" fontId="18" fillId="0" borderId="0" xfId="0" applyFont="1" applyAlignment="1">
      <alignment horizontal="left" vertical="center" indent="1"/>
    </xf>
    <xf numFmtId="0" fontId="19" fillId="0" borderId="0" xfId="0" applyFont="1"/>
    <xf numFmtId="0" fontId="20" fillId="0" borderId="0" xfId="0" applyFont="1"/>
    <xf numFmtId="0" fontId="21" fillId="0" borderId="0" xfId="0" applyFont="1"/>
    <xf numFmtId="14" fontId="22" fillId="0" borderId="0" xfId="0" applyNumberFormat="1" applyFont="1"/>
    <xf numFmtId="166" fontId="9" fillId="2" borderId="2" xfId="0" applyNumberFormat="1" applyFont="1" applyFill="1" applyBorder="1" applyAlignment="1">
      <alignment horizontal="center"/>
    </xf>
    <xf numFmtId="164" fontId="25" fillId="2" borderId="2" xfId="0" applyNumberFormat="1" applyFont="1" applyFill="1" applyBorder="1" applyAlignment="1">
      <alignment horizontal="center"/>
    </xf>
    <xf numFmtId="0" fontId="0" fillId="2" borderId="3" xfId="0" applyFill="1" applyBorder="1"/>
    <xf numFmtId="0" fontId="23" fillId="2" borderId="0" xfId="0" applyFont="1" applyFill="1" applyBorder="1"/>
    <xf numFmtId="0" fontId="2" fillId="2" borderId="3" xfId="0" applyFont="1" applyFill="1" applyBorder="1" applyAlignment="1">
      <alignment horizontal="center"/>
    </xf>
    <xf numFmtId="0" fontId="5" fillId="2" borderId="3" xfId="0" applyFont="1" applyFill="1" applyBorder="1" applyAlignment="1">
      <alignment horizontal="center"/>
    </xf>
    <xf numFmtId="0" fontId="8" fillId="2" borderId="3" xfId="0" applyFont="1" applyFill="1" applyBorder="1" applyAlignment="1">
      <alignment horizontal="center"/>
    </xf>
    <xf numFmtId="0" fontId="11" fillId="2" borderId="3" xfId="0" applyFont="1" applyFill="1" applyBorder="1" applyAlignment="1">
      <alignment horizontal="center"/>
    </xf>
    <xf numFmtId="167" fontId="14" fillId="2" borderId="3" xfId="0" applyNumberFormat="1" applyFont="1" applyFill="1" applyBorder="1" applyAlignment="1">
      <alignment horizontal="center"/>
    </xf>
    <xf numFmtId="14" fontId="24" fillId="2" borderId="3" xfId="0" applyNumberFormat="1" applyFont="1" applyFill="1" applyBorder="1" applyAlignment="1">
      <alignment horizontal="center"/>
    </xf>
    <xf numFmtId="0" fontId="1" fillId="2" borderId="0" xfId="0" applyFont="1" applyFill="1" applyBorder="1" applyAlignment="1">
      <alignment horizontal="center"/>
    </xf>
    <xf numFmtId="0" fontId="4" fillId="2" borderId="0" xfId="0" applyFont="1" applyFill="1" applyBorder="1" applyAlignment="1">
      <alignment horizontal="center"/>
    </xf>
    <xf numFmtId="0" fontId="7" fillId="2" borderId="0" xfId="0" applyFont="1" applyFill="1" applyBorder="1" applyAlignment="1">
      <alignment horizontal="center"/>
    </xf>
    <xf numFmtId="0" fontId="10" fillId="2" borderId="0" xfId="0" applyFont="1" applyFill="1" applyBorder="1" applyAlignment="1">
      <alignment horizontal="center"/>
    </xf>
    <xf numFmtId="0" fontId="13" fillId="2" borderId="0" xfId="0" applyFont="1" applyFill="1" applyBorder="1" applyAlignment="1">
      <alignment horizontal="center"/>
    </xf>
    <xf numFmtId="0" fontId="23" fillId="2" borderId="0" xfId="0" applyFont="1" applyFill="1" applyBorder="1" applyAlignment="1">
      <alignment horizontal="center"/>
    </xf>
    <xf numFmtId="0" fontId="0" fillId="2" borderId="0" xfId="0" applyFill="1" applyBorder="1"/>
    <xf numFmtId="0" fontId="0" fillId="0" borderId="0" xfId="0" applyAlignment="1">
      <alignment vertical="center" wrapText="1"/>
    </xf>
    <xf numFmtId="0" fontId="0" fillId="2" borderId="2" xfId="0" applyFill="1" applyBorder="1" applyAlignment="1">
      <alignment wrapText="1"/>
    </xf>
    <xf numFmtId="0" fontId="26" fillId="0" borderId="0" xfId="1" applyAlignment="1">
      <alignment vertical="center" wrapText="1"/>
    </xf>
    <xf numFmtId="0" fontId="23" fillId="2" borderId="2" xfId="0" applyFont="1" applyFill="1" applyBorder="1" applyAlignment="1">
      <alignment wrapText="1"/>
    </xf>
    <xf numFmtId="0" fontId="27" fillId="0" borderId="0" xfId="0" applyFont="1" applyAlignment="1">
      <alignment vertical="center" wrapText="1"/>
    </xf>
    <xf numFmtId="0" fontId="0" fillId="0" borderId="0" xfId="0" applyFont="1" applyAlignment="1">
      <alignment vertical="center" wrapText="1"/>
    </xf>
    <xf numFmtId="0" fontId="0" fillId="5" borderId="0" xfId="0" applyFill="1" applyAlignment="1">
      <alignment horizontal="center"/>
    </xf>
    <xf numFmtId="0" fontId="0" fillId="5" borderId="0" xfId="0" applyFill="1"/>
    <xf numFmtId="0" fontId="23" fillId="2" borderId="0" xfId="0" applyFont="1" applyFill="1" applyBorder="1" applyAlignment="1">
      <alignment horizontal="center" vertical="center"/>
    </xf>
  </cellXfs>
  <cellStyles count="2">
    <cellStyle name="Link" xfId="1" builtinId="8"/>
    <cellStyle name="Standard" xfId="0" builtinId="0"/>
  </cellStyles>
  <dxfs count="18">
    <dxf>
      <numFmt numFmtId="0" formatCode="General"/>
    </dxf>
    <dxf>
      <numFmt numFmtId="0" formatCode="General"/>
    </dxf>
    <dxf>
      <numFmt numFmtId="164" formatCode="[$-F400]h:mm:ss\ AM/PM"/>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dd/mm/yyyy\ hh:mm"/>
    </dxf>
    <dxf>
      <numFmt numFmtId="27" formatCode="dd/mm/yyyy\ hh:mm"/>
    </dxf>
    <dxf>
      <numFmt numFmtId="0" formatCode="General"/>
    </dxf>
    <dxf>
      <numFmt numFmtId="27" formatCode="dd/mm/yyyy\ hh:mm"/>
    </dxf>
    <dxf>
      <numFmt numFmtId="19" formatCode="dd/mm/yyyy"/>
    </dxf>
  </dxfs>
  <tableStyles count="0" defaultTableStyle="TableStyleMedium2" defaultPivotStyle="PivotStyleLight16"/>
  <colors>
    <mruColors>
      <color rgb="FFFF66FF"/>
      <color rgb="FF33CC33"/>
      <color rgb="FF33CCFF"/>
      <color rgb="FF0078A2"/>
      <color rgb="FF66FF99"/>
      <color rgb="FFFFFF00"/>
      <color rgb="FFFFCCFF"/>
      <color rgb="FFCC99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Total confirmed case</a:t>
            </a:r>
          </a:p>
        </c:rich>
      </c:tx>
      <c:overlay val="1"/>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728355277472318E-2"/>
          <c:y val="2.5608194622279128E-2"/>
          <c:w val="0.92733512493163894"/>
          <c:h val="0.80347404397753741"/>
        </c:manualLayout>
      </c:layout>
      <c:lineChart>
        <c:grouping val="standard"/>
        <c:varyColors val="0"/>
        <c:ser>
          <c:idx val="2"/>
          <c:order val="2"/>
          <c:tx>
            <c:strRef>
              <c:f>ch_latest!$F$1</c:f>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multiLvlStrRef>
              <c:f>ch_latest!$A$2:$C$65</c:f>
              <c:multiLvlStrCache>
                <c:ptCount val="64"/>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lvl>
                <c:lvl>
                  <c:pt idx="0">
                    <c:v>28.04.2020 07:03</c:v>
                  </c:pt>
                  <c:pt idx="1">
                    <c:v>28.04.2020 07:03</c:v>
                  </c:pt>
                  <c:pt idx="2">
                    <c:v>28.04.2020 07:03</c:v>
                  </c:pt>
                  <c:pt idx="3">
                    <c:v>28.04.2020 07:03</c:v>
                  </c:pt>
                  <c:pt idx="4">
                    <c:v>28.04.2020 07:03</c:v>
                  </c:pt>
                  <c:pt idx="5">
                    <c:v>28.04.2020 07:03</c:v>
                  </c:pt>
                  <c:pt idx="6">
                    <c:v>28.04.2020 07:03</c:v>
                  </c:pt>
                  <c:pt idx="7">
                    <c:v>28.04.2020 07:03</c:v>
                  </c:pt>
                  <c:pt idx="8">
                    <c:v>28.04.2020 07:03</c:v>
                  </c:pt>
                  <c:pt idx="9">
                    <c:v>28.04.2020 07:03</c:v>
                  </c:pt>
                  <c:pt idx="10">
                    <c:v>28.04.2020 07:03</c:v>
                  </c:pt>
                  <c:pt idx="11">
                    <c:v>28.04.2020 07:03</c:v>
                  </c:pt>
                  <c:pt idx="12">
                    <c:v>28.04.2020 07:03</c:v>
                  </c:pt>
                  <c:pt idx="13">
                    <c:v>28.04.2020 07:03</c:v>
                  </c:pt>
                  <c:pt idx="14">
                    <c:v>28.04.2020 07:03</c:v>
                  </c:pt>
                  <c:pt idx="15">
                    <c:v>28.04.2020 07:03</c:v>
                  </c:pt>
                  <c:pt idx="16">
                    <c:v>28.04.2020 07:03</c:v>
                  </c:pt>
                  <c:pt idx="17">
                    <c:v>28.04.2020 07:03</c:v>
                  </c:pt>
                  <c:pt idx="18">
                    <c:v>28.04.2020 07:03</c:v>
                  </c:pt>
                  <c:pt idx="19">
                    <c:v>28.04.2020 07:03</c:v>
                  </c:pt>
                  <c:pt idx="20">
                    <c:v>28.04.2020 07:03</c:v>
                  </c:pt>
                  <c:pt idx="21">
                    <c:v>28.04.2020 07:03</c:v>
                  </c:pt>
                  <c:pt idx="22">
                    <c:v>28.04.2020 07:03</c:v>
                  </c:pt>
                  <c:pt idx="23">
                    <c:v>28.04.2020 07:03</c:v>
                  </c:pt>
                  <c:pt idx="24">
                    <c:v>28.04.2020 07:03</c:v>
                  </c:pt>
                  <c:pt idx="25">
                    <c:v>28.04.2020 07:03</c:v>
                  </c:pt>
                  <c:pt idx="26">
                    <c:v>28.04.2020 07:03</c:v>
                  </c:pt>
                  <c:pt idx="27">
                    <c:v>28.04.2020 07:03</c:v>
                  </c:pt>
                  <c:pt idx="28">
                    <c:v>28.04.2020 07:03</c:v>
                  </c:pt>
                  <c:pt idx="29">
                    <c:v>28.04.2020 07:03</c:v>
                  </c:pt>
                  <c:pt idx="30">
                    <c:v>28.04.2020 07:03</c:v>
                  </c:pt>
                  <c:pt idx="31">
                    <c:v>28.04.2020 07:03</c:v>
                  </c:pt>
                  <c:pt idx="32">
                    <c:v>28.04.2020 07:03</c:v>
                  </c:pt>
                  <c:pt idx="33">
                    <c:v>28.04.2020 07:03</c:v>
                  </c:pt>
                  <c:pt idx="34">
                    <c:v>28.04.2020 07:03</c:v>
                  </c:pt>
                  <c:pt idx="35">
                    <c:v>28.04.2020 07:03</c:v>
                  </c:pt>
                  <c:pt idx="36">
                    <c:v>28.04.2020 07:03</c:v>
                  </c:pt>
                  <c:pt idx="37">
                    <c:v>28.04.2020 07:03</c:v>
                  </c:pt>
                  <c:pt idx="38">
                    <c:v>28.04.2020 07:03</c:v>
                  </c:pt>
                  <c:pt idx="39">
                    <c:v>28.04.2020 07:03</c:v>
                  </c:pt>
                  <c:pt idx="40">
                    <c:v>28.04.2020 07:03</c:v>
                  </c:pt>
                  <c:pt idx="41">
                    <c:v>28.04.2020 07:03</c:v>
                  </c:pt>
                  <c:pt idx="42">
                    <c:v>28.04.2020 07:03</c:v>
                  </c:pt>
                  <c:pt idx="43">
                    <c:v>28.04.2020 07:03</c:v>
                  </c:pt>
                  <c:pt idx="44">
                    <c:v>28.04.2020 07:03</c:v>
                  </c:pt>
                  <c:pt idx="45">
                    <c:v>28.04.2020 07:03</c:v>
                  </c:pt>
                  <c:pt idx="46">
                    <c:v>28.04.2020 07:03</c:v>
                  </c:pt>
                  <c:pt idx="47">
                    <c:v>28.04.2020 07:03</c:v>
                  </c:pt>
                  <c:pt idx="48">
                    <c:v>28.04.2020 07:03</c:v>
                  </c:pt>
                  <c:pt idx="49">
                    <c:v>28.04.2020 07:03</c:v>
                  </c:pt>
                  <c:pt idx="50">
                    <c:v>28.04.2020 07:03</c:v>
                  </c:pt>
                  <c:pt idx="51">
                    <c:v>28.04.2020 07:03</c:v>
                  </c:pt>
                  <c:pt idx="52">
                    <c:v>28.04.2020 07:03</c:v>
                  </c:pt>
                  <c:pt idx="53">
                    <c:v>28.04.2020 07:03</c:v>
                  </c:pt>
                  <c:pt idx="54">
                    <c:v>28.04.2020 07:03</c:v>
                  </c:pt>
                  <c:pt idx="55">
                    <c:v>28.04.2020 07:03</c:v>
                  </c:pt>
                  <c:pt idx="56">
                    <c:v>28.04.2020 07:03</c:v>
                  </c:pt>
                  <c:pt idx="57">
                    <c:v>28.04.2020 07:03</c:v>
                  </c:pt>
                  <c:pt idx="58">
                    <c:v>28.04.2020 07:03</c:v>
                  </c:pt>
                  <c:pt idx="59">
                    <c:v>28.04.2020 07:03</c:v>
                  </c:pt>
                  <c:pt idx="60">
                    <c:v>28.04.2020 07:03</c:v>
                  </c:pt>
                  <c:pt idx="61">
                    <c:v>28.04.2020 07:03</c:v>
                  </c:pt>
                  <c:pt idx="62">
                    <c:v>28.04.2020 07:03</c:v>
                  </c:pt>
                  <c:pt idx="63">
                    <c:v>28.04.2020 07:03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lvl>
              </c:multiLvlStrCache>
            </c:multiLvlStrRef>
          </c:cat>
          <c:val>
            <c:numRef>
              <c:f>ch_latest!$F$2:$F$65</c:f>
              <c:numCache>
                <c:formatCode>General</c:formatCode>
                <c:ptCount val="64"/>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533</c:v>
                </c:pt>
                <c:pt idx="15">
                  <c:v>704</c:v>
                </c:pt>
                <c:pt idx="16">
                  <c:v>1056</c:v>
                </c:pt>
                <c:pt idx="17">
                  <c:v>1408</c:v>
                </c:pt>
                <c:pt idx="18">
                  <c:v>1743</c:v>
                </c:pt>
                <c:pt idx="19">
                  <c:v>2022</c:v>
                </c:pt>
                <c:pt idx="20">
                  <c:v>2750</c:v>
                </c:pt>
                <c:pt idx="21">
                  <c:v>3621</c:v>
                </c:pt>
                <c:pt idx="22">
                  <c:v>4792</c:v>
                </c:pt>
                <c:pt idx="23">
                  <c:v>5818</c:v>
                </c:pt>
                <c:pt idx="24">
                  <c:v>6953</c:v>
                </c:pt>
                <c:pt idx="25">
                  <c:v>7650</c:v>
                </c:pt>
                <c:pt idx="26">
                  <c:v>8219</c:v>
                </c:pt>
                <c:pt idx="27">
                  <c:v>9779</c:v>
                </c:pt>
                <c:pt idx="28">
                  <c:v>10850</c:v>
                </c:pt>
                <c:pt idx="29">
                  <c:v>11944</c:v>
                </c:pt>
                <c:pt idx="30">
                  <c:v>13083</c:v>
                </c:pt>
                <c:pt idx="31">
                  <c:v>14391</c:v>
                </c:pt>
                <c:pt idx="32">
                  <c:v>15224</c:v>
                </c:pt>
                <c:pt idx="33">
                  <c:v>15822</c:v>
                </c:pt>
                <c:pt idx="34">
                  <c:v>16937</c:v>
                </c:pt>
                <c:pt idx="35">
                  <c:v>17875</c:v>
                </c:pt>
                <c:pt idx="36">
                  <c:v>18902</c:v>
                </c:pt>
                <c:pt idx="37">
                  <c:v>19947</c:v>
                </c:pt>
                <c:pt idx="38">
                  <c:v>20876</c:v>
                </c:pt>
                <c:pt idx="39">
                  <c:v>21443</c:v>
                </c:pt>
                <c:pt idx="40">
                  <c:v>21826</c:v>
                </c:pt>
                <c:pt idx="41">
                  <c:v>22568</c:v>
                </c:pt>
                <c:pt idx="42">
                  <c:v>23219</c:v>
                </c:pt>
                <c:pt idx="43">
                  <c:v>23889</c:v>
                </c:pt>
                <c:pt idx="44">
                  <c:v>24557</c:v>
                </c:pt>
                <c:pt idx="45">
                  <c:v>25007</c:v>
                </c:pt>
                <c:pt idx="46">
                  <c:v>25470</c:v>
                </c:pt>
                <c:pt idx="47">
                  <c:v>25743</c:v>
                </c:pt>
                <c:pt idx="48">
                  <c:v>25994</c:v>
                </c:pt>
                <c:pt idx="49">
                  <c:v>26316</c:v>
                </c:pt>
                <c:pt idx="50">
                  <c:v>26634</c:v>
                </c:pt>
                <c:pt idx="51">
                  <c:v>26933</c:v>
                </c:pt>
                <c:pt idx="52">
                  <c:v>27248</c:v>
                </c:pt>
                <c:pt idx="53">
                  <c:v>27541</c:v>
                </c:pt>
                <c:pt idx="54">
                  <c:v>27718</c:v>
                </c:pt>
                <c:pt idx="55">
                  <c:v>27921</c:v>
                </c:pt>
                <c:pt idx="56">
                  <c:v>28080</c:v>
                </c:pt>
                <c:pt idx="57">
                  <c:v>28277</c:v>
                </c:pt>
                <c:pt idx="58">
                  <c:v>28495</c:v>
                </c:pt>
                <c:pt idx="59">
                  <c:v>28684</c:v>
                </c:pt>
                <c:pt idx="60">
                  <c:v>28821</c:v>
                </c:pt>
                <c:pt idx="61">
                  <c:v>28889</c:v>
                </c:pt>
                <c:pt idx="62">
                  <c:v>28994</c:v>
                </c:pt>
                <c:pt idx="63">
                  <c:v>28995</c:v>
                </c:pt>
              </c:numCache>
            </c:numRef>
          </c:val>
          <c:smooth val="0"/>
          <c:extLst xmlns:c15="http://schemas.microsoft.com/office/drawing/2012/chart">
            <c:ext xmlns:c16="http://schemas.microsoft.com/office/drawing/2014/chart" uri="{C3380CC4-5D6E-409C-BE32-E72D297353CC}">
              <c16:uniqueId val="{00000001-1B1B-4E8A-9467-6BF6B6803E2C}"/>
            </c:ext>
          </c:extLst>
        </c:ser>
        <c:ser>
          <c:idx val="5"/>
          <c:order val="5"/>
          <c:tx>
            <c:strRef>
              <c:f>ch_latest!$I$1</c:f>
              <c:strCache>
                <c:ptCount val="1"/>
                <c:pt idx="0">
                  <c:v>released</c:v>
                </c:pt>
              </c:strCache>
            </c:strRef>
          </c:tx>
          <c:spPr>
            <a:ln w="34925" cap="rnd">
              <a:solidFill>
                <a:srgbClr val="66FF99"/>
              </a:solidFill>
              <a:round/>
            </a:ln>
            <a:effectLst>
              <a:outerShdw blurRad="57150" dist="19050" dir="5400000" algn="ctr" rotWithShape="0">
                <a:srgbClr val="000000">
                  <a:alpha val="63000"/>
                </a:srgbClr>
              </a:outerShdw>
            </a:effectLst>
          </c:spPr>
          <c:marker>
            <c:symbol val="none"/>
          </c:marker>
          <c:cat>
            <c:multiLvlStrRef>
              <c:f>ch_latest!$A$2:$C$65</c:f>
              <c:multiLvlStrCache>
                <c:ptCount val="64"/>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lvl>
                <c:lvl>
                  <c:pt idx="0">
                    <c:v>28.04.2020 07:03</c:v>
                  </c:pt>
                  <c:pt idx="1">
                    <c:v>28.04.2020 07:03</c:v>
                  </c:pt>
                  <c:pt idx="2">
                    <c:v>28.04.2020 07:03</c:v>
                  </c:pt>
                  <c:pt idx="3">
                    <c:v>28.04.2020 07:03</c:v>
                  </c:pt>
                  <c:pt idx="4">
                    <c:v>28.04.2020 07:03</c:v>
                  </c:pt>
                  <c:pt idx="5">
                    <c:v>28.04.2020 07:03</c:v>
                  </c:pt>
                  <c:pt idx="6">
                    <c:v>28.04.2020 07:03</c:v>
                  </c:pt>
                  <c:pt idx="7">
                    <c:v>28.04.2020 07:03</c:v>
                  </c:pt>
                  <c:pt idx="8">
                    <c:v>28.04.2020 07:03</c:v>
                  </c:pt>
                  <c:pt idx="9">
                    <c:v>28.04.2020 07:03</c:v>
                  </c:pt>
                  <c:pt idx="10">
                    <c:v>28.04.2020 07:03</c:v>
                  </c:pt>
                  <c:pt idx="11">
                    <c:v>28.04.2020 07:03</c:v>
                  </c:pt>
                  <c:pt idx="12">
                    <c:v>28.04.2020 07:03</c:v>
                  </c:pt>
                  <c:pt idx="13">
                    <c:v>28.04.2020 07:03</c:v>
                  </c:pt>
                  <c:pt idx="14">
                    <c:v>28.04.2020 07:03</c:v>
                  </c:pt>
                  <c:pt idx="15">
                    <c:v>28.04.2020 07:03</c:v>
                  </c:pt>
                  <c:pt idx="16">
                    <c:v>28.04.2020 07:03</c:v>
                  </c:pt>
                  <c:pt idx="17">
                    <c:v>28.04.2020 07:03</c:v>
                  </c:pt>
                  <c:pt idx="18">
                    <c:v>28.04.2020 07:03</c:v>
                  </c:pt>
                  <c:pt idx="19">
                    <c:v>28.04.2020 07:03</c:v>
                  </c:pt>
                  <c:pt idx="20">
                    <c:v>28.04.2020 07:03</c:v>
                  </c:pt>
                  <c:pt idx="21">
                    <c:v>28.04.2020 07:03</c:v>
                  </c:pt>
                  <c:pt idx="22">
                    <c:v>28.04.2020 07:03</c:v>
                  </c:pt>
                  <c:pt idx="23">
                    <c:v>28.04.2020 07:03</c:v>
                  </c:pt>
                  <c:pt idx="24">
                    <c:v>28.04.2020 07:03</c:v>
                  </c:pt>
                  <c:pt idx="25">
                    <c:v>28.04.2020 07:03</c:v>
                  </c:pt>
                  <c:pt idx="26">
                    <c:v>28.04.2020 07:03</c:v>
                  </c:pt>
                  <c:pt idx="27">
                    <c:v>28.04.2020 07:03</c:v>
                  </c:pt>
                  <c:pt idx="28">
                    <c:v>28.04.2020 07:03</c:v>
                  </c:pt>
                  <c:pt idx="29">
                    <c:v>28.04.2020 07:03</c:v>
                  </c:pt>
                  <c:pt idx="30">
                    <c:v>28.04.2020 07:03</c:v>
                  </c:pt>
                  <c:pt idx="31">
                    <c:v>28.04.2020 07:03</c:v>
                  </c:pt>
                  <c:pt idx="32">
                    <c:v>28.04.2020 07:03</c:v>
                  </c:pt>
                  <c:pt idx="33">
                    <c:v>28.04.2020 07:03</c:v>
                  </c:pt>
                  <c:pt idx="34">
                    <c:v>28.04.2020 07:03</c:v>
                  </c:pt>
                  <c:pt idx="35">
                    <c:v>28.04.2020 07:03</c:v>
                  </c:pt>
                  <c:pt idx="36">
                    <c:v>28.04.2020 07:03</c:v>
                  </c:pt>
                  <c:pt idx="37">
                    <c:v>28.04.2020 07:03</c:v>
                  </c:pt>
                  <c:pt idx="38">
                    <c:v>28.04.2020 07:03</c:v>
                  </c:pt>
                  <c:pt idx="39">
                    <c:v>28.04.2020 07:03</c:v>
                  </c:pt>
                  <c:pt idx="40">
                    <c:v>28.04.2020 07:03</c:v>
                  </c:pt>
                  <c:pt idx="41">
                    <c:v>28.04.2020 07:03</c:v>
                  </c:pt>
                  <c:pt idx="42">
                    <c:v>28.04.2020 07:03</c:v>
                  </c:pt>
                  <c:pt idx="43">
                    <c:v>28.04.2020 07:03</c:v>
                  </c:pt>
                  <c:pt idx="44">
                    <c:v>28.04.2020 07:03</c:v>
                  </c:pt>
                  <c:pt idx="45">
                    <c:v>28.04.2020 07:03</c:v>
                  </c:pt>
                  <c:pt idx="46">
                    <c:v>28.04.2020 07:03</c:v>
                  </c:pt>
                  <c:pt idx="47">
                    <c:v>28.04.2020 07:03</c:v>
                  </c:pt>
                  <c:pt idx="48">
                    <c:v>28.04.2020 07:03</c:v>
                  </c:pt>
                  <c:pt idx="49">
                    <c:v>28.04.2020 07:03</c:v>
                  </c:pt>
                  <c:pt idx="50">
                    <c:v>28.04.2020 07:03</c:v>
                  </c:pt>
                  <c:pt idx="51">
                    <c:v>28.04.2020 07:03</c:v>
                  </c:pt>
                  <c:pt idx="52">
                    <c:v>28.04.2020 07:03</c:v>
                  </c:pt>
                  <c:pt idx="53">
                    <c:v>28.04.2020 07:03</c:v>
                  </c:pt>
                  <c:pt idx="54">
                    <c:v>28.04.2020 07:03</c:v>
                  </c:pt>
                  <c:pt idx="55">
                    <c:v>28.04.2020 07:03</c:v>
                  </c:pt>
                  <c:pt idx="56">
                    <c:v>28.04.2020 07:03</c:v>
                  </c:pt>
                  <c:pt idx="57">
                    <c:v>28.04.2020 07:03</c:v>
                  </c:pt>
                  <c:pt idx="58">
                    <c:v>28.04.2020 07:03</c:v>
                  </c:pt>
                  <c:pt idx="59">
                    <c:v>28.04.2020 07:03</c:v>
                  </c:pt>
                  <c:pt idx="60">
                    <c:v>28.04.2020 07:03</c:v>
                  </c:pt>
                  <c:pt idx="61">
                    <c:v>28.04.2020 07:03</c:v>
                  </c:pt>
                  <c:pt idx="62">
                    <c:v>28.04.2020 07:03</c:v>
                  </c:pt>
                  <c:pt idx="63">
                    <c:v>28.04.2020 07:03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lvl>
              </c:multiLvlStrCache>
            </c:multiLvlStrRef>
          </c:cat>
          <c:val>
            <c:numRef>
              <c:f>ch_latest!$I$2:$I$65</c:f>
              <c:numCache>
                <c:formatCode>General</c:formatCode>
                <c:ptCount val="64"/>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4638</c:v>
                </c:pt>
                <c:pt idx="63">
                  <c:v>4638</c:v>
                </c:pt>
              </c:numCache>
            </c:numRef>
          </c:val>
          <c:smooth val="0"/>
          <c:extLst>
            <c:ext xmlns:c16="http://schemas.microsoft.com/office/drawing/2014/chart" uri="{C3380CC4-5D6E-409C-BE32-E72D297353CC}">
              <c16:uniqueId val="{00000004-1B1B-4E8A-9467-6BF6B6803E2C}"/>
            </c:ext>
          </c:extLst>
        </c:ser>
        <c:ser>
          <c:idx val="3"/>
          <c:order val="3"/>
          <c:tx>
            <c:strRef>
              <c:f>ch_latest!$G$1</c:f>
              <c:strCache>
                <c:ptCount val="1"/>
                <c:pt idx="0">
                  <c:v>total_positive</c:v>
                </c:pt>
              </c:strCache>
            </c:strRef>
          </c:tx>
          <c:spPr>
            <a:ln w="34925" cap="rnd">
              <a:solidFill>
                <a:srgbClr val="FFFF00"/>
              </a:solidFill>
              <a:round/>
            </a:ln>
            <a:effectLst>
              <a:outerShdw blurRad="57150" dist="19050" dir="5400000" algn="ctr" rotWithShape="0">
                <a:srgbClr val="000000">
                  <a:alpha val="63000"/>
                </a:srgbClr>
              </a:outerShdw>
            </a:effectLst>
          </c:spPr>
          <c:marker>
            <c:symbol val="none"/>
          </c:marker>
          <c:cat>
            <c:multiLvlStrRef>
              <c:f>ch_latest!$A$2:$C$65</c:f>
              <c:multiLvlStrCache>
                <c:ptCount val="64"/>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lvl>
                <c:lvl>
                  <c:pt idx="0">
                    <c:v>28.04.2020 07:03</c:v>
                  </c:pt>
                  <c:pt idx="1">
                    <c:v>28.04.2020 07:03</c:v>
                  </c:pt>
                  <c:pt idx="2">
                    <c:v>28.04.2020 07:03</c:v>
                  </c:pt>
                  <c:pt idx="3">
                    <c:v>28.04.2020 07:03</c:v>
                  </c:pt>
                  <c:pt idx="4">
                    <c:v>28.04.2020 07:03</c:v>
                  </c:pt>
                  <c:pt idx="5">
                    <c:v>28.04.2020 07:03</c:v>
                  </c:pt>
                  <c:pt idx="6">
                    <c:v>28.04.2020 07:03</c:v>
                  </c:pt>
                  <c:pt idx="7">
                    <c:v>28.04.2020 07:03</c:v>
                  </c:pt>
                  <c:pt idx="8">
                    <c:v>28.04.2020 07:03</c:v>
                  </c:pt>
                  <c:pt idx="9">
                    <c:v>28.04.2020 07:03</c:v>
                  </c:pt>
                  <c:pt idx="10">
                    <c:v>28.04.2020 07:03</c:v>
                  </c:pt>
                  <c:pt idx="11">
                    <c:v>28.04.2020 07:03</c:v>
                  </c:pt>
                  <c:pt idx="12">
                    <c:v>28.04.2020 07:03</c:v>
                  </c:pt>
                  <c:pt idx="13">
                    <c:v>28.04.2020 07:03</c:v>
                  </c:pt>
                  <c:pt idx="14">
                    <c:v>28.04.2020 07:03</c:v>
                  </c:pt>
                  <c:pt idx="15">
                    <c:v>28.04.2020 07:03</c:v>
                  </c:pt>
                  <c:pt idx="16">
                    <c:v>28.04.2020 07:03</c:v>
                  </c:pt>
                  <c:pt idx="17">
                    <c:v>28.04.2020 07:03</c:v>
                  </c:pt>
                  <c:pt idx="18">
                    <c:v>28.04.2020 07:03</c:v>
                  </c:pt>
                  <c:pt idx="19">
                    <c:v>28.04.2020 07:03</c:v>
                  </c:pt>
                  <c:pt idx="20">
                    <c:v>28.04.2020 07:03</c:v>
                  </c:pt>
                  <c:pt idx="21">
                    <c:v>28.04.2020 07:03</c:v>
                  </c:pt>
                  <c:pt idx="22">
                    <c:v>28.04.2020 07:03</c:v>
                  </c:pt>
                  <c:pt idx="23">
                    <c:v>28.04.2020 07:03</c:v>
                  </c:pt>
                  <c:pt idx="24">
                    <c:v>28.04.2020 07:03</c:v>
                  </c:pt>
                  <c:pt idx="25">
                    <c:v>28.04.2020 07:03</c:v>
                  </c:pt>
                  <c:pt idx="26">
                    <c:v>28.04.2020 07:03</c:v>
                  </c:pt>
                  <c:pt idx="27">
                    <c:v>28.04.2020 07:03</c:v>
                  </c:pt>
                  <c:pt idx="28">
                    <c:v>28.04.2020 07:03</c:v>
                  </c:pt>
                  <c:pt idx="29">
                    <c:v>28.04.2020 07:03</c:v>
                  </c:pt>
                  <c:pt idx="30">
                    <c:v>28.04.2020 07:03</c:v>
                  </c:pt>
                  <c:pt idx="31">
                    <c:v>28.04.2020 07:03</c:v>
                  </c:pt>
                  <c:pt idx="32">
                    <c:v>28.04.2020 07:03</c:v>
                  </c:pt>
                  <c:pt idx="33">
                    <c:v>28.04.2020 07:03</c:v>
                  </c:pt>
                  <c:pt idx="34">
                    <c:v>28.04.2020 07:03</c:v>
                  </c:pt>
                  <c:pt idx="35">
                    <c:v>28.04.2020 07:03</c:v>
                  </c:pt>
                  <c:pt idx="36">
                    <c:v>28.04.2020 07:03</c:v>
                  </c:pt>
                  <c:pt idx="37">
                    <c:v>28.04.2020 07:03</c:v>
                  </c:pt>
                  <c:pt idx="38">
                    <c:v>28.04.2020 07:03</c:v>
                  </c:pt>
                  <c:pt idx="39">
                    <c:v>28.04.2020 07:03</c:v>
                  </c:pt>
                  <c:pt idx="40">
                    <c:v>28.04.2020 07:03</c:v>
                  </c:pt>
                  <c:pt idx="41">
                    <c:v>28.04.2020 07:03</c:v>
                  </c:pt>
                  <c:pt idx="42">
                    <c:v>28.04.2020 07:03</c:v>
                  </c:pt>
                  <c:pt idx="43">
                    <c:v>28.04.2020 07:03</c:v>
                  </c:pt>
                  <c:pt idx="44">
                    <c:v>28.04.2020 07:03</c:v>
                  </c:pt>
                  <c:pt idx="45">
                    <c:v>28.04.2020 07:03</c:v>
                  </c:pt>
                  <c:pt idx="46">
                    <c:v>28.04.2020 07:03</c:v>
                  </c:pt>
                  <c:pt idx="47">
                    <c:v>28.04.2020 07:03</c:v>
                  </c:pt>
                  <c:pt idx="48">
                    <c:v>28.04.2020 07:03</c:v>
                  </c:pt>
                  <c:pt idx="49">
                    <c:v>28.04.2020 07:03</c:v>
                  </c:pt>
                  <c:pt idx="50">
                    <c:v>28.04.2020 07:03</c:v>
                  </c:pt>
                  <c:pt idx="51">
                    <c:v>28.04.2020 07:03</c:v>
                  </c:pt>
                  <c:pt idx="52">
                    <c:v>28.04.2020 07:03</c:v>
                  </c:pt>
                  <c:pt idx="53">
                    <c:v>28.04.2020 07:03</c:v>
                  </c:pt>
                  <c:pt idx="54">
                    <c:v>28.04.2020 07:03</c:v>
                  </c:pt>
                  <c:pt idx="55">
                    <c:v>28.04.2020 07:03</c:v>
                  </c:pt>
                  <c:pt idx="56">
                    <c:v>28.04.2020 07:03</c:v>
                  </c:pt>
                  <c:pt idx="57">
                    <c:v>28.04.2020 07:03</c:v>
                  </c:pt>
                  <c:pt idx="58">
                    <c:v>28.04.2020 07:03</c:v>
                  </c:pt>
                  <c:pt idx="59">
                    <c:v>28.04.2020 07:03</c:v>
                  </c:pt>
                  <c:pt idx="60">
                    <c:v>28.04.2020 07:03</c:v>
                  </c:pt>
                  <c:pt idx="61">
                    <c:v>28.04.2020 07:03</c:v>
                  </c:pt>
                  <c:pt idx="62">
                    <c:v>28.04.2020 07:03</c:v>
                  </c:pt>
                  <c:pt idx="63">
                    <c:v>28.04.2020 07:03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lvl>
              </c:multiLvlStrCache>
            </c:multiLvlStrRef>
          </c:cat>
          <c:val>
            <c:numRef>
              <c:f>ch_latest!$G$2:$G$65</c:f>
              <c:numCache>
                <c:formatCode>General</c:formatCode>
                <c:ptCount val="64"/>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533</c:v>
                </c:pt>
                <c:pt idx="15">
                  <c:v>704</c:v>
                </c:pt>
                <c:pt idx="16">
                  <c:v>1056</c:v>
                </c:pt>
                <c:pt idx="17">
                  <c:v>1408</c:v>
                </c:pt>
                <c:pt idx="18">
                  <c:v>1743</c:v>
                </c:pt>
                <c:pt idx="19">
                  <c:v>2022</c:v>
                </c:pt>
                <c:pt idx="20">
                  <c:v>2750</c:v>
                </c:pt>
                <c:pt idx="21">
                  <c:v>3621</c:v>
                </c:pt>
                <c:pt idx="22">
                  <c:v>4792</c:v>
                </c:pt>
                <c:pt idx="23">
                  <c:v>5818</c:v>
                </c:pt>
                <c:pt idx="24">
                  <c:v>6953</c:v>
                </c:pt>
                <c:pt idx="25">
                  <c:v>7650</c:v>
                </c:pt>
                <c:pt idx="26">
                  <c:v>8219</c:v>
                </c:pt>
                <c:pt idx="27">
                  <c:v>9779</c:v>
                </c:pt>
                <c:pt idx="28">
                  <c:v>10850</c:v>
                </c:pt>
                <c:pt idx="29">
                  <c:v>11944</c:v>
                </c:pt>
                <c:pt idx="30">
                  <c:v>13083</c:v>
                </c:pt>
                <c:pt idx="31">
                  <c:v>14391</c:v>
                </c:pt>
                <c:pt idx="32">
                  <c:v>15224</c:v>
                </c:pt>
                <c:pt idx="33">
                  <c:v>15822</c:v>
                </c:pt>
                <c:pt idx="34">
                  <c:v>16937</c:v>
                </c:pt>
                <c:pt idx="35">
                  <c:v>17875</c:v>
                </c:pt>
                <c:pt idx="36">
                  <c:v>18902</c:v>
                </c:pt>
                <c:pt idx="37">
                  <c:v>19947</c:v>
                </c:pt>
                <c:pt idx="38">
                  <c:v>20876</c:v>
                </c:pt>
                <c:pt idx="39">
                  <c:v>21443</c:v>
                </c:pt>
                <c:pt idx="40">
                  <c:v>21826</c:v>
                </c:pt>
                <c:pt idx="41">
                  <c:v>22568</c:v>
                </c:pt>
                <c:pt idx="42">
                  <c:v>23219</c:v>
                </c:pt>
                <c:pt idx="43">
                  <c:v>23889</c:v>
                </c:pt>
                <c:pt idx="44">
                  <c:v>24557</c:v>
                </c:pt>
                <c:pt idx="45">
                  <c:v>25007</c:v>
                </c:pt>
                <c:pt idx="46">
                  <c:v>25470</c:v>
                </c:pt>
                <c:pt idx="47">
                  <c:v>25743</c:v>
                </c:pt>
                <c:pt idx="48">
                  <c:v>25994</c:v>
                </c:pt>
                <c:pt idx="49">
                  <c:v>26316</c:v>
                </c:pt>
                <c:pt idx="50">
                  <c:v>26634</c:v>
                </c:pt>
                <c:pt idx="51">
                  <c:v>26933</c:v>
                </c:pt>
                <c:pt idx="52">
                  <c:v>27248</c:v>
                </c:pt>
                <c:pt idx="53">
                  <c:v>27541</c:v>
                </c:pt>
                <c:pt idx="54">
                  <c:v>27718</c:v>
                </c:pt>
                <c:pt idx="55">
                  <c:v>27921</c:v>
                </c:pt>
                <c:pt idx="56">
                  <c:v>28080</c:v>
                </c:pt>
                <c:pt idx="57">
                  <c:v>28277</c:v>
                </c:pt>
                <c:pt idx="58">
                  <c:v>28495</c:v>
                </c:pt>
                <c:pt idx="59">
                  <c:v>28684</c:v>
                </c:pt>
                <c:pt idx="60">
                  <c:v>28821</c:v>
                </c:pt>
                <c:pt idx="61">
                  <c:v>28889</c:v>
                </c:pt>
                <c:pt idx="62">
                  <c:v>28994</c:v>
                </c:pt>
                <c:pt idx="63">
                  <c:v>28995</c:v>
                </c:pt>
              </c:numCache>
            </c:numRef>
          </c:val>
          <c:smooth val="0"/>
          <c:extLst>
            <c:ext xmlns:c16="http://schemas.microsoft.com/office/drawing/2014/chart" uri="{C3380CC4-5D6E-409C-BE32-E72D297353CC}">
              <c16:uniqueId val="{00000002-1B1B-4E8A-9467-6BF6B6803E2C}"/>
            </c:ext>
          </c:extLst>
        </c:ser>
        <c:ser>
          <c:idx val="6"/>
          <c:order val="6"/>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multiLvlStrRef>
              <c:f>ch_latest!$A$2:$C$65</c:f>
              <c:multiLvlStrCache>
                <c:ptCount val="64"/>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lvl>
                <c:lvl>
                  <c:pt idx="0">
                    <c:v>28.04.2020 07:03</c:v>
                  </c:pt>
                  <c:pt idx="1">
                    <c:v>28.04.2020 07:03</c:v>
                  </c:pt>
                  <c:pt idx="2">
                    <c:v>28.04.2020 07:03</c:v>
                  </c:pt>
                  <c:pt idx="3">
                    <c:v>28.04.2020 07:03</c:v>
                  </c:pt>
                  <c:pt idx="4">
                    <c:v>28.04.2020 07:03</c:v>
                  </c:pt>
                  <c:pt idx="5">
                    <c:v>28.04.2020 07:03</c:v>
                  </c:pt>
                  <c:pt idx="6">
                    <c:v>28.04.2020 07:03</c:v>
                  </c:pt>
                  <c:pt idx="7">
                    <c:v>28.04.2020 07:03</c:v>
                  </c:pt>
                  <c:pt idx="8">
                    <c:v>28.04.2020 07:03</c:v>
                  </c:pt>
                  <c:pt idx="9">
                    <c:v>28.04.2020 07:03</c:v>
                  </c:pt>
                  <c:pt idx="10">
                    <c:v>28.04.2020 07:03</c:v>
                  </c:pt>
                  <c:pt idx="11">
                    <c:v>28.04.2020 07:03</c:v>
                  </c:pt>
                  <c:pt idx="12">
                    <c:v>28.04.2020 07:03</c:v>
                  </c:pt>
                  <c:pt idx="13">
                    <c:v>28.04.2020 07:03</c:v>
                  </c:pt>
                  <c:pt idx="14">
                    <c:v>28.04.2020 07:03</c:v>
                  </c:pt>
                  <c:pt idx="15">
                    <c:v>28.04.2020 07:03</c:v>
                  </c:pt>
                  <c:pt idx="16">
                    <c:v>28.04.2020 07:03</c:v>
                  </c:pt>
                  <c:pt idx="17">
                    <c:v>28.04.2020 07:03</c:v>
                  </c:pt>
                  <c:pt idx="18">
                    <c:v>28.04.2020 07:03</c:v>
                  </c:pt>
                  <c:pt idx="19">
                    <c:v>28.04.2020 07:03</c:v>
                  </c:pt>
                  <c:pt idx="20">
                    <c:v>28.04.2020 07:03</c:v>
                  </c:pt>
                  <c:pt idx="21">
                    <c:v>28.04.2020 07:03</c:v>
                  </c:pt>
                  <c:pt idx="22">
                    <c:v>28.04.2020 07:03</c:v>
                  </c:pt>
                  <c:pt idx="23">
                    <c:v>28.04.2020 07:03</c:v>
                  </c:pt>
                  <c:pt idx="24">
                    <c:v>28.04.2020 07:03</c:v>
                  </c:pt>
                  <c:pt idx="25">
                    <c:v>28.04.2020 07:03</c:v>
                  </c:pt>
                  <c:pt idx="26">
                    <c:v>28.04.2020 07:03</c:v>
                  </c:pt>
                  <c:pt idx="27">
                    <c:v>28.04.2020 07:03</c:v>
                  </c:pt>
                  <c:pt idx="28">
                    <c:v>28.04.2020 07:03</c:v>
                  </c:pt>
                  <c:pt idx="29">
                    <c:v>28.04.2020 07:03</c:v>
                  </c:pt>
                  <c:pt idx="30">
                    <c:v>28.04.2020 07:03</c:v>
                  </c:pt>
                  <c:pt idx="31">
                    <c:v>28.04.2020 07:03</c:v>
                  </c:pt>
                  <c:pt idx="32">
                    <c:v>28.04.2020 07:03</c:v>
                  </c:pt>
                  <c:pt idx="33">
                    <c:v>28.04.2020 07:03</c:v>
                  </c:pt>
                  <c:pt idx="34">
                    <c:v>28.04.2020 07:03</c:v>
                  </c:pt>
                  <c:pt idx="35">
                    <c:v>28.04.2020 07:03</c:v>
                  </c:pt>
                  <c:pt idx="36">
                    <c:v>28.04.2020 07:03</c:v>
                  </c:pt>
                  <c:pt idx="37">
                    <c:v>28.04.2020 07:03</c:v>
                  </c:pt>
                  <c:pt idx="38">
                    <c:v>28.04.2020 07:03</c:v>
                  </c:pt>
                  <c:pt idx="39">
                    <c:v>28.04.2020 07:03</c:v>
                  </c:pt>
                  <c:pt idx="40">
                    <c:v>28.04.2020 07:03</c:v>
                  </c:pt>
                  <c:pt idx="41">
                    <c:v>28.04.2020 07:03</c:v>
                  </c:pt>
                  <c:pt idx="42">
                    <c:v>28.04.2020 07:03</c:v>
                  </c:pt>
                  <c:pt idx="43">
                    <c:v>28.04.2020 07:03</c:v>
                  </c:pt>
                  <c:pt idx="44">
                    <c:v>28.04.2020 07:03</c:v>
                  </c:pt>
                  <c:pt idx="45">
                    <c:v>28.04.2020 07:03</c:v>
                  </c:pt>
                  <c:pt idx="46">
                    <c:v>28.04.2020 07:03</c:v>
                  </c:pt>
                  <c:pt idx="47">
                    <c:v>28.04.2020 07:03</c:v>
                  </c:pt>
                  <c:pt idx="48">
                    <c:v>28.04.2020 07:03</c:v>
                  </c:pt>
                  <c:pt idx="49">
                    <c:v>28.04.2020 07:03</c:v>
                  </c:pt>
                  <c:pt idx="50">
                    <c:v>28.04.2020 07:03</c:v>
                  </c:pt>
                  <c:pt idx="51">
                    <c:v>28.04.2020 07:03</c:v>
                  </c:pt>
                  <c:pt idx="52">
                    <c:v>28.04.2020 07:03</c:v>
                  </c:pt>
                  <c:pt idx="53">
                    <c:v>28.04.2020 07:03</c:v>
                  </c:pt>
                  <c:pt idx="54">
                    <c:v>28.04.2020 07:03</c:v>
                  </c:pt>
                  <c:pt idx="55">
                    <c:v>28.04.2020 07:03</c:v>
                  </c:pt>
                  <c:pt idx="56">
                    <c:v>28.04.2020 07:03</c:v>
                  </c:pt>
                  <c:pt idx="57">
                    <c:v>28.04.2020 07:03</c:v>
                  </c:pt>
                  <c:pt idx="58">
                    <c:v>28.04.2020 07:03</c:v>
                  </c:pt>
                  <c:pt idx="59">
                    <c:v>28.04.2020 07:03</c:v>
                  </c:pt>
                  <c:pt idx="60">
                    <c:v>28.04.2020 07:03</c:v>
                  </c:pt>
                  <c:pt idx="61">
                    <c:v>28.04.2020 07:03</c:v>
                  </c:pt>
                  <c:pt idx="62">
                    <c:v>28.04.2020 07:03</c:v>
                  </c:pt>
                  <c:pt idx="63">
                    <c:v>28.04.2020 07:03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lvl>
              </c:multiLvlStrCache>
            </c:multiLvlStrRef>
          </c:cat>
          <c:val>
            <c:numRef>
              <c:f>ch_latest!$J$2:$J$65</c:f>
              <c:numCache>
                <c:formatCode>General</c:formatCode>
                <c:ptCount val="64"/>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246</c:v>
                </c:pt>
                <c:pt idx="31">
                  <c:v>282</c:v>
                </c:pt>
                <c:pt idx="32">
                  <c:v>334</c:v>
                </c:pt>
                <c:pt idx="33">
                  <c:v>378</c:v>
                </c:pt>
                <c:pt idx="34">
                  <c:v>437</c:v>
                </c:pt>
                <c:pt idx="35">
                  <c:v>503</c:v>
                </c:pt>
                <c:pt idx="36">
                  <c:v>566</c:v>
                </c:pt>
                <c:pt idx="37">
                  <c:v>627</c:v>
                </c:pt>
                <c:pt idx="38">
                  <c:v>688</c:v>
                </c:pt>
                <c:pt idx="39">
                  <c:v>754</c:v>
                </c:pt>
                <c:pt idx="40">
                  <c:v>806</c:v>
                </c:pt>
                <c:pt idx="41">
                  <c:v>865</c:v>
                </c:pt>
                <c:pt idx="42">
                  <c:v>925</c:v>
                </c:pt>
                <c:pt idx="43">
                  <c:v>993</c:v>
                </c:pt>
                <c:pt idx="44">
                  <c:v>1044</c:v>
                </c:pt>
                <c:pt idx="45">
                  <c:v>1094</c:v>
                </c:pt>
                <c:pt idx="46">
                  <c:v>1131</c:v>
                </c:pt>
                <c:pt idx="47">
                  <c:v>1187</c:v>
                </c:pt>
                <c:pt idx="48">
                  <c:v>1217</c:v>
                </c:pt>
                <c:pt idx="49">
                  <c:v>1255</c:v>
                </c:pt>
                <c:pt idx="50">
                  <c:v>1308</c:v>
                </c:pt>
                <c:pt idx="51">
                  <c:v>1353</c:v>
                </c:pt>
                <c:pt idx="52">
                  <c:v>1398</c:v>
                </c:pt>
                <c:pt idx="53">
                  <c:v>1440</c:v>
                </c:pt>
                <c:pt idx="54">
                  <c:v>1463</c:v>
                </c:pt>
                <c:pt idx="55">
                  <c:v>1504</c:v>
                </c:pt>
                <c:pt idx="56">
                  <c:v>1545</c:v>
                </c:pt>
                <c:pt idx="57">
                  <c:v>1571</c:v>
                </c:pt>
                <c:pt idx="58">
                  <c:v>1600</c:v>
                </c:pt>
                <c:pt idx="59">
                  <c:v>1625</c:v>
                </c:pt>
                <c:pt idx="60">
                  <c:v>1643</c:v>
                </c:pt>
                <c:pt idx="61">
                  <c:v>1655</c:v>
                </c:pt>
                <c:pt idx="62">
                  <c:v>1666</c:v>
                </c:pt>
                <c:pt idx="63">
                  <c:v>1666</c:v>
                </c:pt>
              </c:numCache>
            </c:numRef>
          </c:val>
          <c:smooth val="0"/>
          <c:extLst xmlns:c15="http://schemas.microsoft.com/office/drawing/2012/chart">
            <c:ext xmlns:c16="http://schemas.microsoft.com/office/drawing/2014/chart" uri="{C3380CC4-5D6E-409C-BE32-E72D297353CC}">
              <c16:uniqueId val="{00000005-1B1B-4E8A-9467-6BF6B6803E2C}"/>
            </c:ext>
          </c:extLst>
        </c:ser>
        <c:dLbls>
          <c:showLegendKey val="0"/>
          <c:showVal val="0"/>
          <c:showCatName val="0"/>
          <c:showSerName val="0"/>
          <c:showPercent val="0"/>
          <c:showBubbleSize val="0"/>
        </c:dLbls>
        <c:smooth val="0"/>
        <c:axId val="1165289807"/>
        <c:axId val="72936975"/>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multiLvlStrRef>
                    <c:extLst>
                      <c:ext uri="{02D57815-91ED-43cb-92C2-25804820EDAC}">
                        <c15:formulaRef>
                          <c15:sqref>ch_latest!$A$2:$C$65</c15:sqref>
                        </c15:formulaRef>
                      </c:ext>
                    </c:extLst>
                    <c:multiLvlStrCache>
                      <c:ptCount val="64"/>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lvl>
                      <c:lvl>
                        <c:pt idx="0">
                          <c:v>28.04.2020 07:03</c:v>
                        </c:pt>
                        <c:pt idx="1">
                          <c:v>28.04.2020 07:03</c:v>
                        </c:pt>
                        <c:pt idx="2">
                          <c:v>28.04.2020 07:03</c:v>
                        </c:pt>
                        <c:pt idx="3">
                          <c:v>28.04.2020 07:03</c:v>
                        </c:pt>
                        <c:pt idx="4">
                          <c:v>28.04.2020 07:03</c:v>
                        </c:pt>
                        <c:pt idx="5">
                          <c:v>28.04.2020 07:03</c:v>
                        </c:pt>
                        <c:pt idx="6">
                          <c:v>28.04.2020 07:03</c:v>
                        </c:pt>
                        <c:pt idx="7">
                          <c:v>28.04.2020 07:03</c:v>
                        </c:pt>
                        <c:pt idx="8">
                          <c:v>28.04.2020 07:03</c:v>
                        </c:pt>
                        <c:pt idx="9">
                          <c:v>28.04.2020 07:03</c:v>
                        </c:pt>
                        <c:pt idx="10">
                          <c:v>28.04.2020 07:03</c:v>
                        </c:pt>
                        <c:pt idx="11">
                          <c:v>28.04.2020 07:03</c:v>
                        </c:pt>
                        <c:pt idx="12">
                          <c:v>28.04.2020 07:03</c:v>
                        </c:pt>
                        <c:pt idx="13">
                          <c:v>28.04.2020 07:03</c:v>
                        </c:pt>
                        <c:pt idx="14">
                          <c:v>28.04.2020 07:03</c:v>
                        </c:pt>
                        <c:pt idx="15">
                          <c:v>28.04.2020 07:03</c:v>
                        </c:pt>
                        <c:pt idx="16">
                          <c:v>28.04.2020 07:03</c:v>
                        </c:pt>
                        <c:pt idx="17">
                          <c:v>28.04.2020 07:03</c:v>
                        </c:pt>
                        <c:pt idx="18">
                          <c:v>28.04.2020 07:03</c:v>
                        </c:pt>
                        <c:pt idx="19">
                          <c:v>28.04.2020 07:03</c:v>
                        </c:pt>
                        <c:pt idx="20">
                          <c:v>28.04.2020 07:03</c:v>
                        </c:pt>
                        <c:pt idx="21">
                          <c:v>28.04.2020 07:03</c:v>
                        </c:pt>
                        <c:pt idx="22">
                          <c:v>28.04.2020 07:03</c:v>
                        </c:pt>
                        <c:pt idx="23">
                          <c:v>28.04.2020 07:03</c:v>
                        </c:pt>
                        <c:pt idx="24">
                          <c:v>28.04.2020 07:03</c:v>
                        </c:pt>
                        <c:pt idx="25">
                          <c:v>28.04.2020 07:03</c:v>
                        </c:pt>
                        <c:pt idx="26">
                          <c:v>28.04.2020 07:03</c:v>
                        </c:pt>
                        <c:pt idx="27">
                          <c:v>28.04.2020 07:03</c:v>
                        </c:pt>
                        <c:pt idx="28">
                          <c:v>28.04.2020 07:03</c:v>
                        </c:pt>
                        <c:pt idx="29">
                          <c:v>28.04.2020 07:03</c:v>
                        </c:pt>
                        <c:pt idx="30">
                          <c:v>28.04.2020 07:03</c:v>
                        </c:pt>
                        <c:pt idx="31">
                          <c:v>28.04.2020 07:03</c:v>
                        </c:pt>
                        <c:pt idx="32">
                          <c:v>28.04.2020 07:03</c:v>
                        </c:pt>
                        <c:pt idx="33">
                          <c:v>28.04.2020 07:03</c:v>
                        </c:pt>
                        <c:pt idx="34">
                          <c:v>28.04.2020 07:03</c:v>
                        </c:pt>
                        <c:pt idx="35">
                          <c:v>28.04.2020 07:03</c:v>
                        </c:pt>
                        <c:pt idx="36">
                          <c:v>28.04.2020 07:03</c:v>
                        </c:pt>
                        <c:pt idx="37">
                          <c:v>28.04.2020 07:03</c:v>
                        </c:pt>
                        <c:pt idx="38">
                          <c:v>28.04.2020 07:03</c:v>
                        </c:pt>
                        <c:pt idx="39">
                          <c:v>28.04.2020 07:03</c:v>
                        </c:pt>
                        <c:pt idx="40">
                          <c:v>28.04.2020 07:03</c:v>
                        </c:pt>
                        <c:pt idx="41">
                          <c:v>28.04.2020 07:03</c:v>
                        </c:pt>
                        <c:pt idx="42">
                          <c:v>28.04.2020 07:03</c:v>
                        </c:pt>
                        <c:pt idx="43">
                          <c:v>28.04.2020 07:03</c:v>
                        </c:pt>
                        <c:pt idx="44">
                          <c:v>28.04.2020 07:03</c:v>
                        </c:pt>
                        <c:pt idx="45">
                          <c:v>28.04.2020 07:03</c:v>
                        </c:pt>
                        <c:pt idx="46">
                          <c:v>28.04.2020 07:03</c:v>
                        </c:pt>
                        <c:pt idx="47">
                          <c:v>28.04.2020 07:03</c:v>
                        </c:pt>
                        <c:pt idx="48">
                          <c:v>28.04.2020 07:03</c:v>
                        </c:pt>
                        <c:pt idx="49">
                          <c:v>28.04.2020 07:03</c:v>
                        </c:pt>
                        <c:pt idx="50">
                          <c:v>28.04.2020 07:03</c:v>
                        </c:pt>
                        <c:pt idx="51">
                          <c:v>28.04.2020 07:03</c:v>
                        </c:pt>
                        <c:pt idx="52">
                          <c:v>28.04.2020 07:03</c:v>
                        </c:pt>
                        <c:pt idx="53">
                          <c:v>28.04.2020 07:03</c:v>
                        </c:pt>
                        <c:pt idx="54">
                          <c:v>28.04.2020 07:03</c:v>
                        </c:pt>
                        <c:pt idx="55">
                          <c:v>28.04.2020 07:03</c:v>
                        </c:pt>
                        <c:pt idx="56">
                          <c:v>28.04.2020 07:03</c:v>
                        </c:pt>
                        <c:pt idx="57">
                          <c:v>28.04.2020 07:03</c:v>
                        </c:pt>
                        <c:pt idx="58">
                          <c:v>28.04.2020 07:03</c:v>
                        </c:pt>
                        <c:pt idx="59">
                          <c:v>28.04.2020 07:03</c:v>
                        </c:pt>
                        <c:pt idx="60">
                          <c:v>28.04.2020 07:03</c:v>
                        </c:pt>
                        <c:pt idx="61">
                          <c:v>28.04.2020 07:03</c:v>
                        </c:pt>
                        <c:pt idx="62">
                          <c:v>28.04.2020 07:03</c:v>
                        </c:pt>
                        <c:pt idx="63">
                          <c:v>28.04.2020 07:03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lvl>
                    </c:multiLvlStrCache>
                  </c:multiLvlStrRef>
                </c:cat>
                <c:val>
                  <c:numRef>
                    <c:extLst>
                      <c:ext uri="{02D57815-91ED-43cb-92C2-25804820EDAC}">
                        <c15:formulaRef>
                          <c15:sqref>ch_latest!$D$2:$D$65</c15:sqref>
                        </c15:formulaRef>
                      </c:ext>
                    </c:extLst>
                    <c:numCache>
                      <c:formatCode>General</c:formatCode>
                      <c:ptCount val="64"/>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323</c:v>
                      </c:pt>
                      <c:pt idx="33">
                        <c:v>337</c:v>
                      </c:pt>
                      <c:pt idx="34">
                        <c:v>384</c:v>
                      </c:pt>
                      <c:pt idx="35">
                        <c:v>410</c:v>
                      </c:pt>
                      <c:pt idx="36">
                        <c:v>441</c:v>
                      </c:pt>
                      <c:pt idx="37">
                        <c:v>446</c:v>
                      </c:pt>
                      <c:pt idx="38">
                        <c:v>456</c:v>
                      </c:pt>
                      <c:pt idx="39">
                        <c:v>458</c:v>
                      </c:pt>
                      <c:pt idx="40">
                        <c:v>448</c:v>
                      </c:pt>
                      <c:pt idx="41">
                        <c:v>447</c:v>
                      </c:pt>
                      <c:pt idx="42">
                        <c:v>441</c:v>
                      </c:pt>
                      <c:pt idx="43">
                        <c:v>438</c:v>
                      </c:pt>
                      <c:pt idx="44">
                        <c:v>430</c:v>
                      </c:pt>
                      <c:pt idx="45">
                        <c:v>418</c:v>
                      </c:pt>
                      <c:pt idx="46">
                        <c:v>418</c:v>
                      </c:pt>
                      <c:pt idx="47">
                        <c:v>407</c:v>
                      </c:pt>
                      <c:pt idx="48">
                        <c:v>403</c:v>
                      </c:pt>
                      <c:pt idx="49">
                        <c:v>390</c:v>
                      </c:pt>
                      <c:pt idx="50">
                        <c:v>368</c:v>
                      </c:pt>
                      <c:pt idx="51">
                        <c:v>348</c:v>
                      </c:pt>
                      <c:pt idx="52">
                        <c:v>335</c:v>
                      </c:pt>
                      <c:pt idx="53">
                        <c:v>321</c:v>
                      </c:pt>
                      <c:pt idx="54">
                        <c:v>313</c:v>
                      </c:pt>
                      <c:pt idx="55">
                        <c:v>302</c:v>
                      </c:pt>
                      <c:pt idx="56">
                        <c:v>287</c:v>
                      </c:pt>
                      <c:pt idx="57">
                        <c:v>255</c:v>
                      </c:pt>
                      <c:pt idx="58">
                        <c:v>247</c:v>
                      </c:pt>
                      <c:pt idx="59">
                        <c:v>241</c:v>
                      </c:pt>
                      <c:pt idx="60">
                        <c:v>232</c:v>
                      </c:pt>
                      <c:pt idx="61">
                        <c:v>209</c:v>
                      </c:pt>
                      <c:pt idx="62">
                        <c:v>207</c:v>
                      </c:pt>
                      <c:pt idx="63">
                        <c:v>207</c:v>
                      </c:pt>
                    </c:numCache>
                  </c:numRef>
                </c:val>
                <c:smooth val="0"/>
                <c:extLst>
                  <c:ext xmlns:c16="http://schemas.microsoft.com/office/drawing/2014/chart" uri="{C3380CC4-5D6E-409C-BE32-E72D297353CC}">
                    <c16:uniqueId val="{00000000-2841-49BC-AC15-B5837423ED65}"/>
                  </c:ext>
                </c:extLst>
              </c15:ser>
            </c15:filteredLineSeries>
            <c15:filteredLineSeries>
              <c15:ser>
                <c:idx val="1"/>
                <c:order val="1"/>
                <c:tx>
                  <c:strRef>
                    <c:extLs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multiLvlStrRef>
                    <c:extLst>
                      <c:ext xmlns:c15="http://schemas.microsoft.com/office/drawing/2012/chart" uri="{02D57815-91ED-43cb-92C2-25804820EDAC}">
                        <c15:formulaRef>
                          <c15:sqref>ch_latest!$A$2:$C$65</c15:sqref>
                        </c15:formulaRef>
                      </c:ext>
                    </c:extLst>
                    <c:multiLvlStrCache>
                      <c:ptCount val="64"/>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lvl>
                      <c:lvl>
                        <c:pt idx="0">
                          <c:v>28.04.2020 07:03</c:v>
                        </c:pt>
                        <c:pt idx="1">
                          <c:v>28.04.2020 07:03</c:v>
                        </c:pt>
                        <c:pt idx="2">
                          <c:v>28.04.2020 07:03</c:v>
                        </c:pt>
                        <c:pt idx="3">
                          <c:v>28.04.2020 07:03</c:v>
                        </c:pt>
                        <c:pt idx="4">
                          <c:v>28.04.2020 07:03</c:v>
                        </c:pt>
                        <c:pt idx="5">
                          <c:v>28.04.2020 07:03</c:v>
                        </c:pt>
                        <c:pt idx="6">
                          <c:v>28.04.2020 07:03</c:v>
                        </c:pt>
                        <c:pt idx="7">
                          <c:v>28.04.2020 07:03</c:v>
                        </c:pt>
                        <c:pt idx="8">
                          <c:v>28.04.2020 07:03</c:v>
                        </c:pt>
                        <c:pt idx="9">
                          <c:v>28.04.2020 07:03</c:v>
                        </c:pt>
                        <c:pt idx="10">
                          <c:v>28.04.2020 07:03</c:v>
                        </c:pt>
                        <c:pt idx="11">
                          <c:v>28.04.2020 07:03</c:v>
                        </c:pt>
                        <c:pt idx="12">
                          <c:v>28.04.2020 07:03</c:v>
                        </c:pt>
                        <c:pt idx="13">
                          <c:v>28.04.2020 07:03</c:v>
                        </c:pt>
                        <c:pt idx="14">
                          <c:v>28.04.2020 07:03</c:v>
                        </c:pt>
                        <c:pt idx="15">
                          <c:v>28.04.2020 07:03</c:v>
                        </c:pt>
                        <c:pt idx="16">
                          <c:v>28.04.2020 07:03</c:v>
                        </c:pt>
                        <c:pt idx="17">
                          <c:v>28.04.2020 07:03</c:v>
                        </c:pt>
                        <c:pt idx="18">
                          <c:v>28.04.2020 07:03</c:v>
                        </c:pt>
                        <c:pt idx="19">
                          <c:v>28.04.2020 07:03</c:v>
                        </c:pt>
                        <c:pt idx="20">
                          <c:v>28.04.2020 07:03</c:v>
                        </c:pt>
                        <c:pt idx="21">
                          <c:v>28.04.2020 07:03</c:v>
                        </c:pt>
                        <c:pt idx="22">
                          <c:v>28.04.2020 07:03</c:v>
                        </c:pt>
                        <c:pt idx="23">
                          <c:v>28.04.2020 07:03</c:v>
                        </c:pt>
                        <c:pt idx="24">
                          <c:v>28.04.2020 07:03</c:v>
                        </c:pt>
                        <c:pt idx="25">
                          <c:v>28.04.2020 07:03</c:v>
                        </c:pt>
                        <c:pt idx="26">
                          <c:v>28.04.2020 07:03</c:v>
                        </c:pt>
                        <c:pt idx="27">
                          <c:v>28.04.2020 07:03</c:v>
                        </c:pt>
                        <c:pt idx="28">
                          <c:v>28.04.2020 07:03</c:v>
                        </c:pt>
                        <c:pt idx="29">
                          <c:v>28.04.2020 07:03</c:v>
                        </c:pt>
                        <c:pt idx="30">
                          <c:v>28.04.2020 07:03</c:v>
                        </c:pt>
                        <c:pt idx="31">
                          <c:v>28.04.2020 07:03</c:v>
                        </c:pt>
                        <c:pt idx="32">
                          <c:v>28.04.2020 07:03</c:v>
                        </c:pt>
                        <c:pt idx="33">
                          <c:v>28.04.2020 07:03</c:v>
                        </c:pt>
                        <c:pt idx="34">
                          <c:v>28.04.2020 07:03</c:v>
                        </c:pt>
                        <c:pt idx="35">
                          <c:v>28.04.2020 07:03</c:v>
                        </c:pt>
                        <c:pt idx="36">
                          <c:v>28.04.2020 07:03</c:v>
                        </c:pt>
                        <c:pt idx="37">
                          <c:v>28.04.2020 07:03</c:v>
                        </c:pt>
                        <c:pt idx="38">
                          <c:v>28.04.2020 07:03</c:v>
                        </c:pt>
                        <c:pt idx="39">
                          <c:v>28.04.2020 07:03</c:v>
                        </c:pt>
                        <c:pt idx="40">
                          <c:v>28.04.2020 07:03</c:v>
                        </c:pt>
                        <c:pt idx="41">
                          <c:v>28.04.2020 07:03</c:v>
                        </c:pt>
                        <c:pt idx="42">
                          <c:v>28.04.2020 07:03</c:v>
                        </c:pt>
                        <c:pt idx="43">
                          <c:v>28.04.2020 07:03</c:v>
                        </c:pt>
                        <c:pt idx="44">
                          <c:v>28.04.2020 07:03</c:v>
                        </c:pt>
                        <c:pt idx="45">
                          <c:v>28.04.2020 07:03</c:v>
                        </c:pt>
                        <c:pt idx="46">
                          <c:v>28.04.2020 07:03</c:v>
                        </c:pt>
                        <c:pt idx="47">
                          <c:v>28.04.2020 07:03</c:v>
                        </c:pt>
                        <c:pt idx="48">
                          <c:v>28.04.2020 07:03</c:v>
                        </c:pt>
                        <c:pt idx="49">
                          <c:v>28.04.2020 07:03</c:v>
                        </c:pt>
                        <c:pt idx="50">
                          <c:v>28.04.2020 07:03</c:v>
                        </c:pt>
                        <c:pt idx="51">
                          <c:v>28.04.2020 07:03</c:v>
                        </c:pt>
                        <c:pt idx="52">
                          <c:v>28.04.2020 07:03</c:v>
                        </c:pt>
                        <c:pt idx="53">
                          <c:v>28.04.2020 07:03</c:v>
                        </c:pt>
                        <c:pt idx="54">
                          <c:v>28.04.2020 07:03</c:v>
                        </c:pt>
                        <c:pt idx="55">
                          <c:v>28.04.2020 07:03</c:v>
                        </c:pt>
                        <c:pt idx="56">
                          <c:v>28.04.2020 07:03</c:v>
                        </c:pt>
                        <c:pt idx="57">
                          <c:v>28.04.2020 07:03</c:v>
                        </c:pt>
                        <c:pt idx="58">
                          <c:v>28.04.2020 07:03</c:v>
                        </c:pt>
                        <c:pt idx="59">
                          <c:v>28.04.2020 07:03</c:v>
                        </c:pt>
                        <c:pt idx="60">
                          <c:v>28.04.2020 07:03</c:v>
                        </c:pt>
                        <c:pt idx="61">
                          <c:v>28.04.2020 07:03</c:v>
                        </c:pt>
                        <c:pt idx="62">
                          <c:v>28.04.2020 07:03</c:v>
                        </c:pt>
                        <c:pt idx="63">
                          <c:v>28.04.2020 07:03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lvl>
                    </c:multiLvlStrCache>
                  </c:multiLvlStrRef>
                </c:cat>
                <c:val>
                  <c:numRef>
                    <c:extLst>
                      <c:ext xmlns:c15="http://schemas.microsoft.com/office/drawing/2012/chart" uri="{02D57815-91ED-43cb-92C2-25804820EDAC}">
                        <c15:formulaRef>
                          <c15:sqref>ch_latest!$E$2:$E$65</c15:sqref>
                        </c15:formulaRef>
                      </c:ext>
                    </c:extLst>
                    <c:numCache>
                      <c:formatCode>General</c:formatCode>
                      <c:ptCount val="64"/>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904</c:v>
                      </c:pt>
                      <c:pt idx="26">
                        <c:v>1090</c:v>
                      </c:pt>
                      <c:pt idx="27">
                        <c:v>1207</c:v>
                      </c:pt>
                      <c:pt idx="28">
                        <c:v>1364</c:v>
                      </c:pt>
                      <c:pt idx="29">
                        <c:v>1465</c:v>
                      </c:pt>
                      <c:pt idx="30">
                        <c:v>1611</c:v>
                      </c:pt>
                      <c:pt idx="31">
                        <c:v>1793</c:v>
                      </c:pt>
                      <c:pt idx="32">
                        <c:v>1881</c:v>
                      </c:pt>
                      <c:pt idx="33">
                        <c:v>1995</c:v>
                      </c:pt>
                      <c:pt idx="34">
                        <c:v>2180</c:v>
                      </c:pt>
                      <c:pt idx="35">
                        <c:v>2208</c:v>
                      </c:pt>
                      <c:pt idx="36">
                        <c:v>2288</c:v>
                      </c:pt>
                      <c:pt idx="37">
                        <c:v>2352</c:v>
                      </c:pt>
                      <c:pt idx="38">
                        <c:v>2333</c:v>
                      </c:pt>
                      <c:pt idx="39">
                        <c:v>2321</c:v>
                      </c:pt>
                      <c:pt idx="40">
                        <c:v>2306</c:v>
                      </c:pt>
                      <c:pt idx="41">
                        <c:v>2310</c:v>
                      </c:pt>
                      <c:pt idx="42">
                        <c:v>2228</c:v>
                      </c:pt>
                      <c:pt idx="43">
                        <c:v>2140</c:v>
                      </c:pt>
                      <c:pt idx="44">
                        <c:v>2072</c:v>
                      </c:pt>
                      <c:pt idx="45">
                        <c:v>2012</c:v>
                      </c:pt>
                      <c:pt idx="46">
                        <c:v>1937</c:v>
                      </c:pt>
                      <c:pt idx="47">
                        <c:v>1914</c:v>
                      </c:pt>
                      <c:pt idx="48">
                        <c:v>1897</c:v>
                      </c:pt>
                      <c:pt idx="49">
                        <c:v>1859</c:v>
                      </c:pt>
                      <c:pt idx="50">
                        <c:v>1735</c:v>
                      </c:pt>
                      <c:pt idx="51">
                        <c:v>1679</c:v>
                      </c:pt>
                      <c:pt idx="52">
                        <c:v>1581</c:v>
                      </c:pt>
                      <c:pt idx="53">
                        <c:v>1530</c:v>
                      </c:pt>
                      <c:pt idx="54">
                        <c:v>1524</c:v>
                      </c:pt>
                      <c:pt idx="55">
                        <c:v>1500</c:v>
                      </c:pt>
                      <c:pt idx="56">
                        <c:v>1423</c:v>
                      </c:pt>
                      <c:pt idx="57">
                        <c:v>1358</c:v>
                      </c:pt>
                      <c:pt idx="58">
                        <c:v>1306</c:v>
                      </c:pt>
                      <c:pt idx="59">
                        <c:v>1260</c:v>
                      </c:pt>
                      <c:pt idx="60">
                        <c:v>1234</c:v>
                      </c:pt>
                      <c:pt idx="61">
                        <c:v>1212</c:v>
                      </c:pt>
                      <c:pt idx="62">
                        <c:v>1207</c:v>
                      </c:pt>
                      <c:pt idx="63">
                        <c:v>1207</c:v>
                      </c:pt>
                    </c:numCache>
                  </c:numRef>
                </c:val>
                <c:smooth val="0"/>
                <c:extLst xmlns:c15="http://schemas.microsoft.com/office/drawing/2012/chart">
                  <c:ext xmlns:c16="http://schemas.microsoft.com/office/drawing/2014/chart" uri="{C3380CC4-5D6E-409C-BE32-E72D297353CC}">
                    <c16:uniqueId val="{00000000-1B1B-4E8A-9467-6BF6B6803E2C}"/>
                  </c:ext>
                </c:extLst>
              </c15:ser>
            </c15:filteredLineSeries>
            <c15:filteredLineSeries>
              <c15:ser>
                <c:idx val="4"/>
                <c:order val="4"/>
                <c:tx>
                  <c:strRef>
                    <c:extLs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multiLvlStrRef>
                    <c:extLst>
                      <c:ext xmlns:c15="http://schemas.microsoft.com/office/drawing/2012/chart" uri="{02D57815-91ED-43cb-92C2-25804820EDAC}">
                        <c15:formulaRef>
                          <c15:sqref>ch_latest!$A$2:$C$65</c15:sqref>
                        </c15:formulaRef>
                      </c:ext>
                    </c:extLst>
                    <c:multiLvlStrCache>
                      <c:ptCount val="64"/>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lvl>
                      <c:lvl>
                        <c:pt idx="0">
                          <c:v>28.04.2020 07:03</c:v>
                        </c:pt>
                        <c:pt idx="1">
                          <c:v>28.04.2020 07:03</c:v>
                        </c:pt>
                        <c:pt idx="2">
                          <c:v>28.04.2020 07:03</c:v>
                        </c:pt>
                        <c:pt idx="3">
                          <c:v>28.04.2020 07:03</c:v>
                        </c:pt>
                        <c:pt idx="4">
                          <c:v>28.04.2020 07:03</c:v>
                        </c:pt>
                        <c:pt idx="5">
                          <c:v>28.04.2020 07:03</c:v>
                        </c:pt>
                        <c:pt idx="6">
                          <c:v>28.04.2020 07:03</c:v>
                        </c:pt>
                        <c:pt idx="7">
                          <c:v>28.04.2020 07:03</c:v>
                        </c:pt>
                        <c:pt idx="8">
                          <c:v>28.04.2020 07:03</c:v>
                        </c:pt>
                        <c:pt idx="9">
                          <c:v>28.04.2020 07:03</c:v>
                        </c:pt>
                        <c:pt idx="10">
                          <c:v>28.04.2020 07:03</c:v>
                        </c:pt>
                        <c:pt idx="11">
                          <c:v>28.04.2020 07:03</c:v>
                        </c:pt>
                        <c:pt idx="12">
                          <c:v>28.04.2020 07:03</c:v>
                        </c:pt>
                        <c:pt idx="13">
                          <c:v>28.04.2020 07:03</c:v>
                        </c:pt>
                        <c:pt idx="14">
                          <c:v>28.04.2020 07:03</c:v>
                        </c:pt>
                        <c:pt idx="15">
                          <c:v>28.04.2020 07:03</c:v>
                        </c:pt>
                        <c:pt idx="16">
                          <c:v>28.04.2020 07:03</c:v>
                        </c:pt>
                        <c:pt idx="17">
                          <c:v>28.04.2020 07:03</c:v>
                        </c:pt>
                        <c:pt idx="18">
                          <c:v>28.04.2020 07:03</c:v>
                        </c:pt>
                        <c:pt idx="19">
                          <c:v>28.04.2020 07:03</c:v>
                        </c:pt>
                        <c:pt idx="20">
                          <c:v>28.04.2020 07:03</c:v>
                        </c:pt>
                        <c:pt idx="21">
                          <c:v>28.04.2020 07:03</c:v>
                        </c:pt>
                        <c:pt idx="22">
                          <c:v>28.04.2020 07:03</c:v>
                        </c:pt>
                        <c:pt idx="23">
                          <c:v>28.04.2020 07:03</c:v>
                        </c:pt>
                        <c:pt idx="24">
                          <c:v>28.04.2020 07:03</c:v>
                        </c:pt>
                        <c:pt idx="25">
                          <c:v>28.04.2020 07:03</c:v>
                        </c:pt>
                        <c:pt idx="26">
                          <c:v>28.04.2020 07:03</c:v>
                        </c:pt>
                        <c:pt idx="27">
                          <c:v>28.04.2020 07:03</c:v>
                        </c:pt>
                        <c:pt idx="28">
                          <c:v>28.04.2020 07:03</c:v>
                        </c:pt>
                        <c:pt idx="29">
                          <c:v>28.04.2020 07:03</c:v>
                        </c:pt>
                        <c:pt idx="30">
                          <c:v>28.04.2020 07:03</c:v>
                        </c:pt>
                        <c:pt idx="31">
                          <c:v>28.04.2020 07:03</c:v>
                        </c:pt>
                        <c:pt idx="32">
                          <c:v>28.04.2020 07:03</c:v>
                        </c:pt>
                        <c:pt idx="33">
                          <c:v>28.04.2020 07:03</c:v>
                        </c:pt>
                        <c:pt idx="34">
                          <c:v>28.04.2020 07:03</c:v>
                        </c:pt>
                        <c:pt idx="35">
                          <c:v>28.04.2020 07:03</c:v>
                        </c:pt>
                        <c:pt idx="36">
                          <c:v>28.04.2020 07:03</c:v>
                        </c:pt>
                        <c:pt idx="37">
                          <c:v>28.04.2020 07:03</c:v>
                        </c:pt>
                        <c:pt idx="38">
                          <c:v>28.04.2020 07:03</c:v>
                        </c:pt>
                        <c:pt idx="39">
                          <c:v>28.04.2020 07:03</c:v>
                        </c:pt>
                        <c:pt idx="40">
                          <c:v>28.04.2020 07:03</c:v>
                        </c:pt>
                        <c:pt idx="41">
                          <c:v>28.04.2020 07:03</c:v>
                        </c:pt>
                        <c:pt idx="42">
                          <c:v>28.04.2020 07:03</c:v>
                        </c:pt>
                        <c:pt idx="43">
                          <c:v>28.04.2020 07:03</c:v>
                        </c:pt>
                        <c:pt idx="44">
                          <c:v>28.04.2020 07:03</c:v>
                        </c:pt>
                        <c:pt idx="45">
                          <c:v>28.04.2020 07:03</c:v>
                        </c:pt>
                        <c:pt idx="46">
                          <c:v>28.04.2020 07:03</c:v>
                        </c:pt>
                        <c:pt idx="47">
                          <c:v>28.04.2020 07:03</c:v>
                        </c:pt>
                        <c:pt idx="48">
                          <c:v>28.04.2020 07:03</c:v>
                        </c:pt>
                        <c:pt idx="49">
                          <c:v>28.04.2020 07:03</c:v>
                        </c:pt>
                        <c:pt idx="50">
                          <c:v>28.04.2020 07:03</c:v>
                        </c:pt>
                        <c:pt idx="51">
                          <c:v>28.04.2020 07:03</c:v>
                        </c:pt>
                        <c:pt idx="52">
                          <c:v>28.04.2020 07:03</c:v>
                        </c:pt>
                        <c:pt idx="53">
                          <c:v>28.04.2020 07:03</c:v>
                        </c:pt>
                        <c:pt idx="54">
                          <c:v>28.04.2020 07:03</c:v>
                        </c:pt>
                        <c:pt idx="55">
                          <c:v>28.04.2020 07:03</c:v>
                        </c:pt>
                        <c:pt idx="56">
                          <c:v>28.04.2020 07:03</c:v>
                        </c:pt>
                        <c:pt idx="57">
                          <c:v>28.04.2020 07:03</c:v>
                        </c:pt>
                        <c:pt idx="58">
                          <c:v>28.04.2020 07:03</c:v>
                        </c:pt>
                        <c:pt idx="59">
                          <c:v>28.04.2020 07:03</c:v>
                        </c:pt>
                        <c:pt idx="60">
                          <c:v>28.04.2020 07:03</c:v>
                        </c:pt>
                        <c:pt idx="61">
                          <c:v>28.04.2020 07:03</c:v>
                        </c:pt>
                        <c:pt idx="62">
                          <c:v>28.04.2020 07:03</c:v>
                        </c:pt>
                        <c:pt idx="63">
                          <c:v>28.04.2020 07:03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lvl>
                    </c:multiLvlStrCache>
                  </c:multiLvlStrRef>
                </c:cat>
                <c:val>
                  <c:numRef>
                    <c:extLst>
                      <c:ext xmlns:c15="http://schemas.microsoft.com/office/drawing/2012/chart" uri="{02D57815-91ED-43cb-92C2-25804820EDAC}">
                        <c15:formulaRef>
                          <c15:sqref>ch_latest!$H$2:$H$65</c15:sqref>
                        </c15:formulaRef>
                      </c:ext>
                    </c:extLst>
                    <c:numCache>
                      <c:formatCode>General</c:formatCode>
                      <c:ptCount val="64"/>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10808</c:v>
                      </c:pt>
                      <c:pt idx="32">
                        <c:v>11401</c:v>
                      </c:pt>
                      <c:pt idx="33">
                        <c:v>11710</c:v>
                      </c:pt>
                      <c:pt idx="34">
                        <c:v>12376</c:v>
                      </c:pt>
                      <c:pt idx="35">
                        <c:v>13136</c:v>
                      </c:pt>
                      <c:pt idx="36">
                        <c:v>13794</c:v>
                      </c:pt>
                      <c:pt idx="37">
                        <c:v>14743</c:v>
                      </c:pt>
                      <c:pt idx="38">
                        <c:v>15572</c:v>
                      </c:pt>
                      <c:pt idx="39">
                        <c:v>16167</c:v>
                      </c:pt>
                      <c:pt idx="40">
                        <c:v>16468</c:v>
                      </c:pt>
                      <c:pt idx="41">
                        <c:v>17111</c:v>
                      </c:pt>
                      <c:pt idx="42">
                        <c:v>17953</c:v>
                      </c:pt>
                      <c:pt idx="43">
                        <c:v>18762</c:v>
                      </c:pt>
                      <c:pt idx="44">
                        <c:v>19279</c:v>
                      </c:pt>
                      <c:pt idx="45">
                        <c:v>19695</c:v>
                      </c:pt>
                      <c:pt idx="46">
                        <c:v>20057</c:v>
                      </c:pt>
                      <c:pt idx="47">
                        <c:v>20233</c:v>
                      </c:pt>
                      <c:pt idx="48">
                        <c:v>20538</c:v>
                      </c:pt>
                      <c:pt idx="49">
                        <c:v>21085</c:v>
                      </c:pt>
                      <c:pt idx="50">
                        <c:v>21546</c:v>
                      </c:pt>
                      <c:pt idx="51">
                        <c:v>22229</c:v>
                      </c:pt>
                      <c:pt idx="52">
                        <c:v>22670</c:v>
                      </c:pt>
                      <c:pt idx="53">
                        <c:v>23112</c:v>
                      </c:pt>
                      <c:pt idx="54">
                        <c:v>23294</c:v>
                      </c:pt>
                      <c:pt idx="55">
                        <c:v>23672</c:v>
                      </c:pt>
                      <c:pt idx="56">
                        <c:v>24051</c:v>
                      </c:pt>
                      <c:pt idx="57">
                        <c:v>24414</c:v>
                      </c:pt>
                      <c:pt idx="58">
                        <c:v>24872</c:v>
                      </c:pt>
                      <c:pt idx="59">
                        <c:v>25236</c:v>
                      </c:pt>
                      <c:pt idx="60">
                        <c:v>25600</c:v>
                      </c:pt>
                      <c:pt idx="61">
                        <c:v>25797</c:v>
                      </c:pt>
                      <c:pt idx="62">
                        <c:v>25797</c:v>
                      </c:pt>
                      <c:pt idx="63">
                        <c:v>25797</c:v>
                      </c:pt>
                    </c:numCache>
                  </c:numRef>
                </c:val>
                <c:smooth val="0"/>
                <c:extLst xmlns:c15="http://schemas.microsoft.com/office/drawing/2012/chart">
                  <c:ext xmlns:c16="http://schemas.microsoft.com/office/drawing/2014/chart" uri="{C3380CC4-5D6E-409C-BE32-E72D297353CC}">
                    <c16:uniqueId val="{00000003-1B1B-4E8A-9467-6BF6B6803E2C}"/>
                  </c:ext>
                </c:extLst>
              </c15:ser>
            </c15:filteredLineSeries>
            <c15:filteredLineSeries>
              <c15:ser>
                <c:idx val="7"/>
                <c:order val="7"/>
                <c:tx>
                  <c:strRef>
                    <c:extLs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multiLvlStrRef>
                    <c:extLst>
                      <c:ext xmlns:c15="http://schemas.microsoft.com/office/drawing/2012/chart" uri="{02D57815-91ED-43cb-92C2-25804820EDAC}">
                        <c15:formulaRef>
                          <c15:sqref>ch_latest!$A$2:$C$65</c15:sqref>
                        </c15:formulaRef>
                      </c:ext>
                    </c:extLst>
                    <c:multiLvlStrCache>
                      <c:ptCount val="64"/>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lvl>
                      <c:lvl>
                        <c:pt idx="0">
                          <c:v>28.04.2020 07:03</c:v>
                        </c:pt>
                        <c:pt idx="1">
                          <c:v>28.04.2020 07:03</c:v>
                        </c:pt>
                        <c:pt idx="2">
                          <c:v>28.04.2020 07:03</c:v>
                        </c:pt>
                        <c:pt idx="3">
                          <c:v>28.04.2020 07:03</c:v>
                        </c:pt>
                        <c:pt idx="4">
                          <c:v>28.04.2020 07:03</c:v>
                        </c:pt>
                        <c:pt idx="5">
                          <c:v>28.04.2020 07:03</c:v>
                        </c:pt>
                        <c:pt idx="6">
                          <c:v>28.04.2020 07:03</c:v>
                        </c:pt>
                        <c:pt idx="7">
                          <c:v>28.04.2020 07:03</c:v>
                        </c:pt>
                        <c:pt idx="8">
                          <c:v>28.04.2020 07:03</c:v>
                        </c:pt>
                        <c:pt idx="9">
                          <c:v>28.04.2020 07:03</c:v>
                        </c:pt>
                        <c:pt idx="10">
                          <c:v>28.04.2020 07:03</c:v>
                        </c:pt>
                        <c:pt idx="11">
                          <c:v>28.04.2020 07:03</c:v>
                        </c:pt>
                        <c:pt idx="12">
                          <c:v>28.04.2020 07:03</c:v>
                        </c:pt>
                        <c:pt idx="13">
                          <c:v>28.04.2020 07:03</c:v>
                        </c:pt>
                        <c:pt idx="14">
                          <c:v>28.04.2020 07:03</c:v>
                        </c:pt>
                        <c:pt idx="15">
                          <c:v>28.04.2020 07:03</c:v>
                        </c:pt>
                        <c:pt idx="16">
                          <c:v>28.04.2020 07:03</c:v>
                        </c:pt>
                        <c:pt idx="17">
                          <c:v>28.04.2020 07:03</c:v>
                        </c:pt>
                        <c:pt idx="18">
                          <c:v>28.04.2020 07:03</c:v>
                        </c:pt>
                        <c:pt idx="19">
                          <c:v>28.04.2020 07:03</c:v>
                        </c:pt>
                        <c:pt idx="20">
                          <c:v>28.04.2020 07:03</c:v>
                        </c:pt>
                        <c:pt idx="21">
                          <c:v>28.04.2020 07:03</c:v>
                        </c:pt>
                        <c:pt idx="22">
                          <c:v>28.04.2020 07:03</c:v>
                        </c:pt>
                        <c:pt idx="23">
                          <c:v>28.04.2020 07:03</c:v>
                        </c:pt>
                        <c:pt idx="24">
                          <c:v>28.04.2020 07:03</c:v>
                        </c:pt>
                        <c:pt idx="25">
                          <c:v>28.04.2020 07:03</c:v>
                        </c:pt>
                        <c:pt idx="26">
                          <c:v>28.04.2020 07:03</c:v>
                        </c:pt>
                        <c:pt idx="27">
                          <c:v>28.04.2020 07:03</c:v>
                        </c:pt>
                        <c:pt idx="28">
                          <c:v>28.04.2020 07:03</c:v>
                        </c:pt>
                        <c:pt idx="29">
                          <c:v>28.04.2020 07:03</c:v>
                        </c:pt>
                        <c:pt idx="30">
                          <c:v>28.04.2020 07:03</c:v>
                        </c:pt>
                        <c:pt idx="31">
                          <c:v>28.04.2020 07:03</c:v>
                        </c:pt>
                        <c:pt idx="32">
                          <c:v>28.04.2020 07:03</c:v>
                        </c:pt>
                        <c:pt idx="33">
                          <c:v>28.04.2020 07:03</c:v>
                        </c:pt>
                        <c:pt idx="34">
                          <c:v>28.04.2020 07:03</c:v>
                        </c:pt>
                        <c:pt idx="35">
                          <c:v>28.04.2020 07:03</c:v>
                        </c:pt>
                        <c:pt idx="36">
                          <c:v>28.04.2020 07:03</c:v>
                        </c:pt>
                        <c:pt idx="37">
                          <c:v>28.04.2020 07:03</c:v>
                        </c:pt>
                        <c:pt idx="38">
                          <c:v>28.04.2020 07:03</c:v>
                        </c:pt>
                        <c:pt idx="39">
                          <c:v>28.04.2020 07:03</c:v>
                        </c:pt>
                        <c:pt idx="40">
                          <c:v>28.04.2020 07:03</c:v>
                        </c:pt>
                        <c:pt idx="41">
                          <c:v>28.04.2020 07:03</c:v>
                        </c:pt>
                        <c:pt idx="42">
                          <c:v>28.04.2020 07:03</c:v>
                        </c:pt>
                        <c:pt idx="43">
                          <c:v>28.04.2020 07:03</c:v>
                        </c:pt>
                        <c:pt idx="44">
                          <c:v>28.04.2020 07:03</c:v>
                        </c:pt>
                        <c:pt idx="45">
                          <c:v>28.04.2020 07:03</c:v>
                        </c:pt>
                        <c:pt idx="46">
                          <c:v>28.04.2020 07:03</c:v>
                        </c:pt>
                        <c:pt idx="47">
                          <c:v>28.04.2020 07:03</c:v>
                        </c:pt>
                        <c:pt idx="48">
                          <c:v>28.04.2020 07:03</c:v>
                        </c:pt>
                        <c:pt idx="49">
                          <c:v>28.04.2020 07:03</c:v>
                        </c:pt>
                        <c:pt idx="50">
                          <c:v>28.04.2020 07:03</c:v>
                        </c:pt>
                        <c:pt idx="51">
                          <c:v>28.04.2020 07:03</c:v>
                        </c:pt>
                        <c:pt idx="52">
                          <c:v>28.04.2020 07:03</c:v>
                        </c:pt>
                        <c:pt idx="53">
                          <c:v>28.04.2020 07:03</c:v>
                        </c:pt>
                        <c:pt idx="54">
                          <c:v>28.04.2020 07:03</c:v>
                        </c:pt>
                        <c:pt idx="55">
                          <c:v>28.04.2020 07:03</c:v>
                        </c:pt>
                        <c:pt idx="56">
                          <c:v>28.04.2020 07:03</c:v>
                        </c:pt>
                        <c:pt idx="57">
                          <c:v>28.04.2020 07:03</c:v>
                        </c:pt>
                        <c:pt idx="58">
                          <c:v>28.04.2020 07:03</c:v>
                        </c:pt>
                        <c:pt idx="59">
                          <c:v>28.04.2020 07:03</c:v>
                        </c:pt>
                        <c:pt idx="60">
                          <c:v>28.04.2020 07:03</c:v>
                        </c:pt>
                        <c:pt idx="61">
                          <c:v>28.04.2020 07:03</c:v>
                        </c:pt>
                        <c:pt idx="62">
                          <c:v>28.04.2020 07:03</c:v>
                        </c:pt>
                        <c:pt idx="63">
                          <c:v>28.04.2020 07:03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lvl>
                    </c:multiLvlStrCache>
                  </c:multiLvlStrRef>
                </c:cat>
                <c:val>
                  <c:numRef>
                    <c:extLst>
                      <c:ext xmlns:c15="http://schemas.microsoft.com/office/drawing/2012/chart" uri="{02D57815-91ED-43cb-92C2-25804820EDAC}">
                        <c15:formulaRef>
                          <c15:sqref>ch_latest!$K$2:$K$65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val>
                <c:smooth val="0"/>
                <c:extLst xmlns:c15="http://schemas.microsoft.com/office/drawing/2012/chart">
                  <c:ext xmlns:c16="http://schemas.microsoft.com/office/drawing/2014/chart" uri="{C3380CC4-5D6E-409C-BE32-E72D297353CC}">
                    <c16:uniqueId val="{00000006-1B1B-4E8A-9467-6BF6B6803E2C}"/>
                  </c:ext>
                </c:extLst>
              </c15:ser>
            </c15:filteredLineSeries>
            <c15:filteredLineSeries>
              <c15:ser>
                <c:idx val="8"/>
                <c:order val="8"/>
                <c:tx>
                  <c:strRef>
                    <c:extLst>
                      <c:ext xmlns:c15="http://schemas.microsoft.com/office/drawing/2012/chart" uri="{02D57815-91ED-43cb-92C2-25804820EDAC}">
                        <c15:formulaRef>
                          <c15:sqref>ch_latest!$L$1</c15:sqref>
                        </c15:formulaRef>
                      </c:ext>
                    </c:extLst>
                    <c:strCache>
                      <c:ptCount val="1"/>
                      <c:pt idx="0">
                        <c:v>new_positive</c:v>
                      </c:pt>
                    </c:strCache>
                  </c:strRef>
                </c:tx>
                <c:spPr>
                  <a:ln w="34925" cap="rnd">
                    <a:solidFill>
                      <a:srgbClr val="0078A2"/>
                    </a:solidFill>
                    <a:round/>
                  </a:ln>
                  <a:effectLst>
                    <a:outerShdw blurRad="57150" dist="19050" dir="5400000" algn="ctr" rotWithShape="0">
                      <a:srgbClr val="000000">
                        <a:alpha val="63000"/>
                      </a:srgbClr>
                    </a:outerShdw>
                  </a:effectLst>
                </c:spPr>
                <c:marker>
                  <c:symbol val="none"/>
                </c:marker>
                <c:cat>
                  <c:multiLvlStrRef>
                    <c:extLst>
                      <c:ext xmlns:c15="http://schemas.microsoft.com/office/drawing/2012/chart" uri="{02D57815-91ED-43cb-92C2-25804820EDAC}">
                        <c15:formulaRef>
                          <c15:sqref>ch_latest!$A$2:$C$65</c15:sqref>
                        </c15:formulaRef>
                      </c:ext>
                    </c:extLst>
                    <c:multiLvlStrCache>
                      <c:ptCount val="64"/>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lvl>
                      <c:lvl>
                        <c:pt idx="0">
                          <c:v>28.04.2020 07:03</c:v>
                        </c:pt>
                        <c:pt idx="1">
                          <c:v>28.04.2020 07:03</c:v>
                        </c:pt>
                        <c:pt idx="2">
                          <c:v>28.04.2020 07:03</c:v>
                        </c:pt>
                        <c:pt idx="3">
                          <c:v>28.04.2020 07:03</c:v>
                        </c:pt>
                        <c:pt idx="4">
                          <c:v>28.04.2020 07:03</c:v>
                        </c:pt>
                        <c:pt idx="5">
                          <c:v>28.04.2020 07:03</c:v>
                        </c:pt>
                        <c:pt idx="6">
                          <c:v>28.04.2020 07:03</c:v>
                        </c:pt>
                        <c:pt idx="7">
                          <c:v>28.04.2020 07:03</c:v>
                        </c:pt>
                        <c:pt idx="8">
                          <c:v>28.04.2020 07:03</c:v>
                        </c:pt>
                        <c:pt idx="9">
                          <c:v>28.04.2020 07:03</c:v>
                        </c:pt>
                        <c:pt idx="10">
                          <c:v>28.04.2020 07:03</c:v>
                        </c:pt>
                        <c:pt idx="11">
                          <c:v>28.04.2020 07:03</c:v>
                        </c:pt>
                        <c:pt idx="12">
                          <c:v>28.04.2020 07:03</c:v>
                        </c:pt>
                        <c:pt idx="13">
                          <c:v>28.04.2020 07:03</c:v>
                        </c:pt>
                        <c:pt idx="14">
                          <c:v>28.04.2020 07:03</c:v>
                        </c:pt>
                        <c:pt idx="15">
                          <c:v>28.04.2020 07:03</c:v>
                        </c:pt>
                        <c:pt idx="16">
                          <c:v>28.04.2020 07:03</c:v>
                        </c:pt>
                        <c:pt idx="17">
                          <c:v>28.04.2020 07:03</c:v>
                        </c:pt>
                        <c:pt idx="18">
                          <c:v>28.04.2020 07:03</c:v>
                        </c:pt>
                        <c:pt idx="19">
                          <c:v>28.04.2020 07:03</c:v>
                        </c:pt>
                        <c:pt idx="20">
                          <c:v>28.04.2020 07:03</c:v>
                        </c:pt>
                        <c:pt idx="21">
                          <c:v>28.04.2020 07:03</c:v>
                        </c:pt>
                        <c:pt idx="22">
                          <c:v>28.04.2020 07:03</c:v>
                        </c:pt>
                        <c:pt idx="23">
                          <c:v>28.04.2020 07:03</c:v>
                        </c:pt>
                        <c:pt idx="24">
                          <c:v>28.04.2020 07:03</c:v>
                        </c:pt>
                        <c:pt idx="25">
                          <c:v>28.04.2020 07:03</c:v>
                        </c:pt>
                        <c:pt idx="26">
                          <c:v>28.04.2020 07:03</c:v>
                        </c:pt>
                        <c:pt idx="27">
                          <c:v>28.04.2020 07:03</c:v>
                        </c:pt>
                        <c:pt idx="28">
                          <c:v>28.04.2020 07:03</c:v>
                        </c:pt>
                        <c:pt idx="29">
                          <c:v>28.04.2020 07:03</c:v>
                        </c:pt>
                        <c:pt idx="30">
                          <c:v>28.04.2020 07:03</c:v>
                        </c:pt>
                        <c:pt idx="31">
                          <c:v>28.04.2020 07:03</c:v>
                        </c:pt>
                        <c:pt idx="32">
                          <c:v>28.04.2020 07:03</c:v>
                        </c:pt>
                        <c:pt idx="33">
                          <c:v>28.04.2020 07:03</c:v>
                        </c:pt>
                        <c:pt idx="34">
                          <c:v>28.04.2020 07:03</c:v>
                        </c:pt>
                        <c:pt idx="35">
                          <c:v>28.04.2020 07:03</c:v>
                        </c:pt>
                        <c:pt idx="36">
                          <c:v>28.04.2020 07:03</c:v>
                        </c:pt>
                        <c:pt idx="37">
                          <c:v>28.04.2020 07:03</c:v>
                        </c:pt>
                        <c:pt idx="38">
                          <c:v>28.04.2020 07:03</c:v>
                        </c:pt>
                        <c:pt idx="39">
                          <c:v>28.04.2020 07:03</c:v>
                        </c:pt>
                        <c:pt idx="40">
                          <c:v>28.04.2020 07:03</c:v>
                        </c:pt>
                        <c:pt idx="41">
                          <c:v>28.04.2020 07:03</c:v>
                        </c:pt>
                        <c:pt idx="42">
                          <c:v>28.04.2020 07:03</c:v>
                        </c:pt>
                        <c:pt idx="43">
                          <c:v>28.04.2020 07:03</c:v>
                        </c:pt>
                        <c:pt idx="44">
                          <c:v>28.04.2020 07:03</c:v>
                        </c:pt>
                        <c:pt idx="45">
                          <c:v>28.04.2020 07:03</c:v>
                        </c:pt>
                        <c:pt idx="46">
                          <c:v>28.04.2020 07:03</c:v>
                        </c:pt>
                        <c:pt idx="47">
                          <c:v>28.04.2020 07:03</c:v>
                        </c:pt>
                        <c:pt idx="48">
                          <c:v>28.04.2020 07:03</c:v>
                        </c:pt>
                        <c:pt idx="49">
                          <c:v>28.04.2020 07:03</c:v>
                        </c:pt>
                        <c:pt idx="50">
                          <c:v>28.04.2020 07:03</c:v>
                        </c:pt>
                        <c:pt idx="51">
                          <c:v>28.04.2020 07:03</c:v>
                        </c:pt>
                        <c:pt idx="52">
                          <c:v>28.04.2020 07:03</c:v>
                        </c:pt>
                        <c:pt idx="53">
                          <c:v>28.04.2020 07:03</c:v>
                        </c:pt>
                        <c:pt idx="54">
                          <c:v>28.04.2020 07:03</c:v>
                        </c:pt>
                        <c:pt idx="55">
                          <c:v>28.04.2020 07:03</c:v>
                        </c:pt>
                        <c:pt idx="56">
                          <c:v>28.04.2020 07:03</c:v>
                        </c:pt>
                        <c:pt idx="57">
                          <c:v>28.04.2020 07:03</c:v>
                        </c:pt>
                        <c:pt idx="58">
                          <c:v>28.04.2020 07:03</c:v>
                        </c:pt>
                        <c:pt idx="59">
                          <c:v>28.04.2020 07:03</c:v>
                        </c:pt>
                        <c:pt idx="60">
                          <c:v>28.04.2020 07:03</c:v>
                        </c:pt>
                        <c:pt idx="61">
                          <c:v>28.04.2020 07:03</c:v>
                        </c:pt>
                        <c:pt idx="62">
                          <c:v>28.04.2020 07:03</c:v>
                        </c:pt>
                        <c:pt idx="63">
                          <c:v>28.04.2020 07:03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lvl>
                    </c:multiLvlStrCache>
                  </c:multiLvlStrRef>
                </c:cat>
                <c:val>
                  <c:numRef>
                    <c:extLst>
                      <c:ext xmlns:c15="http://schemas.microsoft.com/office/drawing/2012/chart" uri="{02D57815-91ED-43cb-92C2-25804820EDAC}">
                        <c15:formulaRef>
                          <c15:sqref>ch_latest!$L$2:$L$65</c15:sqref>
                        </c15:formulaRef>
                      </c:ext>
                    </c:extLst>
                    <c:numCache>
                      <c:formatCode>General</c:formatCode>
                      <c:ptCount val="64"/>
                      <c:pt idx="1">
                        <c:v>1</c:v>
                      </c:pt>
                      <c:pt idx="2">
                        <c:v>4</c:v>
                      </c:pt>
                      <c:pt idx="3">
                        <c:v>7</c:v>
                      </c:pt>
                      <c:pt idx="4">
                        <c:v>7</c:v>
                      </c:pt>
                      <c:pt idx="5">
                        <c:v>7</c:v>
                      </c:pt>
                      <c:pt idx="6">
                        <c:v>10</c:v>
                      </c:pt>
                      <c:pt idx="7">
                        <c:v>17</c:v>
                      </c:pt>
                      <c:pt idx="8">
                        <c:v>20</c:v>
                      </c:pt>
                      <c:pt idx="9">
                        <c:v>44</c:v>
                      </c:pt>
                      <c:pt idx="10">
                        <c:v>65</c:v>
                      </c:pt>
                      <c:pt idx="11">
                        <c:v>72</c:v>
                      </c:pt>
                      <c:pt idx="12">
                        <c:v>57</c:v>
                      </c:pt>
                      <c:pt idx="13">
                        <c:v>84</c:v>
                      </c:pt>
                      <c:pt idx="14">
                        <c:v>137</c:v>
                      </c:pt>
                      <c:pt idx="15">
                        <c:v>171</c:v>
                      </c:pt>
                      <c:pt idx="16">
                        <c:v>352</c:v>
                      </c:pt>
                      <c:pt idx="17">
                        <c:v>352</c:v>
                      </c:pt>
                      <c:pt idx="18">
                        <c:v>335</c:v>
                      </c:pt>
                      <c:pt idx="19">
                        <c:v>279</c:v>
                      </c:pt>
                      <c:pt idx="20">
                        <c:v>728</c:v>
                      </c:pt>
                      <c:pt idx="21">
                        <c:v>871</c:v>
                      </c:pt>
                      <c:pt idx="22">
                        <c:v>1171</c:v>
                      </c:pt>
                      <c:pt idx="23">
                        <c:v>1026</c:v>
                      </c:pt>
                      <c:pt idx="24">
                        <c:v>1135</c:v>
                      </c:pt>
                      <c:pt idx="25">
                        <c:v>697</c:v>
                      </c:pt>
                      <c:pt idx="26">
                        <c:v>569</c:v>
                      </c:pt>
                      <c:pt idx="27">
                        <c:v>1560</c:v>
                      </c:pt>
                      <c:pt idx="28">
                        <c:v>1071</c:v>
                      </c:pt>
                      <c:pt idx="29">
                        <c:v>1094</c:v>
                      </c:pt>
                      <c:pt idx="30">
                        <c:v>1139</c:v>
                      </c:pt>
                      <c:pt idx="31">
                        <c:v>1308</c:v>
                      </c:pt>
                      <c:pt idx="32">
                        <c:v>833</c:v>
                      </c:pt>
                      <c:pt idx="33">
                        <c:v>598</c:v>
                      </c:pt>
                      <c:pt idx="34">
                        <c:v>1115</c:v>
                      </c:pt>
                      <c:pt idx="35">
                        <c:v>938</c:v>
                      </c:pt>
                      <c:pt idx="36">
                        <c:v>1027</c:v>
                      </c:pt>
                      <c:pt idx="37">
                        <c:v>1045</c:v>
                      </c:pt>
                      <c:pt idx="38">
                        <c:v>929</c:v>
                      </c:pt>
                      <c:pt idx="39">
                        <c:v>567</c:v>
                      </c:pt>
                      <c:pt idx="40">
                        <c:v>383</c:v>
                      </c:pt>
                      <c:pt idx="41">
                        <c:v>742</c:v>
                      </c:pt>
                      <c:pt idx="42">
                        <c:v>651</c:v>
                      </c:pt>
                      <c:pt idx="43">
                        <c:v>670</c:v>
                      </c:pt>
                      <c:pt idx="44">
                        <c:v>668</c:v>
                      </c:pt>
                      <c:pt idx="45">
                        <c:v>450</c:v>
                      </c:pt>
                      <c:pt idx="46">
                        <c:v>463</c:v>
                      </c:pt>
                      <c:pt idx="47">
                        <c:v>273</c:v>
                      </c:pt>
                      <c:pt idx="48">
                        <c:v>251</c:v>
                      </c:pt>
                      <c:pt idx="49">
                        <c:v>322</c:v>
                      </c:pt>
                      <c:pt idx="50">
                        <c:v>318</c:v>
                      </c:pt>
                      <c:pt idx="51">
                        <c:v>299</c:v>
                      </c:pt>
                      <c:pt idx="52">
                        <c:v>315</c:v>
                      </c:pt>
                      <c:pt idx="53">
                        <c:v>293</c:v>
                      </c:pt>
                      <c:pt idx="54">
                        <c:v>177</c:v>
                      </c:pt>
                      <c:pt idx="55">
                        <c:v>203</c:v>
                      </c:pt>
                      <c:pt idx="56">
                        <c:v>159</c:v>
                      </c:pt>
                      <c:pt idx="57">
                        <c:v>197</c:v>
                      </c:pt>
                      <c:pt idx="58">
                        <c:v>218</c:v>
                      </c:pt>
                      <c:pt idx="59">
                        <c:v>189</c:v>
                      </c:pt>
                      <c:pt idx="60">
                        <c:v>137</c:v>
                      </c:pt>
                      <c:pt idx="61">
                        <c:v>68</c:v>
                      </c:pt>
                      <c:pt idx="62">
                        <c:v>105</c:v>
                      </c:pt>
                      <c:pt idx="63">
                        <c:v>1</c:v>
                      </c:pt>
                    </c:numCache>
                  </c:numRef>
                </c:val>
                <c:smooth val="0"/>
                <c:extLst xmlns:c15="http://schemas.microsoft.com/office/drawing/2012/chart">
                  <c:ext xmlns:c16="http://schemas.microsoft.com/office/drawing/2014/chart" uri="{C3380CC4-5D6E-409C-BE32-E72D297353CC}">
                    <c16:uniqueId val="{00000007-1B1B-4E8A-9467-6BF6B6803E2C}"/>
                  </c:ext>
                </c:extLst>
              </c15:ser>
            </c15:filteredLineSeries>
            <c15:filteredLineSeries>
              <c15:ser>
                <c:idx val="9"/>
                <c:order val="9"/>
                <c:tx>
                  <c:strRef>
                    <c:extLs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multiLvlStrRef>
                    <c:extLst>
                      <c:ext xmlns:c15="http://schemas.microsoft.com/office/drawing/2012/chart" uri="{02D57815-91ED-43cb-92C2-25804820EDAC}">
                        <c15:formulaRef>
                          <c15:sqref>ch_latest!$A$2:$C$65</c15:sqref>
                        </c15:formulaRef>
                      </c:ext>
                    </c:extLst>
                    <c:multiLvlStrCache>
                      <c:ptCount val="64"/>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lvl>
                      <c:lvl>
                        <c:pt idx="0">
                          <c:v>28.04.2020 07:03</c:v>
                        </c:pt>
                        <c:pt idx="1">
                          <c:v>28.04.2020 07:03</c:v>
                        </c:pt>
                        <c:pt idx="2">
                          <c:v>28.04.2020 07:03</c:v>
                        </c:pt>
                        <c:pt idx="3">
                          <c:v>28.04.2020 07:03</c:v>
                        </c:pt>
                        <c:pt idx="4">
                          <c:v>28.04.2020 07:03</c:v>
                        </c:pt>
                        <c:pt idx="5">
                          <c:v>28.04.2020 07:03</c:v>
                        </c:pt>
                        <c:pt idx="6">
                          <c:v>28.04.2020 07:03</c:v>
                        </c:pt>
                        <c:pt idx="7">
                          <c:v>28.04.2020 07:03</c:v>
                        </c:pt>
                        <c:pt idx="8">
                          <c:v>28.04.2020 07:03</c:v>
                        </c:pt>
                        <c:pt idx="9">
                          <c:v>28.04.2020 07:03</c:v>
                        </c:pt>
                        <c:pt idx="10">
                          <c:v>28.04.2020 07:03</c:v>
                        </c:pt>
                        <c:pt idx="11">
                          <c:v>28.04.2020 07:03</c:v>
                        </c:pt>
                        <c:pt idx="12">
                          <c:v>28.04.2020 07:03</c:v>
                        </c:pt>
                        <c:pt idx="13">
                          <c:v>28.04.2020 07:03</c:v>
                        </c:pt>
                        <c:pt idx="14">
                          <c:v>28.04.2020 07:03</c:v>
                        </c:pt>
                        <c:pt idx="15">
                          <c:v>28.04.2020 07:03</c:v>
                        </c:pt>
                        <c:pt idx="16">
                          <c:v>28.04.2020 07:03</c:v>
                        </c:pt>
                        <c:pt idx="17">
                          <c:v>28.04.2020 07:03</c:v>
                        </c:pt>
                        <c:pt idx="18">
                          <c:v>28.04.2020 07:03</c:v>
                        </c:pt>
                        <c:pt idx="19">
                          <c:v>28.04.2020 07:03</c:v>
                        </c:pt>
                        <c:pt idx="20">
                          <c:v>28.04.2020 07:03</c:v>
                        </c:pt>
                        <c:pt idx="21">
                          <c:v>28.04.2020 07:03</c:v>
                        </c:pt>
                        <c:pt idx="22">
                          <c:v>28.04.2020 07:03</c:v>
                        </c:pt>
                        <c:pt idx="23">
                          <c:v>28.04.2020 07:03</c:v>
                        </c:pt>
                        <c:pt idx="24">
                          <c:v>28.04.2020 07:03</c:v>
                        </c:pt>
                        <c:pt idx="25">
                          <c:v>28.04.2020 07:03</c:v>
                        </c:pt>
                        <c:pt idx="26">
                          <c:v>28.04.2020 07:03</c:v>
                        </c:pt>
                        <c:pt idx="27">
                          <c:v>28.04.2020 07:03</c:v>
                        </c:pt>
                        <c:pt idx="28">
                          <c:v>28.04.2020 07:03</c:v>
                        </c:pt>
                        <c:pt idx="29">
                          <c:v>28.04.2020 07:03</c:v>
                        </c:pt>
                        <c:pt idx="30">
                          <c:v>28.04.2020 07:03</c:v>
                        </c:pt>
                        <c:pt idx="31">
                          <c:v>28.04.2020 07:03</c:v>
                        </c:pt>
                        <c:pt idx="32">
                          <c:v>28.04.2020 07:03</c:v>
                        </c:pt>
                        <c:pt idx="33">
                          <c:v>28.04.2020 07:03</c:v>
                        </c:pt>
                        <c:pt idx="34">
                          <c:v>28.04.2020 07:03</c:v>
                        </c:pt>
                        <c:pt idx="35">
                          <c:v>28.04.2020 07:03</c:v>
                        </c:pt>
                        <c:pt idx="36">
                          <c:v>28.04.2020 07:03</c:v>
                        </c:pt>
                        <c:pt idx="37">
                          <c:v>28.04.2020 07:03</c:v>
                        </c:pt>
                        <c:pt idx="38">
                          <c:v>28.04.2020 07:03</c:v>
                        </c:pt>
                        <c:pt idx="39">
                          <c:v>28.04.2020 07:03</c:v>
                        </c:pt>
                        <c:pt idx="40">
                          <c:v>28.04.2020 07:03</c:v>
                        </c:pt>
                        <c:pt idx="41">
                          <c:v>28.04.2020 07:03</c:v>
                        </c:pt>
                        <c:pt idx="42">
                          <c:v>28.04.2020 07:03</c:v>
                        </c:pt>
                        <c:pt idx="43">
                          <c:v>28.04.2020 07:03</c:v>
                        </c:pt>
                        <c:pt idx="44">
                          <c:v>28.04.2020 07:03</c:v>
                        </c:pt>
                        <c:pt idx="45">
                          <c:v>28.04.2020 07:03</c:v>
                        </c:pt>
                        <c:pt idx="46">
                          <c:v>28.04.2020 07:03</c:v>
                        </c:pt>
                        <c:pt idx="47">
                          <c:v>28.04.2020 07:03</c:v>
                        </c:pt>
                        <c:pt idx="48">
                          <c:v>28.04.2020 07:03</c:v>
                        </c:pt>
                        <c:pt idx="49">
                          <c:v>28.04.2020 07:03</c:v>
                        </c:pt>
                        <c:pt idx="50">
                          <c:v>28.04.2020 07:03</c:v>
                        </c:pt>
                        <c:pt idx="51">
                          <c:v>28.04.2020 07:03</c:v>
                        </c:pt>
                        <c:pt idx="52">
                          <c:v>28.04.2020 07:03</c:v>
                        </c:pt>
                        <c:pt idx="53">
                          <c:v>28.04.2020 07:03</c:v>
                        </c:pt>
                        <c:pt idx="54">
                          <c:v>28.04.2020 07:03</c:v>
                        </c:pt>
                        <c:pt idx="55">
                          <c:v>28.04.2020 07:03</c:v>
                        </c:pt>
                        <c:pt idx="56">
                          <c:v>28.04.2020 07:03</c:v>
                        </c:pt>
                        <c:pt idx="57">
                          <c:v>28.04.2020 07:03</c:v>
                        </c:pt>
                        <c:pt idx="58">
                          <c:v>28.04.2020 07:03</c:v>
                        </c:pt>
                        <c:pt idx="59">
                          <c:v>28.04.2020 07:03</c:v>
                        </c:pt>
                        <c:pt idx="60">
                          <c:v>28.04.2020 07:03</c:v>
                        </c:pt>
                        <c:pt idx="61">
                          <c:v>28.04.2020 07:03</c:v>
                        </c:pt>
                        <c:pt idx="62">
                          <c:v>28.04.2020 07:03</c:v>
                        </c:pt>
                        <c:pt idx="63">
                          <c:v>28.04.2020 07:03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lvl>
                    </c:multiLvlStrCache>
                  </c:multiLvlStrRef>
                </c:cat>
                <c:val>
                  <c:numRef>
                    <c:extLst>
                      <c:ext xmlns:c15="http://schemas.microsoft.com/office/drawing/2012/chart" uri="{02D57815-91ED-43cb-92C2-25804820EDAC}">
                        <c15:formulaRef>
                          <c15:sqref>ch_latest!$M$2:$M$65</c15:sqref>
                        </c15:formulaRef>
                      </c:ext>
                    </c:extLst>
                    <c:numCache>
                      <c:formatCode>General</c:formatCode>
                      <c:ptCount val="64"/>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533</c:v>
                      </c:pt>
                      <c:pt idx="16">
                        <c:v>704</c:v>
                      </c:pt>
                      <c:pt idx="17">
                        <c:v>1056</c:v>
                      </c:pt>
                      <c:pt idx="18">
                        <c:v>1408</c:v>
                      </c:pt>
                      <c:pt idx="19">
                        <c:v>1743</c:v>
                      </c:pt>
                      <c:pt idx="20">
                        <c:v>2022</c:v>
                      </c:pt>
                      <c:pt idx="21">
                        <c:v>2750</c:v>
                      </c:pt>
                      <c:pt idx="22">
                        <c:v>3621</c:v>
                      </c:pt>
                      <c:pt idx="23">
                        <c:v>4792</c:v>
                      </c:pt>
                      <c:pt idx="24">
                        <c:v>5818</c:v>
                      </c:pt>
                      <c:pt idx="25">
                        <c:v>6953</c:v>
                      </c:pt>
                      <c:pt idx="26">
                        <c:v>7650</c:v>
                      </c:pt>
                      <c:pt idx="27">
                        <c:v>8219</c:v>
                      </c:pt>
                      <c:pt idx="28">
                        <c:v>9779</c:v>
                      </c:pt>
                      <c:pt idx="29">
                        <c:v>10850</c:v>
                      </c:pt>
                      <c:pt idx="30">
                        <c:v>11944</c:v>
                      </c:pt>
                      <c:pt idx="31">
                        <c:v>13083</c:v>
                      </c:pt>
                      <c:pt idx="32">
                        <c:v>14391</c:v>
                      </c:pt>
                      <c:pt idx="33">
                        <c:v>15224</c:v>
                      </c:pt>
                      <c:pt idx="34">
                        <c:v>15822</c:v>
                      </c:pt>
                      <c:pt idx="35">
                        <c:v>16937</c:v>
                      </c:pt>
                      <c:pt idx="36">
                        <c:v>17875</c:v>
                      </c:pt>
                      <c:pt idx="37">
                        <c:v>18902</c:v>
                      </c:pt>
                      <c:pt idx="38">
                        <c:v>19947</c:v>
                      </c:pt>
                      <c:pt idx="39">
                        <c:v>20876</c:v>
                      </c:pt>
                      <c:pt idx="40">
                        <c:v>21443</c:v>
                      </c:pt>
                      <c:pt idx="41">
                        <c:v>21826</c:v>
                      </c:pt>
                      <c:pt idx="42">
                        <c:v>22568</c:v>
                      </c:pt>
                      <c:pt idx="43">
                        <c:v>23219</c:v>
                      </c:pt>
                      <c:pt idx="44">
                        <c:v>23889</c:v>
                      </c:pt>
                      <c:pt idx="45">
                        <c:v>24557</c:v>
                      </c:pt>
                      <c:pt idx="46">
                        <c:v>25007</c:v>
                      </c:pt>
                      <c:pt idx="47">
                        <c:v>25470</c:v>
                      </c:pt>
                      <c:pt idx="48">
                        <c:v>25743</c:v>
                      </c:pt>
                      <c:pt idx="49">
                        <c:v>25994</c:v>
                      </c:pt>
                      <c:pt idx="50">
                        <c:v>26316</c:v>
                      </c:pt>
                      <c:pt idx="51">
                        <c:v>26634</c:v>
                      </c:pt>
                      <c:pt idx="52">
                        <c:v>26933</c:v>
                      </c:pt>
                      <c:pt idx="53">
                        <c:v>27248</c:v>
                      </c:pt>
                      <c:pt idx="54">
                        <c:v>27541</c:v>
                      </c:pt>
                      <c:pt idx="55">
                        <c:v>27718</c:v>
                      </c:pt>
                      <c:pt idx="56">
                        <c:v>27921</c:v>
                      </c:pt>
                      <c:pt idx="57">
                        <c:v>28080</c:v>
                      </c:pt>
                      <c:pt idx="58">
                        <c:v>28277</c:v>
                      </c:pt>
                      <c:pt idx="59">
                        <c:v>28495</c:v>
                      </c:pt>
                      <c:pt idx="60">
                        <c:v>28684</c:v>
                      </c:pt>
                      <c:pt idx="61">
                        <c:v>28821</c:v>
                      </c:pt>
                      <c:pt idx="62">
                        <c:v>28889</c:v>
                      </c:pt>
                      <c:pt idx="63">
                        <c:v>28994</c:v>
                      </c:pt>
                    </c:numCache>
                  </c:numRef>
                </c:val>
                <c:smooth val="0"/>
                <c:extLst xmlns:c15="http://schemas.microsoft.com/office/drawing/2012/chart">
                  <c:ext xmlns:c16="http://schemas.microsoft.com/office/drawing/2014/chart" uri="{C3380CC4-5D6E-409C-BE32-E72D297353CC}">
                    <c16:uniqueId val="{00000008-1B1B-4E8A-9467-6BF6B6803E2C}"/>
                  </c:ext>
                </c:extLst>
              </c15:ser>
            </c15:filteredLineSeries>
            <c15:filteredLineSeries>
              <c15:ser>
                <c:idx val="10"/>
                <c:order val="10"/>
                <c:tx>
                  <c:strRef>
                    <c:extLs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multiLvlStrRef>
                    <c:extLst>
                      <c:ext xmlns:c15="http://schemas.microsoft.com/office/drawing/2012/chart" uri="{02D57815-91ED-43cb-92C2-25804820EDAC}">
                        <c15:formulaRef>
                          <c15:sqref>ch_latest!$A$2:$C$65</c15:sqref>
                        </c15:formulaRef>
                      </c:ext>
                    </c:extLst>
                    <c:multiLvlStrCache>
                      <c:ptCount val="64"/>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lvl>
                      <c:lvl>
                        <c:pt idx="0">
                          <c:v>28.04.2020 07:03</c:v>
                        </c:pt>
                        <c:pt idx="1">
                          <c:v>28.04.2020 07:03</c:v>
                        </c:pt>
                        <c:pt idx="2">
                          <c:v>28.04.2020 07:03</c:v>
                        </c:pt>
                        <c:pt idx="3">
                          <c:v>28.04.2020 07:03</c:v>
                        </c:pt>
                        <c:pt idx="4">
                          <c:v>28.04.2020 07:03</c:v>
                        </c:pt>
                        <c:pt idx="5">
                          <c:v>28.04.2020 07:03</c:v>
                        </c:pt>
                        <c:pt idx="6">
                          <c:v>28.04.2020 07:03</c:v>
                        </c:pt>
                        <c:pt idx="7">
                          <c:v>28.04.2020 07:03</c:v>
                        </c:pt>
                        <c:pt idx="8">
                          <c:v>28.04.2020 07:03</c:v>
                        </c:pt>
                        <c:pt idx="9">
                          <c:v>28.04.2020 07:03</c:v>
                        </c:pt>
                        <c:pt idx="10">
                          <c:v>28.04.2020 07:03</c:v>
                        </c:pt>
                        <c:pt idx="11">
                          <c:v>28.04.2020 07:03</c:v>
                        </c:pt>
                        <c:pt idx="12">
                          <c:v>28.04.2020 07:03</c:v>
                        </c:pt>
                        <c:pt idx="13">
                          <c:v>28.04.2020 07:03</c:v>
                        </c:pt>
                        <c:pt idx="14">
                          <c:v>28.04.2020 07:03</c:v>
                        </c:pt>
                        <c:pt idx="15">
                          <c:v>28.04.2020 07:03</c:v>
                        </c:pt>
                        <c:pt idx="16">
                          <c:v>28.04.2020 07:03</c:v>
                        </c:pt>
                        <c:pt idx="17">
                          <c:v>28.04.2020 07:03</c:v>
                        </c:pt>
                        <c:pt idx="18">
                          <c:v>28.04.2020 07:03</c:v>
                        </c:pt>
                        <c:pt idx="19">
                          <c:v>28.04.2020 07:03</c:v>
                        </c:pt>
                        <c:pt idx="20">
                          <c:v>28.04.2020 07:03</c:v>
                        </c:pt>
                        <c:pt idx="21">
                          <c:v>28.04.2020 07:03</c:v>
                        </c:pt>
                        <c:pt idx="22">
                          <c:v>28.04.2020 07:03</c:v>
                        </c:pt>
                        <c:pt idx="23">
                          <c:v>28.04.2020 07:03</c:v>
                        </c:pt>
                        <c:pt idx="24">
                          <c:v>28.04.2020 07:03</c:v>
                        </c:pt>
                        <c:pt idx="25">
                          <c:v>28.04.2020 07:03</c:v>
                        </c:pt>
                        <c:pt idx="26">
                          <c:v>28.04.2020 07:03</c:v>
                        </c:pt>
                        <c:pt idx="27">
                          <c:v>28.04.2020 07:03</c:v>
                        </c:pt>
                        <c:pt idx="28">
                          <c:v>28.04.2020 07:03</c:v>
                        </c:pt>
                        <c:pt idx="29">
                          <c:v>28.04.2020 07:03</c:v>
                        </c:pt>
                        <c:pt idx="30">
                          <c:v>28.04.2020 07:03</c:v>
                        </c:pt>
                        <c:pt idx="31">
                          <c:v>28.04.2020 07:03</c:v>
                        </c:pt>
                        <c:pt idx="32">
                          <c:v>28.04.2020 07:03</c:v>
                        </c:pt>
                        <c:pt idx="33">
                          <c:v>28.04.2020 07:03</c:v>
                        </c:pt>
                        <c:pt idx="34">
                          <c:v>28.04.2020 07:03</c:v>
                        </c:pt>
                        <c:pt idx="35">
                          <c:v>28.04.2020 07:03</c:v>
                        </c:pt>
                        <c:pt idx="36">
                          <c:v>28.04.2020 07:03</c:v>
                        </c:pt>
                        <c:pt idx="37">
                          <c:v>28.04.2020 07:03</c:v>
                        </c:pt>
                        <c:pt idx="38">
                          <c:v>28.04.2020 07:03</c:v>
                        </c:pt>
                        <c:pt idx="39">
                          <c:v>28.04.2020 07:03</c:v>
                        </c:pt>
                        <c:pt idx="40">
                          <c:v>28.04.2020 07:03</c:v>
                        </c:pt>
                        <c:pt idx="41">
                          <c:v>28.04.2020 07:03</c:v>
                        </c:pt>
                        <c:pt idx="42">
                          <c:v>28.04.2020 07:03</c:v>
                        </c:pt>
                        <c:pt idx="43">
                          <c:v>28.04.2020 07:03</c:v>
                        </c:pt>
                        <c:pt idx="44">
                          <c:v>28.04.2020 07:03</c:v>
                        </c:pt>
                        <c:pt idx="45">
                          <c:v>28.04.2020 07:03</c:v>
                        </c:pt>
                        <c:pt idx="46">
                          <c:v>28.04.2020 07:03</c:v>
                        </c:pt>
                        <c:pt idx="47">
                          <c:v>28.04.2020 07:03</c:v>
                        </c:pt>
                        <c:pt idx="48">
                          <c:v>28.04.2020 07:03</c:v>
                        </c:pt>
                        <c:pt idx="49">
                          <c:v>28.04.2020 07:03</c:v>
                        </c:pt>
                        <c:pt idx="50">
                          <c:v>28.04.2020 07:03</c:v>
                        </c:pt>
                        <c:pt idx="51">
                          <c:v>28.04.2020 07:03</c:v>
                        </c:pt>
                        <c:pt idx="52">
                          <c:v>28.04.2020 07:03</c:v>
                        </c:pt>
                        <c:pt idx="53">
                          <c:v>28.04.2020 07:03</c:v>
                        </c:pt>
                        <c:pt idx="54">
                          <c:v>28.04.2020 07:03</c:v>
                        </c:pt>
                        <c:pt idx="55">
                          <c:v>28.04.2020 07:03</c:v>
                        </c:pt>
                        <c:pt idx="56">
                          <c:v>28.04.2020 07:03</c:v>
                        </c:pt>
                        <c:pt idx="57">
                          <c:v>28.04.2020 07:03</c:v>
                        </c:pt>
                        <c:pt idx="58">
                          <c:v>28.04.2020 07:03</c:v>
                        </c:pt>
                        <c:pt idx="59">
                          <c:v>28.04.2020 07:03</c:v>
                        </c:pt>
                        <c:pt idx="60">
                          <c:v>28.04.2020 07:03</c:v>
                        </c:pt>
                        <c:pt idx="61">
                          <c:v>28.04.2020 07:03</c:v>
                        </c:pt>
                        <c:pt idx="62">
                          <c:v>28.04.2020 07:03</c:v>
                        </c:pt>
                        <c:pt idx="63">
                          <c:v>28.04.2020 07:03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lvl>
                    </c:multiLvlStrCache>
                  </c:multiLvlStrRef>
                </c:cat>
                <c:val>
                  <c:numRef>
                    <c:extLst>
                      <c:ext xmlns:c15="http://schemas.microsoft.com/office/drawing/2012/chart" uri="{02D57815-91ED-43cb-92C2-25804820EDAC}">
                        <c15:formulaRef>
                          <c15:sqref>ch_latest!$N$2:$N$65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val>
                <c:smooth val="0"/>
                <c:extLst xmlns:c15="http://schemas.microsoft.com/office/drawing/2012/chart">
                  <c:ext xmlns:c16="http://schemas.microsoft.com/office/drawing/2014/chart" uri="{C3380CC4-5D6E-409C-BE32-E72D297353CC}">
                    <c16:uniqueId val="{00000009-1B1B-4E8A-9467-6BF6B6803E2C}"/>
                  </c:ext>
                </c:extLst>
              </c15:ser>
            </c15:filteredLineSeries>
            <c15:filteredLineSeries>
              <c15:ser>
                <c:idx val="11"/>
                <c:order val="11"/>
                <c:tx>
                  <c:strRef>
                    <c:extLst>
                      <c:ext xmlns:c15="http://schemas.microsoft.com/office/drawing/2012/chart" uri="{02D57815-91ED-43cb-92C2-25804820EDAC}">
                        <c15:formulaRef>
                          <c15:sqref>ch_latest!$O$1</c15:sqref>
                        </c15:formulaRef>
                      </c:ext>
                    </c:extLst>
                    <c:strCache>
                      <c:ptCount val="1"/>
                      <c:pt idx="0">
                        <c:v>new_deaths</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multiLvlStrRef>
                    <c:extLst>
                      <c:ext xmlns:c15="http://schemas.microsoft.com/office/drawing/2012/chart" uri="{02D57815-91ED-43cb-92C2-25804820EDAC}">
                        <c15:formulaRef>
                          <c15:sqref>ch_latest!$A$2:$C$65</c15:sqref>
                        </c15:formulaRef>
                      </c:ext>
                    </c:extLst>
                    <c:multiLvlStrCache>
                      <c:ptCount val="64"/>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lvl>
                      <c:lvl>
                        <c:pt idx="0">
                          <c:v>28.04.2020 07:03</c:v>
                        </c:pt>
                        <c:pt idx="1">
                          <c:v>28.04.2020 07:03</c:v>
                        </c:pt>
                        <c:pt idx="2">
                          <c:v>28.04.2020 07:03</c:v>
                        </c:pt>
                        <c:pt idx="3">
                          <c:v>28.04.2020 07:03</c:v>
                        </c:pt>
                        <c:pt idx="4">
                          <c:v>28.04.2020 07:03</c:v>
                        </c:pt>
                        <c:pt idx="5">
                          <c:v>28.04.2020 07:03</c:v>
                        </c:pt>
                        <c:pt idx="6">
                          <c:v>28.04.2020 07:03</c:v>
                        </c:pt>
                        <c:pt idx="7">
                          <c:v>28.04.2020 07:03</c:v>
                        </c:pt>
                        <c:pt idx="8">
                          <c:v>28.04.2020 07:03</c:v>
                        </c:pt>
                        <c:pt idx="9">
                          <c:v>28.04.2020 07:03</c:v>
                        </c:pt>
                        <c:pt idx="10">
                          <c:v>28.04.2020 07:03</c:v>
                        </c:pt>
                        <c:pt idx="11">
                          <c:v>28.04.2020 07:03</c:v>
                        </c:pt>
                        <c:pt idx="12">
                          <c:v>28.04.2020 07:03</c:v>
                        </c:pt>
                        <c:pt idx="13">
                          <c:v>28.04.2020 07:03</c:v>
                        </c:pt>
                        <c:pt idx="14">
                          <c:v>28.04.2020 07:03</c:v>
                        </c:pt>
                        <c:pt idx="15">
                          <c:v>28.04.2020 07:03</c:v>
                        </c:pt>
                        <c:pt idx="16">
                          <c:v>28.04.2020 07:03</c:v>
                        </c:pt>
                        <c:pt idx="17">
                          <c:v>28.04.2020 07:03</c:v>
                        </c:pt>
                        <c:pt idx="18">
                          <c:v>28.04.2020 07:03</c:v>
                        </c:pt>
                        <c:pt idx="19">
                          <c:v>28.04.2020 07:03</c:v>
                        </c:pt>
                        <c:pt idx="20">
                          <c:v>28.04.2020 07:03</c:v>
                        </c:pt>
                        <c:pt idx="21">
                          <c:v>28.04.2020 07:03</c:v>
                        </c:pt>
                        <c:pt idx="22">
                          <c:v>28.04.2020 07:03</c:v>
                        </c:pt>
                        <c:pt idx="23">
                          <c:v>28.04.2020 07:03</c:v>
                        </c:pt>
                        <c:pt idx="24">
                          <c:v>28.04.2020 07:03</c:v>
                        </c:pt>
                        <c:pt idx="25">
                          <c:v>28.04.2020 07:03</c:v>
                        </c:pt>
                        <c:pt idx="26">
                          <c:v>28.04.2020 07:03</c:v>
                        </c:pt>
                        <c:pt idx="27">
                          <c:v>28.04.2020 07:03</c:v>
                        </c:pt>
                        <c:pt idx="28">
                          <c:v>28.04.2020 07:03</c:v>
                        </c:pt>
                        <c:pt idx="29">
                          <c:v>28.04.2020 07:03</c:v>
                        </c:pt>
                        <c:pt idx="30">
                          <c:v>28.04.2020 07:03</c:v>
                        </c:pt>
                        <c:pt idx="31">
                          <c:v>28.04.2020 07:03</c:v>
                        </c:pt>
                        <c:pt idx="32">
                          <c:v>28.04.2020 07:03</c:v>
                        </c:pt>
                        <c:pt idx="33">
                          <c:v>28.04.2020 07:03</c:v>
                        </c:pt>
                        <c:pt idx="34">
                          <c:v>28.04.2020 07:03</c:v>
                        </c:pt>
                        <c:pt idx="35">
                          <c:v>28.04.2020 07:03</c:v>
                        </c:pt>
                        <c:pt idx="36">
                          <c:v>28.04.2020 07:03</c:v>
                        </c:pt>
                        <c:pt idx="37">
                          <c:v>28.04.2020 07:03</c:v>
                        </c:pt>
                        <c:pt idx="38">
                          <c:v>28.04.2020 07:03</c:v>
                        </c:pt>
                        <c:pt idx="39">
                          <c:v>28.04.2020 07:03</c:v>
                        </c:pt>
                        <c:pt idx="40">
                          <c:v>28.04.2020 07:03</c:v>
                        </c:pt>
                        <c:pt idx="41">
                          <c:v>28.04.2020 07:03</c:v>
                        </c:pt>
                        <c:pt idx="42">
                          <c:v>28.04.2020 07:03</c:v>
                        </c:pt>
                        <c:pt idx="43">
                          <c:v>28.04.2020 07:03</c:v>
                        </c:pt>
                        <c:pt idx="44">
                          <c:v>28.04.2020 07:03</c:v>
                        </c:pt>
                        <c:pt idx="45">
                          <c:v>28.04.2020 07:03</c:v>
                        </c:pt>
                        <c:pt idx="46">
                          <c:v>28.04.2020 07:03</c:v>
                        </c:pt>
                        <c:pt idx="47">
                          <c:v>28.04.2020 07:03</c:v>
                        </c:pt>
                        <c:pt idx="48">
                          <c:v>28.04.2020 07:03</c:v>
                        </c:pt>
                        <c:pt idx="49">
                          <c:v>28.04.2020 07:03</c:v>
                        </c:pt>
                        <c:pt idx="50">
                          <c:v>28.04.2020 07:03</c:v>
                        </c:pt>
                        <c:pt idx="51">
                          <c:v>28.04.2020 07:03</c:v>
                        </c:pt>
                        <c:pt idx="52">
                          <c:v>28.04.2020 07:03</c:v>
                        </c:pt>
                        <c:pt idx="53">
                          <c:v>28.04.2020 07:03</c:v>
                        </c:pt>
                        <c:pt idx="54">
                          <c:v>28.04.2020 07:03</c:v>
                        </c:pt>
                        <c:pt idx="55">
                          <c:v>28.04.2020 07:03</c:v>
                        </c:pt>
                        <c:pt idx="56">
                          <c:v>28.04.2020 07:03</c:v>
                        </c:pt>
                        <c:pt idx="57">
                          <c:v>28.04.2020 07:03</c:v>
                        </c:pt>
                        <c:pt idx="58">
                          <c:v>28.04.2020 07:03</c:v>
                        </c:pt>
                        <c:pt idx="59">
                          <c:v>28.04.2020 07:03</c:v>
                        </c:pt>
                        <c:pt idx="60">
                          <c:v>28.04.2020 07:03</c:v>
                        </c:pt>
                        <c:pt idx="61">
                          <c:v>28.04.2020 07:03</c:v>
                        </c:pt>
                        <c:pt idx="62">
                          <c:v>28.04.2020 07:03</c:v>
                        </c:pt>
                        <c:pt idx="63">
                          <c:v>28.04.2020 07:03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lvl>
                    </c:multiLvlStrCache>
                  </c:multiLvlStrRef>
                </c:cat>
                <c:val>
                  <c:numRef>
                    <c:extLst>
                      <c:ext xmlns:c15="http://schemas.microsoft.com/office/drawing/2012/chart" uri="{02D57815-91ED-43cb-92C2-25804820EDAC}">
                        <c15:formulaRef>
                          <c15:sqref>ch_latest!$O$2:$O$65</c15:sqref>
                        </c15:formulaRef>
                      </c:ext>
                    </c:extLst>
                    <c:numCache>
                      <c:formatCode>General</c:formatCode>
                      <c:ptCount val="64"/>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46</c:v>
                      </c:pt>
                      <c:pt idx="31">
                        <c:v>36</c:v>
                      </c:pt>
                      <c:pt idx="32">
                        <c:v>52</c:v>
                      </c:pt>
                      <c:pt idx="33">
                        <c:v>44</c:v>
                      </c:pt>
                      <c:pt idx="34">
                        <c:v>59</c:v>
                      </c:pt>
                      <c:pt idx="35">
                        <c:v>66</c:v>
                      </c:pt>
                      <c:pt idx="36">
                        <c:v>63</c:v>
                      </c:pt>
                      <c:pt idx="37">
                        <c:v>61</c:v>
                      </c:pt>
                      <c:pt idx="38">
                        <c:v>61</c:v>
                      </c:pt>
                      <c:pt idx="39">
                        <c:v>66</c:v>
                      </c:pt>
                      <c:pt idx="40">
                        <c:v>52</c:v>
                      </c:pt>
                      <c:pt idx="41">
                        <c:v>59</c:v>
                      </c:pt>
                      <c:pt idx="42">
                        <c:v>60</c:v>
                      </c:pt>
                      <c:pt idx="43">
                        <c:v>68</c:v>
                      </c:pt>
                      <c:pt idx="44">
                        <c:v>51</c:v>
                      </c:pt>
                      <c:pt idx="45">
                        <c:v>50</c:v>
                      </c:pt>
                      <c:pt idx="46">
                        <c:v>37</c:v>
                      </c:pt>
                      <c:pt idx="47">
                        <c:v>56</c:v>
                      </c:pt>
                      <c:pt idx="48">
                        <c:v>30</c:v>
                      </c:pt>
                      <c:pt idx="49">
                        <c:v>38</c:v>
                      </c:pt>
                      <c:pt idx="50">
                        <c:v>53</c:v>
                      </c:pt>
                      <c:pt idx="51">
                        <c:v>45</c:v>
                      </c:pt>
                      <c:pt idx="52">
                        <c:v>45</c:v>
                      </c:pt>
                      <c:pt idx="53">
                        <c:v>42</c:v>
                      </c:pt>
                      <c:pt idx="54">
                        <c:v>23</c:v>
                      </c:pt>
                      <c:pt idx="55">
                        <c:v>41</c:v>
                      </c:pt>
                      <c:pt idx="56">
                        <c:v>41</c:v>
                      </c:pt>
                      <c:pt idx="57">
                        <c:v>26</c:v>
                      </c:pt>
                      <c:pt idx="58">
                        <c:v>29</c:v>
                      </c:pt>
                      <c:pt idx="59">
                        <c:v>25</c:v>
                      </c:pt>
                      <c:pt idx="60">
                        <c:v>18</c:v>
                      </c:pt>
                      <c:pt idx="61">
                        <c:v>12</c:v>
                      </c:pt>
                      <c:pt idx="62">
                        <c:v>11</c:v>
                      </c:pt>
                      <c:pt idx="63">
                        <c:v>0</c:v>
                      </c:pt>
                    </c:numCache>
                  </c:numRef>
                </c:val>
                <c:smooth val="0"/>
                <c:extLst xmlns:c15="http://schemas.microsoft.com/office/drawing/2012/chart">
                  <c:ext xmlns:c16="http://schemas.microsoft.com/office/drawing/2014/chart" uri="{C3380CC4-5D6E-409C-BE32-E72D297353CC}">
                    <c16:uniqueId val="{0000000A-1B1B-4E8A-9467-6BF6B6803E2C}"/>
                  </c:ext>
                </c:extLst>
              </c15:ser>
            </c15:filteredLineSeries>
            <c15:filteredLineSeries>
              <c15:ser>
                <c:idx val="12"/>
                <c:order val="12"/>
                <c:tx>
                  <c:strRef>
                    <c:extLs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multiLvlStrRef>
                    <c:extLst>
                      <c:ext xmlns:c15="http://schemas.microsoft.com/office/drawing/2012/chart" uri="{02D57815-91ED-43cb-92C2-25804820EDAC}">
                        <c15:formulaRef>
                          <c15:sqref>ch_latest!$A$2:$C$65</c15:sqref>
                        </c15:formulaRef>
                      </c:ext>
                    </c:extLst>
                    <c:multiLvlStrCache>
                      <c:ptCount val="64"/>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lvl>
                      <c:lvl>
                        <c:pt idx="0">
                          <c:v>28.04.2020 07:03</c:v>
                        </c:pt>
                        <c:pt idx="1">
                          <c:v>28.04.2020 07:03</c:v>
                        </c:pt>
                        <c:pt idx="2">
                          <c:v>28.04.2020 07:03</c:v>
                        </c:pt>
                        <c:pt idx="3">
                          <c:v>28.04.2020 07:03</c:v>
                        </c:pt>
                        <c:pt idx="4">
                          <c:v>28.04.2020 07:03</c:v>
                        </c:pt>
                        <c:pt idx="5">
                          <c:v>28.04.2020 07:03</c:v>
                        </c:pt>
                        <c:pt idx="6">
                          <c:v>28.04.2020 07:03</c:v>
                        </c:pt>
                        <c:pt idx="7">
                          <c:v>28.04.2020 07:03</c:v>
                        </c:pt>
                        <c:pt idx="8">
                          <c:v>28.04.2020 07:03</c:v>
                        </c:pt>
                        <c:pt idx="9">
                          <c:v>28.04.2020 07:03</c:v>
                        </c:pt>
                        <c:pt idx="10">
                          <c:v>28.04.2020 07:03</c:v>
                        </c:pt>
                        <c:pt idx="11">
                          <c:v>28.04.2020 07:03</c:v>
                        </c:pt>
                        <c:pt idx="12">
                          <c:v>28.04.2020 07:03</c:v>
                        </c:pt>
                        <c:pt idx="13">
                          <c:v>28.04.2020 07:03</c:v>
                        </c:pt>
                        <c:pt idx="14">
                          <c:v>28.04.2020 07:03</c:v>
                        </c:pt>
                        <c:pt idx="15">
                          <c:v>28.04.2020 07:03</c:v>
                        </c:pt>
                        <c:pt idx="16">
                          <c:v>28.04.2020 07:03</c:v>
                        </c:pt>
                        <c:pt idx="17">
                          <c:v>28.04.2020 07:03</c:v>
                        </c:pt>
                        <c:pt idx="18">
                          <c:v>28.04.2020 07:03</c:v>
                        </c:pt>
                        <c:pt idx="19">
                          <c:v>28.04.2020 07:03</c:v>
                        </c:pt>
                        <c:pt idx="20">
                          <c:v>28.04.2020 07:03</c:v>
                        </c:pt>
                        <c:pt idx="21">
                          <c:v>28.04.2020 07:03</c:v>
                        </c:pt>
                        <c:pt idx="22">
                          <c:v>28.04.2020 07:03</c:v>
                        </c:pt>
                        <c:pt idx="23">
                          <c:v>28.04.2020 07:03</c:v>
                        </c:pt>
                        <c:pt idx="24">
                          <c:v>28.04.2020 07:03</c:v>
                        </c:pt>
                        <c:pt idx="25">
                          <c:v>28.04.2020 07:03</c:v>
                        </c:pt>
                        <c:pt idx="26">
                          <c:v>28.04.2020 07:03</c:v>
                        </c:pt>
                        <c:pt idx="27">
                          <c:v>28.04.2020 07:03</c:v>
                        </c:pt>
                        <c:pt idx="28">
                          <c:v>28.04.2020 07:03</c:v>
                        </c:pt>
                        <c:pt idx="29">
                          <c:v>28.04.2020 07:03</c:v>
                        </c:pt>
                        <c:pt idx="30">
                          <c:v>28.04.2020 07:03</c:v>
                        </c:pt>
                        <c:pt idx="31">
                          <c:v>28.04.2020 07:03</c:v>
                        </c:pt>
                        <c:pt idx="32">
                          <c:v>28.04.2020 07:03</c:v>
                        </c:pt>
                        <c:pt idx="33">
                          <c:v>28.04.2020 07:03</c:v>
                        </c:pt>
                        <c:pt idx="34">
                          <c:v>28.04.2020 07:03</c:v>
                        </c:pt>
                        <c:pt idx="35">
                          <c:v>28.04.2020 07:03</c:v>
                        </c:pt>
                        <c:pt idx="36">
                          <c:v>28.04.2020 07:03</c:v>
                        </c:pt>
                        <c:pt idx="37">
                          <c:v>28.04.2020 07:03</c:v>
                        </c:pt>
                        <c:pt idx="38">
                          <c:v>28.04.2020 07:03</c:v>
                        </c:pt>
                        <c:pt idx="39">
                          <c:v>28.04.2020 07:03</c:v>
                        </c:pt>
                        <c:pt idx="40">
                          <c:v>28.04.2020 07:03</c:v>
                        </c:pt>
                        <c:pt idx="41">
                          <c:v>28.04.2020 07:03</c:v>
                        </c:pt>
                        <c:pt idx="42">
                          <c:v>28.04.2020 07:03</c:v>
                        </c:pt>
                        <c:pt idx="43">
                          <c:v>28.04.2020 07:03</c:v>
                        </c:pt>
                        <c:pt idx="44">
                          <c:v>28.04.2020 07:03</c:v>
                        </c:pt>
                        <c:pt idx="45">
                          <c:v>28.04.2020 07:03</c:v>
                        </c:pt>
                        <c:pt idx="46">
                          <c:v>28.04.2020 07:03</c:v>
                        </c:pt>
                        <c:pt idx="47">
                          <c:v>28.04.2020 07:03</c:v>
                        </c:pt>
                        <c:pt idx="48">
                          <c:v>28.04.2020 07:03</c:v>
                        </c:pt>
                        <c:pt idx="49">
                          <c:v>28.04.2020 07:03</c:v>
                        </c:pt>
                        <c:pt idx="50">
                          <c:v>28.04.2020 07:03</c:v>
                        </c:pt>
                        <c:pt idx="51">
                          <c:v>28.04.2020 07:03</c:v>
                        </c:pt>
                        <c:pt idx="52">
                          <c:v>28.04.2020 07:03</c:v>
                        </c:pt>
                        <c:pt idx="53">
                          <c:v>28.04.2020 07:03</c:v>
                        </c:pt>
                        <c:pt idx="54">
                          <c:v>28.04.2020 07:03</c:v>
                        </c:pt>
                        <c:pt idx="55">
                          <c:v>28.04.2020 07:03</c:v>
                        </c:pt>
                        <c:pt idx="56">
                          <c:v>28.04.2020 07:03</c:v>
                        </c:pt>
                        <c:pt idx="57">
                          <c:v>28.04.2020 07:03</c:v>
                        </c:pt>
                        <c:pt idx="58">
                          <c:v>28.04.2020 07:03</c:v>
                        </c:pt>
                        <c:pt idx="59">
                          <c:v>28.04.2020 07:03</c:v>
                        </c:pt>
                        <c:pt idx="60">
                          <c:v>28.04.2020 07:03</c:v>
                        </c:pt>
                        <c:pt idx="61">
                          <c:v>28.04.2020 07:03</c:v>
                        </c:pt>
                        <c:pt idx="62">
                          <c:v>28.04.2020 07:03</c:v>
                        </c:pt>
                        <c:pt idx="63">
                          <c:v>28.04.2020 07:03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lvl>
                    </c:multiLvlStrCache>
                  </c:multiLvlStrRef>
                </c:cat>
                <c:val>
                  <c:numRef>
                    <c:extLst>
                      <c:ext xmlns:c15="http://schemas.microsoft.com/office/drawing/2012/chart" uri="{02D57815-91ED-43cb-92C2-25804820EDAC}">
                        <c15:formulaRef>
                          <c15:sqref>ch_latest!$P$2:$P$65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246</c:v>
                      </c:pt>
                      <c:pt idx="32">
                        <c:v>282</c:v>
                      </c:pt>
                      <c:pt idx="33">
                        <c:v>334</c:v>
                      </c:pt>
                      <c:pt idx="34">
                        <c:v>378</c:v>
                      </c:pt>
                      <c:pt idx="35">
                        <c:v>437</c:v>
                      </c:pt>
                      <c:pt idx="36">
                        <c:v>503</c:v>
                      </c:pt>
                      <c:pt idx="37">
                        <c:v>566</c:v>
                      </c:pt>
                      <c:pt idx="38">
                        <c:v>627</c:v>
                      </c:pt>
                      <c:pt idx="39">
                        <c:v>688</c:v>
                      </c:pt>
                      <c:pt idx="40">
                        <c:v>754</c:v>
                      </c:pt>
                      <c:pt idx="41">
                        <c:v>806</c:v>
                      </c:pt>
                      <c:pt idx="42">
                        <c:v>865</c:v>
                      </c:pt>
                      <c:pt idx="43">
                        <c:v>925</c:v>
                      </c:pt>
                      <c:pt idx="44">
                        <c:v>993</c:v>
                      </c:pt>
                      <c:pt idx="45">
                        <c:v>1044</c:v>
                      </c:pt>
                      <c:pt idx="46">
                        <c:v>1094</c:v>
                      </c:pt>
                      <c:pt idx="47">
                        <c:v>1131</c:v>
                      </c:pt>
                      <c:pt idx="48">
                        <c:v>1187</c:v>
                      </c:pt>
                      <c:pt idx="49">
                        <c:v>1217</c:v>
                      </c:pt>
                      <c:pt idx="50">
                        <c:v>1255</c:v>
                      </c:pt>
                      <c:pt idx="51">
                        <c:v>1308</c:v>
                      </c:pt>
                      <c:pt idx="52">
                        <c:v>1353</c:v>
                      </c:pt>
                      <c:pt idx="53">
                        <c:v>1398</c:v>
                      </c:pt>
                      <c:pt idx="54">
                        <c:v>1440</c:v>
                      </c:pt>
                      <c:pt idx="55">
                        <c:v>1463</c:v>
                      </c:pt>
                      <c:pt idx="56">
                        <c:v>1504</c:v>
                      </c:pt>
                      <c:pt idx="57">
                        <c:v>1545</c:v>
                      </c:pt>
                      <c:pt idx="58">
                        <c:v>1571</c:v>
                      </c:pt>
                      <c:pt idx="59">
                        <c:v>1600</c:v>
                      </c:pt>
                      <c:pt idx="60">
                        <c:v>1625</c:v>
                      </c:pt>
                      <c:pt idx="61">
                        <c:v>1643</c:v>
                      </c:pt>
                      <c:pt idx="62">
                        <c:v>1655</c:v>
                      </c:pt>
                      <c:pt idx="63">
                        <c:v>1666</c:v>
                      </c:pt>
                    </c:numCache>
                  </c:numRef>
                </c:val>
                <c:smooth val="0"/>
                <c:extLst xmlns:c15="http://schemas.microsoft.com/office/drawing/2012/chart">
                  <c:ext xmlns:c16="http://schemas.microsoft.com/office/drawing/2014/chart" uri="{C3380CC4-5D6E-409C-BE32-E72D297353CC}">
                    <c16:uniqueId val="{0000000B-1B1B-4E8A-9467-6BF6B6803E2C}"/>
                  </c:ext>
                </c:extLst>
              </c15:ser>
            </c15:filteredLineSeries>
            <c15:filteredLineSeries>
              <c15:ser>
                <c:idx val="13"/>
                <c:order val="13"/>
                <c:tx>
                  <c:strRef>
                    <c:extLs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multiLvlStrRef>
                    <c:extLst>
                      <c:ext xmlns:c15="http://schemas.microsoft.com/office/drawing/2012/chart" uri="{02D57815-91ED-43cb-92C2-25804820EDAC}">
                        <c15:formulaRef>
                          <c15:sqref>ch_latest!$A$2:$C$65</c15:sqref>
                        </c15:formulaRef>
                      </c:ext>
                    </c:extLst>
                    <c:multiLvlStrCache>
                      <c:ptCount val="64"/>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lvl>
                      <c:lvl>
                        <c:pt idx="0">
                          <c:v>28.04.2020 07:03</c:v>
                        </c:pt>
                        <c:pt idx="1">
                          <c:v>28.04.2020 07:03</c:v>
                        </c:pt>
                        <c:pt idx="2">
                          <c:v>28.04.2020 07:03</c:v>
                        </c:pt>
                        <c:pt idx="3">
                          <c:v>28.04.2020 07:03</c:v>
                        </c:pt>
                        <c:pt idx="4">
                          <c:v>28.04.2020 07:03</c:v>
                        </c:pt>
                        <c:pt idx="5">
                          <c:v>28.04.2020 07:03</c:v>
                        </c:pt>
                        <c:pt idx="6">
                          <c:v>28.04.2020 07:03</c:v>
                        </c:pt>
                        <c:pt idx="7">
                          <c:v>28.04.2020 07:03</c:v>
                        </c:pt>
                        <c:pt idx="8">
                          <c:v>28.04.2020 07:03</c:v>
                        </c:pt>
                        <c:pt idx="9">
                          <c:v>28.04.2020 07:03</c:v>
                        </c:pt>
                        <c:pt idx="10">
                          <c:v>28.04.2020 07:03</c:v>
                        </c:pt>
                        <c:pt idx="11">
                          <c:v>28.04.2020 07:03</c:v>
                        </c:pt>
                        <c:pt idx="12">
                          <c:v>28.04.2020 07:03</c:v>
                        </c:pt>
                        <c:pt idx="13">
                          <c:v>28.04.2020 07:03</c:v>
                        </c:pt>
                        <c:pt idx="14">
                          <c:v>28.04.2020 07:03</c:v>
                        </c:pt>
                        <c:pt idx="15">
                          <c:v>28.04.2020 07:03</c:v>
                        </c:pt>
                        <c:pt idx="16">
                          <c:v>28.04.2020 07:03</c:v>
                        </c:pt>
                        <c:pt idx="17">
                          <c:v>28.04.2020 07:03</c:v>
                        </c:pt>
                        <c:pt idx="18">
                          <c:v>28.04.2020 07:03</c:v>
                        </c:pt>
                        <c:pt idx="19">
                          <c:v>28.04.2020 07:03</c:v>
                        </c:pt>
                        <c:pt idx="20">
                          <c:v>28.04.2020 07:03</c:v>
                        </c:pt>
                        <c:pt idx="21">
                          <c:v>28.04.2020 07:03</c:v>
                        </c:pt>
                        <c:pt idx="22">
                          <c:v>28.04.2020 07:03</c:v>
                        </c:pt>
                        <c:pt idx="23">
                          <c:v>28.04.2020 07:03</c:v>
                        </c:pt>
                        <c:pt idx="24">
                          <c:v>28.04.2020 07:03</c:v>
                        </c:pt>
                        <c:pt idx="25">
                          <c:v>28.04.2020 07:03</c:v>
                        </c:pt>
                        <c:pt idx="26">
                          <c:v>28.04.2020 07:03</c:v>
                        </c:pt>
                        <c:pt idx="27">
                          <c:v>28.04.2020 07:03</c:v>
                        </c:pt>
                        <c:pt idx="28">
                          <c:v>28.04.2020 07:03</c:v>
                        </c:pt>
                        <c:pt idx="29">
                          <c:v>28.04.2020 07:03</c:v>
                        </c:pt>
                        <c:pt idx="30">
                          <c:v>28.04.2020 07:03</c:v>
                        </c:pt>
                        <c:pt idx="31">
                          <c:v>28.04.2020 07:03</c:v>
                        </c:pt>
                        <c:pt idx="32">
                          <c:v>28.04.2020 07:03</c:v>
                        </c:pt>
                        <c:pt idx="33">
                          <c:v>28.04.2020 07:03</c:v>
                        </c:pt>
                        <c:pt idx="34">
                          <c:v>28.04.2020 07:03</c:v>
                        </c:pt>
                        <c:pt idx="35">
                          <c:v>28.04.2020 07:03</c:v>
                        </c:pt>
                        <c:pt idx="36">
                          <c:v>28.04.2020 07:03</c:v>
                        </c:pt>
                        <c:pt idx="37">
                          <c:v>28.04.2020 07:03</c:v>
                        </c:pt>
                        <c:pt idx="38">
                          <c:v>28.04.2020 07:03</c:v>
                        </c:pt>
                        <c:pt idx="39">
                          <c:v>28.04.2020 07:03</c:v>
                        </c:pt>
                        <c:pt idx="40">
                          <c:v>28.04.2020 07:03</c:v>
                        </c:pt>
                        <c:pt idx="41">
                          <c:v>28.04.2020 07:03</c:v>
                        </c:pt>
                        <c:pt idx="42">
                          <c:v>28.04.2020 07:03</c:v>
                        </c:pt>
                        <c:pt idx="43">
                          <c:v>28.04.2020 07:03</c:v>
                        </c:pt>
                        <c:pt idx="44">
                          <c:v>28.04.2020 07:03</c:v>
                        </c:pt>
                        <c:pt idx="45">
                          <c:v>28.04.2020 07:03</c:v>
                        </c:pt>
                        <c:pt idx="46">
                          <c:v>28.04.2020 07:03</c:v>
                        </c:pt>
                        <c:pt idx="47">
                          <c:v>28.04.2020 07:03</c:v>
                        </c:pt>
                        <c:pt idx="48">
                          <c:v>28.04.2020 07:03</c:v>
                        </c:pt>
                        <c:pt idx="49">
                          <c:v>28.04.2020 07:03</c:v>
                        </c:pt>
                        <c:pt idx="50">
                          <c:v>28.04.2020 07:03</c:v>
                        </c:pt>
                        <c:pt idx="51">
                          <c:v>28.04.2020 07:03</c:v>
                        </c:pt>
                        <c:pt idx="52">
                          <c:v>28.04.2020 07:03</c:v>
                        </c:pt>
                        <c:pt idx="53">
                          <c:v>28.04.2020 07:03</c:v>
                        </c:pt>
                        <c:pt idx="54">
                          <c:v>28.04.2020 07:03</c:v>
                        </c:pt>
                        <c:pt idx="55">
                          <c:v>28.04.2020 07:03</c:v>
                        </c:pt>
                        <c:pt idx="56">
                          <c:v>28.04.2020 07:03</c:v>
                        </c:pt>
                        <c:pt idx="57">
                          <c:v>28.04.2020 07:03</c:v>
                        </c:pt>
                        <c:pt idx="58">
                          <c:v>28.04.2020 07:03</c:v>
                        </c:pt>
                        <c:pt idx="59">
                          <c:v>28.04.2020 07:03</c:v>
                        </c:pt>
                        <c:pt idx="60">
                          <c:v>28.04.2020 07:03</c:v>
                        </c:pt>
                        <c:pt idx="61">
                          <c:v>28.04.2020 07:03</c:v>
                        </c:pt>
                        <c:pt idx="62">
                          <c:v>28.04.2020 07:03</c:v>
                        </c:pt>
                        <c:pt idx="63">
                          <c:v>28.04.2020 07:03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lvl>
                    </c:multiLvlStrCache>
                  </c:multiLvlStrRef>
                </c:cat>
                <c:val>
                  <c:numRef>
                    <c:extLst>
                      <c:ext xmlns:c15="http://schemas.microsoft.com/office/drawing/2012/chart" uri="{02D57815-91ED-43cb-92C2-25804820EDAC}">
                        <c15:formulaRef>
                          <c15:sqref>ch_latest!$Q$2:$Q$65</c15:sqref>
                        </c15:formulaRef>
                      </c:ext>
                    </c:extLst>
                    <c:numCache>
                      <c:formatCode>General</c:formatCode>
                      <c:ptCount val="64"/>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2.2984819999999999</c:v>
                      </c:pt>
                      <c:pt idx="15">
                        <c:v>2.572371</c:v>
                      </c:pt>
                      <c:pt idx="16">
                        <c:v>2.4389759999999998</c:v>
                      </c:pt>
                      <c:pt idx="17">
                        <c:v>2.2998769999999999</c:v>
                      </c:pt>
                      <c:pt idx="18">
                        <c:v>2.3386339999999999</c:v>
                      </c:pt>
                      <c:pt idx="19">
                        <c:v>2.599326</c:v>
                      </c:pt>
                      <c:pt idx="20">
                        <c:v>2.5435140000000001</c:v>
                      </c:pt>
                      <c:pt idx="21">
                        <c:v>2.8124989999999999</c:v>
                      </c:pt>
                      <c:pt idx="22">
                        <c:v>2.8296860000000001</c:v>
                      </c:pt>
                      <c:pt idx="23">
                        <c:v>2.8752970000000002</c:v>
                      </c:pt>
                      <c:pt idx="24">
                        <c:v>2.8060679999999998</c:v>
                      </c:pt>
                      <c:pt idx="25">
                        <c:v>3.3874689999999998</c:v>
                      </c:pt>
                      <c:pt idx="26">
                        <c:v>4.2280629999999997</c:v>
                      </c:pt>
                      <c:pt idx="27">
                        <c:v>4.8588079999999998</c:v>
                      </c:pt>
                      <c:pt idx="28">
                        <c:v>5.5611179999999996</c:v>
                      </c:pt>
                      <c:pt idx="29">
                        <c:v>6.4055049999999998</c:v>
                      </c:pt>
                      <c:pt idx="30">
                        <c:v>6.4585990000000004</c:v>
                      </c:pt>
                      <c:pt idx="31">
                        <c:v>6.1871080000000003</c:v>
                      </c:pt>
                      <c:pt idx="32">
                        <c:v>7.8297670000000004</c:v>
                      </c:pt>
                      <c:pt idx="33">
                        <c:v>9.1871749999999999</c:v>
                      </c:pt>
                      <c:pt idx="34">
                        <c:v>9.9227559999999997</c:v>
                      </c:pt>
                      <c:pt idx="35">
                        <c:v>11.104946</c:v>
                      </c:pt>
                      <c:pt idx="36">
                        <c:v>12.710613</c:v>
                      </c:pt>
                      <c:pt idx="37">
                        <c:v>12.826290999999999</c:v>
                      </c:pt>
                      <c:pt idx="38">
                        <c:v>12.502708999999999</c:v>
                      </c:pt>
                      <c:pt idx="39">
                        <c:v>14.691692</c:v>
                      </c:pt>
                      <c:pt idx="40">
                        <c:v>17.354813</c:v>
                      </c:pt>
                      <c:pt idx="41">
                        <c:v>19.551131000000002</c:v>
                      </c:pt>
                      <c:pt idx="42">
                        <c:v>22.817083</c:v>
                      </c:pt>
                      <c:pt idx="43">
                        <c:v>25.706788</c:v>
                      </c:pt>
                      <c:pt idx="44">
                        <c:v>25.558769999999999</c:v>
                      </c:pt>
                      <c:pt idx="45">
                        <c:v>25.473262999999999</c:v>
                      </c:pt>
                      <c:pt idx="46">
                        <c:v>28.649947999999998</c:v>
                      </c:pt>
                      <c:pt idx="47">
                        <c:v>33.585369</c:v>
                      </c:pt>
                      <c:pt idx="48">
                        <c:v>41.040056</c:v>
                      </c:pt>
                      <c:pt idx="49">
                        <c:v>50.097242000000001</c:v>
                      </c:pt>
                      <c:pt idx="50">
                        <c:v>54.983046999999999</c:v>
                      </c:pt>
                      <c:pt idx="51">
                        <c:v>62.053234000000003</c:v>
                      </c:pt>
                      <c:pt idx="52">
                        <c:v>60.997813999999998</c:v>
                      </c:pt>
                      <c:pt idx="53">
                        <c:v>59.950392999999998</c:v>
                      </c:pt>
                      <c:pt idx="54">
                        <c:v>66.770877999999996</c:v>
                      </c:pt>
                      <c:pt idx="55">
                        <c:v>73.441391999999993</c:v>
                      </c:pt>
                      <c:pt idx="56">
                        <c:v>83.100652999999994</c:v>
                      </c:pt>
                      <c:pt idx="57">
                        <c:v>93.495119000000003</c:v>
                      </c:pt>
                      <c:pt idx="58">
                        <c:v>101.77526899999999</c:v>
                      </c:pt>
                      <c:pt idx="59">
                        <c:v>101.167351</c:v>
                      </c:pt>
                      <c:pt idx="60">
                        <c:v>109.242386</c:v>
                      </c:pt>
                      <c:pt idx="61">
                        <c:v>122.018687</c:v>
                      </c:pt>
                      <c:pt idx="62">
                        <c:v>138.407106</c:v>
                      </c:pt>
                      <c:pt idx="63">
                        <c:v>199.24013299999999</c:v>
                      </c:pt>
                    </c:numCache>
                  </c:numRef>
                </c:val>
                <c:smooth val="0"/>
                <c:extLst xmlns:c15="http://schemas.microsoft.com/office/drawing/2012/chart">
                  <c:ext xmlns:c16="http://schemas.microsoft.com/office/drawing/2014/chart" uri="{C3380CC4-5D6E-409C-BE32-E72D297353CC}">
                    <c16:uniqueId val="{0000000C-1B1B-4E8A-9467-6BF6B6803E2C}"/>
                  </c:ext>
                </c:extLst>
              </c15:ser>
            </c15:filteredLineSeries>
            <c15:filteredLineSeries>
              <c15:ser>
                <c:idx val="14"/>
                <c:order val="14"/>
                <c:tx>
                  <c:strRef>
                    <c:extLs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multiLvlStrRef>
                    <c:extLst>
                      <c:ext xmlns:c15="http://schemas.microsoft.com/office/drawing/2012/chart" uri="{02D57815-91ED-43cb-92C2-25804820EDAC}">
                        <c15:formulaRef>
                          <c15:sqref>ch_latest!$A$2:$C$65</c15:sqref>
                        </c15:formulaRef>
                      </c:ext>
                    </c:extLst>
                    <c:multiLvlStrCache>
                      <c:ptCount val="64"/>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lvl>
                      <c:lvl>
                        <c:pt idx="0">
                          <c:v>28.04.2020 07:03</c:v>
                        </c:pt>
                        <c:pt idx="1">
                          <c:v>28.04.2020 07:03</c:v>
                        </c:pt>
                        <c:pt idx="2">
                          <c:v>28.04.2020 07:03</c:v>
                        </c:pt>
                        <c:pt idx="3">
                          <c:v>28.04.2020 07:03</c:v>
                        </c:pt>
                        <c:pt idx="4">
                          <c:v>28.04.2020 07:03</c:v>
                        </c:pt>
                        <c:pt idx="5">
                          <c:v>28.04.2020 07:03</c:v>
                        </c:pt>
                        <c:pt idx="6">
                          <c:v>28.04.2020 07:03</c:v>
                        </c:pt>
                        <c:pt idx="7">
                          <c:v>28.04.2020 07:03</c:v>
                        </c:pt>
                        <c:pt idx="8">
                          <c:v>28.04.2020 07:03</c:v>
                        </c:pt>
                        <c:pt idx="9">
                          <c:v>28.04.2020 07:03</c:v>
                        </c:pt>
                        <c:pt idx="10">
                          <c:v>28.04.2020 07:03</c:v>
                        </c:pt>
                        <c:pt idx="11">
                          <c:v>28.04.2020 07:03</c:v>
                        </c:pt>
                        <c:pt idx="12">
                          <c:v>28.04.2020 07:03</c:v>
                        </c:pt>
                        <c:pt idx="13">
                          <c:v>28.04.2020 07:03</c:v>
                        </c:pt>
                        <c:pt idx="14">
                          <c:v>28.04.2020 07:03</c:v>
                        </c:pt>
                        <c:pt idx="15">
                          <c:v>28.04.2020 07:03</c:v>
                        </c:pt>
                        <c:pt idx="16">
                          <c:v>28.04.2020 07:03</c:v>
                        </c:pt>
                        <c:pt idx="17">
                          <c:v>28.04.2020 07:03</c:v>
                        </c:pt>
                        <c:pt idx="18">
                          <c:v>28.04.2020 07:03</c:v>
                        </c:pt>
                        <c:pt idx="19">
                          <c:v>28.04.2020 07:03</c:v>
                        </c:pt>
                        <c:pt idx="20">
                          <c:v>28.04.2020 07:03</c:v>
                        </c:pt>
                        <c:pt idx="21">
                          <c:v>28.04.2020 07:03</c:v>
                        </c:pt>
                        <c:pt idx="22">
                          <c:v>28.04.2020 07:03</c:v>
                        </c:pt>
                        <c:pt idx="23">
                          <c:v>28.04.2020 07:03</c:v>
                        </c:pt>
                        <c:pt idx="24">
                          <c:v>28.04.2020 07:03</c:v>
                        </c:pt>
                        <c:pt idx="25">
                          <c:v>28.04.2020 07:03</c:v>
                        </c:pt>
                        <c:pt idx="26">
                          <c:v>28.04.2020 07:03</c:v>
                        </c:pt>
                        <c:pt idx="27">
                          <c:v>28.04.2020 07:03</c:v>
                        </c:pt>
                        <c:pt idx="28">
                          <c:v>28.04.2020 07:03</c:v>
                        </c:pt>
                        <c:pt idx="29">
                          <c:v>28.04.2020 07:03</c:v>
                        </c:pt>
                        <c:pt idx="30">
                          <c:v>28.04.2020 07:03</c:v>
                        </c:pt>
                        <c:pt idx="31">
                          <c:v>28.04.2020 07:03</c:v>
                        </c:pt>
                        <c:pt idx="32">
                          <c:v>28.04.2020 07:03</c:v>
                        </c:pt>
                        <c:pt idx="33">
                          <c:v>28.04.2020 07:03</c:v>
                        </c:pt>
                        <c:pt idx="34">
                          <c:v>28.04.2020 07:03</c:v>
                        </c:pt>
                        <c:pt idx="35">
                          <c:v>28.04.2020 07:03</c:v>
                        </c:pt>
                        <c:pt idx="36">
                          <c:v>28.04.2020 07:03</c:v>
                        </c:pt>
                        <c:pt idx="37">
                          <c:v>28.04.2020 07:03</c:v>
                        </c:pt>
                        <c:pt idx="38">
                          <c:v>28.04.2020 07:03</c:v>
                        </c:pt>
                        <c:pt idx="39">
                          <c:v>28.04.2020 07:03</c:v>
                        </c:pt>
                        <c:pt idx="40">
                          <c:v>28.04.2020 07:03</c:v>
                        </c:pt>
                        <c:pt idx="41">
                          <c:v>28.04.2020 07:03</c:v>
                        </c:pt>
                        <c:pt idx="42">
                          <c:v>28.04.2020 07:03</c:v>
                        </c:pt>
                        <c:pt idx="43">
                          <c:v>28.04.2020 07:03</c:v>
                        </c:pt>
                        <c:pt idx="44">
                          <c:v>28.04.2020 07:03</c:v>
                        </c:pt>
                        <c:pt idx="45">
                          <c:v>28.04.2020 07:03</c:v>
                        </c:pt>
                        <c:pt idx="46">
                          <c:v>28.04.2020 07:03</c:v>
                        </c:pt>
                        <c:pt idx="47">
                          <c:v>28.04.2020 07:03</c:v>
                        </c:pt>
                        <c:pt idx="48">
                          <c:v>28.04.2020 07:03</c:v>
                        </c:pt>
                        <c:pt idx="49">
                          <c:v>28.04.2020 07:03</c:v>
                        </c:pt>
                        <c:pt idx="50">
                          <c:v>28.04.2020 07:03</c:v>
                        </c:pt>
                        <c:pt idx="51">
                          <c:v>28.04.2020 07:03</c:v>
                        </c:pt>
                        <c:pt idx="52">
                          <c:v>28.04.2020 07:03</c:v>
                        </c:pt>
                        <c:pt idx="53">
                          <c:v>28.04.2020 07:03</c:v>
                        </c:pt>
                        <c:pt idx="54">
                          <c:v>28.04.2020 07:03</c:v>
                        </c:pt>
                        <c:pt idx="55">
                          <c:v>28.04.2020 07:03</c:v>
                        </c:pt>
                        <c:pt idx="56">
                          <c:v>28.04.2020 07:03</c:v>
                        </c:pt>
                        <c:pt idx="57">
                          <c:v>28.04.2020 07:03</c:v>
                        </c:pt>
                        <c:pt idx="58">
                          <c:v>28.04.2020 07:03</c:v>
                        </c:pt>
                        <c:pt idx="59">
                          <c:v>28.04.2020 07:03</c:v>
                        </c:pt>
                        <c:pt idx="60">
                          <c:v>28.04.2020 07:03</c:v>
                        </c:pt>
                        <c:pt idx="61">
                          <c:v>28.04.2020 07:03</c:v>
                        </c:pt>
                        <c:pt idx="62">
                          <c:v>28.04.2020 07:03</c:v>
                        </c:pt>
                        <c:pt idx="63">
                          <c:v>28.04.2020 07:03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lvl>
                    </c:multiLvlStrCache>
                  </c:multiLvlStrRef>
                </c:cat>
                <c:val>
                  <c:numRef>
                    <c:extLst>
                      <c:ext xmlns:c15="http://schemas.microsoft.com/office/drawing/2012/chart" uri="{02D57815-91ED-43cb-92C2-25804820EDAC}">
                        <c15:formulaRef>
                          <c15:sqref>ch_latest!$R$2:$R$65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3.7656139999999998</c:v>
                      </c:pt>
                      <c:pt idx="31">
                        <c:v>3.7896809999999999</c:v>
                      </c:pt>
                      <c:pt idx="32">
                        <c:v>4.0855249999999996</c:v>
                      </c:pt>
                      <c:pt idx="33">
                        <c:v>4.1808810000000003</c:v>
                      </c:pt>
                      <c:pt idx="34">
                        <c:v>4.4340659999999996</c:v>
                      </c:pt>
                      <c:pt idx="35">
                        <c:v>4.8454300000000003</c:v>
                      </c:pt>
                      <c:pt idx="36">
                        <c:v>4.9745949999999999</c:v>
                      </c:pt>
                      <c:pt idx="37">
                        <c:v>5.5028670000000002</c:v>
                      </c:pt>
                      <c:pt idx="38">
                        <c:v>5.7868870000000001</c:v>
                      </c:pt>
                      <c:pt idx="39">
                        <c:v>6.3537949999999999</c:v>
                      </c:pt>
                      <c:pt idx="40">
                        <c:v>7.3505479999999999</c:v>
                      </c:pt>
                      <c:pt idx="41">
                        <c:v>8.1712950000000006</c:v>
                      </c:pt>
                      <c:pt idx="42">
                        <c:v>8.9128480000000003</c:v>
                      </c:pt>
                      <c:pt idx="43">
                        <c:v>9.4449190000000005</c:v>
                      </c:pt>
                      <c:pt idx="44">
                        <c:v>10.649960999999999</c:v>
                      </c:pt>
                      <c:pt idx="45">
                        <c:v>11.344016999999999</c:v>
                      </c:pt>
                      <c:pt idx="46">
                        <c:v>12.925678</c:v>
                      </c:pt>
                      <c:pt idx="47">
                        <c:v>13.896815</c:v>
                      </c:pt>
                      <c:pt idx="48">
                        <c:v>17.037890999999998</c:v>
                      </c:pt>
                      <c:pt idx="49">
                        <c:v>18.827736000000002</c:v>
                      </c:pt>
                      <c:pt idx="50">
                        <c:v>19.398657</c:v>
                      </c:pt>
                      <c:pt idx="51">
                        <c:v>19.337654000000001</c:v>
                      </c:pt>
                      <c:pt idx="52">
                        <c:v>21.182452999999999</c:v>
                      </c:pt>
                      <c:pt idx="53">
                        <c:v>20.598201</c:v>
                      </c:pt>
                      <c:pt idx="54">
                        <c:v>22.599646</c:v>
                      </c:pt>
                      <c:pt idx="55">
                        <c:v>24.821037</c:v>
                      </c:pt>
                      <c:pt idx="56">
                        <c:v>26.117162</c:v>
                      </c:pt>
                      <c:pt idx="57">
                        <c:v>29.705531000000001</c:v>
                      </c:pt>
                      <c:pt idx="58">
                        <c:v>32.894067</c:v>
                      </c:pt>
                      <c:pt idx="59">
                        <c:v>33.001133000000003</c:v>
                      </c:pt>
                      <c:pt idx="60">
                        <c:v>39.207102999999996</c:v>
                      </c:pt>
                      <c:pt idx="61">
                        <c:v>50.390841999999999</c:v>
                      </c:pt>
                      <c:pt idx="62">
                        <c:v>59.028238999999999</c:v>
                      </c:pt>
                      <c:pt idx="63">
                        <c:v>85.739034000000004</c:v>
                      </c:pt>
                    </c:numCache>
                  </c:numRef>
                </c:val>
                <c:smooth val="0"/>
                <c:extLst xmlns:c15="http://schemas.microsoft.com/office/drawing/2012/chart">
                  <c:ext xmlns:c16="http://schemas.microsoft.com/office/drawing/2014/chart" uri="{C3380CC4-5D6E-409C-BE32-E72D297353CC}">
                    <c16:uniqueId val="{0000000D-1B1B-4E8A-9467-6BF6B6803E2C}"/>
                  </c:ext>
                </c:extLst>
              </c15:ser>
            </c15:filteredLineSeries>
          </c:ext>
        </c:extLst>
      </c:lineChart>
      <c:dateAx>
        <c:axId val="1165289807"/>
        <c:scaling>
          <c:orientation val="minMax"/>
          <c:min val="10"/>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72936975"/>
        <c:crosses val="autoZero"/>
        <c:auto val="0"/>
        <c:lblOffset val="100"/>
        <c:baseTimeUnit val="days"/>
        <c:majorUnit val="2"/>
        <c:majorTimeUnit val="days"/>
      </c:dateAx>
      <c:valAx>
        <c:axId val="72936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165289807"/>
        <c:crosses val="autoZero"/>
        <c:crossBetween val="between"/>
      </c:valAx>
      <c:spPr>
        <a:noFill/>
        <a:ln>
          <a:solidFill>
            <a:sysClr val="windowText" lastClr="000000"/>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sz="1600" b="1" i="0" u="none" strike="noStrike" baseline="0">
                <a:effectLst/>
              </a:rPr>
              <a:t>Hospitalization / Intensive Care</a:t>
            </a:r>
            <a:endParaRPr lang="de-CH"/>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4.9759315957958752E-2"/>
          <c:y val="7.1945391154463897E-2"/>
          <c:w val="0.94396042725355234"/>
          <c:h val="0.75924279577823617"/>
        </c:manualLayout>
      </c:layout>
      <c:areaChart>
        <c:grouping val="standard"/>
        <c:varyColors val="0"/>
        <c:ser>
          <c:idx val="3"/>
          <c:order val="1"/>
          <c:tx>
            <c:strRef>
              <c:f>ch_latest!$E$1</c:f>
              <c:strCache>
                <c:ptCount val="1"/>
                <c:pt idx="0">
                  <c:v>total_hospitalized</c:v>
                </c:pt>
              </c:strCache>
            </c:strRef>
          </c:tx>
          <c:spPr>
            <a:solidFill>
              <a:srgbClr val="CC99FF"/>
            </a:solidFill>
            <a:ln>
              <a:solidFill>
                <a:srgbClr val="FFCCFF"/>
              </a:solidFill>
            </a:ln>
            <a:effectLst>
              <a:outerShdw blurRad="57150" dist="19050" dir="5400000" algn="ctr" rotWithShape="0">
                <a:srgbClr val="000000">
                  <a:alpha val="63000"/>
                </a:srgbClr>
              </a:outerShdw>
            </a:effectLst>
          </c:spPr>
          <c:cat>
            <c:numRef>
              <c:f>ch_latest!$A$2:$A$65</c:f>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f>ch_latest!$E$2:$E$65</c:f>
              <c:numCache>
                <c:formatCode>General</c:formatCode>
                <c:ptCount val="64"/>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904</c:v>
                </c:pt>
                <c:pt idx="26">
                  <c:v>1090</c:v>
                </c:pt>
                <c:pt idx="27">
                  <c:v>1207</c:v>
                </c:pt>
                <c:pt idx="28">
                  <c:v>1364</c:v>
                </c:pt>
                <c:pt idx="29">
                  <c:v>1465</c:v>
                </c:pt>
                <c:pt idx="30">
                  <c:v>1611</c:v>
                </c:pt>
                <c:pt idx="31">
                  <c:v>1793</c:v>
                </c:pt>
                <c:pt idx="32">
                  <c:v>1881</c:v>
                </c:pt>
                <c:pt idx="33">
                  <c:v>1995</c:v>
                </c:pt>
                <c:pt idx="34">
                  <c:v>2180</c:v>
                </c:pt>
                <c:pt idx="35">
                  <c:v>2208</c:v>
                </c:pt>
                <c:pt idx="36">
                  <c:v>2288</c:v>
                </c:pt>
                <c:pt idx="37">
                  <c:v>2352</c:v>
                </c:pt>
                <c:pt idx="38">
                  <c:v>2333</c:v>
                </c:pt>
                <c:pt idx="39">
                  <c:v>2321</c:v>
                </c:pt>
                <c:pt idx="40">
                  <c:v>2306</c:v>
                </c:pt>
                <c:pt idx="41">
                  <c:v>2310</c:v>
                </c:pt>
                <c:pt idx="42">
                  <c:v>2228</c:v>
                </c:pt>
                <c:pt idx="43">
                  <c:v>2140</c:v>
                </c:pt>
                <c:pt idx="44">
                  <c:v>2072</c:v>
                </c:pt>
                <c:pt idx="45">
                  <c:v>2012</c:v>
                </c:pt>
                <c:pt idx="46">
                  <c:v>1937</c:v>
                </c:pt>
                <c:pt idx="47">
                  <c:v>1914</c:v>
                </c:pt>
                <c:pt idx="48">
                  <c:v>1897</c:v>
                </c:pt>
                <c:pt idx="49">
                  <c:v>1859</c:v>
                </c:pt>
                <c:pt idx="50">
                  <c:v>1735</c:v>
                </c:pt>
                <c:pt idx="51">
                  <c:v>1679</c:v>
                </c:pt>
                <c:pt idx="52">
                  <c:v>1581</c:v>
                </c:pt>
                <c:pt idx="53">
                  <c:v>1530</c:v>
                </c:pt>
                <c:pt idx="54">
                  <c:v>1524</c:v>
                </c:pt>
                <c:pt idx="55">
                  <c:v>1500</c:v>
                </c:pt>
                <c:pt idx="56">
                  <c:v>1423</c:v>
                </c:pt>
                <c:pt idx="57">
                  <c:v>1358</c:v>
                </c:pt>
                <c:pt idx="58">
                  <c:v>1306</c:v>
                </c:pt>
                <c:pt idx="59">
                  <c:v>1260</c:v>
                </c:pt>
                <c:pt idx="60">
                  <c:v>1234</c:v>
                </c:pt>
                <c:pt idx="61">
                  <c:v>1212</c:v>
                </c:pt>
                <c:pt idx="62">
                  <c:v>1207</c:v>
                </c:pt>
                <c:pt idx="63">
                  <c:v>1207</c:v>
                </c:pt>
              </c:numCache>
            </c:numRef>
          </c:val>
          <c:extLst xmlns:c15="http://schemas.microsoft.com/office/drawing/2012/chart">
            <c:ext xmlns:c16="http://schemas.microsoft.com/office/drawing/2014/chart" uri="{C3380CC4-5D6E-409C-BE32-E72D297353CC}">
              <c16:uniqueId val="{00000003-503A-464F-BA74-C113BE961252}"/>
            </c:ext>
          </c:extLst>
        </c:ser>
        <c:ser>
          <c:idx val="6"/>
          <c:order val="2"/>
          <c:tx>
            <c:strRef>
              <c:f>ch_latest!$D$1</c:f>
              <c:strCache>
                <c:ptCount val="1"/>
                <c:pt idx="0">
                  <c:v>intensive_care</c:v>
                </c:pt>
              </c:strCache>
            </c:strRef>
          </c:tx>
          <c:spPr>
            <a:solidFill>
              <a:srgbClr val="FF0000"/>
            </a:solidFill>
            <a:ln>
              <a:solidFill>
                <a:srgbClr val="FF0000"/>
              </a:solidFill>
            </a:ln>
            <a:effectLst>
              <a:outerShdw blurRad="57150" dist="19050" dir="5400000" algn="ctr" rotWithShape="0">
                <a:srgbClr val="000000">
                  <a:alpha val="63000"/>
                </a:srgbClr>
              </a:outerShdw>
            </a:effectLst>
          </c:spPr>
          <c:cat>
            <c:multiLvlStrRef>
              <c:f>ch_latest!$A$2:$C$65</c:f>
              <c:multiLvlStrCache>
                <c:ptCount val="64"/>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lvl>
                <c:lvl>
                  <c:pt idx="0">
                    <c:v>28.04.2020 07:03</c:v>
                  </c:pt>
                  <c:pt idx="1">
                    <c:v>28.04.2020 07:03</c:v>
                  </c:pt>
                  <c:pt idx="2">
                    <c:v>28.04.2020 07:03</c:v>
                  </c:pt>
                  <c:pt idx="3">
                    <c:v>28.04.2020 07:03</c:v>
                  </c:pt>
                  <c:pt idx="4">
                    <c:v>28.04.2020 07:03</c:v>
                  </c:pt>
                  <c:pt idx="5">
                    <c:v>28.04.2020 07:03</c:v>
                  </c:pt>
                  <c:pt idx="6">
                    <c:v>28.04.2020 07:03</c:v>
                  </c:pt>
                  <c:pt idx="7">
                    <c:v>28.04.2020 07:03</c:v>
                  </c:pt>
                  <c:pt idx="8">
                    <c:v>28.04.2020 07:03</c:v>
                  </c:pt>
                  <c:pt idx="9">
                    <c:v>28.04.2020 07:03</c:v>
                  </c:pt>
                  <c:pt idx="10">
                    <c:v>28.04.2020 07:03</c:v>
                  </c:pt>
                  <c:pt idx="11">
                    <c:v>28.04.2020 07:03</c:v>
                  </c:pt>
                  <c:pt idx="12">
                    <c:v>28.04.2020 07:03</c:v>
                  </c:pt>
                  <c:pt idx="13">
                    <c:v>28.04.2020 07:03</c:v>
                  </c:pt>
                  <c:pt idx="14">
                    <c:v>28.04.2020 07:03</c:v>
                  </c:pt>
                  <c:pt idx="15">
                    <c:v>28.04.2020 07:03</c:v>
                  </c:pt>
                  <c:pt idx="16">
                    <c:v>28.04.2020 07:03</c:v>
                  </c:pt>
                  <c:pt idx="17">
                    <c:v>28.04.2020 07:03</c:v>
                  </c:pt>
                  <c:pt idx="18">
                    <c:v>28.04.2020 07:03</c:v>
                  </c:pt>
                  <c:pt idx="19">
                    <c:v>28.04.2020 07:03</c:v>
                  </c:pt>
                  <c:pt idx="20">
                    <c:v>28.04.2020 07:03</c:v>
                  </c:pt>
                  <c:pt idx="21">
                    <c:v>28.04.2020 07:03</c:v>
                  </c:pt>
                  <c:pt idx="22">
                    <c:v>28.04.2020 07:03</c:v>
                  </c:pt>
                  <c:pt idx="23">
                    <c:v>28.04.2020 07:03</c:v>
                  </c:pt>
                  <c:pt idx="24">
                    <c:v>28.04.2020 07:03</c:v>
                  </c:pt>
                  <c:pt idx="25">
                    <c:v>28.04.2020 07:03</c:v>
                  </c:pt>
                  <c:pt idx="26">
                    <c:v>28.04.2020 07:03</c:v>
                  </c:pt>
                  <c:pt idx="27">
                    <c:v>28.04.2020 07:03</c:v>
                  </c:pt>
                  <c:pt idx="28">
                    <c:v>28.04.2020 07:03</c:v>
                  </c:pt>
                  <c:pt idx="29">
                    <c:v>28.04.2020 07:03</c:v>
                  </c:pt>
                  <c:pt idx="30">
                    <c:v>28.04.2020 07:03</c:v>
                  </c:pt>
                  <c:pt idx="31">
                    <c:v>28.04.2020 07:03</c:v>
                  </c:pt>
                  <c:pt idx="32">
                    <c:v>28.04.2020 07:03</c:v>
                  </c:pt>
                  <c:pt idx="33">
                    <c:v>28.04.2020 07:03</c:v>
                  </c:pt>
                  <c:pt idx="34">
                    <c:v>28.04.2020 07:03</c:v>
                  </c:pt>
                  <c:pt idx="35">
                    <c:v>28.04.2020 07:03</c:v>
                  </c:pt>
                  <c:pt idx="36">
                    <c:v>28.04.2020 07:03</c:v>
                  </c:pt>
                  <c:pt idx="37">
                    <c:v>28.04.2020 07:03</c:v>
                  </c:pt>
                  <c:pt idx="38">
                    <c:v>28.04.2020 07:03</c:v>
                  </c:pt>
                  <c:pt idx="39">
                    <c:v>28.04.2020 07:03</c:v>
                  </c:pt>
                  <c:pt idx="40">
                    <c:v>28.04.2020 07:03</c:v>
                  </c:pt>
                  <c:pt idx="41">
                    <c:v>28.04.2020 07:03</c:v>
                  </c:pt>
                  <c:pt idx="42">
                    <c:v>28.04.2020 07:03</c:v>
                  </c:pt>
                  <c:pt idx="43">
                    <c:v>28.04.2020 07:03</c:v>
                  </c:pt>
                  <c:pt idx="44">
                    <c:v>28.04.2020 07:03</c:v>
                  </c:pt>
                  <c:pt idx="45">
                    <c:v>28.04.2020 07:03</c:v>
                  </c:pt>
                  <c:pt idx="46">
                    <c:v>28.04.2020 07:03</c:v>
                  </c:pt>
                  <c:pt idx="47">
                    <c:v>28.04.2020 07:03</c:v>
                  </c:pt>
                  <c:pt idx="48">
                    <c:v>28.04.2020 07:03</c:v>
                  </c:pt>
                  <c:pt idx="49">
                    <c:v>28.04.2020 07:03</c:v>
                  </c:pt>
                  <c:pt idx="50">
                    <c:v>28.04.2020 07:03</c:v>
                  </c:pt>
                  <c:pt idx="51">
                    <c:v>28.04.2020 07:03</c:v>
                  </c:pt>
                  <c:pt idx="52">
                    <c:v>28.04.2020 07:03</c:v>
                  </c:pt>
                  <c:pt idx="53">
                    <c:v>28.04.2020 07:03</c:v>
                  </c:pt>
                  <c:pt idx="54">
                    <c:v>28.04.2020 07:03</c:v>
                  </c:pt>
                  <c:pt idx="55">
                    <c:v>28.04.2020 07:03</c:v>
                  </c:pt>
                  <c:pt idx="56">
                    <c:v>28.04.2020 07:03</c:v>
                  </c:pt>
                  <c:pt idx="57">
                    <c:v>28.04.2020 07:03</c:v>
                  </c:pt>
                  <c:pt idx="58">
                    <c:v>28.04.2020 07:03</c:v>
                  </c:pt>
                  <c:pt idx="59">
                    <c:v>28.04.2020 07:03</c:v>
                  </c:pt>
                  <c:pt idx="60">
                    <c:v>28.04.2020 07:03</c:v>
                  </c:pt>
                  <c:pt idx="61">
                    <c:v>28.04.2020 07:03</c:v>
                  </c:pt>
                  <c:pt idx="62">
                    <c:v>28.04.2020 07:03</c:v>
                  </c:pt>
                  <c:pt idx="63">
                    <c:v>28.04.2020 07:03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lvl>
              </c:multiLvlStrCache>
            </c:multiLvlStrRef>
          </c:cat>
          <c:val>
            <c:numRef>
              <c:f>ch_latest!$D$2:$D$65</c:f>
              <c:numCache>
                <c:formatCode>General</c:formatCode>
                <c:ptCount val="64"/>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323</c:v>
                </c:pt>
                <c:pt idx="33">
                  <c:v>337</c:v>
                </c:pt>
                <c:pt idx="34">
                  <c:v>384</c:v>
                </c:pt>
                <c:pt idx="35">
                  <c:v>410</c:v>
                </c:pt>
                <c:pt idx="36">
                  <c:v>441</c:v>
                </c:pt>
                <c:pt idx="37">
                  <c:v>446</c:v>
                </c:pt>
                <c:pt idx="38">
                  <c:v>456</c:v>
                </c:pt>
                <c:pt idx="39">
                  <c:v>458</c:v>
                </c:pt>
                <c:pt idx="40">
                  <c:v>448</c:v>
                </c:pt>
                <c:pt idx="41">
                  <c:v>447</c:v>
                </c:pt>
                <c:pt idx="42">
                  <c:v>441</c:v>
                </c:pt>
                <c:pt idx="43">
                  <c:v>438</c:v>
                </c:pt>
                <c:pt idx="44">
                  <c:v>430</c:v>
                </c:pt>
                <c:pt idx="45">
                  <c:v>418</c:v>
                </c:pt>
                <c:pt idx="46">
                  <c:v>418</c:v>
                </c:pt>
                <c:pt idx="47">
                  <c:v>407</c:v>
                </c:pt>
                <c:pt idx="48">
                  <c:v>403</c:v>
                </c:pt>
                <c:pt idx="49">
                  <c:v>390</c:v>
                </c:pt>
                <c:pt idx="50">
                  <c:v>368</c:v>
                </c:pt>
                <c:pt idx="51">
                  <c:v>348</c:v>
                </c:pt>
                <c:pt idx="52">
                  <c:v>335</c:v>
                </c:pt>
                <c:pt idx="53">
                  <c:v>321</c:v>
                </c:pt>
                <c:pt idx="54">
                  <c:v>313</c:v>
                </c:pt>
                <c:pt idx="55">
                  <c:v>302</c:v>
                </c:pt>
                <c:pt idx="56">
                  <c:v>287</c:v>
                </c:pt>
                <c:pt idx="57">
                  <c:v>255</c:v>
                </c:pt>
                <c:pt idx="58">
                  <c:v>247</c:v>
                </c:pt>
                <c:pt idx="59">
                  <c:v>241</c:v>
                </c:pt>
                <c:pt idx="60">
                  <c:v>232</c:v>
                </c:pt>
                <c:pt idx="61">
                  <c:v>209</c:v>
                </c:pt>
                <c:pt idx="62">
                  <c:v>207</c:v>
                </c:pt>
                <c:pt idx="63">
                  <c:v>207</c:v>
                </c:pt>
              </c:numCache>
            </c:numRef>
          </c:val>
          <c:extLst>
            <c:ext xmlns:c16="http://schemas.microsoft.com/office/drawing/2014/chart" uri="{C3380CC4-5D6E-409C-BE32-E72D297353CC}">
              <c16:uniqueId val="{00000006-503A-464F-BA74-C113BE961252}"/>
            </c:ext>
          </c:extLst>
        </c:ser>
        <c:dLbls>
          <c:showLegendKey val="0"/>
          <c:showVal val="0"/>
          <c:showCatName val="0"/>
          <c:showSerName val="0"/>
          <c:showPercent val="0"/>
          <c:showBubbleSize val="0"/>
        </c:dLbls>
        <c:axId val="1329134367"/>
        <c:axId val="4147887"/>
        <c:extLst>
          <c:ext xmlns:c15="http://schemas.microsoft.com/office/drawing/2012/chart" uri="{02D57815-91ED-43cb-92C2-25804820EDAC}">
            <c15:filteredAreaSeries>
              <c15:ser>
                <c:idx val="4"/>
                <c:order val="3"/>
                <c:tx>
                  <c:strRef>
                    <c:extLst>
                      <c:ext uri="{02D57815-91ED-43cb-92C2-25804820EDAC}">
                        <c15:formulaRef>
                          <c15:sqref>ch_latest!$F$1</c15:sqref>
                        </c15:formulaRef>
                      </c:ext>
                    </c:extLst>
                    <c:strCache>
                      <c:ptCount val="1"/>
                      <c:pt idx="0">
                        <c:v>total_currently_positive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c:ex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c:ext uri="{02D57815-91ED-43cb-92C2-25804820EDAC}">
                        <c15:formulaRef>
                          <c15:sqref>ch_latest!$F$2:$F$65</c15:sqref>
                        </c15:formulaRef>
                      </c:ext>
                    </c:extLst>
                    <c:numCache>
                      <c:formatCode>General</c:formatCode>
                      <c:ptCount val="64"/>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533</c:v>
                      </c:pt>
                      <c:pt idx="15">
                        <c:v>704</c:v>
                      </c:pt>
                      <c:pt idx="16">
                        <c:v>1056</c:v>
                      </c:pt>
                      <c:pt idx="17">
                        <c:v>1408</c:v>
                      </c:pt>
                      <c:pt idx="18">
                        <c:v>1743</c:v>
                      </c:pt>
                      <c:pt idx="19">
                        <c:v>2022</c:v>
                      </c:pt>
                      <c:pt idx="20">
                        <c:v>2750</c:v>
                      </c:pt>
                      <c:pt idx="21">
                        <c:v>3621</c:v>
                      </c:pt>
                      <c:pt idx="22">
                        <c:v>4792</c:v>
                      </c:pt>
                      <c:pt idx="23">
                        <c:v>5818</c:v>
                      </c:pt>
                      <c:pt idx="24">
                        <c:v>6953</c:v>
                      </c:pt>
                      <c:pt idx="25">
                        <c:v>7650</c:v>
                      </c:pt>
                      <c:pt idx="26">
                        <c:v>8219</c:v>
                      </c:pt>
                      <c:pt idx="27">
                        <c:v>9779</c:v>
                      </c:pt>
                      <c:pt idx="28">
                        <c:v>10850</c:v>
                      </c:pt>
                      <c:pt idx="29">
                        <c:v>11944</c:v>
                      </c:pt>
                      <c:pt idx="30">
                        <c:v>13083</c:v>
                      </c:pt>
                      <c:pt idx="31">
                        <c:v>14391</c:v>
                      </c:pt>
                      <c:pt idx="32">
                        <c:v>15224</c:v>
                      </c:pt>
                      <c:pt idx="33">
                        <c:v>15822</c:v>
                      </c:pt>
                      <c:pt idx="34">
                        <c:v>16937</c:v>
                      </c:pt>
                      <c:pt idx="35">
                        <c:v>17875</c:v>
                      </c:pt>
                      <c:pt idx="36">
                        <c:v>18902</c:v>
                      </c:pt>
                      <c:pt idx="37">
                        <c:v>19947</c:v>
                      </c:pt>
                      <c:pt idx="38">
                        <c:v>20876</c:v>
                      </c:pt>
                      <c:pt idx="39">
                        <c:v>21443</c:v>
                      </c:pt>
                      <c:pt idx="40">
                        <c:v>21826</c:v>
                      </c:pt>
                      <c:pt idx="41">
                        <c:v>22568</c:v>
                      </c:pt>
                      <c:pt idx="42">
                        <c:v>23219</c:v>
                      </c:pt>
                      <c:pt idx="43">
                        <c:v>23889</c:v>
                      </c:pt>
                      <c:pt idx="44">
                        <c:v>24557</c:v>
                      </c:pt>
                      <c:pt idx="45">
                        <c:v>25007</c:v>
                      </c:pt>
                      <c:pt idx="46">
                        <c:v>25470</c:v>
                      </c:pt>
                      <c:pt idx="47">
                        <c:v>25743</c:v>
                      </c:pt>
                      <c:pt idx="48">
                        <c:v>25994</c:v>
                      </c:pt>
                      <c:pt idx="49">
                        <c:v>26316</c:v>
                      </c:pt>
                      <c:pt idx="50">
                        <c:v>26634</c:v>
                      </c:pt>
                      <c:pt idx="51">
                        <c:v>26933</c:v>
                      </c:pt>
                      <c:pt idx="52">
                        <c:v>27248</c:v>
                      </c:pt>
                      <c:pt idx="53">
                        <c:v>27541</c:v>
                      </c:pt>
                      <c:pt idx="54">
                        <c:v>27718</c:v>
                      </c:pt>
                      <c:pt idx="55">
                        <c:v>27921</c:v>
                      </c:pt>
                      <c:pt idx="56">
                        <c:v>28080</c:v>
                      </c:pt>
                      <c:pt idx="57">
                        <c:v>28277</c:v>
                      </c:pt>
                      <c:pt idx="58">
                        <c:v>28495</c:v>
                      </c:pt>
                      <c:pt idx="59">
                        <c:v>28684</c:v>
                      </c:pt>
                      <c:pt idx="60">
                        <c:v>28821</c:v>
                      </c:pt>
                      <c:pt idx="61">
                        <c:v>28889</c:v>
                      </c:pt>
                      <c:pt idx="62">
                        <c:v>28994</c:v>
                      </c:pt>
                      <c:pt idx="63">
                        <c:v>28995</c:v>
                      </c:pt>
                    </c:numCache>
                  </c:numRef>
                </c:val>
                <c:extLst>
                  <c:ext xmlns:c16="http://schemas.microsoft.com/office/drawing/2014/chart" uri="{C3380CC4-5D6E-409C-BE32-E72D297353CC}">
                    <c16:uniqueId val="{00000004-503A-464F-BA74-C113BE961252}"/>
                  </c:ext>
                </c:extLst>
              </c15:ser>
            </c15:filteredAreaSeries>
            <c15:filteredAreaSeries>
              <c15:ser>
                <c:idx val="5"/>
                <c:order val="4"/>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ch_latest!$G$2:$G$65</c15:sqref>
                        </c15:formulaRef>
                      </c:ext>
                    </c:extLst>
                    <c:numCache>
                      <c:formatCode>General</c:formatCode>
                      <c:ptCount val="64"/>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533</c:v>
                      </c:pt>
                      <c:pt idx="15">
                        <c:v>704</c:v>
                      </c:pt>
                      <c:pt idx="16">
                        <c:v>1056</c:v>
                      </c:pt>
                      <c:pt idx="17">
                        <c:v>1408</c:v>
                      </c:pt>
                      <c:pt idx="18">
                        <c:v>1743</c:v>
                      </c:pt>
                      <c:pt idx="19">
                        <c:v>2022</c:v>
                      </c:pt>
                      <c:pt idx="20">
                        <c:v>2750</c:v>
                      </c:pt>
                      <c:pt idx="21">
                        <c:v>3621</c:v>
                      </c:pt>
                      <c:pt idx="22">
                        <c:v>4792</c:v>
                      </c:pt>
                      <c:pt idx="23">
                        <c:v>5818</c:v>
                      </c:pt>
                      <c:pt idx="24">
                        <c:v>6953</c:v>
                      </c:pt>
                      <c:pt idx="25">
                        <c:v>7650</c:v>
                      </c:pt>
                      <c:pt idx="26">
                        <c:v>8219</c:v>
                      </c:pt>
                      <c:pt idx="27">
                        <c:v>9779</c:v>
                      </c:pt>
                      <c:pt idx="28">
                        <c:v>10850</c:v>
                      </c:pt>
                      <c:pt idx="29">
                        <c:v>11944</c:v>
                      </c:pt>
                      <c:pt idx="30">
                        <c:v>13083</c:v>
                      </c:pt>
                      <c:pt idx="31">
                        <c:v>14391</c:v>
                      </c:pt>
                      <c:pt idx="32">
                        <c:v>15224</c:v>
                      </c:pt>
                      <c:pt idx="33">
                        <c:v>15822</c:v>
                      </c:pt>
                      <c:pt idx="34">
                        <c:v>16937</c:v>
                      </c:pt>
                      <c:pt idx="35">
                        <c:v>17875</c:v>
                      </c:pt>
                      <c:pt idx="36">
                        <c:v>18902</c:v>
                      </c:pt>
                      <c:pt idx="37">
                        <c:v>19947</c:v>
                      </c:pt>
                      <c:pt idx="38">
                        <c:v>20876</c:v>
                      </c:pt>
                      <c:pt idx="39">
                        <c:v>21443</c:v>
                      </c:pt>
                      <c:pt idx="40">
                        <c:v>21826</c:v>
                      </c:pt>
                      <c:pt idx="41">
                        <c:v>22568</c:v>
                      </c:pt>
                      <c:pt idx="42">
                        <c:v>23219</c:v>
                      </c:pt>
                      <c:pt idx="43">
                        <c:v>23889</c:v>
                      </c:pt>
                      <c:pt idx="44">
                        <c:v>24557</c:v>
                      </c:pt>
                      <c:pt idx="45">
                        <c:v>25007</c:v>
                      </c:pt>
                      <c:pt idx="46">
                        <c:v>25470</c:v>
                      </c:pt>
                      <c:pt idx="47">
                        <c:v>25743</c:v>
                      </c:pt>
                      <c:pt idx="48">
                        <c:v>25994</c:v>
                      </c:pt>
                      <c:pt idx="49">
                        <c:v>26316</c:v>
                      </c:pt>
                      <c:pt idx="50">
                        <c:v>26634</c:v>
                      </c:pt>
                      <c:pt idx="51">
                        <c:v>26933</c:v>
                      </c:pt>
                      <c:pt idx="52">
                        <c:v>27248</c:v>
                      </c:pt>
                      <c:pt idx="53">
                        <c:v>27541</c:v>
                      </c:pt>
                      <c:pt idx="54">
                        <c:v>27718</c:v>
                      </c:pt>
                      <c:pt idx="55">
                        <c:v>27921</c:v>
                      </c:pt>
                      <c:pt idx="56">
                        <c:v>28080</c:v>
                      </c:pt>
                      <c:pt idx="57">
                        <c:v>28277</c:v>
                      </c:pt>
                      <c:pt idx="58">
                        <c:v>28495</c:v>
                      </c:pt>
                      <c:pt idx="59">
                        <c:v>28684</c:v>
                      </c:pt>
                      <c:pt idx="60">
                        <c:v>28821</c:v>
                      </c:pt>
                      <c:pt idx="61">
                        <c:v>28889</c:v>
                      </c:pt>
                      <c:pt idx="62">
                        <c:v>28994</c:v>
                      </c:pt>
                      <c:pt idx="63">
                        <c:v>28995</c:v>
                      </c:pt>
                    </c:numCache>
                  </c:numRef>
                </c:val>
                <c:extLst xmlns:c15="http://schemas.microsoft.com/office/drawing/2012/chart">
                  <c:ext xmlns:c16="http://schemas.microsoft.com/office/drawing/2014/chart" uri="{C3380CC4-5D6E-409C-BE32-E72D297353CC}">
                    <c16:uniqueId val="{00000005-503A-464F-BA74-C113BE961252}"/>
                  </c:ext>
                </c:extLst>
              </c15:ser>
            </c15:filteredAreaSeries>
            <c15:filteredAreaSeries>
              <c15:ser>
                <c:idx val="1"/>
                <c:order val="5"/>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ch_latest!$H$2:$H$65</c15:sqref>
                        </c15:formulaRef>
                      </c:ext>
                    </c:extLst>
                    <c:numCache>
                      <c:formatCode>General</c:formatCode>
                      <c:ptCount val="64"/>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10808</c:v>
                      </c:pt>
                      <c:pt idx="32">
                        <c:v>11401</c:v>
                      </c:pt>
                      <c:pt idx="33">
                        <c:v>11710</c:v>
                      </c:pt>
                      <c:pt idx="34">
                        <c:v>12376</c:v>
                      </c:pt>
                      <c:pt idx="35">
                        <c:v>13136</c:v>
                      </c:pt>
                      <c:pt idx="36">
                        <c:v>13794</c:v>
                      </c:pt>
                      <c:pt idx="37">
                        <c:v>14743</c:v>
                      </c:pt>
                      <c:pt idx="38">
                        <c:v>15572</c:v>
                      </c:pt>
                      <c:pt idx="39">
                        <c:v>16167</c:v>
                      </c:pt>
                      <c:pt idx="40">
                        <c:v>16468</c:v>
                      </c:pt>
                      <c:pt idx="41">
                        <c:v>17111</c:v>
                      </c:pt>
                      <c:pt idx="42">
                        <c:v>17953</c:v>
                      </c:pt>
                      <c:pt idx="43">
                        <c:v>18762</c:v>
                      </c:pt>
                      <c:pt idx="44">
                        <c:v>19279</c:v>
                      </c:pt>
                      <c:pt idx="45">
                        <c:v>19695</c:v>
                      </c:pt>
                      <c:pt idx="46">
                        <c:v>20057</c:v>
                      </c:pt>
                      <c:pt idx="47">
                        <c:v>20233</c:v>
                      </c:pt>
                      <c:pt idx="48">
                        <c:v>20538</c:v>
                      </c:pt>
                      <c:pt idx="49">
                        <c:v>21085</c:v>
                      </c:pt>
                      <c:pt idx="50">
                        <c:v>21546</c:v>
                      </c:pt>
                      <c:pt idx="51">
                        <c:v>22229</c:v>
                      </c:pt>
                      <c:pt idx="52">
                        <c:v>22670</c:v>
                      </c:pt>
                      <c:pt idx="53">
                        <c:v>23112</c:v>
                      </c:pt>
                      <c:pt idx="54">
                        <c:v>23294</c:v>
                      </c:pt>
                      <c:pt idx="55">
                        <c:v>23672</c:v>
                      </c:pt>
                      <c:pt idx="56">
                        <c:v>24051</c:v>
                      </c:pt>
                      <c:pt idx="57">
                        <c:v>24414</c:v>
                      </c:pt>
                      <c:pt idx="58">
                        <c:v>24872</c:v>
                      </c:pt>
                      <c:pt idx="59">
                        <c:v>25236</c:v>
                      </c:pt>
                      <c:pt idx="60">
                        <c:v>25600</c:v>
                      </c:pt>
                      <c:pt idx="61">
                        <c:v>25797</c:v>
                      </c:pt>
                      <c:pt idx="62">
                        <c:v>25797</c:v>
                      </c:pt>
                      <c:pt idx="63">
                        <c:v>25797</c:v>
                      </c:pt>
                    </c:numCache>
                  </c:numRef>
                </c:val>
                <c:extLst xmlns:c15="http://schemas.microsoft.com/office/drawing/2012/chart">
                  <c:ext xmlns:c16="http://schemas.microsoft.com/office/drawing/2014/chart" uri="{C3380CC4-5D6E-409C-BE32-E72D297353CC}">
                    <c16:uniqueId val="{00000001-503A-464F-BA74-C113BE961252}"/>
                  </c:ext>
                </c:extLst>
              </c15:ser>
            </c15:filteredAreaSeries>
            <c15:filteredAreaSeries>
              <c15:ser>
                <c:idx val="0"/>
                <c:order val="6"/>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ch_latest!$I$2:$I$65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4638</c:v>
                      </c:pt>
                      <c:pt idx="63">
                        <c:v>4638</c:v>
                      </c:pt>
                    </c:numCache>
                  </c:numRef>
                </c:val>
                <c:extLst xmlns:c15="http://schemas.microsoft.com/office/drawing/2012/chart">
                  <c:ext xmlns:c16="http://schemas.microsoft.com/office/drawing/2014/chart" uri="{C3380CC4-5D6E-409C-BE32-E72D297353CC}">
                    <c16:uniqueId val="{00000000-503A-464F-BA74-C113BE961252}"/>
                  </c:ext>
                </c:extLst>
              </c15:ser>
            </c15:filteredAreaSeries>
            <c15:filteredArea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ch_latest!$K$2:$K$65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val>
                <c:extLst xmlns:c15="http://schemas.microsoft.com/office/drawing/2012/chart">
                  <c:ext xmlns:c16="http://schemas.microsoft.com/office/drawing/2014/chart" uri="{C3380CC4-5D6E-409C-BE32-E72D297353CC}">
                    <c16:uniqueId val="{00000007-503A-464F-BA74-C113BE961252}"/>
                  </c:ext>
                </c:extLst>
              </c15:ser>
            </c15:filteredAreaSeries>
            <c15:filteredArea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ch_latest!$L$2:$L$65</c15:sqref>
                        </c15:formulaRef>
                      </c:ext>
                    </c:extLst>
                    <c:numCache>
                      <c:formatCode>General</c:formatCode>
                      <c:ptCount val="64"/>
                      <c:pt idx="1">
                        <c:v>1</c:v>
                      </c:pt>
                      <c:pt idx="2">
                        <c:v>4</c:v>
                      </c:pt>
                      <c:pt idx="3">
                        <c:v>7</c:v>
                      </c:pt>
                      <c:pt idx="4">
                        <c:v>7</c:v>
                      </c:pt>
                      <c:pt idx="5">
                        <c:v>7</c:v>
                      </c:pt>
                      <c:pt idx="6">
                        <c:v>10</c:v>
                      </c:pt>
                      <c:pt idx="7">
                        <c:v>17</c:v>
                      </c:pt>
                      <c:pt idx="8">
                        <c:v>20</c:v>
                      </c:pt>
                      <c:pt idx="9">
                        <c:v>44</c:v>
                      </c:pt>
                      <c:pt idx="10">
                        <c:v>65</c:v>
                      </c:pt>
                      <c:pt idx="11">
                        <c:v>72</c:v>
                      </c:pt>
                      <c:pt idx="12">
                        <c:v>57</c:v>
                      </c:pt>
                      <c:pt idx="13">
                        <c:v>84</c:v>
                      </c:pt>
                      <c:pt idx="14">
                        <c:v>137</c:v>
                      </c:pt>
                      <c:pt idx="15">
                        <c:v>171</c:v>
                      </c:pt>
                      <c:pt idx="16">
                        <c:v>352</c:v>
                      </c:pt>
                      <c:pt idx="17">
                        <c:v>352</c:v>
                      </c:pt>
                      <c:pt idx="18">
                        <c:v>335</c:v>
                      </c:pt>
                      <c:pt idx="19">
                        <c:v>279</c:v>
                      </c:pt>
                      <c:pt idx="20">
                        <c:v>728</c:v>
                      </c:pt>
                      <c:pt idx="21">
                        <c:v>871</c:v>
                      </c:pt>
                      <c:pt idx="22">
                        <c:v>1171</c:v>
                      </c:pt>
                      <c:pt idx="23">
                        <c:v>1026</c:v>
                      </c:pt>
                      <c:pt idx="24">
                        <c:v>1135</c:v>
                      </c:pt>
                      <c:pt idx="25">
                        <c:v>697</c:v>
                      </c:pt>
                      <c:pt idx="26">
                        <c:v>569</c:v>
                      </c:pt>
                      <c:pt idx="27">
                        <c:v>1560</c:v>
                      </c:pt>
                      <c:pt idx="28">
                        <c:v>1071</c:v>
                      </c:pt>
                      <c:pt idx="29">
                        <c:v>1094</c:v>
                      </c:pt>
                      <c:pt idx="30">
                        <c:v>1139</c:v>
                      </c:pt>
                      <c:pt idx="31">
                        <c:v>1308</c:v>
                      </c:pt>
                      <c:pt idx="32">
                        <c:v>833</c:v>
                      </c:pt>
                      <c:pt idx="33">
                        <c:v>598</c:v>
                      </c:pt>
                      <c:pt idx="34">
                        <c:v>1115</c:v>
                      </c:pt>
                      <c:pt idx="35">
                        <c:v>938</c:v>
                      </c:pt>
                      <c:pt idx="36">
                        <c:v>1027</c:v>
                      </c:pt>
                      <c:pt idx="37">
                        <c:v>1045</c:v>
                      </c:pt>
                      <c:pt idx="38">
                        <c:v>929</c:v>
                      </c:pt>
                      <c:pt idx="39">
                        <c:v>567</c:v>
                      </c:pt>
                      <c:pt idx="40">
                        <c:v>383</c:v>
                      </c:pt>
                      <c:pt idx="41">
                        <c:v>742</c:v>
                      </c:pt>
                      <c:pt idx="42">
                        <c:v>651</c:v>
                      </c:pt>
                      <c:pt idx="43">
                        <c:v>670</c:v>
                      </c:pt>
                      <c:pt idx="44">
                        <c:v>668</c:v>
                      </c:pt>
                      <c:pt idx="45">
                        <c:v>450</c:v>
                      </c:pt>
                      <c:pt idx="46">
                        <c:v>463</c:v>
                      </c:pt>
                      <c:pt idx="47">
                        <c:v>273</c:v>
                      </c:pt>
                      <c:pt idx="48">
                        <c:v>251</c:v>
                      </c:pt>
                      <c:pt idx="49">
                        <c:v>322</c:v>
                      </c:pt>
                      <c:pt idx="50">
                        <c:v>318</c:v>
                      </c:pt>
                      <c:pt idx="51">
                        <c:v>299</c:v>
                      </c:pt>
                      <c:pt idx="52">
                        <c:v>315</c:v>
                      </c:pt>
                      <c:pt idx="53">
                        <c:v>293</c:v>
                      </c:pt>
                      <c:pt idx="54">
                        <c:v>177</c:v>
                      </c:pt>
                      <c:pt idx="55">
                        <c:v>203</c:v>
                      </c:pt>
                      <c:pt idx="56">
                        <c:v>159</c:v>
                      </c:pt>
                      <c:pt idx="57">
                        <c:v>197</c:v>
                      </c:pt>
                      <c:pt idx="58">
                        <c:v>218</c:v>
                      </c:pt>
                      <c:pt idx="59">
                        <c:v>189</c:v>
                      </c:pt>
                      <c:pt idx="60">
                        <c:v>137</c:v>
                      </c:pt>
                      <c:pt idx="61">
                        <c:v>68</c:v>
                      </c:pt>
                      <c:pt idx="62">
                        <c:v>105</c:v>
                      </c:pt>
                      <c:pt idx="63">
                        <c:v>1</c:v>
                      </c:pt>
                    </c:numCache>
                  </c:numRef>
                </c:val>
                <c:extLst xmlns:c15="http://schemas.microsoft.com/office/drawing/2012/chart">
                  <c:ext xmlns:c16="http://schemas.microsoft.com/office/drawing/2014/chart" uri="{C3380CC4-5D6E-409C-BE32-E72D297353CC}">
                    <c16:uniqueId val="{00000008-503A-464F-BA74-C113BE961252}"/>
                  </c:ext>
                </c:extLst>
              </c15:ser>
            </c15:filteredAreaSeries>
            <c15:filteredArea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ch_latest!$M$2:$M$65</c15:sqref>
                        </c15:formulaRef>
                      </c:ext>
                    </c:extLst>
                    <c:numCache>
                      <c:formatCode>General</c:formatCode>
                      <c:ptCount val="64"/>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533</c:v>
                      </c:pt>
                      <c:pt idx="16">
                        <c:v>704</c:v>
                      </c:pt>
                      <c:pt idx="17">
                        <c:v>1056</c:v>
                      </c:pt>
                      <c:pt idx="18">
                        <c:v>1408</c:v>
                      </c:pt>
                      <c:pt idx="19">
                        <c:v>1743</c:v>
                      </c:pt>
                      <c:pt idx="20">
                        <c:v>2022</c:v>
                      </c:pt>
                      <c:pt idx="21">
                        <c:v>2750</c:v>
                      </c:pt>
                      <c:pt idx="22">
                        <c:v>3621</c:v>
                      </c:pt>
                      <c:pt idx="23">
                        <c:v>4792</c:v>
                      </c:pt>
                      <c:pt idx="24">
                        <c:v>5818</c:v>
                      </c:pt>
                      <c:pt idx="25">
                        <c:v>6953</c:v>
                      </c:pt>
                      <c:pt idx="26">
                        <c:v>7650</c:v>
                      </c:pt>
                      <c:pt idx="27">
                        <c:v>8219</c:v>
                      </c:pt>
                      <c:pt idx="28">
                        <c:v>9779</c:v>
                      </c:pt>
                      <c:pt idx="29">
                        <c:v>10850</c:v>
                      </c:pt>
                      <c:pt idx="30">
                        <c:v>11944</c:v>
                      </c:pt>
                      <c:pt idx="31">
                        <c:v>13083</c:v>
                      </c:pt>
                      <c:pt idx="32">
                        <c:v>14391</c:v>
                      </c:pt>
                      <c:pt idx="33">
                        <c:v>15224</c:v>
                      </c:pt>
                      <c:pt idx="34">
                        <c:v>15822</c:v>
                      </c:pt>
                      <c:pt idx="35">
                        <c:v>16937</c:v>
                      </c:pt>
                      <c:pt idx="36">
                        <c:v>17875</c:v>
                      </c:pt>
                      <c:pt idx="37">
                        <c:v>18902</c:v>
                      </c:pt>
                      <c:pt idx="38">
                        <c:v>19947</c:v>
                      </c:pt>
                      <c:pt idx="39">
                        <c:v>20876</c:v>
                      </c:pt>
                      <c:pt idx="40">
                        <c:v>21443</c:v>
                      </c:pt>
                      <c:pt idx="41">
                        <c:v>21826</c:v>
                      </c:pt>
                      <c:pt idx="42">
                        <c:v>22568</c:v>
                      </c:pt>
                      <c:pt idx="43">
                        <c:v>23219</c:v>
                      </c:pt>
                      <c:pt idx="44">
                        <c:v>23889</c:v>
                      </c:pt>
                      <c:pt idx="45">
                        <c:v>24557</c:v>
                      </c:pt>
                      <c:pt idx="46">
                        <c:v>25007</c:v>
                      </c:pt>
                      <c:pt idx="47">
                        <c:v>25470</c:v>
                      </c:pt>
                      <c:pt idx="48">
                        <c:v>25743</c:v>
                      </c:pt>
                      <c:pt idx="49">
                        <c:v>25994</c:v>
                      </c:pt>
                      <c:pt idx="50">
                        <c:v>26316</c:v>
                      </c:pt>
                      <c:pt idx="51">
                        <c:v>26634</c:v>
                      </c:pt>
                      <c:pt idx="52">
                        <c:v>26933</c:v>
                      </c:pt>
                      <c:pt idx="53">
                        <c:v>27248</c:v>
                      </c:pt>
                      <c:pt idx="54">
                        <c:v>27541</c:v>
                      </c:pt>
                      <c:pt idx="55">
                        <c:v>27718</c:v>
                      </c:pt>
                      <c:pt idx="56">
                        <c:v>27921</c:v>
                      </c:pt>
                      <c:pt idx="57">
                        <c:v>28080</c:v>
                      </c:pt>
                      <c:pt idx="58">
                        <c:v>28277</c:v>
                      </c:pt>
                      <c:pt idx="59">
                        <c:v>28495</c:v>
                      </c:pt>
                      <c:pt idx="60">
                        <c:v>28684</c:v>
                      </c:pt>
                      <c:pt idx="61">
                        <c:v>28821</c:v>
                      </c:pt>
                      <c:pt idx="62">
                        <c:v>28889</c:v>
                      </c:pt>
                      <c:pt idx="63">
                        <c:v>28994</c:v>
                      </c:pt>
                    </c:numCache>
                  </c:numRef>
                </c:val>
                <c:extLst xmlns:c15="http://schemas.microsoft.com/office/drawing/2012/chart">
                  <c:ext xmlns:c16="http://schemas.microsoft.com/office/drawing/2014/chart" uri="{C3380CC4-5D6E-409C-BE32-E72D297353CC}">
                    <c16:uniqueId val="{00000009-503A-464F-BA74-C113BE961252}"/>
                  </c:ext>
                </c:extLst>
              </c15:ser>
            </c15:filteredAreaSeries>
            <c15:filteredArea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ch_latest!$N$2:$N$65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val>
                <c:extLst xmlns:c15="http://schemas.microsoft.com/office/drawing/2012/chart">
                  <c:ext xmlns:c16="http://schemas.microsoft.com/office/drawing/2014/chart" uri="{C3380CC4-5D6E-409C-BE32-E72D297353CC}">
                    <c16:uniqueId val="{0000000A-503A-464F-BA74-C113BE961252}"/>
                  </c:ext>
                </c:extLst>
              </c15:ser>
            </c15:filteredAreaSeries>
            <c15:filteredArea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ch_latest!$O$2:$O$65</c15:sqref>
                        </c15:formulaRef>
                      </c:ext>
                    </c:extLst>
                    <c:numCache>
                      <c:formatCode>General</c:formatCode>
                      <c:ptCount val="64"/>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46</c:v>
                      </c:pt>
                      <c:pt idx="31">
                        <c:v>36</c:v>
                      </c:pt>
                      <c:pt idx="32">
                        <c:v>52</c:v>
                      </c:pt>
                      <c:pt idx="33">
                        <c:v>44</c:v>
                      </c:pt>
                      <c:pt idx="34">
                        <c:v>59</c:v>
                      </c:pt>
                      <c:pt idx="35">
                        <c:v>66</c:v>
                      </c:pt>
                      <c:pt idx="36">
                        <c:v>63</c:v>
                      </c:pt>
                      <c:pt idx="37">
                        <c:v>61</c:v>
                      </c:pt>
                      <c:pt idx="38">
                        <c:v>61</c:v>
                      </c:pt>
                      <c:pt idx="39">
                        <c:v>66</c:v>
                      </c:pt>
                      <c:pt idx="40">
                        <c:v>52</c:v>
                      </c:pt>
                      <c:pt idx="41">
                        <c:v>59</c:v>
                      </c:pt>
                      <c:pt idx="42">
                        <c:v>60</c:v>
                      </c:pt>
                      <c:pt idx="43">
                        <c:v>68</c:v>
                      </c:pt>
                      <c:pt idx="44">
                        <c:v>51</c:v>
                      </c:pt>
                      <c:pt idx="45">
                        <c:v>50</c:v>
                      </c:pt>
                      <c:pt idx="46">
                        <c:v>37</c:v>
                      </c:pt>
                      <c:pt idx="47">
                        <c:v>56</c:v>
                      </c:pt>
                      <c:pt idx="48">
                        <c:v>30</c:v>
                      </c:pt>
                      <c:pt idx="49">
                        <c:v>38</c:v>
                      </c:pt>
                      <c:pt idx="50">
                        <c:v>53</c:v>
                      </c:pt>
                      <c:pt idx="51">
                        <c:v>45</c:v>
                      </c:pt>
                      <c:pt idx="52">
                        <c:v>45</c:v>
                      </c:pt>
                      <c:pt idx="53">
                        <c:v>42</c:v>
                      </c:pt>
                      <c:pt idx="54">
                        <c:v>23</c:v>
                      </c:pt>
                      <c:pt idx="55">
                        <c:v>41</c:v>
                      </c:pt>
                      <c:pt idx="56">
                        <c:v>41</c:v>
                      </c:pt>
                      <c:pt idx="57">
                        <c:v>26</c:v>
                      </c:pt>
                      <c:pt idx="58">
                        <c:v>29</c:v>
                      </c:pt>
                      <c:pt idx="59">
                        <c:v>25</c:v>
                      </c:pt>
                      <c:pt idx="60">
                        <c:v>18</c:v>
                      </c:pt>
                      <c:pt idx="61">
                        <c:v>12</c:v>
                      </c:pt>
                      <c:pt idx="62">
                        <c:v>11</c:v>
                      </c:pt>
                      <c:pt idx="63">
                        <c:v>0</c:v>
                      </c:pt>
                    </c:numCache>
                  </c:numRef>
                </c:val>
                <c:extLst xmlns:c15="http://schemas.microsoft.com/office/drawing/2012/chart">
                  <c:ext xmlns:c16="http://schemas.microsoft.com/office/drawing/2014/chart" uri="{C3380CC4-5D6E-409C-BE32-E72D297353CC}">
                    <c16:uniqueId val="{0000000B-503A-464F-BA74-C113BE961252}"/>
                  </c:ext>
                </c:extLst>
              </c15:ser>
            </c15:filteredAreaSeries>
            <c15:filteredArea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ch_latest!$P$2:$P$65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246</c:v>
                      </c:pt>
                      <c:pt idx="32">
                        <c:v>282</c:v>
                      </c:pt>
                      <c:pt idx="33">
                        <c:v>334</c:v>
                      </c:pt>
                      <c:pt idx="34">
                        <c:v>378</c:v>
                      </c:pt>
                      <c:pt idx="35">
                        <c:v>437</c:v>
                      </c:pt>
                      <c:pt idx="36">
                        <c:v>503</c:v>
                      </c:pt>
                      <c:pt idx="37">
                        <c:v>566</c:v>
                      </c:pt>
                      <c:pt idx="38">
                        <c:v>627</c:v>
                      </c:pt>
                      <c:pt idx="39">
                        <c:v>688</c:v>
                      </c:pt>
                      <c:pt idx="40">
                        <c:v>754</c:v>
                      </c:pt>
                      <c:pt idx="41">
                        <c:v>806</c:v>
                      </c:pt>
                      <c:pt idx="42">
                        <c:v>865</c:v>
                      </c:pt>
                      <c:pt idx="43">
                        <c:v>925</c:v>
                      </c:pt>
                      <c:pt idx="44">
                        <c:v>993</c:v>
                      </c:pt>
                      <c:pt idx="45">
                        <c:v>1044</c:v>
                      </c:pt>
                      <c:pt idx="46">
                        <c:v>1094</c:v>
                      </c:pt>
                      <c:pt idx="47">
                        <c:v>1131</c:v>
                      </c:pt>
                      <c:pt idx="48">
                        <c:v>1187</c:v>
                      </c:pt>
                      <c:pt idx="49">
                        <c:v>1217</c:v>
                      </c:pt>
                      <c:pt idx="50">
                        <c:v>1255</c:v>
                      </c:pt>
                      <c:pt idx="51">
                        <c:v>1308</c:v>
                      </c:pt>
                      <c:pt idx="52">
                        <c:v>1353</c:v>
                      </c:pt>
                      <c:pt idx="53">
                        <c:v>1398</c:v>
                      </c:pt>
                      <c:pt idx="54">
                        <c:v>1440</c:v>
                      </c:pt>
                      <c:pt idx="55">
                        <c:v>1463</c:v>
                      </c:pt>
                      <c:pt idx="56">
                        <c:v>1504</c:v>
                      </c:pt>
                      <c:pt idx="57">
                        <c:v>1545</c:v>
                      </c:pt>
                      <c:pt idx="58">
                        <c:v>1571</c:v>
                      </c:pt>
                      <c:pt idx="59">
                        <c:v>1600</c:v>
                      </c:pt>
                      <c:pt idx="60">
                        <c:v>1625</c:v>
                      </c:pt>
                      <c:pt idx="61">
                        <c:v>1643</c:v>
                      </c:pt>
                      <c:pt idx="62">
                        <c:v>1655</c:v>
                      </c:pt>
                      <c:pt idx="63">
                        <c:v>1666</c:v>
                      </c:pt>
                    </c:numCache>
                  </c:numRef>
                </c:val>
                <c:extLst xmlns:c15="http://schemas.microsoft.com/office/drawing/2012/chart">
                  <c:ext xmlns:c16="http://schemas.microsoft.com/office/drawing/2014/chart" uri="{C3380CC4-5D6E-409C-BE32-E72D297353CC}">
                    <c16:uniqueId val="{0000000C-503A-464F-BA74-C113BE961252}"/>
                  </c:ext>
                </c:extLst>
              </c15:ser>
            </c15:filteredAreaSeries>
            <c15:filteredArea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ch_latest!$Q$2:$Q$65</c15:sqref>
                        </c15:formulaRef>
                      </c:ext>
                    </c:extLst>
                    <c:numCache>
                      <c:formatCode>General</c:formatCode>
                      <c:ptCount val="64"/>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2.2984819999999999</c:v>
                      </c:pt>
                      <c:pt idx="15">
                        <c:v>2.572371</c:v>
                      </c:pt>
                      <c:pt idx="16">
                        <c:v>2.4389759999999998</c:v>
                      </c:pt>
                      <c:pt idx="17">
                        <c:v>2.2998769999999999</c:v>
                      </c:pt>
                      <c:pt idx="18">
                        <c:v>2.3386339999999999</c:v>
                      </c:pt>
                      <c:pt idx="19">
                        <c:v>2.599326</c:v>
                      </c:pt>
                      <c:pt idx="20">
                        <c:v>2.5435140000000001</c:v>
                      </c:pt>
                      <c:pt idx="21">
                        <c:v>2.8124989999999999</c:v>
                      </c:pt>
                      <c:pt idx="22">
                        <c:v>2.8296860000000001</c:v>
                      </c:pt>
                      <c:pt idx="23">
                        <c:v>2.8752970000000002</c:v>
                      </c:pt>
                      <c:pt idx="24">
                        <c:v>2.8060679999999998</c:v>
                      </c:pt>
                      <c:pt idx="25">
                        <c:v>3.3874689999999998</c:v>
                      </c:pt>
                      <c:pt idx="26">
                        <c:v>4.2280629999999997</c:v>
                      </c:pt>
                      <c:pt idx="27">
                        <c:v>4.8588079999999998</c:v>
                      </c:pt>
                      <c:pt idx="28">
                        <c:v>5.5611179999999996</c:v>
                      </c:pt>
                      <c:pt idx="29">
                        <c:v>6.4055049999999998</c:v>
                      </c:pt>
                      <c:pt idx="30">
                        <c:v>6.4585990000000004</c:v>
                      </c:pt>
                      <c:pt idx="31">
                        <c:v>6.1871080000000003</c:v>
                      </c:pt>
                      <c:pt idx="32">
                        <c:v>7.8297670000000004</c:v>
                      </c:pt>
                      <c:pt idx="33">
                        <c:v>9.1871749999999999</c:v>
                      </c:pt>
                      <c:pt idx="34">
                        <c:v>9.9227559999999997</c:v>
                      </c:pt>
                      <c:pt idx="35">
                        <c:v>11.104946</c:v>
                      </c:pt>
                      <c:pt idx="36">
                        <c:v>12.710613</c:v>
                      </c:pt>
                      <c:pt idx="37">
                        <c:v>12.826290999999999</c:v>
                      </c:pt>
                      <c:pt idx="38">
                        <c:v>12.502708999999999</c:v>
                      </c:pt>
                      <c:pt idx="39">
                        <c:v>14.691692</c:v>
                      </c:pt>
                      <c:pt idx="40">
                        <c:v>17.354813</c:v>
                      </c:pt>
                      <c:pt idx="41">
                        <c:v>19.551131000000002</c:v>
                      </c:pt>
                      <c:pt idx="42">
                        <c:v>22.817083</c:v>
                      </c:pt>
                      <c:pt idx="43">
                        <c:v>25.706788</c:v>
                      </c:pt>
                      <c:pt idx="44">
                        <c:v>25.558769999999999</c:v>
                      </c:pt>
                      <c:pt idx="45">
                        <c:v>25.473262999999999</c:v>
                      </c:pt>
                      <c:pt idx="46">
                        <c:v>28.649947999999998</c:v>
                      </c:pt>
                      <c:pt idx="47">
                        <c:v>33.585369</c:v>
                      </c:pt>
                      <c:pt idx="48">
                        <c:v>41.040056</c:v>
                      </c:pt>
                      <c:pt idx="49">
                        <c:v>50.097242000000001</c:v>
                      </c:pt>
                      <c:pt idx="50">
                        <c:v>54.983046999999999</c:v>
                      </c:pt>
                      <c:pt idx="51">
                        <c:v>62.053234000000003</c:v>
                      </c:pt>
                      <c:pt idx="52">
                        <c:v>60.997813999999998</c:v>
                      </c:pt>
                      <c:pt idx="53">
                        <c:v>59.950392999999998</c:v>
                      </c:pt>
                      <c:pt idx="54">
                        <c:v>66.770877999999996</c:v>
                      </c:pt>
                      <c:pt idx="55">
                        <c:v>73.441391999999993</c:v>
                      </c:pt>
                      <c:pt idx="56">
                        <c:v>83.100652999999994</c:v>
                      </c:pt>
                      <c:pt idx="57">
                        <c:v>93.495119000000003</c:v>
                      </c:pt>
                      <c:pt idx="58">
                        <c:v>101.77526899999999</c:v>
                      </c:pt>
                      <c:pt idx="59">
                        <c:v>101.167351</c:v>
                      </c:pt>
                      <c:pt idx="60">
                        <c:v>109.242386</c:v>
                      </c:pt>
                      <c:pt idx="61">
                        <c:v>122.018687</c:v>
                      </c:pt>
                      <c:pt idx="62">
                        <c:v>138.407106</c:v>
                      </c:pt>
                      <c:pt idx="63">
                        <c:v>199.24013299999999</c:v>
                      </c:pt>
                    </c:numCache>
                  </c:numRef>
                </c:val>
                <c:extLst xmlns:c15="http://schemas.microsoft.com/office/drawing/2012/chart">
                  <c:ext xmlns:c16="http://schemas.microsoft.com/office/drawing/2014/chart" uri="{C3380CC4-5D6E-409C-BE32-E72D297353CC}">
                    <c16:uniqueId val="{00000000-71F8-4929-9113-196FB8E54065}"/>
                  </c:ext>
                </c:extLst>
              </c15:ser>
            </c15:filteredAreaSeries>
            <c15:filteredArea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ch_latest!$R$2:$R$65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3.7656139999999998</c:v>
                      </c:pt>
                      <c:pt idx="31">
                        <c:v>3.7896809999999999</c:v>
                      </c:pt>
                      <c:pt idx="32">
                        <c:v>4.0855249999999996</c:v>
                      </c:pt>
                      <c:pt idx="33">
                        <c:v>4.1808810000000003</c:v>
                      </c:pt>
                      <c:pt idx="34">
                        <c:v>4.4340659999999996</c:v>
                      </c:pt>
                      <c:pt idx="35">
                        <c:v>4.8454300000000003</c:v>
                      </c:pt>
                      <c:pt idx="36">
                        <c:v>4.9745949999999999</c:v>
                      </c:pt>
                      <c:pt idx="37">
                        <c:v>5.5028670000000002</c:v>
                      </c:pt>
                      <c:pt idx="38">
                        <c:v>5.7868870000000001</c:v>
                      </c:pt>
                      <c:pt idx="39">
                        <c:v>6.3537949999999999</c:v>
                      </c:pt>
                      <c:pt idx="40">
                        <c:v>7.3505479999999999</c:v>
                      </c:pt>
                      <c:pt idx="41">
                        <c:v>8.1712950000000006</c:v>
                      </c:pt>
                      <c:pt idx="42">
                        <c:v>8.9128480000000003</c:v>
                      </c:pt>
                      <c:pt idx="43">
                        <c:v>9.4449190000000005</c:v>
                      </c:pt>
                      <c:pt idx="44">
                        <c:v>10.649960999999999</c:v>
                      </c:pt>
                      <c:pt idx="45">
                        <c:v>11.344016999999999</c:v>
                      </c:pt>
                      <c:pt idx="46">
                        <c:v>12.925678</c:v>
                      </c:pt>
                      <c:pt idx="47">
                        <c:v>13.896815</c:v>
                      </c:pt>
                      <c:pt idx="48">
                        <c:v>17.037890999999998</c:v>
                      </c:pt>
                      <c:pt idx="49">
                        <c:v>18.827736000000002</c:v>
                      </c:pt>
                      <c:pt idx="50">
                        <c:v>19.398657</c:v>
                      </c:pt>
                      <c:pt idx="51">
                        <c:v>19.337654000000001</c:v>
                      </c:pt>
                      <c:pt idx="52">
                        <c:v>21.182452999999999</c:v>
                      </c:pt>
                      <c:pt idx="53">
                        <c:v>20.598201</c:v>
                      </c:pt>
                      <c:pt idx="54">
                        <c:v>22.599646</c:v>
                      </c:pt>
                      <c:pt idx="55">
                        <c:v>24.821037</c:v>
                      </c:pt>
                      <c:pt idx="56">
                        <c:v>26.117162</c:v>
                      </c:pt>
                      <c:pt idx="57">
                        <c:v>29.705531000000001</c:v>
                      </c:pt>
                      <c:pt idx="58">
                        <c:v>32.894067</c:v>
                      </c:pt>
                      <c:pt idx="59">
                        <c:v>33.001133000000003</c:v>
                      </c:pt>
                      <c:pt idx="60">
                        <c:v>39.207102999999996</c:v>
                      </c:pt>
                      <c:pt idx="61">
                        <c:v>50.390841999999999</c:v>
                      </c:pt>
                      <c:pt idx="62">
                        <c:v>59.028238999999999</c:v>
                      </c:pt>
                      <c:pt idx="63">
                        <c:v>85.739034000000004</c:v>
                      </c:pt>
                    </c:numCache>
                  </c:numRef>
                </c:val>
                <c:extLst xmlns:c15="http://schemas.microsoft.com/office/drawing/2012/chart">
                  <c:ext xmlns:c16="http://schemas.microsoft.com/office/drawing/2014/chart" uri="{C3380CC4-5D6E-409C-BE32-E72D297353CC}">
                    <c16:uniqueId val="{00000001-71F8-4929-9113-196FB8E54065}"/>
                  </c:ext>
                </c:extLst>
              </c15:ser>
            </c15:filteredAreaSeries>
          </c:ext>
        </c:extLst>
      </c:areaChart>
      <c:lineChart>
        <c:grouping val="standard"/>
        <c:varyColors val="0"/>
        <c:ser>
          <c:idx val="2"/>
          <c:order val="0"/>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ch_latest!$A$2:$A$65</c:f>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f>ch_latest!$J$2:$J$65</c:f>
              <c:numCache>
                <c:formatCode>General</c:formatCode>
                <c:ptCount val="64"/>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246</c:v>
                </c:pt>
                <c:pt idx="31">
                  <c:v>282</c:v>
                </c:pt>
                <c:pt idx="32">
                  <c:v>334</c:v>
                </c:pt>
                <c:pt idx="33">
                  <c:v>378</c:v>
                </c:pt>
                <c:pt idx="34">
                  <c:v>437</c:v>
                </c:pt>
                <c:pt idx="35">
                  <c:v>503</c:v>
                </c:pt>
                <c:pt idx="36">
                  <c:v>566</c:v>
                </c:pt>
                <c:pt idx="37">
                  <c:v>627</c:v>
                </c:pt>
                <c:pt idx="38">
                  <c:v>688</c:v>
                </c:pt>
                <c:pt idx="39">
                  <c:v>754</c:v>
                </c:pt>
                <c:pt idx="40">
                  <c:v>806</c:v>
                </c:pt>
                <c:pt idx="41">
                  <c:v>865</c:v>
                </c:pt>
                <c:pt idx="42">
                  <c:v>925</c:v>
                </c:pt>
                <c:pt idx="43">
                  <c:v>993</c:v>
                </c:pt>
                <c:pt idx="44">
                  <c:v>1044</c:v>
                </c:pt>
                <c:pt idx="45">
                  <c:v>1094</c:v>
                </c:pt>
                <c:pt idx="46">
                  <c:v>1131</c:v>
                </c:pt>
                <c:pt idx="47">
                  <c:v>1187</c:v>
                </c:pt>
                <c:pt idx="48">
                  <c:v>1217</c:v>
                </c:pt>
                <c:pt idx="49">
                  <c:v>1255</c:v>
                </c:pt>
                <c:pt idx="50">
                  <c:v>1308</c:v>
                </c:pt>
                <c:pt idx="51">
                  <c:v>1353</c:v>
                </c:pt>
                <c:pt idx="52">
                  <c:v>1398</c:v>
                </c:pt>
                <c:pt idx="53">
                  <c:v>1440</c:v>
                </c:pt>
                <c:pt idx="54">
                  <c:v>1463</c:v>
                </c:pt>
                <c:pt idx="55">
                  <c:v>1504</c:v>
                </c:pt>
                <c:pt idx="56">
                  <c:v>1545</c:v>
                </c:pt>
                <c:pt idx="57">
                  <c:v>1571</c:v>
                </c:pt>
                <c:pt idx="58">
                  <c:v>1600</c:v>
                </c:pt>
                <c:pt idx="59">
                  <c:v>1625</c:v>
                </c:pt>
                <c:pt idx="60">
                  <c:v>1643</c:v>
                </c:pt>
                <c:pt idx="61">
                  <c:v>1655</c:v>
                </c:pt>
                <c:pt idx="62">
                  <c:v>1666</c:v>
                </c:pt>
                <c:pt idx="63">
                  <c:v>1666</c:v>
                </c:pt>
              </c:numCache>
            </c:numRef>
          </c:val>
          <c:smooth val="0"/>
          <c:extLst xmlns:c15="http://schemas.microsoft.com/office/drawing/2012/chart">
            <c:ext xmlns:c16="http://schemas.microsoft.com/office/drawing/2014/chart" uri="{C3380CC4-5D6E-409C-BE32-E72D297353CC}">
              <c16:uniqueId val="{00000002-503A-464F-BA74-C113BE961252}"/>
            </c:ext>
          </c:extLst>
        </c:ser>
        <c:dLbls>
          <c:showLegendKey val="0"/>
          <c:showVal val="0"/>
          <c:showCatName val="0"/>
          <c:showSerName val="0"/>
          <c:showPercent val="0"/>
          <c:showBubbleSize val="0"/>
        </c:dLbls>
        <c:marker val="1"/>
        <c:smooth val="0"/>
        <c:axId val="1329134367"/>
        <c:axId val="4147887"/>
      </c:lineChart>
      <c:dateAx>
        <c:axId val="132913436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147887"/>
        <c:crosses val="autoZero"/>
        <c:auto val="1"/>
        <c:lblOffset val="100"/>
        <c:baseTimeUnit val="days"/>
      </c:dateAx>
      <c:valAx>
        <c:axId val="4147887"/>
        <c:scaling>
          <c:orientation val="minMax"/>
        </c:scaling>
        <c:delete val="0"/>
        <c:axPos val="l"/>
        <c:majorGridlines>
          <c:spPr>
            <a:ln w="9525" cap="flat" cmpd="sng" algn="ctr">
              <a:solidFill>
                <a:schemeClr val="bg1">
                  <a:alpha val="58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329134367"/>
        <c:crosses val="autoZero"/>
        <c:crossBetween val="between"/>
      </c:valAx>
      <c:spPr>
        <a:noFill/>
        <a:ln>
          <a:noFill/>
        </a:ln>
        <a:effectLst/>
      </c:spPr>
    </c:plotArea>
    <c:legend>
      <c:legendPos val="b"/>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253909158600149"/>
          <c:y val="2.709745103420023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173449431132124E-2"/>
          <c:y val="0.12638970157987128"/>
          <c:w val="0.90141120048978762"/>
          <c:h val="0.67277725381820308"/>
        </c:manualLayout>
      </c:layout>
      <c:barChart>
        <c:barDir val="col"/>
        <c:grouping val="clustered"/>
        <c:varyColors val="0"/>
        <c:ser>
          <c:idx val="13"/>
          <c:order val="13"/>
          <c:tx>
            <c:v>doubling_time_total_positive</c:v>
          </c:tx>
          <c:spPr>
            <a:solidFill>
              <a:srgbClr val="33CCFF"/>
            </a:solidFill>
            <a:ln>
              <a:solidFill>
                <a:srgbClr val="33CCFF"/>
              </a:solidFill>
            </a:ln>
            <a:effectLst>
              <a:outerShdw blurRad="57150" dist="19050" dir="5400000" algn="ctr" rotWithShape="0">
                <a:srgbClr val="000000">
                  <a:alpha val="63000"/>
                </a:srgbClr>
              </a:outerShdw>
            </a:effectLst>
          </c:spPr>
          <c:invertIfNegative val="0"/>
          <c:cat>
            <c:numLit>
              <c:formatCode>General</c:formatCode>
              <c:ptCount val="6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numLit>
          </c:cat>
          <c:val>
            <c:numLit>
              <c:formatCode>General</c:formatCode>
              <c:ptCount val="63"/>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2.2984819999999999</c:v>
              </c:pt>
              <c:pt idx="15">
                <c:v>2.572371</c:v>
              </c:pt>
              <c:pt idx="16">
                <c:v>2.4389759999999998</c:v>
              </c:pt>
              <c:pt idx="17">
                <c:v>2.2998769999999999</c:v>
              </c:pt>
              <c:pt idx="18">
                <c:v>2.3386339999999999</c:v>
              </c:pt>
              <c:pt idx="19">
                <c:v>2.599326</c:v>
              </c:pt>
              <c:pt idx="20">
                <c:v>2.5428359999999999</c:v>
              </c:pt>
              <c:pt idx="21">
                <c:v>2.8118690000000002</c:v>
              </c:pt>
              <c:pt idx="22">
                <c:v>2.824398</c:v>
              </c:pt>
              <c:pt idx="23">
                <c:v>2.8622719999999999</c:v>
              </c:pt>
              <c:pt idx="24">
                <c:v>2.7956750000000001</c:v>
              </c:pt>
              <c:pt idx="25">
                <c:v>3.3748990000000001</c:v>
              </c:pt>
              <c:pt idx="26">
                <c:v>4.2095250000000002</c:v>
              </c:pt>
              <c:pt idx="27">
                <c:v>4.8521809999999999</c:v>
              </c:pt>
              <c:pt idx="28">
                <c:v>5.5838770000000002</c:v>
              </c:pt>
              <c:pt idx="29">
                <c:v>6.427276</c:v>
              </c:pt>
              <c:pt idx="30">
                <c:v>6.4785810000000001</c:v>
              </c:pt>
              <c:pt idx="31">
                <c:v>6.2047790000000003</c:v>
              </c:pt>
              <c:pt idx="32">
                <c:v>7.8493029999999999</c:v>
              </c:pt>
              <c:pt idx="33">
                <c:v>9.208202</c:v>
              </c:pt>
              <c:pt idx="34">
                <c:v>9.9458950000000002</c:v>
              </c:pt>
              <c:pt idx="35">
                <c:v>11.129006</c:v>
              </c:pt>
              <c:pt idx="36">
                <c:v>12.736124</c:v>
              </c:pt>
              <c:pt idx="37">
                <c:v>12.850652999999999</c:v>
              </c:pt>
              <c:pt idx="38">
                <c:v>12.525482999999999</c:v>
              </c:pt>
              <c:pt idx="39">
                <c:v>14.720102000000001</c:v>
              </c:pt>
              <c:pt idx="40">
                <c:v>17.387846</c:v>
              </c:pt>
              <c:pt idx="41">
                <c:v>19.587306999999999</c:v>
              </c:pt>
              <c:pt idx="42">
                <c:v>22.858587</c:v>
              </c:pt>
              <c:pt idx="43">
                <c:v>25.752801000000002</c:v>
              </c:pt>
              <c:pt idx="44">
                <c:v>25.594439999999999</c:v>
              </c:pt>
              <c:pt idx="45">
                <c:v>25.508181</c:v>
              </c:pt>
              <c:pt idx="46">
                <c:v>28.688210000000002</c:v>
              </c:pt>
              <c:pt idx="47">
                <c:v>33.629348</c:v>
              </c:pt>
              <c:pt idx="48">
                <c:v>41.092773000000001</c:v>
              </c:pt>
              <c:pt idx="49">
                <c:v>50.160316999999999</c:v>
              </c:pt>
              <c:pt idx="50">
                <c:v>55.051234000000001</c:v>
              </c:pt>
              <c:pt idx="51">
                <c:v>62.129058999999998</c:v>
              </c:pt>
              <c:pt idx="52">
                <c:v>61.110999999999997</c:v>
              </c:pt>
              <c:pt idx="53">
                <c:v>60.059826999999999</c:v>
              </c:pt>
              <c:pt idx="54">
                <c:v>66.896500000000003</c:v>
              </c:pt>
              <c:pt idx="55">
                <c:v>73.639364</c:v>
              </c:pt>
              <c:pt idx="56">
                <c:v>83.411051</c:v>
              </c:pt>
              <c:pt idx="57">
                <c:v>93.958127000000005</c:v>
              </c:pt>
              <c:pt idx="58">
                <c:v>106.157614</c:v>
              </c:pt>
              <c:pt idx="59">
                <c:v>108.343037</c:v>
              </c:pt>
              <c:pt idx="60">
                <c:v>117.73728199999999</c:v>
              </c:pt>
              <c:pt idx="61">
                <c:v>133.01694800000001</c:v>
              </c:pt>
              <c:pt idx="62">
                <c:v>162.27365399999999</c:v>
              </c:pt>
            </c:numLit>
          </c:val>
          <c:extLst>
            <c:ext xmlns:c16="http://schemas.microsoft.com/office/drawing/2014/chart" uri="{C3380CC4-5D6E-409C-BE32-E72D297353CC}">
              <c16:uniqueId val="{00000000-84A1-4D71-B585-618A414EE633}"/>
            </c:ext>
          </c:extLst>
        </c:ser>
        <c:dLbls>
          <c:showLegendKey val="0"/>
          <c:showVal val="0"/>
          <c:showCatName val="0"/>
          <c:showSerName val="0"/>
          <c:showPercent val="0"/>
          <c:showBubbleSize val="0"/>
        </c:dLbls>
        <c:gapWidth val="150"/>
        <c:axId val="89998336"/>
        <c:axId val="10938272"/>
        <c:extLst>
          <c:ext xmlns:c15="http://schemas.microsoft.com/office/drawing/2012/chart" uri="{02D57815-91ED-43cb-92C2-25804820EDAC}">
            <c15:filteredBarSeries>
              <c15:ser>
                <c:idx val="0"/>
                <c:order val="0"/>
                <c:tx>
                  <c:strRef>
                    <c:extLst>
                      <c:ext uri="{02D57815-91ED-43cb-92C2-25804820EDAC}">
                        <c15:formulaRef>
                          <c15:sqref>ch_latest!$D$1</c15:sqref>
                        </c15:formulaRef>
                      </c:ext>
                    </c:extLst>
                    <c:strCache>
                      <c:ptCount val="1"/>
                      <c:pt idx="0">
                        <c:v>intensive_care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c:ex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c:ext uri="{02D57815-91ED-43cb-92C2-25804820EDAC}">
                        <c15:formulaRef>
                          <c15:sqref>ch_latest!$D$2:$D$65</c15:sqref>
                        </c15:formulaRef>
                      </c:ext>
                    </c:extLst>
                    <c:numCache>
                      <c:formatCode>General</c:formatCode>
                      <c:ptCount val="64"/>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323</c:v>
                      </c:pt>
                      <c:pt idx="33">
                        <c:v>337</c:v>
                      </c:pt>
                      <c:pt idx="34">
                        <c:v>384</c:v>
                      </c:pt>
                      <c:pt idx="35">
                        <c:v>410</c:v>
                      </c:pt>
                      <c:pt idx="36">
                        <c:v>441</c:v>
                      </c:pt>
                      <c:pt idx="37">
                        <c:v>446</c:v>
                      </c:pt>
                      <c:pt idx="38">
                        <c:v>456</c:v>
                      </c:pt>
                      <c:pt idx="39">
                        <c:v>458</c:v>
                      </c:pt>
                      <c:pt idx="40">
                        <c:v>448</c:v>
                      </c:pt>
                      <c:pt idx="41">
                        <c:v>447</c:v>
                      </c:pt>
                      <c:pt idx="42">
                        <c:v>441</c:v>
                      </c:pt>
                      <c:pt idx="43">
                        <c:v>438</c:v>
                      </c:pt>
                      <c:pt idx="44">
                        <c:v>430</c:v>
                      </c:pt>
                      <c:pt idx="45">
                        <c:v>418</c:v>
                      </c:pt>
                      <c:pt idx="46">
                        <c:v>418</c:v>
                      </c:pt>
                      <c:pt idx="47">
                        <c:v>407</c:v>
                      </c:pt>
                      <c:pt idx="48">
                        <c:v>403</c:v>
                      </c:pt>
                      <c:pt idx="49">
                        <c:v>390</c:v>
                      </c:pt>
                      <c:pt idx="50">
                        <c:v>368</c:v>
                      </c:pt>
                      <c:pt idx="51">
                        <c:v>348</c:v>
                      </c:pt>
                      <c:pt idx="52">
                        <c:v>335</c:v>
                      </c:pt>
                      <c:pt idx="53">
                        <c:v>321</c:v>
                      </c:pt>
                      <c:pt idx="54">
                        <c:v>313</c:v>
                      </c:pt>
                      <c:pt idx="55">
                        <c:v>302</c:v>
                      </c:pt>
                      <c:pt idx="56">
                        <c:v>287</c:v>
                      </c:pt>
                      <c:pt idx="57">
                        <c:v>255</c:v>
                      </c:pt>
                      <c:pt idx="58">
                        <c:v>247</c:v>
                      </c:pt>
                      <c:pt idx="59">
                        <c:v>241</c:v>
                      </c:pt>
                      <c:pt idx="60">
                        <c:v>232</c:v>
                      </c:pt>
                      <c:pt idx="61">
                        <c:v>209</c:v>
                      </c:pt>
                      <c:pt idx="62">
                        <c:v>207</c:v>
                      </c:pt>
                      <c:pt idx="63">
                        <c:v>207</c:v>
                      </c:pt>
                    </c:numCache>
                  </c:numRef>
                </c:val>
                <c:extLst>
                  <c:ext xmlns:c16="http://schemas.microsoft.com/office/drawing/2014/chart" uri="{C3380CC4-5D6E-409C-BE32-E72D297353CC}">
                    <c16:uniqueId val="{00000000-0070-4142-9DD7-3059914A0F04}"/>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ch_latest!$E$2:$E$65</c15:sqref>
                        </c15:formulaRef>
                      </c:ext>
                    </c:extLst>
                    <c:numCache>
                      <c:formatCode>General</c:formatCode>
                      <c:ptCount val="64"/>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904</c:v>
                      </c:pt>
                      <c:pt idx="26">
                        <c:v>1090</c:v>
                      </c:pt>
                      <c:pt idx="27">
                        <c:v>1207</c:v>
                      </c:pt>
                      <c:pt idx="28">
                        <c:v>1364</c:v>
                      </c:pt>
                      <c:pt idx="29">
                        <c:v>1465</c:v>
                      </c:pt>
                      <c:pt idx="30">
                        <c:v>1611</c:v>
                      </c:pt>
                      <c:pt idx="31">
                        <c:v>1793</c:v>
                      </c:pt>
                      <c:pt idx="32">
                        <c:v>1881</c:v>
                      </c:pt>
                      <c:pt idx="33">
                        <c:v>1995</c:v>
                      </c:pt>
                      <c:pt idx="34">
                        <c:v>2180</c:v>
                      </c:pt>
                      <c:pt idx="35">
                        <c:v>2208</c:v>
                      </c:pt>
                      <c:pt idx="36">
                        <c:v>2288</c:v>
                      </c:pt>
                      <c:pt idx="37">
                        <c:v>2352</c:v>
                      </c:pt>
                      <c:pt idx="38">
                        <c:v>2333</c:v>
                      </c:pt>
                      <c:pt idx="39">
                        <c:v>2321</c:v>
                      </c:pt>
                      <c:pt idx="40">
                        <c:v>2306</c:v>
                      </c:pt>
                      <c:pt idx="41">
                        <c:v>2310</c:v>
                      </c:pt>
                      <c:pt idx="42">
                        <c:v>2228</c:v>
                      </c:pt>
                      <c:pt idx="43">
                        <c:v>2140</c:v>
                      </c:pt>
                      <c:pt idx="44">
                        <c:v>2072</c:v>
                      </c:pt>
                      <c:pt idx="45">
                        <c:v>2012</c:v>
                      </c:pt>
                      <c:pt idx="46">
                        <c:v>1937</c:v>
                      </c:pt>
                      <c:pt idx="47">
                        <c:v>1914</c:v>
                      </c:pt>
                      <c:pt idx="48">
                        <c:v>1897</c:v>
                      </c:pt>
                      <c:pt idx="49">
                        <c:v>1859</c:v>
                      </c:pt>
                      <c:pt idx="50">
                        <c:v>1735</c:v>
                      </c:pt>
                      <c:pt idx="51">
                        <c:v>1679</c:v>
                      </c:pt>
                      <c:pt idx="52">
                        <c:v>1581</c:v>
                      </c:pt>
                      <c:pt idx="53">
                        <c:v>1530</c:v>
                      </c:pt>
                      <c:pt idx="54">
                        <c:v>1524</c:v>
                      </c:pt>
                      <c:pt idx="55">
                        <c:v>1500</c:v>
                      </c:pt>
                      <c:pt idx="56">
                        <c:v>1423</c:v>
                      </c:pt>
                      <c:pt idx="57">
                        <c:v>1358</c:v>
                      </c:pt>
                      <c:pt idx="58">
                        <c:v>1306</c:v>
                      </c:pt>
                      <c:pt idx="59">
                        <c:v>1260</c:v>
                      </c:pt>
                      <c:pt idx="60">
                        <c:v>1234</c:v>
                      </c:pt>
                      <c:pt idx="61">
                        <c:v>1212</c:v>
                      </c:pt>
                      <c:pt idx="62">
                        <c:v>1207</c:v>
                      </c:pt>
                      <c:pt idx="63">
                        <c:v>1207</c:v>
                      </c:pt>
                    </c:numCache>
                  </c:numRef>
                </c:val>
                <c:extLst xmlns:c15="http://schemas.microsoft.com/office/drawing/2012/chart">
                  <c:ext xmlns:c16="http://schemas.microsoft.com/office/drawing/2014/chart" uri="{C3380CC4-5D6E-409C-BE32-E72D297353CC}">
                    <c16:uniqueId val="{00000001-0070-4142-9DD7-3059914A0F04}"/>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ch_latest!$F$2:$F$65</c15:sqref>
                        </c15:formulaRef>
                      </c:ext>
                    </c:extLst>
                    <c:numCache>
                      <c:formatCode>General</c:formatCode>
                      <c:ptCount val="64"/>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533</c:v>
                      </c:pt>
                      <c:pt idx="15">
                        <c:v>704</c:v>
                      </c:pt>
                      <c:pt idx="16">
                        <c:v>1056</c:v>
                      </c:pt>
                      <c:pt idx="17">
                        <c:v>1408</c:v>
                      </c:pt>
                      <c:pt idx="18">
                        <c:v>1743</c:v>
                      </c:pt>
                      <c:pt idx="19">
                        <c:v>2022</c:v>
                      </c:pt>
                      <c:pt idx="20">
                        <c:v>2750</c:v>
                      </c:pt>
                      <c:pt idx="21">
                        <c:v>3621</c:v>
                      </c:pt>
                      <c:pt idx="22">
                        <c:v>4792</c:v>
                      </c:pt>
                      <c:pt idx="23">
                        <c:v>5818</c:v>
                      </c:pt>
                      <c:pt idx="24">
                        <c:v>6953</c:v>
                      </c:pt>
                      <c:pt idx="25">
                        <c:v>7650</c:v>
                      </c:pt>
                      <c:pt idx="26">
                        <c:v>8219</c:v>
                      </c:pt>
                      <c:pt idx="27">
                        <c:v>9779</c:v>
                      </c:pt>
                      <c:pt idx="28">
                        <c:v>10850</c:v>
                      </c:pt>
                      <c:pt idx="29">
                        <c:v>11944</c:v>
                      </c:pt>
                      <c:pt idx="30">
                        <c:v>13083</c:v>
                      </c:pt>
                      <c:pt idx="31">
                        <c:v>14391</c:v>
                      </c:pt>
                      <c:pt idx="32">
                        <c:v>15224</c:v>
                      </c:pt>
                      <c:pt idx="33">
                        <c:v>15822</c:v>
                      </c:pt>
                      <c:pt idx="34">
                        <c:v>16937</c:v>
                      </c:pt>
                      <c:pt idx="35">
                        <c:v>17875</c:v>
                      </c:pt>
                      <c:pt idx="36">
                        <c:v>18902</c:v>
                      </c:pt>
                      <c:pt idx="37">
                        <c:v>19947</c:v>
                      </c:pt>
                      <c:pt idx="38">
                        <c:v>20876</c:v>
                      </c:pt>
                      <c:pt idx="39">
                        <c:v>21443</c:v>
                      </c:pt>
                      <c:pt idx="40">
                        <c:v>21826</c:v>
                      </c:pt>
                      <c:pt idx="41">
                        <c:v>22568</c:v>
                      </c:pt>
                      <c:pt idx="42">
                        <c:v>23219</c:v>
                      </c:pt>
                      <c:pt idx="43">
                        <c:v>23889</c:v>
                      </c:pt>
                      <c:pt idx="44">
                        <c:v>24557</c:v>
                      </c:pt>
                      <c:pt idx="45">
                        <c:v>25007</c:v>
                      </c:pt>
                      <c:pt idx="46">
                        <c:v>25470</c:v>
                      </c:pt>
                      <c:pt idx="47">
                        <c:v>25743</c:v>
                      </c:pt>
                      <c:pt idx="48">
                        <c:v>25994</c:v>
                      </c:pt>
                      <c:pt idx="49">
                        <c:v>26316</c:v>
                      </c:pt>
                      <c:pt idx="50">
                        <c:v>26634</c:v>
                      </c:pt>
                      <c:pt idx="51">
                        <c:v>26933</c:v>
                      </c:pt>
                      <c:pt idx="52">
                        <c:v>27248</c:v>
                      </c:pt>
                      <c:pt idx="53">
                        <c:v>27541</c:v>
                      </c:pt>
                      <c:pt idx="54">
                        <c:v>27718</c:v>
                      </c:pt>
                      <c:pt idx="55">
                        <c:v>27921</c:v>
                      </c:pt>
                      <c:pt idx="56">
                        <c:v>28080</c:v>
                      </c:pt>
                      <c:pt idx="57">
                        <c:v>28277</c:v>
                      </c:pt>
                      <c:pt idx="58">
                        <c:v>28495</c:v>
                      </c:pt>
                      <c:pt idx="59">
                        <c:v>28684</c:v>
                      </c:pt>
                      <c:pt idx="60">
                        <c:v>28821</c:v>
                      </c:pt>
                      <c:pt idx="61">
                        <c:v>28889</c:v>
                      </c:pt>
                      <c:pt idx="62">
                        <c:v>28994</c:v>
                      </c:pt>
                      <c:pt idx="63">
                        <c:v>28995</c:v>
                      </c:pt>
                    </c:numCache>
                  </c:numRef>
                </c:val>
                <c:extLst xmlns:c15="http://schemas.microsoft.com/office/drawing/2012/chart">
                  <c:ext xmlns:c16="http://schemas.microsoft.com/office/drawing/2014/chart" uri="{C3380CC4-5D6E-409C-BE32-E72D297353CC}">
                    <c16:uniqueId val="{00000002-0070-4142-9DD7-3059914A0F04}"/>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ch_latest!$G$2:$G$65</c15:sqref>
                        </c15:formulaRef>
                      </c:ext>
                    </c:extLst>
                    <c:numCache>
                      <c:formatCode>General</c:formatCode>
                      <c:ptCount val="64"/>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533</c:v>
                      </c:pt>
                      <c:pt idx="15">
                        <c:v>704</c:v>
                      </c:pt>
                      <c:pt idx="16">
                        <c:v>1056</c:v>
                      </c:pt>
                      <c:pt idx="17">
                        <c:v>1408</c:v>
                      </c:pt>
                      <c:pt idx="18">
                        <c:v>1743</c:v>
                      </c:pt>
                      <c:pt idx="19">
                        <c:v>2022</c:v>
                      </c:pt>
                      <c:pt idx="20">
                        <c:v>2750</c:v>
                      </c:pt>
                      <c:pt idx="21">
                        <c:v>3621</c:v>
                      </c:pt>
                      <c:pt idx="22">
                        <c:v>4792</c:v>
                      </c:pt>
                      <c:pt idx="23">
                        <c:v>5818</c:v>
                      </c:pt>
                      <c:pt idx="24">
                        <c:v>6953</c:v>
                      </c:pt>
                      <c:pt idx="25">
                        <c:v>7650</c:v>
                      </c:pt>
                      <c:pt idx="26">
                        <c:v>8219</c:v>
                      </c:pt>
                      <c:pt idx="27">
                        <c:v>9779</c:v>
                      </c:pt>
                      <c:pt idx="28">
                        <c:v>10850</c:v>
                      </c:pt>
                      <c:pt idx="29">
                        <c:v>11944</c:v>
                      </c:pt>
                      <c:pt idx="30">
                        <c:v>13083</c:v>
                      </c:pt>
                      <c:pt idx="31">
                        <c:v>14391</c:v>
                      </c:pt>
                      <c:pt idx="32">
                        <c:v>15224</c:v>
                      </c:pt>
                      <c:pt idx="33">
                        <c:v>15822</c:v>
                      </c:pt>
                      <c:pt idx="34">
                        <c:v>16937</c:v>
                      </c:pt>
                      <c:pt idx="35">
                        <c:v>17875</c:v>
                      </c:pt>
                      <c:pt idx="36">
                        <c:v>18902</c:v>
                      </c:pt>
                      <c:pt idx="37">
                        <c:v>19947</c:v>
                      </c:pt>
                      <c:pt idx="38">
                        <c:v>20876</c:v>
                      </c:pt>
                      <c:pt idx="39">
                        <c:v>21443</c:v>
                      </c:pt>
                      <c:pt idx="40">
                        <c:v>21826</c:v>
                      </c:pt>
                      <c:pt idx="41">
                        <c:v>22568</c:v>
                      </c:pt>
                      <c:pt idx="42">
                        <c:v>23219</c:v>
                      </c:pt>
                      <c:pt idx="43">
                        <c:v>23889</c:v>
                      </c:pt>
                      <c:pt idx="44">
                        <c:v>24557</c:v>
                      </c:pt>
                      <c:pt idx="45">
                        <c:v>25007</c:v>
                      </c:pt>
                      <c:pt idx="46">
                        <c:v>25470</c:v>
                      </c:pt>
                      <c:pt idx="47">
                        <c:v>25743</c:v>
                      </c:pt>
                      <c:pt idx="48">
                        <c:v>25994</c:v>
                      </c:pt>
                      <c:pt idx="49">
                        <c:v>26316</c:v>
                      </c:pt>
                      <c:pt idx="50">
                        <c:v>26634</c:v>
                      </c:pt>
                      <c:pt idx="51">
                        <c:v>26933</c:v>
                      </c:pt>
                      <c:pt idx="52">
                        <c:v>27248</c:v>
                      </c:pt>
                      <c:pt idx="53">
                        <c:v>27541</c:v>
                      </c:pt>
                      <c:pt idx="54">
                        <c:v>27718</c:v>
                      </c:pt>
                      <c:pt idx="55">
                        <c:v>27921</c:v>
                      </c:pt>
                      <c:pt idx="56">
                        <c:v>28080</c:v>
                      </c:pt>
                      <c:pt idx="57">
                        <c:v>28277</c:v>
                      </c:pt>
                      <c:pt idx="58">
                        <c:v>28495</c:v>
                      </c:pt>
                      <c:pt idx="59">
                        <c:v>28684</c:v>
                      </c:pt>
                      <c:pt idx="60">
                        <c:v>28821</c:v>
                      </c:pt>
                      <c:pt idx="61">
                        <c:v>28889</c:v>
                      </c:pt>
                      <c:pt idx="62">
                        <c:v>28994</c:v>
                      </c:pt>
                      <c:pt idx="63">
                        <c:v>28995</c:v>
                      </c:pt>
                    </c:numCache>
                  </c:numRef>
                </c:val>
                <c:extLst xmlns:c15="http://schemas.microsoft.com/office/drawing/2012/chart">
                  <c:ext xmlns:c16="http://schemas.microsoft.com/office/drawing/2014/chart" uri="{C3380CC4-5D6E-409C-BE32-E72D297353CC}">
                    <c16:uniqueId val="{00000003-0070-4142-9DD7-3059914A0F04}"/>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ch_latest!$H$2:$H$65</c15:sqref>
                        </c15:formulaRef>
                      </c:ext>
                    </c:extLst>
                    <c:numCache>
                      <c:formatCode>General</c:formatCode>
                      <c:ptCount val="64"/>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10808</c:v>
                      </c:pt>
                      <c:pt idx="32">
                        <c:v>11401</c:v>
                      </c:pt>
                      <c:pt idx="33">
                        <c:v>11710</c:v>
                      </c:pt>
                      <c:pt idx="34">
                        <c:v>12376</c:v>
                      </c:pt>
                      <c:pt idx="35">
                        <c:v>13136</c:v>
                      </c:pt>
                      <c:pt idx="36">
                        <c:v>13794</c:v>
                      </c:pt>
                      <c:pt idx="37">
                        <c:v>14743</c:v>
                      </c:pt>
                      <c:pt idx="38">
                        <c:v>15572</c:v>
                      </c:pt>
                      <c:pt idx="39">
                        <c:v>16167</c:v>
                      </c:pt>
                      <c:pt idx="40">
                        <c:v>16468</c:v>
                      </c:pt>
                      <c:pt idx="41">
                        <c:v>17111</c:v>
                      </c:pt>
                      <c:pt idx="42">
                        <c:v>17953</c:v>
                      </c:pt>
                      <c:pt idx="43">
                        <c:v>18762</c:v>
                      </c:pt>
                      <c:pt idx="44">
                        <c:v>19279</c:v>
                      </c:pt>
                      <c:pt idx="45">
                        <c:v>19695</c:v>
                      </c:pt>
                      <c:pt idx="46">
                        <c:v>20057</c:v>
                      </c:pt>
                      <c:pt idx="47">
                        <c:v>20233</c:v>
                      </c:pt>
                      <c:pt idx="48">
                        <c:v>20538</c:v>
                      </c:pt>
                      <c:pt idx="49">
                        <c:v>21085</c:v>
                      </c:pt>
                      <c:pt idx="50">
                        <c:v>21546</c:v>
                      </c:pt>
                      <c:pt idx="51">
                        <c:v>22229</c:v>
                      </c:pt>
                      <c:pt idx="52">
                        <c:v>22670</c:v>
                      </c:pt>
                      <c:pt idx="53">
                        <c:v>23112</c:v>
                      </c:pt>
                      <c:pt idx="54">
                        <c:v>23294</c:v>
                      </c:pt>
                      <c:pt idx="55">
                        <c:v>23672</c:v>
                      </c:pt>
                      <c:pt idx="56">
                        <c:v>24051</c:v>
                      </c:pt>
                      <c:pt idx="57">
                        <c:v>24414</c:v>
                      </c:pt>
                      <c:pt idx="58">
                        <c:v>24872</c:v>
                      </c:pt>
                      <c:pt idx="59">
                        <c:v>25236</c:v>
                      </c:pt>
                      <c:pt idx="60">
                        <c:v>25600</c:v>
                      </c:pt>
                      <c:pt idx="61">
                        <c:v>25797</c:v>
                      </c:pt>
                      <c:pt idx="62">
                        <c:v>25797</c:v>
                      </c:pt>
                      <c:pt idx="63">
                        <c:v>25797</c:v>
                      </c:pt>
                    </c:numCache>
                  </c:numRef>
                </c:val>
                <c:extLst xmlns:c15="http://schemas.microsoft.com/office/drawing/2012/chart">
                  <c:ext xmlns:c16="http://schemas.microsoft.com/office/drawing/2014/chart" uri="{C3380CC4-5D6E-409C-BE32-E72D297353CC}">
                    <c16:uniqueId val="{00000004-0070-4142-9DD7-3059914A0F04}"/>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ch_latest!$I$2:$I$65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4638</c:v>
                      </c:pt>
                      <c:pt idx="63">
                        <c:v>4638</c:v>
                      </c:pt>
                    </c:numCache>
                  </c:numRef>
                </c:val>
                <c:extLst xmlns:c15="http://schemas.microsoft.com/office/drawing/2012/chart">
                  <c:ext xmlns:c16="http://schemas.microsoft.com/office/drawing/2014/chart" uri="{C3380CC4-5D6E-409C-BE32-E72D297353CC}">
                    <c16:uniqueId val="{00000005-0070-4142-9DD7-3059914A0F04}"/>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ch_latest!$J$2:$J$65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246</c:v>
                      </c:pt>
                      <c:pt idx="31">
                        <c:v>282</c:v>
                      </c:pt>
                      <c:pt idx="32">
                        <c:v>334</c:v>
                      </c:pt>
                      <c:pt idx="33">
                        <c:v>378</c:v>
                      </c:pt>
                      <c:pt idx="34">
                        <c:v>437</c:v>
                      </c:pt>
                      <c:pt idx="35">
                        <c:v>503</c:v>
                      </c:pt>
                      <c:pt idx="36">
                        <c:v>566</c:v>
                      </c:pt>
                      <c:pt idx="37">
                        <c:v>627</c:v>
                      </c:pt>
                      <c:pt idx="38">
                        <c:v>688</c:v>
                      </c:pt>
                      <c:pt idx="39">
                        <c:v>754</c:v>
                      </c:pt>
                      <c:pt idx="40">
                        <c:v>806</c:v>
                      </c:pt>
                      <c:pt idx="41">
                        <c:v>865</c:v>
                      </c:pt>
                      <c:pt idx="42">
                        <c:v>925</c:v>
                      </c:pt>
                      <c:pt idx="43">
                        <c:v>993</c:v>
                      </c:pt>
                      <c:pt idx="44">
                        <c:v>1044</c:v>
                      </c:pt>
                      <c:pt idx="45">
                        <c:v>1094</c:v>
                      </c:pt>
                      <c:pt idx="46">
                        <c:v>1131</c:v>
                      </c:pt>
                      <c:pt idx="47">
                        <c:v>1187</c:v>
                      </c:pt>
                      <c:pt idx="48">
                        <c:v>1217</c:v>
                      </c:pt>
                      <c:pt idx="49">
                        <c:v>1255</c:v>
                      </c:pt>
                      <c:pt idx="50">
                        <c:v>1308</c:v>
                      </c:pt>
                      <c:pt idx="51">
                        <c:v>1353</c:v>
                      </c:pt>
                      <c:pt idx="52">
                        <c:v>1398</c:v>
                      </c:pt>
                      <c:pt idx="53">
                        <c:v>1440</c:v>
                      </c:pt>
                      <c:pt idx="54">
                        <c:v>1463</c:v>
                      </c:pt>
                      <c:pt idx="55">
                        <c:v>1504</c:v>
                      </c:pt>
                      <c:pt idx="56">
                        <c:v>1545</c:v>
                      </c:pt>
                      <c:pt idx="57">
                        <c:v>1571</c:v>
                      </c:pt>
                      <c:pt idx="58">
                        <c:v>1600</c:v>
                      </c:pt>
                      <c:pt idx="59">
                        <c:v>1625</c:v>
                      </c:pt>
                      <c:pt idx="60">
                        <c:v>1643</c:v>
                      </c:pt>
                      <c:pt idx="61">
                        <c:v>1655</c:v>
                      </c:pt>
                      <c:pt idx="62">
                        <c:v>1666</c:v>
                      </c:pt>
                      <c:pt idx="63">
                        <c:v>1666</c:v>
                      </c:pt>
                    </c:numCache>
                  </c:numRef>
                </c:val>
                <c:extLst xmlns:c15="http://schemas.microsoft.com/office/drawing/2012/chart">
                  <c:ext xmlns:c16="http://schemas.microsoft.com/office/drawing/2014/chart" uri="{C3380CC4-5D6E-409C-BE32-E72D297353CC}">
                    <c16:uniqueId val="{00000006-0070-4142-9DD7-3059914A0F04}"/>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ch_latest!$K$2:$K$65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val>
                <c:extLst xmlns:c15="http://schemas.microsoft.com/office/drawing/2012/chart">
                  <c:ext xmlns:c16="http://schemas.microsoft.com/office/drawing/2014/chart" uri="{C3380CC4-5D6E-409C-BE32-E72D297353CC}">
                    <c16:uniqueId val="{00000007-0070-4142-9DD7-3059914A0F04}"/>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ch_latest!$L$2:$L$65</c15:sqref>
                        </c15:formulaRef>
                      </c:ext>
                    </c:extLst>
                    <c:numCache>
                      <c:formatCode>General</c:formatCode>
                      <c:ptCount val="64"/>
                      <c:pt idx="1">
                        <c:v>1</c:v>
                      </c:pt>
                      <c:pt idx="2">
                        <c:v>4</c:v>
                      </c:pt>
                      <c:pt idx="3">
                        <c:v>7</c:v>
                      </c:pt>
                      <c:pt idx="4">
                        <c:v>7</c:v>
                      </c:pt>
                      <c:pt idx="5">
                        <c:v>7</c:v>
                      </c:pt>
                      <c:pt idx="6">
                        <c:v>10</c:v>
                      </c:pt>
                      <c:pt idx="7">
                        <c:v>17</c:v>
                      </c:pt>
                      <c:pt idx="8">
                        <c:v>20</c:v>
                      </c:pt>
                      <c:pt idx="9">
                        <c:v>44</c:v>
                      </c:pt>
                      <c:pt idx="10">
                        <c:v>65</c:v>
                      </c:pt>
                      <c:pt idx="11">
                        <c:v>72</c:v>
                      </c:pt>
                      <c:pt idx="12">
                        <c:v>57</c:v>
                      </c:pt>
                      <c:pt idx="13">
                        <c:v>84</c:v>
                      </c:pt>
                      <c:pt idx="14">
                        <c:v>137</c:v>
                      </c:pt>
                      <c:pt idx="15">
                        <c:v>171</c:v>
                      </c:pt>
                      <c:pt idx="16">
                        <c:v>352</c:v>
                      </c:pt>
                      <c:pt idx="17">
                        <c:v>352</c:v>
                      </c:pt>
                      <c:pt idx="18">
                        <c:v>335</c:v>
                      </c:pt>
                      <c:pt idx="19">
                        <c:v>279</c:v>
                      </c:pt>
                      <c:pt idx="20">
                        <c:v>728</c:v>
                      </c:pt>
                      <c:pt idx="21">
                        <c:v>871</c:v>
                      </c:pt>
                      <c:pt idx="22">
                        <c:v>1171</c:v>
                      </c:pt>
                      <c:pt idx="23">
                        <c:v>1026</c:v>
                      </c:pt>
                      <c:pt idx="24">
                        <c:v>1135</c:v>
                      </c:pt>
                      <c:pt idx="25">
                        <c:v>697</c:v>
                      </c:pt>
                      <c:pt idx="26">
                        <c:v>569</c:v>
                      </c:pt>
                      <c:pt idx="27">
                        <c:v>1560</c:v>
                      </c:pt>
                      <c:pt idx="28">
                        <c:v>1071</c:v>
                      </c:pt>
                      <c:pt idx="29">
                        <c:v>1094</c:v>
                      </c:pt>
                      <c:pt idx="30">
                        <c:v>1139</c:v>
                      </c:pt>
                      <c:pt idx="31">
                        <c:v>1308</c:v>
                      </c:pt>
                      <c:pt idx="32">
                        <c:v>833</c:v>
                      </c:pt>
                      <c:pt idx="33">
                        <c:v>598</c:v>
                      </c:pt>
                      <c:pt idx="34">
                        <c:v>1115</c:v>
                      </c:pt>
                      <c:pt idx="35">
                        <c:v>938</c:v>
                      </c:pt>
                      <c:pt idx="36">
                        <c:v>1027</c:v>
                      </c:pt>
                      <c:pt idx="37">
                        <c:v>1045</c:v>
                      </c:pt>
                      <c:pt idx="38">
                        <c:v>929</c:v>
                      </c:pt>
                      <c:pt idx="39">
                        <c:v>567</c:v>
                      </c:pt>
                      <c:pt idx="40">
                        <c:v>383</c:v>
                      </c:pt>
                      <c:pt idx="41">
                        <c:v>742</c:v>
                      </c:pt>
                      <c:pt idx="42">
                        <c:v>651</c:v>
                      </c:pt>
                      <c:pt idx="43">
                        <c:v>670</c:v>
                      </c:pt>
                      <c:pt idx="44">
                        <c:v>668</c:v>
                      </c:pt>
                      <c:pt idx="45">
                        <c:v>450</c:v>
                      </c:pt>
                      <c:pt idx="46">
                        <c:v>463</c:v>
                      </c:pt>
                      <c:pt idx="47">
                        <c:v>273</c:v>
                      </c:pt>
                      <c:pt idx="48">
                        <c:v>251</c:v>
                      </c:pt>
                      <c:pt idx="49">
                        <c:v>322</c:v>
                      </c:pt>
                      <c:pt idx="50">
                        <c:v>318</c:v>
                      </c:pt>
                      <c:pt idx="51">
                        <c:v>299</c:v>
                      </c:pt>
                      <c:pt idx="52">
                        <c:v>315</c:v>
                      </c:pt>
                      <c:pt idx="53">
                        <c:v>293</c:v>
                      </c:pt>
                      <c:pt idx="54">
                        <c:v>177</c:v>
                      </c:pt>
                      <c:pt idx="55">
                        <c:v>203</c:v>
                      </c:pt>
                      <c:pt idx="56">
                        <c:v>159</c:v>
                      </c:pt>
                      <c:pt idx="57">
                        <c:v>197</c:v>
                      </c:pt>
                      <c:pt idx="58">
                        <c:v>218</c:v>
                      </c:pt>
                      <c:pt idx="59">
                        <c:v>189</c:v>
                      </c:pt>
                      <c:pt idx="60">
                        <c:v>137</c:v>
                      </c:pt>
                      <c:pt idx="61">
                        <c:v>68</c:v>
                      </c:pt>
                      <c:pt idx="62">
                        <c:v>105</c:v>
                      </c:pt>
                      <c:pt idx="63">
                        <c:v>1</c:v>
                      </c:pt>
                    </c:numCache>
                  </c:numRef>
                </c:val>
                <c:extLst xmlns:c15="http://schemas.microsoft.com/office/drawing/2012/chart">
                  <c:ext xmlns:c16="http://schemas.microsoft.com/office/drawing/2014/chart" uri="{C3380CC4-5D6E-409C-BE32-E72D297353CC}">
                    <c16:uniqueId val="{00000008-0070-4142-9DD7-3059914A0F04}"/>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ch_latest!$M$2:$M$65</c15:sqref>
                        </c15:formulaRef>
                      </c:ext>
                    </c:extLst>
                    <c:numCache>
                      <c:formatCode>General</c:formatCode>
                      <c:ptCount val="64"/>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533</c:v>
                      </c:pt>
                      <c:pt idx="16">
                        <c:v>704</c:v>
                      </c:pt>
                      <c:pt idx="17">
                        <c:v>1056</c:v>
                      </c:pt>
                      <c:pt idx="18">
                        <c:v>1408</c:v>
                      </c:pt>
                      <c:pt idx="19">
                        <c:v>1743</c:v>
                      </c:pt>
                      <c:pt idx="20">
                        <c:v>2022</c:v>
                      </c:pt>
                      <c:pt idx="21">
                        <c:v>2750</c:v>
                      </c:pt>
                      <c:pt idx="22">
                        <c:v>3621</c:v>
                      </c:pt>
                      <c:pt idx="23">
                        <c:v>4792</c:v>
                      </c:pt>
                      <c:pt idx="24">
                        <c:v>5818</c:v>
                      </c:pt>
                      <c:pt idx="25">
                        <c:v>6953</c:v>
                      </c:pt>
                      <c:pt idx="26">
                        <c:v>7650</c:v>
                      </c:pt>
                      <c:pt idx="27">
                        <c:v>8219</c:v>
                      </c:pt>
                      <c:pt idx="28">
                        <c:v>9779</c:v>
                      </c:pt>
                      <c:pt idx="29">
                        <c:v>10850</c:v>
                      </c:pt>
                      <c:pt idx="30">
                        <c:v>11944</c:v>
                      </c:pt>
                      <c:pt idx="31">
                        <c:v>13083</c:v>
                      </c:pt>
                      <c:pt idx="32">
                        <c:v>14391</c:v>
                      </c:pt>
                      <c:pt idx="33">
                        <c:v>15224</c:v>
                      </c:pt>
                      <c:pt idx="34">
                        <c:v>15822</c:v>
                      </c:pt>
                      <c:pt idx="35">
                        <c:v>16937</c:v>
                      </c:pt>
                      <c:pt idx="36">
                        <c:v>17875</c:v>
                      </c:pt>
                      <c:pt idx="37">
                        <c:v>18902</c:v>
                      </c:pt>
                      <c:pt idx="38">
                        <c:v>19947</c:v>
                      </c:pt>
                      <c:pt idx="39">
                        <c:v>20876</c:v>
                      </c:pt>
                      <c:pt idx="40">
                        <c:v>21443</c:v>
                      </c:pt>
                      <c:pt idx="41">
                        <c:v>21826</c:v>
                      </c:pt>
                      <c:pt idx="42">
                        <c:v>22568</c:v>
                      </c:pt>
                      <c:pt idx="43">
                        <c:v>23219</c:v>
                      </c:pt>
                      <c:pt idx="44">
                        <c:v>23889</c:v>
                      </c:pt>
                      <c:pt idx="45">
                        <c:v>24557</c:v>
                      </c:pt>
                      <c:pt idx="46">
                        <c:v>25007</c:v>
                      </c:pt>
                      <c:pt idx="47">
                        <c:v>25470</c:v>
                      </c:pt>
                      <c:pt idx="48">
                        <c:v>25743</c:v>
                      </c:pt>
                      <c:pt idx="49">
                        <c:v>25994</c:v>
                      </c:pt>
                      <c:pt idx="50">
                        <c:v>26316</c:v>
                      </c:pt>
                      <c:pt idx="51">
                        <c:v>26634</c:v>
                      </c:pt>
                      <c:pt idx="52">
                        <c:v>26933</c:v>
                      </c:pt>
                      <c:pt idx="53">
                        <c:v>27248</c:v>
                      </c:pt>
                      <c:pt idx="54">
                        <c:v>27541</c:v>
                      </c:pt>
                      <c:pt idx="55">
                        <c:v>27718</c:v>
                      </c:pt>
                      <c:pt idx="56">
                        <c:v>27921</c:v>
                      </c:pt>
                      <c:pt idx="57">
                        <c:v>28080</c:v>
                      </c:pt>
                      <c:pt idx="58">
                        <c:v>28277</c:v>
                      </c:pt>
                      <c:pt idx="59">
                        <c:v>28495</c:v>
                      </c:pt>
                      <c:pt idx="60">
                        <c:v>28684</c:v>
                      </c:pt>
                      <c:pt idx="61">
                        <c:v>28821</c:v>
                      </c:pt>
                      <c:pt idx="62">
                        <c:v>28889</c:v>
                      </c:pt>
                      <c:pt idx="63">
                        <c:v>28994</c:v>
                      </c:pt>
                    </c:numCache>
                  </c:numRef>
                </c:val>
                <c:extLst xmlns:c15="http://schemas.microsoft.com/office/drawing/2012/chart">
                  <c:ext xmlns:c16="http://schemas.microsoft.com/office/drawing/2014/chart" uri="{C3380CC4-5D6E-409C-BE32-E72D297353CC}">
                    <c16:uniqueId val="{00000009-0070-4142-9DD7-3059914A0F04}"/>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ch_latest!$N$2:$N$65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val>
                <c:extLst xmlns:c15="http://schemas.microsoft.com/office/drawing/2012/chart">
                  <c:ext xmlns:c16="http://schemas.microsoft.com/office/drawing/2014/chart" uri="{C3380CC4-5D6E-409C-BE32-E72D297353CC}">
                    <c16:uniqueId val="{0000000A-0070-4142-9DD7-3059914A0F04}"/>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ch_latest!$O$2:$O$65</c15:sqref>
                        </c15:formulaRef>
                      </c:ext>
                    </c:extLst>
                    <c:numCache>
                      <c:formatCode>General</c:formatCode>
                      <c:ptCount val="64"/>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46</c:v>
                      </c:pt>
                      <c:pt idx="31">
                        <c:v>36</c:v>
                      </c:pt>
                      <c:pt idx="32">
                        <c:v>52</c:v>
                      </c:pt>
                      <c:pt idx="33">
                        <c:v>44</c:v>
                      </c:pt>
                      <c:pt idx="34">
                        <c:v>59</c:v>
                      </c:pt>
                      <c:pt idx="35">
                        <c:v>66</c:v>
                      </c:pt>
                      <c:pt idx="36">
                        <c:v>63</c:v>
                      </c:pt>
                      <c:pt idx="37">
                        <c:v>61</c:v>
                      </c:pt>
                      <c:pt idx="38">
                        <c:v>61</c:v>
                      </c:pt>
                      <c:pt idx="39">
                        <c:v>66</c:v>
                      </c:pt>
                      <c:pt idx="40">
                        <c:v>52</c:v>
                      </c:pt>
                      <c:pt idx="41">
                        <c:v>59</c:v>
                      </c:pt>
                      <c:pt idx="42">
                        <c:v>60</c:v>
                      </c:pt>
                      <c:pt idx="43">
                        <c:v>68</c:v>
                      </c:pt>
                      <c:pt idx="44">
                        <c:v>51</c:v>
                      </c:pt>
                      <c:pt idx="45">
                        <c:v>50</c:v>
                      </c:pt>
                      <c:pt idx="46">
                        <c:v>37</c:v>
                      </c:pt>
                      <c:pt idx="47">
                        <c:v>56</c:v>
                      </c:pt>
                      <c:pt idx="48">
                        <c:v>30</c:v>
                      </c:pt>
                      <c:pt idx="49">
                        <c:v>38</c:v>
                      </c:pt>
                      <c:pt idx="50">
                        <c:v>53</c:v>
                      </c:pt>
                      <c:pt idx="51">
                        <c:v>45</c:v>
                      </c:pt>
                      <c:pt idx="52">
                        <c:v>45</c:v>
                      </c:pt>
                      <c:pt idx="53">
                        <c:v>42</c:v>
                      </c:pt>
                      <c:pt idx="54">
                        <c:v>23</c:v>
                      </c:pt>
                      <c:pt idx="55">
                        <c:v>41</c:v>
                      </c:pt>
                      <c:pt idx="56">
                        <c:v>41</c:v>
                      </c:pt>
                      <c:pt idx="57">
                        <c:v>26</c:v>
                      </c:pt>
                      <c:pt idx="58">
                        <c:v>29</c:v>
                      </c:pt>
                      <c:pt idx="59">
                        <c:v>25</c:v>
                      </c:pt>
                      <c:pt idx="60">
                        <c:v>18</c:v>
                      </c:pt>
                      <c:pt idx="61">
                        <c:v>12</c:v>
                      </c:pt>
                      <c:pt idx="62">
                        <c:v>11</c:v>
                      </c:pt>
                      <c:pt idx="63">
                        <c:v>0</c:v>
                      </c:pt>
                    </c:numCache>
                  </c:numRef>
                </c:val>
                <c:extLst xmlns:c15="http://schemas.microsoft.com/office/drawing/2012/chart">
                  <c:ext xmlns:c16="http://schemas.microsoft.com/office/drawing/2014/chart" uri="{C3380CC4-5D6E-409C-BE32-E72D297353CC}">
                    <c16:uniqueId val="{0000000B-0070-4142-9DD7-3059914A0F04}"/>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ch_latest!$P$2:$P$65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246</c:v>
                      </c:pt>
                      <c:pt idx="32">
                        <c:v>282</c:v>
                      </c:pt>
                      <c:pt idx="33">
                        <c:v>334</c:v>
                      </c:pt>
                      <c:pt idx="34">
                        <c:v>378</c:v>
                      </c:pt>
                      <c:pt idx="35">
                        <c:v>437</c:v>
                      </c:pt>
                      <c:pt idx="36">
                        <c:v>503</c:v>
                      </c:pt>
                      <c:pt idx="37">
                        <c:v>566</c:v>
                      </c:pt>
                      <c:pt idx="38">
                        <c:v>627</c:v>
                      </c:pt>
                      <c:pt idx="39">
                        <c:v>688</c:v>
                      </c:pt>
                      <c:pt idx="40">
                        <c:v>754</c:v>
                      </c:pt>
                      <c:pt idx="41">
                        <c:v>806</c:v>
                      </c:pt>
                      <c:pt idx="42">
                        <c:v>865</c:v>
                      </c:pt>
                      <c:pt idx="43">
                        <c:v>925</c:v>
                      </c:pt>
                      <c:pt idx="44">
                        <c:v>993</c:v>
                      </c:pt>
                      <c:pt idx="45">
                        <c:v>1044</c:v>
                      </c:pt>
                      <c:pt idx="46">
                        <c:v>1094</c:v>
                      </c:pt>
                      <c:pt idx="47">
                        <c:v>1131</c:v>
                      </c:pt>
                      <c:pt idx="48">
                        <c:v>1187</c:v>
                      </c:pt>
                      <c:pt idx="49">
                        <c:v>1217</c:v>
                      </c:pt>
                      <c:pt idx="50">
                        <c:v>1255</c:v>
                      </c:pt>
                      <c:pt idx="51">
                        <c:v>1308</c:v>
                      </c:pt>
                      <c:pt idx="52">
                        <c:v>1353</c:v>
                      </c:pt>
                      <c:pt idx="53">
                        <c:v>1398</c:v>
                      </c:pt>
                      <c:pt idx="54">
                        <c:v>1440</c:v>
                      </c:pt>
                      <c:pt idx="55">
                        <c:v>1463</c:v>
                      </c:pt>
                      <c:pt idx="56">
                        <c:v>1504</c:v>
                      </c:pt>
                      <c:pt idx="57">
                        <c:v>1545</c:v>
                      </c:pt>
                      <c:pt idx="58">
                        <c:v>1571</c:v>
                      </c:pt>
                      <c:pt idx="59">
                        <c:v>1600</c:v>
                      </c:pt>
                      <c:pt idx="60">
                        <c:v>1625</c:v>
                      </c:pt>
                      <c:pt idx="61">
                        <c:v>1643</c:v>
                      </c:pt>
                      <c:pt idx="62">
                        <c:v>1655</c:v>
                      </c:pt>
                      <c:pt idx="63">
                        <c:v>1666</c:v>
                      </c:pt>
                    </c:numCache>
                  </c:numRef>
                </c:val>
                <c:extLst xmlns:c15="http://schemas.microsoft.com/office/drawing/2012/chart">
                  <c:ext xmlns:c16="http://schemas.microsoft.com/office/drawing/2014/chart" uri="{C3380CC4-5D6E-409C-BE32-E72D297353CC}">
                    <c16:uniqueId val="{0000000C-0070-4142-9DD7-3059914A0F04}"/>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ch_latest!$R$2:$R$65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3.7656139999999998</c:v>
                      </c:pt>
                      <c:pt idx="31">
                        <c:v>3.7896809999999999</c:v>
                      </c:pt>
                      <c:pt idx="32">
                        <c:v>4.0855249999999996</c:v>
                      </c:pt>
                      <c:pt idx="33">
                        <c:v>4.1808810000000003</c:v>
                      </c:pt>
                      <c:pt idx="34">
                        <c:v>4.4340659999999996</c:v>
                      </c:pt>
                      <c:pt idx="35">
                        <c:v>4.8454300000000003</c:v>
                      </c:pt>
                      <c:pt idx="36">
                        <c:v>4.9745949999999999</c:v>
                      </c:pt>
                      <c:pt idx="37">
                        <c:v>5.5028670000000002</c:v>
                      </c:pt>
                      <c:pt idx="38">
                        <c:v>5.7868870000000001</c:v>
                      </c:pt>
                      <c:pt idx="39">
                        <c:v>6.3537949999999999</c:v>
                      </c:pt>
                      <c:pt idx="40">
                        <c:v>7.3505479999999999</c:v>
                      </c:pt>
                      <c:pt idx="41">
                        <c:v>8.1712950000000006</c:v>
                      </c:pt>
                      <c:pt idx="42">
                        <c:v>8.9128480000000003</c:v>
                      </c:pt>
                      <c:pt idx="43">
                        <c:v>9.4449190000000005</c:v>
                      </c:pt>
                      <c:pt idx="44">
                        <c:v>10.649960999999999</c:v>
                      </c:pt>
                      <c:pt idx="45">
                        <c:v>11.344016999999999</c:v>
                      </c:pt>
                      <c:pt idx="46">
                        <c:v>12.925678</c:v>
                      </c:pt>
                      <c:pt idx="47">
                        <c:v>13.896815</c:v>
                      </c:pt>
                      <c:pt idx="48">
                        <c:v>17.037890999999998</c:v>
                      </c:pt>
                      <c:pt idx="49">
                        <c:v>18.827736000000002</c:v>
                      </c:pt>
                      <c:pt idx="50">
                        <c:v>19.398657</c:v>
                      </c:pt>
                      <c:pt idx="51">
                        <c:v>19.337654000000001</c:v>
                      </c:pt>
                      <c:pt idx="52">
                        <c:v>21.182452999999999</c:v>
                      </c:pt>
                      <c:pt idx="53">
                        <c:v>20.598201</c:v>
                      </c:pt>
                      <c:pt idx="54">
                        <c:v>22.599646</c:v>
                      </c:pt>
                      <c:pt idx="55">
                        <c:v>24.821037</c:v>
                      </c:pt>
                      <c:pt idx="56">
                        <c:v>26.117162</c:v>
                      </c:pt>
                      <c:pt idx="57">
                        <c:v>29.705531000000001</c:v>
                      </c:pt>
                      <c:pt idx="58">
                        <c:v>32.894067</c:v>
                      </c:pt>
                      <c:pt idx="59">
                        <c:v>33.001133000000003</c:v>
                      </c:pt>
                      <c:pt idx="60">
                        <c:v>39.207102999999996</c:v>
                      </c:pt>
                      <c:pt idx="61">
                        <c:v>50.390841999999999</c:v>
                      </c:pt>
                      <c:pt idx="62">
                        <c:v>59.028238999999999</c:v>
                      </c:pt>
                      <c:pt idx="63">
                        <c:v>85.739034000000004</c:v>
                      </c:pt>
                    </c:numCache>
                  </c:numRef>
                </c:val>
                <c:extLst xmlns:c15="http://schemas.microsoft.com/office/drawing/2012/chart">
                  <c:ext xmlns:c16="http://schemas.microsoft.com/office/drawing/2014/chart" uri="{C3380CC4-5D6E-409C-BE32-E72D297353CC}">
                    <c16:uniqueId val="{00000001-84A1-4D71-B585-618A414EE633}"/>
                  </c:ext>
                </c:extLst>
              </c15:ser>
            </c15:filteredBarSeries>
          </c:ext>
        </c:extLst>
      </c:barChart>
      <c:dateAx>
        <c:axId val="89998336"/>
        <c:scaling>
          <c:orientation val="minMax"/>
          <c:min val="10"/>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0938272"/>
        <c:crosses val="autoZero"/>
        <c:auto val="1"/>
        <c:lblOffset val="100"/>
        <c:baseTimeUnit val="days"/>
        <c:majorUnit val="2"/>
        <c:majorTimeUnit val="days"/>
        <c:minorUnit val="2"/>
        <c:minorTimeUnit val="days"/>
      </c:dateAx>
      <c:valAx>
        <c:axId val="1093827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89998336"/>
        <c:crosses val="autoZero"/>
        <c:crossBetween val="midCat"/>
      </c:valAx>
      <c:spPr>
        <a:noFill/>
        <a:ln>
          <a:noFill/>
        </a:ln>
        <a:effectLst/>
      </c:spPr>
    </c:plotArea>
    <c:legend>
      <c:legendPos val="b"/>
      <c:layout>
        <c:manualLayout>
          <c:xMode val="edge"/>
          <c:yMode val="edge"/>
          <c:x val="7.3463854808846568E-2"/>
          <c:y val="0.89577464376841476"/>
          <c:w val="0.21076776050797077"/>
          <c:h val="3.5174822052959354E-2"/>
        </c:manualLayout>
      </c:layout>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[covid-19-ch-dashboard-excel_0.10.xlsm]pivot2!PivotTable2</c:name>
    <c:fmtId val="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80796803384655E-2"/>
          <c:y val="0.14475526069657627"/>
          <c:w val="0.85084545775061704"/>
          <c:h val="0.77094491172786872"/>
        </c:manualLayout>
      </c:layout>
      <c:lineChart>
        <c:grouping val="standard"/>
        <c:varyColors val="0"/>
        <c:ser>
          <c:idx val="0"/>
          <c:order val="0"/>
          <c:tx>
            <c:strRef>
              <c:f>pivot2!$B$3:$B$4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pivot2!$B$5:$B$68</c:f>
              <c:numCache>
                <c:formatCode>General</c:formatCode>
                <c:ptCount val="64"/>
                <c:pt idx="16">
                  <c:v>0</c:v>
                </c:pt>
                <c:pt idx="17">
                  <c:v>0</c:v>
                </c:pt>
                <c:pt idx="18">
                  <c:v>0</c:v>
                </c:pt>
                <c:pt idx="19">
                  <c:v>0</c:v>
                </c:pt>
                <c:pt idx="20">
                  <c:v>0</c:v>
                </c:pt>
                <c:pt idx="21">
                  <c:v>0</c:v>
                </c:pt>
                <c:pt idx="22">
                  <c:v>0</c:v>
                </c:pt>
                <c:pt idx="23">
                  <c:v>0</c:v>
                </c:pt>
                <c:pt idx="24">
                  <c:v>1</c:v>
                </c:pt>
                <c:pt idx="25">
                  <c:v>1</c:v>
                </c:pt>
                <c:pt idx="26">
                  <c:v>2</c:v>
                </c:pt>
                <c:pt idx="27">
                  <c:v>3</c:v>
                </c:pt>
                <c:pt idx="28">
                  <c:v>4</c:v>
                </c:pt>
                <c:pt idx="29">
                  <c:v>5</c:v>
                </c:pt>
                <c:pt idx="30">
                  <c:v>6</c:v>
                </c:pt>
                <c:pt idx="31">
                  <c:v>11</c:v>
                </c:pt>
                <c:pt idx="32">
                  <c:v>14</c:v>
                </c:pt>
                <c:pt idx="33">
                  <c:v>15</c:v>
                </c:pt>
                <c:pt idx="34">
                  <c:v>15</c:v>
                </c:pt>
                <c:pt idx="35">
                  <c:v>17</c:v>
                </c:pt>
                <c:pt idx="36">
                  <c:v>20</c:v>
                </c:pt>
                <c:pt idx="37">
                  <c:v>23</c:v>
                </c:pt>
                <c:pt idx="38">
                  <c:v>26</c:v>
                </c:pt>
                <c:pt idx="39">
                  <c:v>31</c:v>
                </c:pt>
                <c:pt idx="40">
                  <c:v>37</c:v>
                </c:pt>
                <c:pt idx="41">
                  <c:v>40</c:v>
                </c:pt>
                <c:pt idx="42">
                  <c:v>41</c:v>
                </c:pt>
                <c:pt idx="43">
                  <c:v>44</c:v>
                </c:pt>
                <c:pt idx="44">
                  <c:v>45</c:v>
                </c:pt>
                <c:pt idx="45">
                  <c:v>46</c:v>
                </c:pt>
                <c:pt idx="46">
                  <c:v>49</c:v>
                </c:pt>
                <c:pt idx="47">
                  <c:v>53</c:v>
                </c:pt>
                <c:pt idx="48">
                  <c:v>54</c:v>
                </c:pt>
                <c:pt idx="49">
                  <c:v>55</c:v>
                </c:pt>
                <c:pt idx="50">
                  <c:v>57</c:v>
                </c:pt>
                <c:pt idx="51">
                  <c:v>63</c:v>
                </c:pt>
                <c:pt idx="52">
                  <c:v>65</c:v>
                </c:pt>
                <c:pt idx="53">
                  <c:v>67</c:v>
                </c:pt>
                <c:pt idx="54">
                  <c:v>69</c:v>
                </c:pt>
                <c:pt idx="55">
                  <c:v>71</c:v>
                </c:pt>
                <c:pt idx="56">
                  <c:v>72</c:v>
                </c:pt>
                <c:pt idx="57">
                  <c:v>74</c:v>
                </c:pt>
                <c:pt idx="58">
                  <c:v>76</c:v>
                </c:pt>
                <c:pt idx="59">
                  <c:v>76</c:v>
                </c:pt>
                <c:pt idx="60">
                  <c:v>76</c:v>
                </c:pt>
                <c:pt idx="61">
                  <c:v>76</c:v>
                </c:pt>
                <c:pt idx="62">
                  <c:v>77</c:v>
                </c:pt>
                <c:pt idx="63">
                  <c:v>78</c:v>
                </c:pt>
              </c:numCache>
            </c:numRef>
          </c:val>
          <c:smooth val="0"/>
          <c:extLst>
            <c:ext xmlns:c16="http://schemas.microsoft.com/office/drawing/2014/chart" uri="{C3380CC4-5D6E-409C-BE32-E72D297353CC}">
              <c16:uniqueId val="{00000000-DF24-4A54-98BF-6043682D6CB0}"/>
            </c:ext>
          </c:extLst>
        </c:ser>
        <c:ser>
          <c:idx val="1"/>
          <c:order val="1"/>
          <c:tx>
            <c:strRef>
              <c:f>pivot2!$C$3:$C$4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pivot2!$C$5:$C$68</c:f>
              <c:numCache>
                <c:formatCode>General</c:formatCode>
                <c:ptCount val="64"/>
                <c:pt idx="28">
                  <c:v>1</c:v>
                </c:pt>
                <c:pt idx="29">
                  <c:v>1</c:v>
                </c:pt>
                <c:pt idx="30">
                  <c:v>1</c:v>
                </c:pt>
                <c:pt idx="31">
                  <c:v>1</c:v>
                </c:pt>
                <c:pt idx="32">
                  <c:v>1</c:v>
                </c:pt>
                <c:pt idx="33">
                  <c:v>1</c:v>
                </c:pt>
                <c:pt idx="34">
                  <c:v>2</c:v>
                </c:pt>
                <c:pt idx="36">
                  <c:v>2</c:v>
                </c:pt>
                <c:pt idx="37">
                  <c:v>3</c:v>
                </c:pt>
                <c:pt idx="38">
                  <c:v>3</c:v>
                </c:pt>
                <c:pt idx="39">
                  <c:v>3</c:v>
                </c:pt>
                <c:pt idx="40">
                  <c:v>3</c:v>
                </c:pt>
                <c:pt idx="41">
                  <c:v>3</c:v>
                </c:pt>
                <c:pt idx="42">
                  <c:v>3</c:v>
                </c:pt>
                <c:pt idx="43">
                  <c:v>3</c:v>
                </c:pt>
                <c:pt idx="44">
                  <c:v>3</c:v>
                </c:pt>
                <c:pt idx="45">
                  <c:v>5</c:v>
                </c:pt>
                <c:pt idx="46">
                  <c:v>5</c:v>
                </c:pt>
                <c:pt idx="47">
                  <c:v>6</c:v>
                </c:pt>
                <c:pt idx="48">
                  <c:v>7</c:v>
                </c:pt>
                <c:pt idx="49">
                  <c:v>7</c:v>
                </c:pt>
                <c:pt idx="50">
                  <c:v>8</c:v>
                </c:pt>
                <c:pt idx="51">
                  <c:v>8</c:v>
                </c:pt>
                <c:pt idx="52">
                  <c:v>8</c:v>
                </c:pt>
                <c:pt idx="53">
                  <c:v>9</c:v>
                </c:pt>
                <c:pt idx="54">
                  <c:v>10</c:v>
                </c:pt>
                <c:pt idx="55">
                  <c:v>11</c:v>
                </c:pt>
                <c:pt idx="56">
                  <c:v>11</c:v>
                </c:pt>
                <c:pt idx="57">
                  <c:v>11</c:v>
                </c:pt>
                <c:pt idx="58">
                  <c:v>11</c:v>
                </c:pt>
                <c:pt idx="59">
                  <c:v>12</c:v>
                </c:pt>
                <c:pt idx="60">
                  <c:v>14</c:v>
                </c:pt>
                <c:pt idx="61">
                  <c:v>14</c:v>
                </c:pt>
                <c:pt idx="62">
                  <c:v>15</c:v>
                </c:pt>
                <c:pt idx="63">
                  <c:v>15</c:v>
                </c:pt>
              </c:numCache>
            </c:numRef>
          </c:val>
          <c:smooth val="0"/>
          <c:extLst>
            <c:ext xmlns:c16="http://schemas.microsoft.com/office/drawing/2014/chart" uri="{C3380CC4-5D6E-409C-BE32-E72D297353CC}">
              <c16:uniqueId val="{00000001-DF24-4A54-98BF-6043682D6CB0}"/>
            </c:ext>
          </c:extLst>
        </c:ser>
        <c:ser>
          <c:idx val="2"/>
          <c:order val="2"/>
          <c:tx>
            <c:strRef>
              <c:f>pivot2!$D$3:$D$4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pivot2!$D$5:$D$68</c:f>
              <c:numCache>
                <c:formatCode>General</c:formatCode>
                <c:ptCount val="64"/>
                <c:pt idx="25">
                  <c:v>1</c:v>
                </c:pt>
                <c:pt idx="27">
                  <c:v>1</c:v>
                </c:pt>
                <c:pt idx="28">
                  <c:v>1</c:v>
                </c:pt>
                <c:pt idx="29">
                  <c:v>2</c:v>
                </c:pt>
                <c:pt idx="30">
                  <c:v>2</c:v>
                </c:pt>
                <c:pt idx="31">
                  <c:v>2</c:v>
                </c:pt>
                <c:pt idx="32">
                  <c:v>3</c:v>
                </c:pt>
                <c:pt idx="35">
                  <c:v>8</c:v>
                </c:pt>
                <c:pt idx="36">
                  <c:v>11</c:v>
                </c:pt>
                <c:pt idx="37">
                  <c:v>11</c:v>
                </c:pt>
                <c:pt idx="38">
                  <c:v>12</c:v>
                </c:pt>
                <c:pt idx="39">
                  <c:v>12</c:v>
                </c:pt>
                <c:pt idx="42">
                  <c:v>13</c:v>
                </c:pt>
                <c:pt idx="43">
                  <c:v>16</c:v>
                </c:pt>
                <c:pt idx="44">
                  <c:v>16</c:v>
                </c:pt>
                <c:pt idx="45">
                  <c:v>17</c:v>
                </c:pt>
                <c:pt idx="46">
                  <c:v>18</c:v>
                </c:pt>
                <c:pt idx="47">
                  <c:v>18</c:v>
                </c:pt>
                <c:pt idx="48">
                  <c:v>18</c:v>
                </c:pt>
                <c:pt idx="49">
                  <c:v>19</c:v>
                </c:pt>
                <c:pt idx="50">
                  <c:v>19</c:v>
                </c:pt>
                <c:pt idx="51">
                  <c:v>22</c:v>
                </c:pt>
                <c:pt idx="52">
                  <c:v>23</c:v>
                </c:pt>
                <c:pt idx="53">
                  <c:v>24</c:v>
                </c:pt>
                <c:pt idx="54">
                  <c:v>25</c:v>
                </c:pt>
                <c:pt idx="55">
                  <c:v>25</c:v>
                </c:pt>
                <c:pt idx="56">
                  <c:v>28</c:v>
                </c:pt>
                <c:pt idx="57">
                  <c:v>29</c:v>
                </c:pt>
                <c:pt idx="58">
                  <c:v>31</c:v>
                </c:pt>
                <c:pt idx="59">
                  <c:v>31</c:v>
                </c:pt>
                <c:pt idx="60">
                  <c:v>31</c:v>
                </c:pt>
              </c:numCache>
            </c:numRef>
          </c:val>
          <c:smooth val="0"/>
          <c:extLst>
            <c:ext xmlns:c16="http://schemas.microsoft.com/office/drawing/2014/chart" uri="{C3380CC4-5D6E-409C-BE32-E72D297353CC}">
              <c16:uniqueId val="{00000002-DF24-4A54-98BF-6043682D6CB0}"/>
            </c:ext>
          </c:extLst>
        </c:ser>
        <c:ser>
          <c:idx val="3"/>
          <c:order val="3"/>
          <c:tx>
            <c:strRef>
              <c:f>pivot2!$E$3:$E$4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pivot2!$E$5:$E$68</c:f>
              <c:numCache>
                <c:formatCode>General</c:formatCode>
                <c:ptCount val="64"/>
              </c:numCache>
            </c:numRef>
          </c:val>
          <c:smooth val="0"/>
          <c:extLst>
            <c:ext xmlns:c16="http://schemas.microsoft.com/office/drawing/2014/chart" uri="{C3380CC4-5D6E-409C-BE32-E72D297353CC}">
              <c16:uniqueId val="{00000003-DF24-4A54-98BF-6043682D6CB0}"/>
            </c:ext>
          </c:extLst>
        </c:ser>
        <c:ser>
          <c:idx val="4"/>
          <c:order val="4"/>
          <c:tx>
            <c:strRef>
              <c:f>pivot2!$F$3:$F$4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pivot2!$F$5:$F$68</c:f>
              <c:numCache>
                <c:formatCode>General</c:formatCode>
                <c:ptCount val="64"/>
                <c:pt idx="26">
                  <c:v>1</c:v>
                </c:pt>
                <c:pt idx="28">
                  <c:v>1</c:v>
                </c:pt>
                <c:pt idx="29">
                  <c:v>2</c:v>
                </c:pt>
                <c:pt idx="30">
                  <c:v>2</c:v>
                </c:pt>
                <c:pt idx="31">
                  <c:v>2</c:v>
                </c:pt>
                <c:pt idx="32">
                  <c:v>2</c:v>
                </c:pt>
                <c:pt idx="33">
                  <c:v>2</c:v>
                </c:pt>
                <c:pt idx="34">
                  <c:v>2</c:v>
                </c:pt>
                <c:pt idx="35">
                  <c:v>2</c:v>
                </c:pt>
                <c:pt idx="36">
                  <c:v>2</c:v>
                </c:pt>
                <c:pt idx="37">
                  <c:v>3</c:v>
                </c:pt>
                <c:pt idx="38">
                  <c:v>3</c:v>
                </c:pt>
                <c:pt idx="39">
                  <c:v>3</c:v>
                </c:pt>
                <c:pt idx="40">
                  <c:v>3</c:v>
                </c:pt>
                <c:pt idx="41">
                  <c:v>3</c:v>
                </c:pt>
                <c:pt idx="42">
                  <c:v>3</c:v>
                </c:pt>
                <c:pt idx="43">
                  <c:v>3</c:v>
                </c:pt>
                <c:pt idx="44">
                  <c:v>3</c:v>
                </c:pt>
                <c:pt idx="45">
                  <c:v>3</c:v>
                </c:pt>
                <c:pt idx="46">
                  <c:v>3</c:v>
                </c:pt>
                <c:pt idx="47">
                  <c:v>3</c:v>
                </c:pt>
                <c:pt idx="49">
                  <c:v>3</c:v>
                </c:pt>
                <c:pt idx="50">
                  <c:v>3</c:v>
                </c:pt>
                <c:pt idx="51">
                  <c:v>3</c:v>
                </c:pt>
                <c:pt idx="52">
                  <c:v>3</c:v>
                </c:pt>
                <c:pt idx="53">
                  <c:v>3</c:v>
                </c:pt>
                <c:pt idx="56">
                  <c:v>3</c:v>
                </c:pt>
                <c:pt idx="57">
                  <c:v>3</c:v>
                </c:pt>
                <c:pt idx="58">
                  <c:v>3</c:v>
                </c:pt>
                <c:pt idx="59">
                  <c:v>3</c:v>
                </c:pt>
                <c:pt idx="60">
                  <c:v>3</c:v>
                </c:pt>
                <c:pt idx="63">
                  <c:v>3</c:v>
                </c:pt>
              </c:numCache>
            </c:numRef>
          </c:val>
          <c:smooth val="0"/>
          <c:extLst>
            <c:ext xmlns:c16="http://schemas.microsoft.com/office/drawing/2014/chart" uri="{C3380CC4-5D6E-409C-BE32-E72D297353CC}">
              <c16:uniqueId val="{00000004-DF24-4A54-98BF-6043682D6CB0}"/>
            </c:ext>
          </c:extLst>
        </c:ser>
        <c:ser>
          <c:idx val="5"/>
          <c:order val="5"/>
          <c:tx>
            <c:strRef>
              <c:f>pivot2!$G$3:$G$4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pivot2!$G$5:$G$68</c:f>
              <c:numCache>
                <c:formatCode>General</c:formatCode>
                <c:ptCount val="64"/>
                <c:pt idx="21">
                  <c:v>1</c:v>
                </c:pt>
                <c:pt idx="23">
                  <c:v>1</c:v>
                </c:pt>
                <c:pt idx="24">
                  <c:v>1</c:v>
                </c:pt>
                <c:pt idx="25">
                  <c:v>2</c:v>
                </c:pt>
                <c:pt idx="26">
                  <c:v>3</c:v>
                </c:pt>
                <c:pt idx="28">
                  <c:v>5</c:v>
                </c:pt>
                <c:pt idx="29">
                  <c:v>6</c:v>
                </c:pt>
                <c:pt idx="30">
                  <c:v>6</c:v>
                </c:pt>
                <c:pt idx="31">
                  <c:v>7</c:v>
                </c:pt>
                <c:pt idx="32">
                  <c:v>8</c:v>
                </c:pt>
                <c:pt idx="33">
                  <c:v>9</c:v>
                </c:pt>
                <c:pt idx="34">
                  <c:v>10</c:v>
                </c:pt>
                <c:pt idx="35">
                  <c:v>13</c:v>
                </c:pt>
                <c:pt idx="36">
                  <c:v>16</c:v>
                </c:pt>
                <c:pt idx="37">
                  <c:v>20</c:v>
                </c:pt>
                <c:pt idx="38">
                  <c:v>23</c:v>
                </c:pt>
                <c:pt idx="39">
                  <c:v>26</c:v>
                </c:pt>
                <c:pt idx="40">
                  <c:v>28</c:v>
                </c:pt>
                <c:pt idx="41">
                  <c:v>28</c:v>
                </c:pt>
                <c:pt idx="42">
                  <c:v>31</c:v>
                </c:pt>
                <c:pt idx="43">
                  <c:v>33</c:v>
                </c:pt>
                <c:pt idx="44">
                  <c:v>37</c:v>
                </c:pt>
                <c:pt idx="45">
                  <c:v>38</c:v>
                </c:pt>
                <c:pt idx="46">
                  <c:v>42</c:v>
                </c:pt>
                <c:pt idx="47">
                  <c:v>44</c:v>
                </c:pt>
                <c:pt idx="48">
                  <c:v>49</c:v>
                </c:pt>
                <c:pt idx="49">
                  <c:v>49</c:v>
                </c:pt>
                <c:pt idx="50">
                  <c:v>49</c:v>
                </c:pt>
                <c:pt idx="51">
                  <c:v>53</c:v>
                </c:pt>
                <c:pt idx="52">
                  <c:v>55</c:v>
                </c:pt>
                <c:pt idx="53">
                  <c:v>67</c:v>
                </c:pt>
                <c:pt idx="54">
                  <c:v>69</c:v>
                </c:pt>
                <c:pt idx="55">
                  <c:v>69</c:v>
                </c:pt>
                <c:pt idx="56">
                  <c:v>73</c:v>
                </c:pt>
                <c:pt idx="57">
                  <c:v>77</c:v>
                </c:pt>
                <c:pt idx="58">
                  <c:v>77</c:v>
                </c:pt>
                <c:pt idx="59">
                  <c:v>79</c:v>
                </c:pt>
                <c:pt idx="60">
                  <c:v>82</c:v>
                </c:pt>
                <c:pt idx="61">
                  <c:v>83</c:v>
                </c:pt>
                <c:pt idx="62">
                  <c:v>83</c:v>
                </c:pt>
                <c:pt idx="63">
                  <c:v>83</c:v>
                </c:pt>
              </c:numCache>
            </c:numRef>
          </c:val>
          <c:smooth val="0"/>
          <c:extLst>
            <c:ext xmlns:c16="http://schemas.microsoft.com/office/drawing/2014/chart" uri="{C3380CC4-5D6E-409C-BE32-E72D297353CC}">
              <c16:uniqueId val="{00000005-DF24-4A54-98BF-6043682D6CB0}"/>
            </c:ext>
          </c:extLst>
        </c:ser>
        <c:ser>
          <c:idx val="6"/>
          <c:order val="6"/>
          <c:tx>
            <c:strRef>
              <c:f>pivot2!$H$3:$H$4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pivot2!$H$5:$H$68</c:f>
              <c:numCache>
                <c:formatCode>General</c:formatCode>
                <c:ptCount val="64"/>
                <c:pt idx="13">
                  <c:v>1</c:v>
                </c:pt>
                <c:pt idx="14">
                  <c:v>1</c:v>
                </c:pt>
                <c:pt idx="15">
                  <c:v>1</c:v>
                </c:pt>
                <c:pt idx="16">
                  <c:v>2</c:v>
                </c:pt>
                <c:pt idx="17">
                  <c:v>2</c:v>
                </c:pt>
                <c:pt idx="18">
                  <c:v>2</c:v>
                </c:pt>
                <c:pt idx="19">
                  <c:v>2</c:v>
                </c:pt>
                <c:pt idx="20">
                  <c:v>2</c:v>
                </c:pt>
                <c:pt idx="21">
                  <c:v>2</c:v>
                </c:pt>
                <c:pt idx="22">
                  <c:v>2</c:v>
                </c:pt>
                <c:pt idx="23">
                  <c:v>2</c:v>
                </c:pt>
                <c:pt idx="24">
                  <c:v>2</c:v>
                </c:pt>
                <c:pt idx="25">
                  <c:v>3</c:v>
                </c:pt>
                <c:pt idx="26">
                  <c:v>3</c:v>
                </c:pt>
                <c:pt idx="27">
                  <c:v>3</c:v>
                </c:pt>
                <c:pt idx="28">
                  <c:v>3</c:v>
                </c:pt>
                <c:pt idx="29">
                  <c:v>4</c:v>
                </c:pt>
                <c:pt idx="30">
                  <c:v>5</c:v>
                </c:pt>
                <c:pt idx="31">
                  <c:v>5</c:v>
                </c:pt>
                <c:pt idx="32">
                  <c:v>5</c:v>
                </c:pt>
                <c:pt idx="33">
                  <c:v>6</c:v>
                </c:pt>
                <c:pt idx="34">
                  <c:v>6</c:v>
                </c:pt>
                <c:pt idx="35">
                  <c:v>7</c:v>
                </c:pt>
                <c:pt idx="36">
                  <c:v>10</c:v>
                </c:pt>
                <c:pt idx="37">
                  <c:v>11</c:v>
                </c:pt>
                <c:pt idx="38">
                  <c:v>12</c:v>
                </c:pt>
                <c:pt idx="39">
                  <c:v>14</c:v>
                </c:pt>
                <c:pt idx="40">
                  <c:v>19</c:v>
                </c:pt>
                <c:pt idx="41">
                  <c:v>19</c:v>
                </c:pt>
                <c:pt idx="42">
                  <c:v>19</c:v>
                </c:pt>
                <c:pt idx="43">
                  <c:v>19</c:v>
                </c:pt>
                <c:pt idx="44">
                  <c:v>21</c:v>
                </c:pt>
                <c:pt idx="45">
                  <c:v>21</c:v>
                </c:pt>
                <c:pt idx="46">
                  <c:v>22</c:v>
                </c:pt>
                <c:pt idx="47">
                  <c:v>22</c:v>
                </c:pt>
                <c:pt idx="48">
                  <c:v>23</c:v>
                </c:pt>
                <c:pt idx="49">
                  <c:v>24</c:v>
                </c:pt>
                <c:pt idx="50">
                  <c:v>25</c:v>
                </c:pt>
                <c:pt idx="51">
                  <c:v>25</c:v>
                </c:pt>
                <c:pt idx="52">
                  <c:v>25</c:v>
                </c:pt>
                <c:pt idx="53">
                  <c:v>25</c:v>
                </c:pt>
                <c:pt idx="54">
                  <c:v>25</c:v>
                </c:pt>
                <c:pt idx="55">
                  <c:v>25</c:v>
                </c:pt>
                <c:pt idx="56">
                  <c:v>25</c:v>
                </c:pt>
                <c:pt idx="57">
                  <c:v>26</c:v>
                </c:pt>
                <c:pt idx="58">
                  <c:v>26</c:v>
                </c:pt>
                <c:pt idx="59">
                  <c:v>26</c:v>
                </c:pt>
                <c:pt idx="60">
                  <c:v>30</c:v>
                </c:pt>
                <c:pt idx="61">
                  <c:v>30</c:v>
                </c:pt>
                <c:pt idx="62">
                  <c:v>30</c:v>
                </c:pt>
              </c:numCache>
            </c:numRef>
          </c:val>
          <c:smooth val="0"/>
          <c:extLst>
            <c:ext xmlns:c16="http://schemas.microsoft.com/office/drawing/2014/chart" uri="{C3380CC4-5D6E-409C-BE32-E72D297353CC}">
              <c16:uniqueId val="{00000006-DF24-4A54-98BF-6043682D6CB0}"/>
            </c:ext>
          </c:extLst>
        </c:ser>
        <c:ser>
          <c:idx val="7"/>
          <c:order val="7"/>
          <c:tx>
            <c:strRef>
              <c:f>pivot2!$I$3:$I$4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pivot2!$I$5:$I$68</c:f>
              <c:numCache>
                <c:formatCode>General</c:formatCode>
                <c:ptCount val="64"/>
                <c:pt idx="17">
                  <c:v>1</c:v>
                </c:pt>
                <c:pt idx="18">
                  <c:v>1</c:v>
                </c:pt>
                <c:pt idx="19">
                  <c:v>1</c:v>
                </c:pt>
                <c:pt idx="21">
                  <c:v>4</c:v>
                </c:pt>
                <c:pt idx="22">
                  <c:v>4</c:v>
                </c:pt>
                <c:pt idx="23">
                  <c:v>4</c:v>
                </c:pt>
                <c:pt idx="24">
                  <c:v>4</c:v>
                </c:pt>
                <c:pt idx="25">
                  <c:v>4</c:v>
                </c:pt>
                <c:pt idx="26">
                  <c:v>5</c:v>
                </c:pt>
                <c:pt idx="27">
                  <c:v>5</c:v>
                </c:pt>
                <c:pt idx="28">
                  <c:v>5</c:v>
                </c:pt>
                <c:pt idx="29">
                  <c:v>5</c:v>
                </c:pt>
                <c:pt idx="30">
                  <c:v>8</c:v>
                </c:pt>
                <c:pt idx="31">
                  <c:v>12</c:v>
                </c:pt>
                <c:pt idx="32">
                  <c:v>13</c:v>
                </c:pt>
                <c:pt idx="33">
                  <c:v>13</c:v>
                </c:pt>
                <c:pt idx="34">
                  <c:v>15</c:v>
                </c:pt>
                <c:pt idx="35">
                  <c:v>15</c:v>
                </c:pt>
                <c:pt idx="36">
                  <c:v>16</c:v>
                </c:pt>
                <c:pt idx="37">
                  <c:v>18</c:v>
                </c:pt>
                <c:pt idx="38">
                  <c:v>19</c:v>
                </c:pt>
                <c:pt idx="39">
                  <c:v>21</c:v>
                </c:pt>
                <c:pt idx="40">
                  <c:v>24</c:v>
                </c:pt>
                <c:pt idx="41">
                  <c:v>26</c:v>
                </c:pt>
                <c:pt idx="42">
                  <c:v>26</c:v>
                </c:pt>
                <c:pt idx="43">
                  <c:v>28</c:v>
                </c:pt>
                <c:pt idx="44">
                  <c:v>31</c:v>
                </c:pt>
                <c:pt idx="45">
                  <c:v>33</c:v>
                </c:pt>
                <c:pt idx="46">
                  <c:v>33</c:v>
                </c:pt>
                <c:pt idx="47">
                  <c:v>33</c:v>
                </c:pt>
                <c:pt idx="48">
                  <c:v>33</c:v>
                </c:pt>
                <c:pt idx="49">
                  <c:v>34</c:v>
                </c:pt>
                <c:pt idx="50">
                  <c:v>34</c:v>
                </c:pt>
                <c:pt idx="51">
                  <c:v>36</c:v>
                </c:pt>
                <c:pt idx="52">
                  <c:v>37</c:v>
                </c:pt>
                <c:pt idx="53">
                  <c:v>37</c:v>
                </c:pt>
                <c:pt idx="54">
                  <c:v>40</c:v>
                </c:pt>
                <c:pt idx="55">
                  <c:v>40</c:v>
                </c:pt>
                <c:pt idx="56">
                  <c:v>42</c:v>
                </c:pt>
                <c:pt idx="57">
                  <c:v>44</c:v>
                </c:pt>
                <c:pt idx="58">
                  <c:v>45</c:v>
                </c:pt>
                <c:pt idx="59">
                  <c:v>45</c:v>
                </c:pt>
                <c:pt idx="60">
                  <c:v>46</c:v>
                </c:pt>
              </c:numCache>
            </c:numRef>
          </c:val>
          <c:smooth val="0"/>
          <c:extLst>
            <c:ext xmlns:c16="http://schemas.microsoft.com/office/drawing/2014/chart" uri="{C3380CC4-5D6E-409C-BE32-E72D297353CC}">
              <c16:uniqueId val="{00000007-DF24-4A54-98BF-6043682D6CB0}"/>
            </c:ext>
          </c:extLst>
        </c:ser>
        <c:ser>
          <c:idx val="8"/>
          <c:order val="8"/>
          <c:tx>
            <c:strRef>
              <c:f>pivot2!$J$3:$J$4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pivot2!$J$5:$J$68</c:f>
              <c:numCache>
                <c:formatCode>General</c:formatCode>
                <c:ptCount val="64"/>
                <c:pt idx="40">
                  <c:v>1</c:v>
                </c:pt>
                <c:pt idx="41">
                  <c:v>1</c:v>
                </c:pt>
                <c:pt idx="43">
                  <c:v>1</c:v>
                </c:pt>
                <c:pt idx="46">
                  <c:v>1</c:v>
                </c:pt>
                <c:pt idx="47">
                  <c:v>1</c:v>
                </c:pt>
                <c:pt idx="48">
                  <c:v>1</c:v>
                </c:pt>
                <c:pt idx="49">
                  <c:v>1</c:v>
                </c:pt>
                <c:pt idx="51">
                  <c:v>1</c:v>
                </c:pt>
                <c:pt idx="52">
                  <c:v>1</c:v>
                </c:pt>
                <c:pt idx="53">
                  <c:v>1</c:v>
                </c:pt>
                <c:pt idx="54">
                  <c:v>1</c:v>
                </c:pt>
                <c:pt idx="55">
                  <c:v>1</c:v>
                </c:pt>
                <c:pt idx="56">
                  <c:v>1</c:v>
                </c:pt>
                <c:pt idx="57">
                  <c:v>1</c:v>
                </c:pt>
                <c:pt idx="58">
                  <c:v>1</c:v>
                </c:pt>
                <c:pt idx="59">
                  <c:v>1</c:v>
                </c:pt>
                <c:pt idx="60">
                  <c:v>1</c:v>
                </c:pt>
                <c:pt idx="61">
                  <c:v>1</c:v>
                </c:pt>
                <c:pt idx="62">
                  <c:v>1</c:v>
                </c:pt>
              </c:numCache>
            </c:numRef>
          </c:val>
          <c:smooth val="0"/>
          <c:extLst>
            <c:ext xmlns:c16="http://schemas.microsoft.com/office/drawing/2014/chart" uri="{C3380CC4-5D6E-409C-BE32-E72D297353CC}">
              <c16:uniqueId val="{00000008-DF24-4A54-98BF-6043682D6CB0}"/>
            </c:ext>
          </c:extLst>
        </c:ser>
        <c:ser>
          <c:idx val="9"/>
          <c:order val="9"/>
          <c:tx>
            <c:strRef>
              <c:f>pivot2!$K$3:$K$4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pivot2!$K$5:$K$68</c:f>
              <c:numCache>
                <c:formatCode>General</c:formatCode>
                <c:ptCount val="64"/>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c:v>
                </c:pt>
                <c:pt idx="16">
                  <c:v>1</c:v>
                </c:pt>
                <c:pt idx="17">
                  <c:v>2</c:v>
                </c:pt>
                <c:pt idx="18">
                  <c:v>2</c:v>
                </c:pt>
                <c:pt idx="19">
                  <c:v>2</c:v>
                </c:pt>
                <c:pt idx="20">
                  <c:v>4</c:v>
                </c:pt>
                <c:pt idx="21">
                  <c:v>4</c:v>
                </c:pt>
                <c:pt idx="22">
                  <c:v>5</c:v>
                </c:pt>
                <c:pt idx="23">
                  <c:v>6</c:v>
                </c:pt>
                <c:pt idx="24">
                  <c:v>7</c:v>
                </c:pt>
                <c:pt idx="25">
                  <c:v>9</c:v>
                </c:pt>
                <c:pt idx="26">
                  <c:v>9</c:v>
                </c:pt>
                <c:pt idx="27">
                  <c:v>10</c:v>
                </c:pt>
                <c:pt idx="28">
                  <c:v>16</c:v>
                </c:pt>
                <c:pt idx="29">
                  <c:v>17</c:v>
                </c:pt>
                <c:pt idx="30">
                  <c:v>24</c:v>
                </c:pt>
                <c:pt idx="31">
                  <c:v>26</c:v>
                </c:pt>
                <c:pt idx="32">
                  <c:v>33</c:v>
                </c:pt>
                <c:pt idx="33">
                  <c:v>41</c:v>
                </c:pt>
                <c:pt idx="34">
                  <c:v>49</c:v>
                </c:pt>
                <c:pt idx="35">
                  <c:v>58</c:v>
                </c:pt>
                <c:pt idx="36">
                  <c:v>66</c:v>
                </c:pt>
                <c:pt idx="37">
                  <c:v>75</c:v>
                </c:pt>
                <c:pt idx="38">
                  <c:v>83</c:v>
                </c:pt>
                <c:pt idx="39">
                  <c:v>90</c:v>
                </c:pt>
                <c:pt idx="40">
                  <c:v>103</c:v>
                </c:pt>
                <c:pt idx="41">
                  <c:v>110</c:v>
                </c:pt>
                <c:pt idx="42">
                  <c:v>121</c:v>
                </c:pt>
                <c:pt idx="43">
                  <c:v>132</c:v>
                </c:pt>
                <c:pt idx="44">
                  <c:v>145</c:v>
                </c:pt>
                <c:pt idx="45">
                  <c:v>154</c:v>
                </c:pt>
                <c:pt idx="46">
                  <c:v>164</c:v>
                </c:pt>
                <c:pt idx="47">
                  <c:v>172</c:v>
                </c:pt>
                <c:pt idx="48">
                  <c:v>178</c:v>
                </c:pt>
                <c:pt idx="49">
                  <c:v>181</c:v>
                </c:pt>
                <c:pt idx="50">
                  <c:v>186</c:v>
                </c:pt>
                <c:pt idx="51">
                  <c:v>190</c:v>
                </c:pt>
                <c:pt idx="52">
                  <c:v>196</c:v>
                </c:pt>
                <c:pt idx="53">
                  <c:v>202</c:v>
                </c:pt>
                <c:pt idx="54">
                  <c:v>206</c:v>
                </c:pt>
                <c:pt idx="55">
                  <c:v>208</c:v>
                </c:pt>
                <c:pt idx="56">
                  <c:v>210</c:v>
                </c:pt>
                <c:pt idx="57">
                  <c:v>214</c:v>
                </c:pt>
                <c:pt idx="58">
                  <c:v>219</c:v>
                </c:pt>
                <c:pt idx="59">
                  <c:v>222</c:v>
                </c:pt>
              </c:numCache>
            </c:numRef>
          </c:val>
          <c:smooth val="0"/>
          <c:extLst>
            <c:ext xmlns:c16="http://schemas.microsoft.com/office/drawing/2014/chart" uri="{C3380CC4-5D6E-409C-BE32-E72D297353CC}">
              <c16:uniqueId val="{00000009-DF24-4A54-98BF-6043682D6CB0}"/>
            </c:ext>
          </c:extLst>
        </c:ser>
        <c:ser>
          <c:idx val="10"/>
          <c:order val="10"/>
          <c:tx>
            <c:strRef>
              <c:f>pivot2!$L$3:$L$4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pivot2!$L$5:$L$68</c:f>
              <c:numCache>
                <c:formatCode>General</c:formatCode>
                <c:ptCount val="64"/>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1</c:v>
                </c:pt>
                <c:pt idx="34">
                  <c:v>1</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3</c:v>
                </c:pt>
                <c:pt idx="53">
                  <c:v>3</c:v>
                </c:pt>
                <c:pt idx="54">
                  <c:v>3</c:v>
                </c:pt>
                <c:pt idx="55">
                  <c:v>3</c:v>
                </c:pt>
                <c:pt idx="56">
                  <c:v>5</c:v>
                </c:pt>
                <c:pt idx="57">
                  <c:v>6</c:v>
                </c:pt>
                <c:pt idx="58">
                  <c:v>6</c:v>
                </c:pt>
                <c:pt idx="59">
                  <c:v>6</c:v>
                </c:pt>
                <c:pt idx="60">
                  <c:v>7</c:v>
                </c:pt>
                <c:pt idx="61">
                  <c:v>7</c:v>
                </c:pt>
                <c:pt idx="62">
                  <c:v>7</c:v>
                </c:pt>
                <c:pt idx="63">
                  <c:v>7</c:v>
                </c:pt>
              </c:numCache>
            </c:numRef>
          </c:val>
          <c:smooth val="0"/>
          <c:extLst>
            <c:ext xmlns:c16="http://schemas.microsoft.com/office/drawing/2014/chart" uri="{C3380CC4-5D6E-409C-BE32-E72D297353CC}">
              <c16:uniqueId val="{0000000A-DF24-4A54-98BF-6043682D6CB0}"/>
            </c:ext>
          </c:extLst>
        </c:ser>
        <c:ser>
          <c:idx val="11"/>
          <c:order val="11"/>
          <c:tx>
            <c:strRef>
              <c:f>pivot2!$M$3:$M$4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pivot2!$M$5:$M$68</c:f>
              <c:numCache>
                <c:formatCode>General</c:formatCode>
                <c:ptCount val="64"/>
                <c:pt idx="22">
                  <c:v>1</c:v>
                </c:pt>
                <c:pt idx="23">
                  <c:v>1</c:v>
                </c:pt>
                <c:pt idx="24">
                  <c:v>2</c:v>
                </c:pt>
                <c:pt idx="25">
                  <c:v>3</c:v>
                </c:pt>
                <c:pt idx="26">
                  <c:v>4</c:v>
                </c:pt>
                <c:pt idx="27">
                  <c:v>4</c:v>
                </c:pt>
                <c:pt idx="28">
                  <c:v>5</c:v>
                </c:pt>
                <c:pt idx="29">
                  <c:v>6</c:v>
                </c:pt>
                <c:pt idx="30">
                  <c:v>8</c:v>
                </c:pt>
                <c:pt idx="31">
                  <c:v>8</c:v>
                </c:pt>
                <c:pt idx="32">
                  <c:v>9</c:v>
                </c:pt>
                <c:pt idx="33">
                  <c:v>12</c:v>
                </c:pt>
                <c:pt idx="34">
                  <c:v>15</c:v>
                </c:pt>
                <c:pt idx="35">
                  <c:v>19</c:v>
                </c:pt>
                <c:pt idx="36">
                  <c:v>23</c:v>
                </c:pt>
                <c:pt idx="37">
                  <c:v>26</c:v>
                </c:pt>
                <c:pt idx="38">
                  <c:v>28</c:v>
                </c:pt>
                <c:pt idx="39">
                  <c:v>30</c:v>
                </c:pt>
                <c:pt idx="40">
                  <c:v>30</c:v>
                </c:pt>
                <c:pt idx="41">
                  <c:v>33</c:v>
                </c:pt>
                <c:pt idx="42">
                  <c:v>34</c:v>
                </c:pt>
                <c:pt idx="43">
                  <c:v>35</c:v>
                </c:pt>
                <c:pt idx="44">
                  <c:v>35</c:v>
                </c:pt>
                <c:pt idx="45">
                  <c:v>36</c:v>
                </c:pt>
                <c:pt idx="46">
                  <c:v>36</c:v>
                </c:pt>
                <c:pt idx="47">
                  <c:v>36</c:v>
                </c:pt>
                <c:pt idx="48">
                  <c:v>36</c:v>
                </c:pt>
                <c:pt idx="49">
                  <c:v>37</c:v>
                </c:pt>
                <c:pt idx="50">
                  <c:v>37</c:v>
                </c:pt>
                <c:pt idx="51">
                  <c:v>38</c:v>
                </c:pt>
                <c:pt idx="52">
                  <c:v>39</c:v>
                </c:pt>
                <c:pt idx="53">
                  <c:v>40</c:v>
                </c:pt>
                <c:pt idx="54">
                  <c:v>40</c:v>
                </c:pt>
                <c:pt idx="55">
                  <c:v>41</c:v>
                </c:pt>
                <c:pt idx="56">
                  <c:v>42</c:v>
                </c:pt>
                <c:pt idx="57">
                  <c:v>43</c:v>
                </c:pt>
                <c:pt idx="58">
                  <c:v>43</c:v>
                </c:pt>
                <c:pt idx="59">
                  <c:v>43</c:v>
                </c:pt>
                <c:pt idx="60">
                  <c:v>43</c:v>
                </c:pt>
                <c:pt idx="61">
                  <c:v>43</c:v>
                </c:pt>
                <c:pt idx="62">
                  <c:v>43</c:v>
                </c:pt>
              </c:numCache>
            </c:numRef>
          </c:val>
          <c:smooth val="0"/>
          <c:extLst>
            <c:ext xmlns:c16="http://schemas.microsoft.com/office/drawing/2014/chart" uri="{C3380CC4-5D6E-409C-BE32-E72D297353CC}">
              <c16:uniqueId val="{0000000B-DF24-4A54-98BF-6043682D6CB0}"/>
            </c:ext>
          </c:extLst>
        </c:ser>
        <c:ser>
          <c:idx val="12"/>
          <c:order val="12"/>
          <c:tx>
            <c:strRef>
              <c:f>pivot2!$N$3:$N$4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pivot2!$N$5:$N$68</c:f>
              <c:numCache>
                <c:formatCode>General</c:formatCode>
                <c:ptCount val="64"/>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1</c:v>
                </c:pt>
                <c:pt idx="45">
                  <c:v>1</c:v>
                </c:pt>
                <c:pt idx="46">
                  <c:v>3</c:v>
                </c:pt>
                <c:pt idx="47">
                  <c:v>3</c:v>
                </c:pt>
                <c:pt idx="48">
                  <c:v>3</c:v>
                </c:pt>
                <c:pt idx="49">
                  <c:v>3</c:v>
                </c:pt>
                <c:pt idx="50">
                  <c:v>3</c:v>
                </c:pt>
                <c:pt idx="51">
                  <c:v>3</c:v>
                </c:pt>
                <c:pt idx="52">
                  <c:v>3</c:v>
                </c:pt>
                <c:pt idx="53">
                  <c:v>3</c:v>
                </c:pt>
                <c:pt idx="54">
                  <c:v>3</c:v>
                </c:pt>
                <c:pt idx="55">
                  <c:v>5</c:v>
                </c:pt>
                <c:pt idx="56">
                  <c:v>6</c:v>
                </c:pt>
                <c:pt idx="57">
                  <c:v>6</c:v>
                </c:pt>
                <c:pt idx="58">
                  <c:v>6</c:v>
                </c:pt>
                <c:pt idx="59">
                  <c:v>6</c:v>
                </c:pt>
                <c:pt idx="60">
                  <c:v>6</c:v>
                </c:pt>
                <c:pt idx="61">
                  <c:v>6</c:v>
                </c:pt>
                <c:pt idx="62">
                  <c:v>6</c:v>
                </c:pt>
              </c:numCache>
            </c:numRef>
          </c:val>
          <c:smooth val="0"/>
          <c:extLst>
            <c:ext xmlns:c16="http://schemas.microsoft.com/office/drawing/2014/chart" uri="{C3380CC4-5D6E-409C-BE32-E72D297353CC}">
              <c16:uniqueId val="{0000000C-DF24-4A54-98BF-6043682D6CB0}"/>
            </c:ext>
          </c:extLst>
        </c:ser>
        <c:ser>
          <c:idx val="13"/>
          <c:order val="13"/>
          <c:tx>
            <c:strRef>
              <c:f>pivot2!$O$3:$O$4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pivot2!$O$5:$O$68</c:f>
              <c:numCache>
                <c:formatCode>General</c:formatCode>
                <c:ptCount val="64"/>
                <c:pt idx="26">
                  <c:v>1</c:v>
                </c:pt>
                <c:pt idx="27">
                  <c:v>1</c:v>
                </c:pt>
                <c:pt idx="28">
                  <c:v>1</c:v>
                </c:pt>
                <c:pt idx="29">
                  <c:v>2</c:v>
                </c:pt>
                <c:pt idx="30">
                  <c:v>2</c:v>
                </c:pt>
                <c:pt idx="31">
                  <c:v>3</c:v>
                </c:pt>
                <c:pt idx="32">
                  <c:v>3</c:v>
                </c:pt>
                <c:pt idx="33">
                  <c:v>4</c:v>
                </c:pt>
                <c:pt idx="34">
                  <c:v>5</c:v>
                </c:pt>
                <c:pt idx="35">
                  <c:v>6</c:v>
                </c:pt>
                <c:pt idx="36">
                  <c:v>7</c:v>
                </c:pt>
                <c:pt idx="37">
                  <c:v>7</c:v>
                </c:pt>
                <c:pt idx="38">
                  <c:v>7</c:v>
                </c:pt>
                <c:pt idx="39">
                  <c:v>7</c:v>
                </c:pt>
                <c:pt idx="40">
                  <c:v>7</c:v>
                </c:pt>
                <c:pt idx="41">
                  <c:v>9</c:v>
                </c:pt>
                <c:pt idx="42">
                  <c:v>9</c:v>
                </c:pt>
                <c:pt idx="43">
                  <c:v>9</c:v>
                </c:pt>
                <c:pt idx="44">
                  <c:v>9</c:v>
                </c:pt>
                <c:pt idx="45">
                  <c:v>9</c:v>
                </c:pt>
                <c:pt idx="46">
                  <c:v>9</c:v>
                </c:pt>
                <c:pt idx="47">
                  <c:v>10</c:v>
                </c:pt>
                <c:pt idx="48">
                  <c:v>10</c:v>
                </c:pt>
                <c:pt idx="49">
                  <c:v>10</c:v>
                </c:pt>
                <c:pt idx="50">
                  <c:v>11</c:v>
                </c:pt>
                <c:pt idx="51">
                  <c:v>12</c:v>
                </c:pt>
                <c:pt idx="52">
                  <c:v>13</c:v>
                </c:pt>
                <c:pt idx="53">
                  <c:v>14</c:v>
                </c:pt>
                <c:pt idx="54">
                  <c:v>15</c:v>
                </c:pt>
                <c:pt idx="55">
                  <c:v>15</c:v>
                </c:pt>
                <c:pt idx="56">
                  <c:v>15</c:v>
                </c:pt>
                <c:pt idx="57">
                  <c:v>15</c:v>
                </c:pt>
                <c:pt idx="58">
                  <c:v>15</c:v>
                </c:pt>
                <c:pt idx="59">
                  <c:v>15</c:v>
                </c:pt>
                <c:pt idx="60">
                  <c:v>16</c:v>
                </c:pt>
                <c:pt idx="61">
                  <c:v>16</c:v>
                </c:pt>
                <c:pt idx="62">
                  <c:v>16</c:v>
                </c:pt>
                <c:pt idx="63">
                  <c:v>16</c:v>
                </c:pt>
              </c:numCache>
            </c:numRef>
          </c:val>
          <c:smooth val="0"/>
          <c:extLst>
            <c:ext xmlns:c16="http://schemas.microsoft.com/office/drawing/2014/chart" uri="{C3380CC4-5D6E-409C-BE32-E72D297353CC}">
              <c16:uniqueId val="{0000000D-DF24-4A54-98BF-6043682D6CB0}"/>
            </c:ext>
          </c:extLst>
        </c:ser>
        <c:ser>
          <c:idx val="14"/>
          <c:order val="14"/>
          <c:tx>
            <c:strRef>
              <c:f>pivot2!$P$3:$P$4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pivot2!$P$5:$P$68</c:f>
              <c:numCache>
                <c:formatCode>General</c:formatCode>
                <c:ptCount val="64"/>
                <c:pt idx="22">
                  <c:v>1</c:v>
                </c:pt>
                <c:pt idx="23">
                  <c:v>2</c:v>
                </c:pt>
                <c:pt idx="24">
                  <c:v>3</c:v>
                </c:pt>
                <c:pt idx="25">
                  <c:v>3</c:v>
                </c:pt>
                <c:pt idx="26">
                  <c:v>4</c:v>
                </c:pt>
                <c:pt idx="27">
                  <c:v>4</c:v>
                </c:pt>
                <c:pt idx="28">
                  <c:v>5</c:v>
                </c:pt>
                <c:pt idx="29">
                  <c:v>6</c:v>
                </c:pt>
                <c:pt idx="30">
                  <c:v>9</c:v>
                </c:pt>
                <c:pt idx="31">
                  <c:v>12</c:v>
                </c:pt>
                <c:pt idx="32">
                  <c:v>13</c:v>
                </c:pt>
                <c:pt idx="33">
                  <c:v>15</c:v>
                </c:pt>
                <c:pt idx="34">
                  <c:v>18</c:v>
                </c:pt>
                <c:pt idx="35">
                  <c:v>20</c:v>
                </c:pt>
                <c:pt idx="36">
                  <c:v>22</c:v>
                </c:pt>
                <c:pt idx="37">
                  <c:v>24</c:v>
                </c:pt>
                <c:pt idx="38">
                  <c:v>27</c:v>
                </c:pt>
                <c:pt idx="39">
                  <c:v>28</c:v>
                </c:pt>
                <c:pt idx="40">
                  <c:v>30</c:v>
                </c:pt>
                <c:pt idx="41">
                  <c:v>30</c:v>
                </c:pt>
                <c:pt idx="42">
                  <c:v>34</c:v>
                </c:pt>
                <c:pt idx="43">
                  <c:v>37</c:v>
                </c:pt>
                <c:pt idx="44">
                  <c:v>40</c:v>
                </c:pt>
                <c:pt idx="45">
                  <c:v>42</c:v>
                </c:pt>
                <c:pt idx="46">
                  <c:v>42</c:v>
                </c:pt>
                <c:pt idx="47">
                  <c:v>44</c:v>
                </c:pt>
                <c:pt idx="48">
                  <c:v>49</c:v>
                </c:pt>
                <c:pt idx="49">
                  <c:v>51</c:v>
                </c:pt>
                <c:pt idx="50">
                  <c:v>54</c:v>
                </c:pt>
                <c:pt idx="51">
                  <c:v>55</c:v>
                </c:pt>
                <c:pt idx="52">
                  <c:v>56</c:v>
                </c:pt>
                <c:pt idx="53">
                  <c:v>59</c:v>
                </c:pt>
                <c:pt idx="54">
                  <c:v>59</c:v>
                </c:pt>
                <c:pt idx="55">
                  <c:v>60</c:v>
                </c:pt>
                <c:pt idx="56">
                  <c:v>62</c:v>
                </c:pt>
                <c:pt idx="57">
                  <c:v>63</c:v>
                </c:pt>
                <c:pt idx="58">
                  <c:v>64</c:v>
                </c:pt>
              </c:numCache>
            </c:numRef>
          </c:val>
          <c:smooth val="0"/>
          <c:extLst>
            <c:ext xmlns:c16="http://schemas.microsoft.com/office/drawing/2014/chart" uri="{C3380CC4-5D6E-409C-BE32-E72D297353CC}">
              <c16:uniqueId val="{0000000E-DF24-4A54-98BF-6043682D6CB0}"/>
            </c:ext>
          </c:extLst>
        </c:ser>
        <c:ser>
          <c:idx val="15"/>
          <c:order val="15"/>
          <c:tx>
            <c:strRef>
              <c:f>pivot2!$Q$3:$Q$4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pivot2!$Q$5:$Q$68</c:f>
              <c:numCache>
                <c:formatCode>General</c:formatCode>
                <c:ptCount val="64"/>
                <c:pt idx="47">
                  <c:v>1</c:v>
                </c:pt>
                <c:pt idx="48">
                  <c:v>1</c:v>
                </c:pt>
                <c:pt idx="49">
                  <c:v>1</c:v>
                </c:pt>
                <c:pt idx="50">
                  <c:v>1</c:v>
                </c:pt>
                <c:pt idx="51">
                  <c:v>2</c:v>
                </c:pt>
                <c:pt idx="52">
                  <c:v>2</c:v>
                </c:pt>
                <c:pt idx="53">
                  <c:v>3</c:v>
                </c:pt>
                <c:pt idx="54">
                  <c:v>3</c:v>
                </c:pt>
                <c:pt idx="55">
                  <c:v>3</c:v>
                </c:pt>
                <c:pt idx="56">
                  <c:v>3</c:v>
                </c:pt>
                <c:pt idx="57">
                  <c:v>3</c:v>
                </c:pt>
                <c:pt idx="58">
                  <c:v>3</c:v>
                </c:pt>
                <c:pt idx="59">
                  <c:v>3</c:v>
                </c:pt>
                <c:pt idx="60">
                  <c:v>3</c:v>
                </c:pt>
                <c:pt idx="61">
                  <c:v>3</c:v>
                </c:pt>
                <c:pt idx="62">
                  <c:v>3</c:v>
                </c:pt>
              </c:numCache>
            </c:numRef>
          </c:val>
          <c:smooth val="0"/>
          <c:extLst>
            <c:ext xmlns:c16="http://schemas.microsoft.com/office/drawing/2014/chart" uri="{C3380CC4-5D6E-409C-BE32-E72D297353CC}">
              <c16:uniqueId val="{0000000F-DF24-4A54-98BF-6043682D6CB0}"/>
            </c:ext>
          </c:extLst>
        </c:ser>
        <c:ser>
          <c:idx val="16"/>
          <c:order val="16"/>
          <c:tx>
            <c:strRef>
              <c:f>pivot2!$R$3:$R$4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pivot2!$R$5:$R$68</c:f>
              <c:numCache>
                <c:formatCode>General</c:formatCode>
                <c:ptCount val="64"/>
                <c:pt idx="42">
                  <c:v>0</c:v>
                </c:pt>
                <c:pt idx="43">
                  <c:v>0</c:v>
                </c:pt>
                <c:pt idx="44">
                  <c:v>0</c:v>
                </c:pt>
                <c:pt idx="45">
                  <c:v>0</c:v>
                </c:pt>
                <c:pt idx="50">
                  <c:v>0</c:v>
                </c:pt>
                <c:pt idx="51">
                  <c:v>0</c:v>
                </c:pt>
                <c:pt idx="52">
                  <c:v>0</c:v>
                </c:pt>
                <c:pt idx="53">
                  <c:v>0</c:v>
                </c:pt>
                <c:pt idx="56">
                  <c:v>0</c:v>
                </c:pt>
                <c:pt idx="57">
                  <c:v>0</c:v>
                </c:pt>
                <c:pt idx="58">
                  <c:v>0</c:v>
                </c:pt>
                <c:pt idx="59">
                  <c:v>0</c:v>
                </c:pt>
                <c:pt idx="60">
                  <c:v>0</c:v>
                </c:pt>
              </c:numCache>
            </c:numRef>
          </c:val>
          <c:smooth val="0"/>
          <c:extLst>
            <c:ext xmlns:c16="http://schemas.microsoft.com/office/drawing/2014/chart" uri="{C3380CC4-5D6E-409C-BE32-E72D297353CC}">
              <c16:uniqueId val="{00000010-DF24-4A54-98BF-6043682D6CB0}"/>
            </c:ext>
          </c:extLst>
        </c:ser>
        <c:ser>
          <c:idx val="17"/>
          <c:order val="17"/>
          <c:tx>
            <c:strRef>
              <c:f>pivot2!$S$3:$S$4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pivot2!$S$5:$S$68</c:f>
              <c:numCache>
                <c:formatCode>General</c:formatCode>
                <c:ptCount val="64"/>
                <c:pt idx="28">
                  <c:v>1</c:v>
                </c:pt>
                <c:pt idx="30">
                  <c:v>1</c:v>
                </c:pt>
                <c:pt idx="31">
                  <c:v>2</c:v>
                </c:pt>
                <c:pt idx="33">
                  <c:v>5</c:v>
                </c:pt>
                <c:pt idx="34">
                  <c:v>5</c:v>
                </c:pt>
                <c:pt idx="35">
                  <c:v>5</c:v>
                </c:pt>
                <c:pt idx="36">
                  <c:v>7</c:v>
                </c:pt>
                <c:pt idx="37">
                  <c:v>7</c:v>
                </c:pt>
                <c:pt idx="38">
                  <c:v>8</c:v>
                </c:pt>
                <c:pt idx="39">
                  <c:v>8</c:v>
                </c:pt>
                <c:pt idx="40">
                  <c:v>9</c:v>
                </c:pt>
                <c:pt idx="41">
                  <c:v>9</c:v>
                </c:pt>
                <c:pt idx="42">
                  <c:v>11</c:v>
                </c:pt>
                <c:pt idx="43">
                  <c:v>13</c:v>
                </c:pt>
                <c:pt idx="44">
                  <c:v>15</c:v>
                </c:pt>
                <c:pt idx="45">
                  <c:v>16</c:v>
                </c:pt>
                <c:pt idx="46">
                  <c:v>17</c:v>
                </c:pt>
                <c:pt idx="47">
                  <c:v>18</c:v>
                </c:pt>
                <c:pt idx="48">
                  <c:v>21</c:v>
                </c:pt>
                <c:pt idx="49">
                  <c:v>21</c:v>
                </c:pt>
                <c:pt idx="50">
                  <c:v>21</c:v>
                </c:pt>
                <c:pt idx="51">
                  <c:v>23</c:v>
                </c:pt>
                <c:pt idx="52">
                  <c:v>25</c:v>
                </c:pt>
                <c:pt idx="53">
                  <c:v>27</c:v>
                </c:pt>
                <c:pt idx="54">
                  <c:v>27</c:v>
                </c:pt>
                <c:pt idx="55">
                  <c:v>27</c:v>
                </c:pt>
                <c:pt idx="56">
                  <c:v>27</c:v>
                </c:pt>
                <c:pt idx="57">
                  <c:v>29</c:v>
                </c:pt>
                <c:pt idx="58">
                  <c:v>29</c:v>
                </c:pt>
                <c:pt idx="59">
                  <c:v>31</c:v>
                </c:pt>
                <c:pt idx="60">
                  <c:v>31</c:v>
                </c:pt>
                <c:pt idx="61">
                  <c:v>31</c:v>
                </c:pt>
                <c:pt idx="62">
                  <c:v>31</c:v>
                </c:pt>
                <c:pt idx="63">
                  <c:v>31</c:v>
                </c:pt>
              </c:numCache>
            </c:numRef>
          </c:val>
          <c:smooth val="0"/>
          <c:extLst>
            <c:ext xmlns:c16="http://schemas.microsoft.com/office/drawing/2014/chart" uri="{C3380CC4-5D6E-409C-BE32-E72D297353CC}">
              <c16:uniqueId val="{00000011-DF24-4A54-98BF-6043682D6CB0}"/>
            </c:ext>
          </c:extLst>
        </c:ser>
        <c:ser>
          <c:idx val="18"/>
          <c:order val="18"/>
          <c:tx>
            <c:strRef>
              <c:f>pivot2!$T$3:$T$4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pivot2!$T$5:$T$68</c:f>
              <c:numCache>
                <c:formatCode>General</c:formatCode>
                <c:ptCount val="64"/>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2</c:v>
                </c:pt>
                <c:pt idx="58">
                  <c:v>3</c:v>
                </c:pt>
                <c:pt idx="59">
                  <c:v>3</c:v>
                </c:pt>
                <c:pt idx="60">
                  <c:v>3</c:v>
                </c:pt>
                <c:pt idx="61">
                  <c:v>5</c:v>
                </c:pt>
                <c:pt idx="62">
                  <c:v>5</c:v>
                </c:pt>
                <c:pt idx="63">
                  <c:v>5</c:v>
                </c:pt>
              </c:numCache>
            </c:numRef>
          </c:val>
          <c:smooth val="0"/>
          <c:extLst>
            <c:ext xmlns:c16="http://schemas.microsoft.com/office/drawing/2014/chart" uri="{C3380CC4-5D6E-409C-BE32-E72D297353CC}">
              <c16:uniqueId val="{00000012-DF24-4A54-98BF-6043682D6CB0}"/>
            </c:ext>
          </c:extLst>
        </c:ser>
        <c:ser>
          <c:idx val="19"/>
          <c:order val="19"/>
          <c:tx>
            <c:strRef>
              <c:f>pivot2!$U$3:$U$4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pivot2!$U$5:$U$68</c:f>
              <c:numCache>
                <c:formatCode>General</c:formatCode>
                <c:ptCount val="64"/>
                <c:pt idx="29">
                  <c:v>0</c:v>
                </c:pt>
                <c:pt idx="30">
                  <c:v>0</c:v>
                </c:pt>
                <c:pt idx="31">
                  <c:v>0</c:v>
                </c:pt>
                <c:pt idx="32">
                  <c:v>1</c:v>
                </c:pt>
                <c:pt idx="33">
                  <c:v>1</c:v>
                </c:pt>
                <c:pt idx="34">
                  <c:v>2</c:v>
                </c:pt>
                <c:pt idx="35">
                  <c:v>2</c:v>
                </c:pt>
                <c:pt idx="36">
                  <c:v>4</c:v>
                </c:pt>
                <c:pt idx="37">
                  <c:v>4</c:v>
                </c:pt>
                <c:pt idx="38">
                  <c:v>4</c:v>
                </c:pt>
                <c:pt idx="39">
                  <c:v>4</c:v>
                </c:pt>
                <c:pt idx="40">
                  <c:v>5</c:v>
                </c:pt>
                <c:pt idx="41">
                  <c:v>5</c:v>
                </c:pt>
                <c:pt idx="42">
                  <c:v>6</c:v>
                </c:pt>
                <c:pt idx="43">
                  <c:v>7</c:v>
                </c:pt>
                <c:pt idx="44">
                  <c:v>7</c:v>
                </c:pt>
                <c:pt idx="45">
                  <c:v>9</c:v>
                </c:pt>
                <c:pt idx="46">
                  <c:v>10</c:v>
                </c:pt>
                <c:pt idx="47">
                  <c:v>10</c:v>
                </c:pt>
                <c:pt idx="48">
                  <c:v>11</c:v>
                </c:pt>
                <c:pt idx="49">
                  <c:v>12</c:v>
                </c:pt>
                <c:pt idx="50">
                  <c:v>13</c:v>
                </c:pt>
                <c:pt idx="51">
                  <c:v>13</c:v>
                </c:pt>
                <c:pt idx="52">
                  <c:v>14</c:v>
                </c:pt>
                <c:pt idx="53">
                  <c:v>14</c:v>
                </c:pt>
                <c:pt idx="54">
                  <c:v>14</c:v>
                </c:pt>
                <c:pt idx="55">
                  <c:v>15</c:v>
                </c:pt>
                <c:pt idx="56">
                  <c:v>15</c:v>
                </c:pt>
                <c:pt idx="57">
                  <c:v>16</c:v>
                </c:pt>
                <c:pt idx="58">
                  <c:v>16</c:v>
                </c:pt>
                <c:pt idx="59">
                  <c:v>16</c:v>
                </c:pt>
                <c:pt idx="60">
                  <c:v>16</c:v>
                </c:pt>
                <c:pt idx="61">
                  <c:v>17</c:v>
                </c:pt>
                <c:pt idx="62">
                  <c:v>18</c:v>
                </c:pt>
              </c:numCache>
            </c:numRef>
          </c:val>
          <c:smooth val="0"/>
          <c:extLst>
            <c:ext xmlns:c16="http://schemas.microsoft.com/office/drawing/2014/chart" uri="{C3380CC4-5D6E-409C-BE32-E72D297353CC}">
              <c16:uniqueId val="{00000013-DF24-4A54-98BF-6043682D6CB0}"/>
            </c:ext>
          </c:extLst>
        </c:ser>
        <c:ser>
          <c:idx val="20"/>
          <c:order val="20"/>
          <c:tx>
            <c:strRef>
              <c:f>pivot2!$V$3:$V$4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pivot2!$V$5:$V$68</c:f>
              <c:numCache>
                <c:formatCode>General</c:formatCode>
                <c:ptCount val="64"/>
                <c:pt idx="29">
                  <c:v>1</c:v>
                </c:pt>
                <c:pt idx="30">
                  <c:v>1</c:v>
                </c:pt>
                <c:pt idx="31">
                  <c:v>1</c:v>
                </c:pt>
                <c:pt idx="32">
                  <c:v>2</c:v>
                </c:pt>
                <c:pt idx="33">
                  <c:v>2</c:v>
                </c:pt>
                <c:pt idx="34">
                  <c:v>2</c:v>
                </c:pt>
                <c:pt idx="35">
                  <c:v>2</c:v>
                </c:pt>
                <c:pt idx="36">
                  <c:v>3</c:v>
                </c:pt>
                <c:pt idx="37">
                  <c:v>4</c:v>
                </c:pt>
                <c:pt idx="38">
                  <c:v>4</c:v>
                </c:pt>
                <c:pt idx="39">
                  <c:v>5</c:v>
                </c:pt>
                <c:pt idx="40">
                  <c:v>5</c:v>
                </c:pt>
                <c:pt idx="41">
                  <c:v>7</c:v>
                </c:pt>
                <c:pt idx="42">
                  <c:v>7</c:v>
                </c:pt>
                <c:pt idx="43">
                  <c:v>8</c:v>
                </c:pt>
                <c:pt idx="44">
                  <c:v>8</c:v>
                </c:pt>
                <c:pt idx="45">
                  <c:v>8</c:v>
                </c:pt>
                <c:pt idx="46">
                  <c:v>8</c:v>
                </c:pt>
                <c:pt idx="47">
                  <c:v>8</c:v>
                </c:pt>
                <c:pt idx="48">
                  <c:v>8</c:v>
                </c:pt>
                <c:pt idx="49">
                  <c:v>8</c:v>
                </c:pt>
                <c:pt idx="50">
                  <c:v>10</c:v>
                </c:pt>
                <c:pt idx="51">
                  <c:v>11</c:v>
                </c:pt>
                <c:pt idx="52">
                  <c:v>11</c:v>
                </c:pt>
                <c:pt idx="53">
                  <c:v>12</c:v>
                </c:pt>
                <c:pt idx="54">
                  <c:v>13</c:v>
                </c:pt>
                <c:pt idx="55">
                  <c:v>13</c:v>
                </c:pt>
                <c:pt idx="56">
                  <c:v>13</c:v>
                </c:pt>
                <c:pt idx="57">
                  <c:v>13</c:v>
                </c:pt>
                <c:pt idx="58">
                  <c:v>14</c:v>
                </c:pt>
                <c:pt idx="59">
                  <c:v>14</c:v>
                </c:pt>
                <c:pt idx="60">
                  <c:v>14</c:v>
                </c:pt>
                <c:pt idx="61">
                  <c:v>14</c:v>
                </c:pt>
                <c:pt idx="62">
                  <c:v>16</c:v>
                </c:pt>
                <c:pt idx="63">
                  <c:v>17</c:v>
                </c:pt>
              </c:numCache>
            </c:numRef>
          </c:val>
          <c:smooth val="0"/>
          <c:extLst>
            <c:ext xmlns:c16="http://schemas.microsoft.com/office/drawing/2014/chart" uri="{C3380CC4-5D6E-409C-BE32-E72D297353CC}">
              <c16:uniqueId val="{00000014-DF24-4A54-98BF-6043682D6CB0}"/>
            </c:ext>
          </c:extLst>
        </c:ser>
        <c:ser>
          <c:idx val="21"/>
          <c:order val="21"/>
          <c:tx>
            <c:strRef>
              <c:f>pivot2!$W$3:$W$4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pivot2!$W$5:$W$68</c:f>
              <c:numCache>
                <c:formatCode>General</c:formatCode>
                <c:ptCount val="64"/>
                <c:pt idx="15">
                  <c:v>1</c:v>
                </c:pt>
                <c:pt idx="19">
                  <c:v>3</c:v>
                </c:pt>
                <c:pt idx="20">
                  <c:v>6</c:v>
                </c:pt>
                <c:pt idx="21">
                  <c:v>8</c:v>
                </c:pt>
                <c:pt idx="22">
                  <c:v>10</c:v>
                </c:pt>
                <c:pt idx="23">
                  <c:v>14</c:v>
                </c:pt>
                <c:pt idx="24">
                  <c:v>15</c:v>
                </c:pt>
                <c:pt idx="25">
                  <c:v>22</c:v>
                </c:pt>
                <c:pt idx="26">
                  <c:v>28</c:v>
                </c:pt>
                <c:pt idx="27">
                  <c:v>37</c:v>
                </c:pt>
                <c:pt idx="28">
                  <c:v>48</c:v>
                </c:pt>
                <c:pt idx="29">
                  <c:v>53</c:v>
                </c:pt>
                <c:pt idx="30">
                  <c:v>60</c:v>
                </c:pt>
                <c:pt idx="31">
                  <c:v>67</c:v>
                </c:pt>
                <c:pt idx="32">
                  <c:v>76</c:v>
                </c:pt>
                <c:pt idx="33">
                  <c:v>87</c:v>
                </c:pt>
                <c:pt idx="34">
                  <c:v>93</c:v>
                </c:pt>
                <c:pt idx="35">
                  <c:v>105</c:v>
                </c:pt>
                <c:pt idx="36">
                  <c:v>120</c:v>
                </c:pt>
                <c:pt idx="37">
                  <c:v>132</c:v>
                </c:pt>
                <c:pt idx="38">
                  <c:v>141</c:v>
                </c:pt>
                <c:pt idx="39">
                  <c:v>155</c:v>
                </c:pt>
                <c:pt idx="40">
                  <c:v>165</c:v>
                </c:pt>
                <c:pt idx="41">
                  <c:v>177</c:v>
                </c:pt>
                <c:pt idx="42">
                  <c:v>189</c:v>
                </c:pt>
                <c:pt idx="43">
                  <c:v>198</c:v>
                </c:pt>
                <c:pt idx="44">
                  <c:v>211</c:v>
                </c:pt>
                <c:pt idx="45">
                  <c:v>219</c:v>
                </c:pt>
                <c:pt idx="46">
                  <c:v>227</c:v>
                </c:pt>
                <c:pt idx="47">
                  <c:v>229</c:v>
                </c:pt>
                <c:pt idx="48">
                  <c:v>244</c:v>
                </c:pt>
                <c:pt idx="49">
                  <c:v>251</c:v>
                </c:pt>
                <c:pt idx="50">
                  <c:v>258</c:v>
                </c:pt>
                <c:pt idx="51">
                  <c:v>263</c:v>
                </c:pt>
                <c:pt idx="52">
                  <c:v>269</c:v>
                </c:pt>
                <c:pt idx="53">
                  <c:v>270</c:v>
                </c:pt>
                <c:pt idx="54">
                  <c:v>277</c:v>
                </c:pt>
                <c:pt idx="55">
                  <c:v>281</c:v>
                </c:pt>
                <c:pt idx="56">
                  <c:v>288</c:v>
                </c:pt>
                <c:pt idx="57">
                  <c:v>291</c:v>
                </c:pt>
                <c:pt idx="58">
                  <c:v>295</c:v>
                </c:pt>
                <c:pt idx="59">
                  <c:v>298</c:v>
                </c:pt>
                <c:pt idx="60">
                  <c:v>299</c:v>
                </c:pt>
                <c:pt idx="61">
                  <c:v>304</c:v>
                </c:pt>
                <c:pt idx="62">
                  <c:v>306</c:v>
                </c:pt>
                <c:pt idx="63">
                  <c:v>311</c:v>
                </c:pt>
              </c:numCache>
            </c:numRef>
          </c:val>
          <c:smooth val="0"/>
          <c:extLst>
            <c:ext xmlns:c16="http://schemas.microsoft.com/office/drawing/2014/chart" uri="{C3380CC4-5D6E-409C-BE32-E72D297353CC}">
              <c16:uniqueId val="{00000015-DF24-4A54-98BF-6043682D6CB0}"/>
            </c:ext>
          </c:extLst>
        </c:ser>
        <c:ser>
          <c:idx val="22"/>
          <c:order val="22"/>
          <c:tx>
            <c:strRef>
              <c:f>pivot2!$X$3:$X$4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pivot2!$X$5:$X$68</c:f>
              <c:numCache>
                <c:formatCode>General</c:formatCode>
                <c:ptCount val="64"/>
                <c:pt idx="37">
                  <c:v>1</c:v>
                </c:pt>
                <c:pt idx="38">
                  <c:v>1</c:v>
                </c:pt>
                <c:pt idx="39">
                  <c:v>1</c:v>
                </c:pt>
                <c:pt idx="40">
                  <c:v>1</c:v>
                </c:pt>
                <c:pt idx="41">
                  <c:v>2</c:v>
                </c:pt>
                <c:pt idx="42">
                  <c:v>2</c:v>
                </c:pt>
                <c:pt idx="43">
                  <c:v>2</c:v>
                </c:pt>
                <c:pt idx="44">
                  <c:v>4</c:v>
                </c:pt>
                <c:pt idx="45">
                  <c:v>4</c:v>
                </c:pt>
                <c:pt idx="46">
                  <c:v>4</c:v>
                </c:pt>
                <c:pt idx="47">
                  <c:v>4</c:v>
                </c:pt>
                <c:pt idx="48">
                  <c:v>4</c:v>
                </c:pt>
                <c:pt idx="49">
                  <c:v>4</c:v>
                </c:pt>
                <c:pt idx="50">
                  <c:v>4</c:v>
                </c:pt>
                <c:pt idx="51">
                  <c:v>4</c:v>
                </c:pt>
                <c:pt idx="52">
                  <c:v>5</c:v>
                </c:pt>
                <c:pt idx="53">
                  <c:v>5</c:v>
                </c:pt>
                <c:pt idx="54">
                  <c:v>5</c:v>
                </c:pt>
                <c:pt idx="55">
                  <c:v>5</c:v>
                </c:pt>
                <c:pt idx="56">
                  <c:v>5</c:v>
                </c:pt>
                <c:pt idx="57">
                  <c:v>5</c:v>
                </c:pt>
                <c:pt idx="58">
                  <c:v>5</c:v>
                </c:pt>
                <c:pt idx="59">
                  <c:v>5</c:v>
                </c:pt>
                <c:pt idx="60">
                  <c:v>5</c:v>
                </c:pt>
                <c:pt idx="61">
                  <c:v>5</c:v>
                </c:pt>
                <c:pt idx="62">
                  <c:v>5</c:v>
                </c:pt>
              </c:numCache>
            </c:numRef>
          </c:val>
          <c:smooth val="0"/>
          <c:extLst>
            <c:ext xmlns:c16="http://schemas.microsoft.com/office/drawing/2014/chart" uri="{C3380CC4-5D6E-409C-BE32-E72D297353CC}">
              <c16:uniqueId val="{00000016-DF24-4A54-98BF-6043682D6CB0}"/>
            </c:ext>
          </c:extLst>
        </c:ser>
        <c:ser>
          <c:idx val="23"/>
          <c:order val="23"/>
          <c:tx>
            <c:strRef>
              <c:f>pivot2!$Y$3:$Y$4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pivot2!$Y$5:$Y$68</c:f>
              <c:numCache>
                <c:formatCode>General</c:formatCode>
                <c:ptCount val="64"/>
                <c:pt idx="11">
                  <c:v>1</c:v>
                </c:pt>
                <c:pt idx="12">
                  <c:v>1</c:v>
                </c:pt>
                <c:pt idx="13">
                  <c:v>1</c:v>
                </c:pt>
                <c:pt idx="14">
                  <c:v>1</c:v>
                </c:pt>
                <c:pt idx="15">
                  <c:v>1</c:v>
                </c:pt>
                <c:pt idx="16">
                  <c:v>1</c:v>
                </c:pt>
                <c:pt idx="17">
                  <c:v>3</c:v>
                </c:pt>
                <c:pt idx="18">
                  <c:v>3</c:v>
                </c:pt>
                <c:pt idx="19">
                  <c:v>4</c:v>
                </c:pt>
                <c:pt idx="20">
                  <c:v>5</c:v>
                </c:pt>
                <c:pt idx="21">
                  <c:v>7</c:v>
                </c:pt>
                <c:pt idx="22">
                  <c:v>9</c:v>
                </c:pt>
                <c:pt idx="23">
                  <c:v>12</c:v>
                </c:pt>
                <c:pt idx="24">
                  <c:v>13</c:v>
                </c:pt>
                <c:pt idx="25">
                  <c:v>19</c:v>
                </c:pt>
                <c:pt idx="26">
                  <c:v>22</c:v>
                </c:pt>
                <c:pt idx="27">
                  <c:v>24</c:v>
                </c:pt>
                <c:pt idx="28">
                  <c:v>28</c:v>
                </c:pt>
                <c:pt idx="29">
                  <c:v>32</c:v>
                </c:pt>
                <c:pt idx="30">
                  <c:v>40</c:v>
                </c:pt>
                <c:pt idx="31">
                  <c:v>57</c:v>
                </c:pt>
                <c:pt idx="32">
                  <c:v>61</c:v>
                </c:pt>
                <c:pt idx="33">
                  <c:v>72</c:v>
                </c:pt>
                <c:pt idx="34">
                  <c:v>81</c:v>
                </c:pt>
                <c:pt idx="35">
                  <c:v>93</c:v>
                </c:pt>
                <c:pt idx="36">
                  <c:v>105</c:v>
                </c:pt>
                <c:pt idx="37">
                  <c:v>116</c:v>
                </c:pt>
                <c:pt idx="38">
                  <c:v>135</c:v>
                </c:pt>
                <c:pt idx="39">
                  <c:v>153</c:v>
                </c:pt>
                <c:pt idx="40">
                  <c:v>164</c:v>
                </c:pt>
                <c:pt idx="41">
                  <c:v>176</c:v>
                </c:pt>
                <c:pt idx="42">
                  <c:v>192</c:v>
                </c:pt>
                <c:pt idx="43">
                  <c:v>204</c:v>
                </c:pt>
                <c:pt idx="44">
                  <c:v>216</c:v>
                </c:pt>
                <c:pt idx="45">
                  <c:v>230</c:v>
                </c:pt>
                <c:pt idx="46">
                  <c:v>237</c:v>
                </c:pt>
                <c:pt idx="47">
                  <c:v>243</c:v>
                </c:pt>
                <c:pt idx="48">
                  <c:v>251</c:v>
                </c:pt>
                <c:pt idx="49">
                  <c:v>257</c:v>
                </c:pt>
                <c:pt idx="50">
                  <c:v>267</c:v>
                </c:pt>
                <c:pt idx="51">
                  <c:v>284</c:v>
                </c:pt>
                <c:pt idx="52">
                  <c:v>297</c:v>
                </c:pt>
                <c:pt idx="53">
                  <c:v>302</c:v>
                </c:pt>
                <c:pt idx="54">
                  <c:v>310</c:v>
                </c:pt>
                <c:pt idx="55">
                  <c:v>315</c:v>
                </c:pt>
                <c:pt idx="56">
                  <c:v>326</c:v>
                </c:pt>
                <c:pt idx="57">
                  <c:v>334</c:v>
                </c:pt>
                <c:pt idx="58">
                  <c:v>338</c:v>
                </c:pt>
                <c:pt idx="59">
                  <c:v>347</c:v>
                </c:pt>
                <c:pt idx="60">
                  <c:v>349</c:v>
                </c:pt>
                <c:pt idx="61">
                  <c:v>354</c:v>
                </c:pt>
                <c:pt idx="62">
                  <c:v>355</c:v>
                </c:pt>
              </c:numCache>
            </c:numRef>
          </c:val>
          <c:smooth val="0"/>
          <c:extLst>
            <c:ext xmlns:c16="http://schemas.microsoft.com/office/drawing/2014/chart" uri="{C3380CC4-5D6E-409C-BE32-E72D297353CC}">
              <c16:uniqueId val="{00000017-DF24-4A54-98BF-6043682D6CB0}"/>
            </c:ext>
          </c:extLst>
        </c:ser>
        <c:ser>
          <c:idx val="24"/>
          <c:order val="24"/>
          <c:tx>
            <c:strRef>
              <c:f>pivot2!$Z$3:$Z$4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pivot2!$Z$5:$Z$68</c:f>
              <c:numCache>
                <c:formatCode>General</c:formatCode>
                <c:ptCount val="64"/>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c:v>
                </c:pt>
                <c:pt idx="19">
                  <c:v>1</c:v>
                </c:pt>
                <c:pt idx="20">
                  <c:v>2</c:v>
                </c:pt>
                <c:pt idx="21">
                  <c:v>3</c:v>
                </c:pt>
                <c:pt idx="22">
                  <c:v>3</c:v>
                </c:pt>
                <c:pt idx="23">
                  <c:v>4</c:v>
                </c:pt>
                <c:pt idx="24">
                  <c:v>6</c:v>
                </c:pt>
                <c:pt idx="25">
                  <c:v>7</c:v>
                </c:pt>
                <c:pt idx="26">
                  <c:v>10</c:v>
                </c:pt>
                <c:pt idx="27">
                  <c:v>11</c:v>
                </c:pt>
                <c:pt idx="28">
                  <c:v>13</c:v>
                </c:pt>
                <c:pt idx="29">
                  <c:v>14</c:v>
                </c:pt>
                <c:pt idx="30">
                  <c:v>15</c:v>
                </c:pt>
                <c:pt idx="31">
                  <c:v>17</c:v>
                </c:pt>
                <c:pt idx="32">
                  <c:v>21</c:v>
                </c:pt>
                <c:pt idx="33">
                  <c:v>25</c:v>
                </c:pt>
                <c:pt idx="34">
                  <c:v>31</c:v>
                </c:pt>
                <c:pt idx="35">
                  <c:v>35</c:v>
                </c:pt>
                <c:pt idx="36">
                  <c:v>37</c:v>
                </c:pt>
                <c:pt idx="37">
                  <c:v>40</c:v>
                </c:pt>
                <c:pt idx="38">
                  <c:v>47</c:v>
                </c:pt>
                <c:pt idx="39">
                  <c:v>51</c:v>
                </c:pt>
                <c:pt idx="40">
                  <c:v>53</c:v>
                </c:pt>
                <c:pt idx="41">
                  <c:v>57</c:v>
                </c:pt>
                <c:pt idx="42">
                  <c:v>60</c:v>
                </c:pt>
                <c:pt idx="43">
                  <c:v>68</c:v>
                </c:pt>
                <c:pt idx="44">
                  <c:v>71</c:v>
                </c:pt>
                <c:pt idx="45">
                  <c:v>77</c:v>
                </c:pt>
                <c:pt idx="46">
                  <c:v>83</c:v>
                </c:pt>
                <c:pt idx="47">
                  <c:v>85</c:v>
                </c:pt>
                <c:pt idx="48">
                  <c:v>91</c:v>
                </c:pt>
                <c:pt idx="49">
                  <c:v>93</c:v>
                </c:pt>
                <c:pt idx="50">
                  <c:v>94</c:v>
                </c:pt>
                <c:pt idx="51">
                  <c:v>94</c:v>
                </c:pt>
                <c:pt idx="52">
                  <c:v>95</c:v>
                </c:pt>
                <c:pt idx="53">
                  <c:v>99</c:v>
                </c:pt>
                <c:pt idx="54">
                  <c:v>104</c:v>
                </c:pt>
                <c:pt idx="55">
                  <c:v>107</c:v>
                </c:pt>
                <c:pt idx="56">
                  <c:v>110</c:v>
                </c:pt>
                <c:pt idx="57">
                  <c:v>114</c:v>
                </c:pt>
                <c:pt idx="58">
                  <c:v>117</c:v>
                </c:pt>
                <c:pt idx="59">
                  <c:v>120</c:v>
                </c:pt>
                <c:pt idx="60">
                  <c:v>126</c:v>
                </c:pt>
                <c:pt idx="61">
                  <c:v>128</c:v>
                </c:pt>
                <c:pt idx="62">
                  <c:v>129</c:v>
                </c:pt>
              </c:numCache>
            </c:numRef>
          </c:val>
          <c:smooth val="0"/>
          <c:extLst>
            <c:ext xmlns:c16="http://schemas.microsoft.com/office/drawing/2014/chart" uri="{C3380CC4-5D6E-409C-BE32-E72D297353CC}">
              <c16:uniqueId val="{00000018-DF24-4A54-98BF-6043682D6CB0}"/>
            </c:ext>
          </c:extLst>
        </c:ser>
        <c:ser>
          <c:idx val="25"/>
          <c:order val="25"/>
          <c:tx>
            <c:strRef>
              <c:f>pivot2!$AA$3:$AA$4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pivot2!$AA$5:$AA$68</c:f>
              <c:numCache>
                <c:formatCode>General</c:formatCode>
                <c:ptCount val="64"/>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1</c:v>
                </c:pt>
                <c:pt idx="34">
                  <c:v>1</c:v>
                </c:pt>
                <c:pt idx="35">
                  <c:v>1</c:v>
                </c:pt>
                <c:pt idx="36">
                  <c:v>1</c:v>
                </c:pt>
                <c:pt idx="37">
                  <c:v>1</c:v>
                </c:pt>
                <c:pt idx="38">
                  <c:v>1</c:v>
                </c:pt>
                <c:pt idx="39">
                  <c:v>1</c:v>
                </c:pt>
                <c:pt idx="40">
                  <c:v>2</c:v>
                </c:pt>
                <c:pt idx="41">
                  <c:v>2</c:v>
                </c:pt>
                <c:pt idx="42">
                  <c:v>3</c:v>
                </c:pt>
                <c:pt idx="43">
                  <c:v>3</c:v>
                </c:pt>
                <c:pt idx="44">
                  <c:v>3</c:v>
                </c:pt>
                <c:pt idx="45">
                  <c:v>3</c:v>
                </c:pt>
                <c:pt idx="46">
                  <c:v>3</c:v>
                </c:pt>
                <c:pt idx="47">
                  <c:v>4</c:v>
                </c:pt>
                <c:pt idx="48">
                  <c:v>5</c:v>
                </c:pt>
                <c:pt idx="49">
                  <c:v>5</c:v>
                </c:pt>
                <c:pt idx="50">
                  <c:v>5</c:v>
                </c:pt>
                <c:pt idx="51">
                  <c:v>5</c:v>
                </c:pt>
                <c:pt idx="52">
                  <c:v>6</c:v>
                </c:pt>
                <c:pt idx="53">
                  <c:v>6</c:v>
                </c:pt>
                <c:pt idx="54">
                  <c:v>7</c:v>
                </c:pt>
                <c:pt idx="55">
                  <c:v>7</c:v>
                </c:pt>
                <c:pt idx="56">
                  <c:v>7</c:v>
                </c:pt>
                <c:pt idx="57">
                  <c:v>8</c:v>
                </c:pt>
                <c:pt idx="58">
                  <c:v>8</c:v>
                </c:pt>
                <c:pt idx="59">
                  <c:v>8</c:v>
                </c:pt>
                <c:pt idx="60">
                  <c:v>8</c:v>
                </c:pt>
                <c:pt idx="61">
                  <c:v>8</c:v>
                </c:pt>
              </c:numCache>
            </c:numRef>
          </c:val>
          <c:smooth val="0"/>
          <c:extLst>
            <c:ext xmlns:c16="http://schemas.microsoft.com/office/drawing/2014/chart" uri="{C3380CC4-5D6E-409C-BE32-E72D297353CC}">
              <c16:uniqueId val="{00000019-DF24-4A54-98BF-6043682D6CB0}"/>
            </c:ext>
          </c:extLst>
        </c:ser>
        <c:ser>
          <c:idx val="26"/>
          <c:order val="26"/>
          <c:tx>
            <c:strRef>
              <c:f>pivot2!$AB$3:$AB$4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pivot2!$AB$5:$AB$68</c:f>
              <c:numCache>
                <c:formatCode>General</c:formatCode>
                <c:ptCount val="64"/>
                <c:pt idx="20">
                  <c:v>1</c:v>
                </c:pt>
                <c:pt idx="21">
                  <c:v>1</c:v>
                </c:pt>
                <c:pt idx="22">
                  <c:v>1</c:v>
                </c:pt>
                <c:pt idx="23">
                  <c:v>2</c:v>
                </c:pt>
                <c:pt idx="24">
                  <c:v>3</c:v>
                </c:pt>
                <c:pt idx="25">
                  <c:v>4</c:v>
                </c:pt>
                <c:pt idx="26">
                  <c:v>5</c:v>
                </c:pt>
                <c:pt idx="27">
                  <c:v>6</c:v>
                </c:pt>
                <c:pt idx="28">
                  <c:v>6</c:v>
                </c:pt>
                <c:pt idx="29">
                  <c:v>8</c:v>
                </c:pt>
                <c:pt idx="30">
                  <c:v>10</c:v>
                </c:pt>
                <c:pt idx="31">
                  <c:v>13</c:v>
                </c:pt>
                <c:pt idx="32">
                  <c:v>15</c:v>
                </c:pt>
                <c:pt idx="33">
                  <c:v>19</c:v>
                </c:pt>
                <c:pt idx="34">
                  <c:v>22</c:v>
                </c:pt>
                <c:pt idx="35">
                  <c:v>24</c:v>
                </c:pt>
                <c:pt idx="36">
                  <c:v>27</c:v>
                </c:pt>
                <c:pt idx="37">
                  <c:v>36</c:v>
                </c:pt>
                <c:pt idx="38">
                  <c:v>39</c:v>
                </c:pt>
                <c:pt idx="39">
                  <c:v>41</c:v>
                </c:pt>
                <c:pt idx="40">
                  <c:v>49</c:v>
                </c:pt>
                <c:pt idx="41">
                  <c:v>53</c:v>
                </c:pt>
                <c:pt idx="42">
                  <c:v>55</c:v>
                </c:pt>
                <c:pt idx="43">
                  <c:v>57</c:v>
                </c:pt>
                <c:pt idx="44">
                  <c:v>65</c:v>
                </c:pt>
                <c:pt idx="45">
                  <c:v>66</c:v>
                </c:pt>
                <c:pt idx="46">
                  <c:v>71</c:v>
                </c:pt>
                <c:pt idx="47">
                  <c:v>77</c:v>
                </c:pt>
                <c:pt idx="48">
                  <c:v>79</c:v>
                </c:pt>
                <c:pt idx="49">
                  <c:v>83</c:v>
                </c:pt>
                <c:pt idx="50">
                  <c:v>87</c:v>
                </c:pt>
                <c:pt idx="51">
                  <c:v>91</c:v>
                </c:pt>
                <c:pt idx="52">
                  <c:v>95</c:v>
                </c:pt>
                <c:pt idx="53">
                  <c:v>99</c:v>
                </c:pt>
                <c:pt idx="54">
                  <c:v>105</c:v>
                </c:pt>
                <c:pt idx="55">
                  <c:v>105</c:v>
                </c:pt>
                <c:pt idx="56">
                  <c:v>107</c:v>
                </c:pt>
                <c:pt idx="57">
                  <c:v>109</c:v>
                </c:pt>
                <c:pt idx="58">
                  <c:v>110</c:v>
                </c:pt>
                <c:pt idx="59">
                  <c:v>113</c:v>
                </c:pt>
                <c:pt idx="60">
                  <c:v>114</c:v>
                </c:pt>
                <c:pt idx="61">
                  <c:v>115</c:v>
                </c:pt>
                <c:pt idx="62">
                  <c:v>115</c:v>
                </c:pt>
              </c:numCache>
            </c:numRef>
          </c:val>
          <c:smooth val="0"/>
          <c:extLst>
            <c:ext xmlns:c16="http://schemas.microsoft.com/office/drawing/2014/chart" uri="{C3380CC4-5D6E-409C-BE32-E72D297353CC}">
              <c16:uniqueId val="{0000001A-DF24-4A54-98BF-6043682D6CB0}"/>
            </c:ext>
          </c:extLst>
        </c:ser>
        <c:ser>
          <c:idx val="27"/>
          <c:order val="27"/>
          <c:tx>
            <c:strRef>
              <c:f>pivot2!$AC$3:$AC$4</c:f>
              <c:strCache>
                <c:ptCount val="1"/>
                <c:pt idx="0">
                  <c:v>(Leer)</c:v>
                </c:pt>
              </c:strCache>
            </c:strRef>
          </c:tx>
          <c:spPr>
            <a:ln w="34925" cap="rnd">
              <a:solidFill>
                <a:schemeClr val="accent4">
                  <a:lumMod val="60000"/>
                  <a:lumOff val="4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pivot2!$AC$5:$AC$68</c:f>
              <c:numCache>
                <c:formatCode>General</c:formatCode>
                <c:ptCount val="64"/>
              </c:numCache>
            </c:numRef>
          </c:val>
          <c:smooth val="0"/>
          <c:extLst>
            <c:ext xmlns:c16="http://schemas.microsoft.com/office/drawing/2014/chart" uri="{C3380CC4-5D6E-409C-BE32-E72D297353CC}">
              <c16:uniqueId val="{0000001B-DF24-4A54-98BF-6043682D6CB0}"/>
            </c:ext>
          </c:extLst>
        </c:ser>
        <c:dLbls>
          <c:showLegendKey val="0"/>
          <c:showVal val="0"/>
          <c:showCatName val="0"/>
          <c:showSerName val="0"/>
          <c:showPercent val="0"/>
          <c:showBubbleSize val="0"/>
        </c:dLbls>
        <c:smooth val="0"/>
        <c:axId val="178449776"/>
        <c:axId val="1228720975"/>
      </c:lineChart>
      <c:catAx>
        <c:axId val="17844977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28720975"/>
        <c:crosses val="autoZero"/>
        <c:auto val="1"/>
        <c:lblAlgn val="ctr"/>
        <c:lblOffset val="100"/>
        <c:noMultiLvlLbl val="0"/>
      </c:catAx>
      <c:valAx>
        <c:axId val="1228720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78449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 New</a:t>
            </a:r>
            <a:r>
              <a:rPr lang="en-US" baseline="0"/>
              <a:t> positive &amp; new deaths</a:t>
            </a:r>
            <a:r>
              <a:rPr lang="en-US"/>
              <a:t>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8.9323272090988629E-2"/>
          <c:y val="0.10689814814814817"/>
          <c:w val="0.85474540682414701"/>
          <c:h val="0.72082754498200308"/>
        </c:manualLayout>
      </c:layout>
      <c:lineChart>
        <c:grouping val="standard"/>
        <c:varyColors val="0"/>
        <c:ser>
          <c:idx val="8"/>
          <c:order val="8"/>
          <c:tx>
            <c:v>new_positive</c:v>
          </c:tx>
          <c:spPr>
            <a:ln w="34925" cap="rnd">
              <a:solidFill>
                <a:srgbClr val="33CCFF"/>
              </a:solidFill>
              <a:round/>
            </a:ln>
            <a:effectLst>
              <a:outerShdw blurRad="57150" dist="19050" dir="5400000" algn="ctr" rotWithShape="0">
                <a:srgbClr val="000000">
                  <a:alpha val="63000"/>
                </a:srgbClr>
              </a:outerShdw>
            </a:effectLst>
          </c:spPr>
          <c:marker>
            <c:symbol val="none"/>
          </c:marker>
          <c:cat>
            <c:numLit>
              <c:formatCode>General</c:formatCode>
              <c:ptCount val="6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numLit>
          </c:cat>
          <c:val>
            <c:numLit>
              <c:formatCode>General</c:formatCode>
              <c:ptCount val="63"/>
              <c:pt idx="0">
                <c:v>0</c:v>
              </c:pt>
              <c:pt idx="1">
                <c:v>1</c:v>
              </c:pt>
              <c:pt idx="2">
                <c:v>4</c:v>
              </c:pt>
              <c:pt idx="3">
                <c:v>7</c:v>
              </c:pt>
              <c:pt idx="4">
                <c:v>7</c:v>
              </c:pt>
              <c:pt idx="5">
                <c:v>7</c:v>
              </c:pt>
              <c:pt idx="6">
                <c:v>10</c:v>
              </c:pt>
              <c:pt idx="7">
                <c:v>17</c:v>
              </c:pt>
              <c:pt idx="8">
                <c:v>20</c:v>
              </c:pt>
              <c:pt idx="9">
                <c:v>44</c:v>
              </c:pt>
              <c:pt idx="10">
                <c:v>65</c:v>
              </c:pt>
              <c:pt idx="11">
                <c:v>72</c:v>
              </c:pt>
              <c:pt idx="12">
                <c:v>57</c:v>
              </c:pt>
              <c:pt idx="13">
                <c:v>84</c:v>
              </c:pt>
              <c:pt idx="14">
                <c:v>137</c:v>
              </c:pt>
              <c:pt idx="15">
                <c:v>171</c:v>
              </c:pt>
              <c:pt idx="16">
                <c:v>352</c:v>
              </c:pt>
              <c:pt idx="17">
                <c:v>352</c:v>
              </c:pt>
              <c:pt idx="18">
                <c:v>335</c:v>
              </c:pt>
              <c:pt idx="19">
                <c:v>279</c:v>
              </c:pt>
              <c:pt idx="20">
                <c:v>729</c:v>
              </c:pt>
              <c:pt idx="21">
                <c:v>871</c:v>
              </c:pt>
              <c:pt idx="22">
                <c:v>1181</c:v>
              </c:pt>
              <c:pt idx="23">
                <c:v>1047</c:v>
              </c:pt>
              <c:pt idx="24">
                <c:v>1135</c:v>
              </c:pt>
              <c:pt idx="25">
                <c:v>697</c:v>
              </c:pt>
              <c:pt idx="26">
                <c:v>569</c:v>
              </c:pt>
              <c:pt idx="27">
                <c:v>1560</c:v>
              </c:pt>
              <c:pt idx="28">
                <c:v>1071</c:v>
              </c:pt>
              <c:pt idx="29">
                <c:v>1095</c:v>
              </c:pt>
              <c:pt idx="30">
                <c:v>1139</c:v>
              </c:pt>
              <c:pt idx="31">
                <c:v>1308</c:v>
              </c:pt>
              <c:pt idx="32">
                <c:v>833</c:v>
              </c:pt>
              <c:pt idx="33">
                <c:v>598</c:v>
              </c:pt>
              <c:pt idx="34">
                <c:v>1115</c:v>
              </c:pt>
              <c:pt idx="35">
                <c:v>938</c:v>
              </c:pt>
              <c:pt idx="36">
                <c:v>1027</c:v>
              </c:pt>
              <c:pt idx="37">
                <c:v>1045</c:v>
              </c:pt>
              <c:pt idx="38">
                <c:v>929</c:v>
              </c:pt>
              <c:pt idx="39">
                <c:v>566</c:v>
              </c:pt>
              <c:pt idx="40">
                <c:v>383</c:v>
              </c:pt>
              <c:pt idx="41">
                <c:v>742</c:v>
              </c:pt>
              <c:pt idx="42">
                <c:v>651</c:v>
              </c:pt>
              <c:pt idx="43">
                <c:v>670</c:v>
              </c:pt>
              <c:pt idx="44">
                <c:v>668</c:v>
              </c:pt>
              <c:pt idx="45">
                <c:v>450</c:v>
              </c:pt>
              <c:pt idx="46">
                <c:v>463</c:v>
              </c:pt>
              <c:pt idx="47">
                <c:v>273</c:v>
              </c:pt>
              <c:pt idx="48">
                <c:v>251</c:v>
              </c:pt>
              <c:pt idx="49">
                <c:v>322</c:v>
              </c:pt>
              <c:pt idx="50">
                <c:v>318</c:v>
              </c:pt>
              <c:pt idx="51">
                <c:v>299</c:v>
              </c:pt>
              <c:pt idx="52">
                <c:v>314</c:v>
              </c:pt>
              <c:pt idx="53">
                <c:v>293</c:v>
              </c:pt>
              <c:pt idx="54">
                <c:v>177</c:v>
              </c:pt>
              <c:pt idx="55">
                <c:v>202</c:v>
              </c:pt>
              <c:pt idx="56">
                <c:v>158</c:v>
              </c:pt>
              <c:pt idx="57">
                <c:v>195</c:v>
              </c:pt>
              <c:pt idx="58">
                <c:v>183</c:v>
              </c:pt>
              <c:pt idx="59">
                <c:v>164</c:v>
              </c:pt>
              <c:pt idx="60">
                <c:v>135</c:v>
              </c:pt>
              <c:pt idx="61">
                <c:v>65</c:v>
              </c:pt>
              <c:pt idx="62">
                <c:v>64</c:v>
              </c:pt>
            </c:numLit>
          </c:val>
          <c:smooth val="0"/>
          <c:extLst>
            <c:ext xmlns:c16="http://schemas.microsoft.com/office/drawing/2014/chart" uri="{C3380CC4-5D6E-409C-BE32-E72D297353CC}">
              <c16:uniqueId val="{00000000-3C9B-4CCC-99BC-84CFF113D9B4}"/>
            </c:ext>
          </c:extLst>
        </c:ser>
        <c:ser>
          <c:idx val="11"/>
          <c:order val="11"/>
          <c:tx>
            <c:v>new_deaths</c:v>
          </c:tx>
          <c:spPr>
            <a:ln w="34925" cap="rnd">
              <a:solidFill>
                <a:schemeClr val="bg1"/>
              </a:solidFill>
              <a:round/>
            </a:ln>
            <a:effectLst>
              <a:outerShdw blurRad="57150" dist="19050" dir="5400000" algn="ctr" rotWithShape="0">
                <a:srgbClr val="000000">
                  <a:alpha val="63000"/>
                </a:srgbClr>
              </a:outerShdw>
            </a:effectLst>
          </c:spPr>
          <c:marker>
            <c:symbol val="none"/>
          </c:marker>
          <c:cat>
            <c:numLit>
              <c:formatCode>General</c:formatCode>
              <c:ptCount val="6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numLit>
          </c:cat>
          <c:val>
            <c:numLit>
              <c:formatCode>General</c:formatCode>
              <c:ptCount val="63"/>
              <c:pt idx="0">
                <c:v>0</c:v>
              </c:pt>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46</c:v>
              </c:pt>
              <c:pt idx="31">
                <c:v>36</c:v>
              </c:pt>
              <c:pt idx="32">
                <c:v>52</c:v>
              </c:pt>
              <c:pt idx="33">
                <c:v>44</c:v>
              </c:pt>
              <c:pt idx="34">
                <c:v>58</c:v>
              </c:pt>
              <c:pt idx="35">
                <c:v>66</c:v>
              </c:pt>
              <c:pt idx="36">
                <c:v>63</c:v>
              </c:pt>
              <c:pt idx="37">
                <c:v>61</c:v>
              </c:pt>
              <c:pt idx="38">
                <c:v>61</c:v>
              </c:pt>
              <c:pt idx="39">
                <c:v>66</c:v>
              </c:pt>
              <c:pt idx="40">
                <c:v>52</c:v>
              </c:pt>
              <c:pt idx="41">
                <c:v>58</c:v>
              </c:pt>
              <c:pt idx="42">
                <c:v>60</c:v>
              </c:pt>
              <c:pt idx="43">
                <c:v>67</c:v>
              </c:pt>
              <c:pt idx="44">
                <c:v>51</c:v>
              </c:pt>
              <c:pt idx="45">
                <c:v>49</c:v>
              </c:pt>
              <c:pt idx="46">
                <c:v>37</c:v>
              </c:pt>
              <c:pt idx="47">
                <c:v>55</c:v>
              </c:pt>
              <c:pt idx="48">
                <c:v>30</c:v>
              </c:pt>
              <c:pt idx="49">
                <c:v>38</c:v>
              </c:pt>
              <c:pt idx="50">
                <c:v>52</c:v>
              </c:pt>
              <c:pt idx="51">
                <c:v>45</c:v>
              </c:pt>
              <c:pt idx="52">
                <c:v>45</c:v>
              </c:pt>
              <c:pt idx="53">
                <c:v>42</c:v>
              </c:pt>
              <c:pt idx="54">
                <c:v>22</c:v>
              </c:pt>
              <c:pt idx="55">
                <c:v>41</c:v>
              </c:pt>
              <c:pt idx="56">
                <c:v>39</c:v>
              </c:pt>
              <c:pt idx="57">
                <c:v>25</c:v>
              </c:pt>
              <c:pt idx="58">
                <c:v>26</c:v>
              </c:pt>
              <c:pt idx="59">
                <c:v>22</c:v>
              </c:pt>
              <c:pt idx="60">
                <c:v>17</c:v>
              </c:pt>
              <c:pt idx="61">
                <c:v>9</c:v>
              </c:pt>
              <c:pt idx="62">
                <c:v>7</c:v>
              </c:pt>
            </c:numLit>
          </c:val>
          <c:smooth val="0"/>
          <c:extLst>
            <c:ext xmlns:c16="http://schemas.microsoft.com/office/drawing/2014/chart" uri="{C3380CC4-5D6E-409C-BE32-E72D297353CC}">
              <c16:uniqueId val="{00000001-3C9B-4CCC-99BC-84CFF113D9B4}"/>
            </c:ext>
          </c:extLst>
        </c:ser>
        <c:dLbls>
          <c:showLegendKey val="0"/>
          <c:showVal val="0"/>
          <c:showCatName val="0"/>
          <c:showSerName val="0"/>
          <c:showPercent val="0"/>
          <c:showBubbleSize val="0"/>
        </c:dLbls>
        <c:smooth val="0"/>
        <c:axId val="267841359"/>
        <c:axId val="1298294639"/>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c:ext uri="{02D57815-91ED-43cb-92C2-25804820EDAC}">
                        <c15:formulaRef>
                          <c15:sqref>ch_latest!$D$2:$D$65</c15:sqref>
                        </c15:formulaRef>
                      </c:ext>
                    </c:extLst>
                    <c:numCache>
                      <c:formatCode>General</c:formatCode>
                      <c:ptCount val="64"/>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323</c:v>
                      </c:pt>
                      <c:pt idx="33">
                        <c:v>337</c:v>
                      </c:pt>
                      <c:pt idx="34">
                        <c:v>384</c:v>
                      </c:pt>
                      <c:pt idx="35">
                        <c:v>410</c:v>
                      </c:pt>
                      <c:pt idx="36">
                        <c:v>441</c:v>
                      </c:pt>
                      <c:pt idx="37">
                        <c:v>446</c:v>
                      </c:pt>
                      <c:pt idx="38">
                        <c:v>456</c:v>
                      </c:pt>
                      <c:pt idx="39">
                        <c:v>458</c:v>
                      </c:pt>
                      <c:pt idx="40">
                        <c:v>448</c:v>
                      </c:pt>
                      <c:pt idx="41">
                        <c:v>447</c:v>
                      </c:pt>
                      <c:pt idx="42">
                        <c:v>441</c:v>
                      </c:pt>
                      <c:pt idx="43">
                        <c:v>438</c:v>
                      </c:pt>
                      <c:pt idx="44">
                        <c:v>430</c:v>
                      </c:pt>
                      <c:pt idx="45">
                        <c:v>418</c:v>
                      </c:pt>
                      <c:pt idx="46">
                        <c:v>418</c:v>
                      </c:pt>
                      <c:pt idx="47">
                        <c:v>407</c:v>
                      </c:pt>
                      <c:pt idx="48">
                        <c:v>403</c:v>
                      </c:pt>
                      <c:pt idx="49">
                        <c:v>390</c:v>
                      </c:pt>
                      <c:pt idx="50">
                        <c:v>368</c:v>
                      </c:pt>
                      <c:pt idx="51">
                        <c:v>348</c:v>
                      </c:pt>
                      <c:pt idx="52">
                        <c:v>335</c:v>
                      </c:pt>
                      <c:pt idx="53">
                        <c:v>321</c:v>
                      </c:pt>
                      <c:pt idx="54">
                        <c:v>313</c:v>
                      </c:pt>
                      <c:pt idx="55">
                        <c:v>302</c:v>
                      </c:pt>
                      <c:pt idx="56">
                        <c:v>287</c:v>
                      </c:pt>
                      <c:pt idx="57">
                        <c:v>255</c:v>
                      </c:pt>
                      <c:pt idx="58">
                        <c:v>247</c:v>
                      </c:pt>
                      <c:pt idx="59">
                        <c:v>241</c:v>
                      </c:pt>
                      <c:pt idx="60">
                        <c:v>232</c:v>
                      </c:pt>
                      <c:pt idx="61">
                        <c:v>209</c:v>
                      </c:pt>
                      <c:pt idx="62">
                        <c:v>207</c:v>
                      </c:pt>
                      <c:pt idx="63">
                        <c:v>207</c:v>
                      </c:pt>
                    </c:numCache>
                  </c:numRef>
                </c:val>
                <c:smooth val="0"/>
                <c:extLst>
                  <c:ext xmlns:c16="http://schemas.microsoft.com/office/drawing/2014/chart" uri="{C3380CC4-5D6E-409C-BE32-E72D297353CC}">
                    <c16:uniqueId val="{00000002-3C9B-4CCC-99BC-84CFF113D9B4}"/>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ch_latest!$E$2:$E$65</c15:sqref>
                        </c15:formulaRef>
                      </c:ext>
                    </c:extLst>
                    <c:numCache>
                      <c:formatCode>General</c:formatCode>
                      <c:ptCount val="64"/>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904</c:v>
                      </c:pt>
                      <c:pt idx="26">
                        <c:v>1090</c:v>
                      </c:pt>
                      <c:pt idx="27">
                        <c:v>1207</c:v>
                      </c:pt>
                      <c:pt idx="28">
                        <c:v>1364</c:v>
                      </c:pt>
                      <c:pt idx="29">
                        <c:v>1465</c:v>
                      </c:pt>
                      <c:pt idx="30">
                        <c:v>1611</c:v>
                      </c:pt>
                      <c:pt idx="31">
                        <c:v>1793</c:v>
                      </c:pt>
                      <c:pt idx="32">
                        <c:v>1881</c:v>
                      </c:pt>
                      <c:pt idx="33">
                        <c:v>1995</c:v>
                      </c:pt>
                      <c:pt idx="34">
                        <c:v>2180</c:v>
                      </c:pt>
                      <c:pt idx="35">
                        <c:v>2208</c:v>
                      </c:pt>
                      <c:pt idx="36">
                        <c:v>2288</c:v>
                      </c:pt>
                      <c:pt idx="37">
                        <c:v>2352</c:v>
                      </c:pt>
                      <c:pt idx="38">
                        <c:v>2333</c:v>
                      </c:pt>
                      <c:pt idx="39">
                        <c:v>2321</c:v>
                      </c:pt>
                      <c:pt idx="40">
                        <c:v>2306</c:v>
                      </c:pt>
                      <c:pt idx="41">
                        <c:v>2310</c:v>
                      </c:pt>
                      <c:pt idx="42">
                        <c:v>2228</c:v>
                      </c:pt>
                      <c:pt idx="43">
                        <c:v>2140</c:v>
                      </c:pt>
                      <c:pt idx="44">
                        <c:v>2072</c:v>
                      </c:pt>
                      <c:pt idx="45">
                        <c:v>2012</c:v>
                      </c:pt>
                      <c:pt idx="46">
                        <c:v>1937</c:v>
                      </c:pt>
                      <c:pt idx="47">
                        <c:v>1914</c:v>
                      </c:pt>
                      <c:pt idx="48">
                        <c:v>1897</c:v>
                      </c:pt>
                      <c:pt idx="49">
                        <c:v>1859</c:v>
                      </c:pt>
                      <c:pt idx="50">
                        <c:v>1735</c:v>
                      </c:pt>
                      <c:pt idx="51">
                        <c:v>1679</c:v>
                      </c:pt>
                      <c:pt idx="52">
                        <c:v>1581</c:v>
                      </c:pt>
                      <c:pt idx="53">
                        <c:v>1530</c:v>
                      </c:pt>
                      <c:pt idx="54">
                        <c:v>1524</c:v>
                      </c:pt>
                      <c:pt idx="55">
                        <c:v>1500</c:v>
                      </c:pt>
                      <c:pt idx="56">
                        <c:v>1423</c:v>
                      </c:pt>
                      <c:pt idx="57">
                        <c:v>1358</c:v>
                      </c:pt>
                      <c:pt idx="58">
                        <c:v>1306</c:v>
                      </c:pt>
                      <c:pt idx="59">
                        <c:v>1260</c:v>
                      </c:pt>
                      <c:pt idx="60">
                        <c:v>1234</c:v>
                      </c:pt>
                      <c:pt idx="61">
                        <c:v>1212</c:v>
                      </c:pt>
                      <c:pt idx="62">
                        <c:v>1207</c:v>
                      </c:pt>
                      <c:pt idx="63">
                        <c:v>1207</c:v>
                      </c:pt>
                    </c:numCache>
                  </c:numRef>
                </c:val>
                <c:smooth val="0"/>
                <c:extLst xmlns:c15="http://schemas.microsoft.com/office/drawing/2012/chart">
                  <c:ext xmlns:c16="http://schemas.microsoft.com/office/drawing/2014/chart" uri="{C3380CC4-5D6E-409C-BE32-E72D297353CC}">
                    <c16:uniqueId val="{00000003-3C9B-4CCC-99BC-84CFF113D9B4}"/>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ch_latest!$F$2:$F$65</c15:sqref>
                        </c15:formulaRef>
                      </c:ext>
                    </c:extLst>
                    <c:numCache>
                      <c:formatCode>General</c:formatCode>
                      <c:ptCount val="64"/>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533</c:v>
                      </c:pt>
                      <c:pt idx="15">
                        <c:v>704</c:v>
                      </c:pt>
                      <c:pt idx="16">
                        <c:v>1056</c:v>
                      </c:pt>
                      <c:pt idx="17">
                        <c:v>1408</c:v>
                      </c:pt>
                      <c:pt idx="18">
                        <c:v>1743</c:v>
                      </c:pt>
                      <c:pt idx="19">
                        <c:v>2022</c:v>
                      </c:pt>
                      <c:pt idx="20">
                        <c:v>2750</c:v>
                      </c:pt>
                      <c:pt idx="21">
                        <c:v>3621</c:v>
                      </c:pt>
                      <c:pt idx="22">
                        <c:v>4792</c:v>
                      </c:pt>
                      <c:pt idx="23">
                        <c:v>5818</c:v>
                      </c:pt>
                      <c:pt idx="24">
                        <c:v>6953</c:v>
                      </c:pt>
                      <c:pt idx="25">
                        <c:v>7650</c:v>
                      </c:pt>
                      <c:pt idx="26">
                        <c:v>8219</c:v>
                      </c:pt>
                      <c:pt idx="27">
                        <c:v>9779</c:v>
                      </c:pt>
                      <c:pt idx="28">
                        <c:v>10850</c:v>
                      </c:pt>
                      <c:pt idx="29">
                        <c:v>11944</c:v>
                      </c:pt>
                      <c:pt idx="30">
                        <c:v>13083</c:v>
                      </c:pt>
                      <c:pt idx="31">
                        <c:v>14391</c:v>
                      </c:pt>
                      <c:pt idx="32">
                        <c:v>15224</c:v>
                      </c:pt>
                      <c:pt idx="33">
                        <c:v>15822</c:v>
                      </c:pt>
                      <c:pt idx="34">
                        <c:v>16937</c:v>
                      </c:pt>
                      <c:pt idx="35">
                        <c:v>17875</c:v>
                      </c:pt>
                      <c:pt idx="36">
                        <c:v>18902</c:v>
                      </c:pt>
                      <c:pt idx="37">
                        <c:v>19947</c:v>
                      </c:pt>
                      <c:pt idx="38">
                        <c:v>20876</c:v>
                      </c:pt>
                      <c:pt idx="39">
                        <c:v>21443</c:v>
                      </c:pt>
                      <c:pt idx="40">
                        <c:v>21826</c:v>
                      </c:pt>
                      <c:pt idx="41">
                        <c:v>22568</c:v>
                      </c:pt>
                      <c:pt idx="42">
                        <c:v>23219</c:v>
                      </c:pt>
                      <c:pt idx="43">
                        <c:v>23889</c:v>
                      </c:pt>
                      <c:pt idx="44">
                        <c:v>24557</c:v>
                      </c:pt>
                      <c:pt idx="45">
                        <c:v>25007</c:v>
                      </c:pt>
                      <c:pt idx="46">
                        <c:v>25470</c:v>
                      </c:pt>
                      <c:pt idx="47">
                        <c:v>25743</c:v>
                      </c:pt>
                      <c:pt idx="48">
                        <c:v>25994</c:v>
                      </c:pt>
                      <c:pt idx="49">
                        <c:v>26316</c:v>
                      </c:pt>
                      <c:pt idx="50">
                        <c:v>26634</c:v>
                      </c:pt>
                      <c:pt idx="51">
                        <c:v>26933</c:v>
                      </c:pt>
                      <c:pt idx="52">
                        <c:v>27248</c:v>
                      </c:pt>
                      <c:pt idx="53">
                        <c:v>27541</c:v>
                      </c:pt>
                      <c:pt idx="54">
                        <c:v>27718</c:v>
                      </c:pt>
                      <c:pt idx="55">
                        <c:v>27921</c:v>
                      </c:pt>
                      <c:pt idx="56">
                        <c:v>28080</c:v>
                      </c:pt>
                      <c:pt idx="57">
                        <c:v>28277</c:v>
                      </c:pt>
                      <c:pt idx="58">
                        <c:v>28495</c:v>
                      </c:pt>
                      <c:pt idx="59">
                        <c:v>28684</c:v>
                      </c:pt>
                      <c:pt idx="60">
                        <c:v>28821</c:v>
                      </c:pt>
                      <c:pt idx="61">
                        <c:v>28889</c:v>
                      </c:pt>
                      <c:pt idx="62">
                        <c:v>28994</c:v>
                      </c:pt>
                      <c:pt idx="63">
                        <c:v>28995</c:v>
                      </c:pt>
                    </c:numCache>
                  </c:numRef>
                </c:val>
                <c:smooth val="0"/>
                <c:extLst xmlns:c15="http://schemas.microsoft.com/office/drawing/2012/chart">
                  <c:ext xmlns:c16="http://schemas.microsoft.com/office/drawing/2014/chart" uri="{C3380CC4-5D6E-409C-BE32-E72D297353CC}">
                    <c16:uniqueId val="{00000004-3C9B-4CCC-99BC-84CFF113D9B4}"/>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ch_latest!$G$2:$G$65</c15:sqref>
                        </c15:formulaRef>
                      </c:ext>
                    </c:extLst>
                    <c:numCache>
                      <c:formatCode>General</c:formatCode>
                      <c:ptCount val="64"/>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533</c:v>
                      </c:pt>
                      <c:pt idx="15">
                        <c:v>704</c:v>
                      </c:pt>
                      <c:pt idx="16">
                        <c:v>1056</c:v>
                      </c:pt>
                      <c:pt idx="17">
                        <c:v>1408</c:v>
                      </c:pt>
                      <c:pt idx="18">
                        <c:v>1743</c:v>
                      </c:pt>
                      <c:pt idx="19">
                        <c:v>2022</c:v>
                      </c:pt>
                      <c:pt idx="20">
                        <c:v>2750</c:v>
                      </c:pt>
                      <c:pt idx="21">
                        <c:v>3621</c:v>
                      </c:pt>
                      <c:pt idx="22">
                        <c:v>4792</c:v>
                      </c:pt>
                      <c:pt idx="23">
                        <c:v>5818</c:v>
                      </c:pt>
                      <c:pt idx="24">
                        <c:v>6953</c:v>
                      </c:pt>
                      <c:pt idx="25">
                        <c:v>7650</c:v>
                      </c:pt>
                      <c:pt idx="26">
                        <c:v>8219</c:v>
                      </c:pt>
                      <c:pt idx="27">
                        <c:v>9779</c:v>
                      </c:pt>
                      <c:pt idx="28">
                        <c:v>10850</c:v>
                      </c:pt>
                      <c:pt idx="29">
                        <c:v>11944</c:v>
                      </c:pt>
                      <c:pt idx="30">
                        <c:v>13083</c:v>
                      </c:pt>
                      <c:pt idx="31">
                        <c:v>14391</c:v>
                      </c:pt>
                      <c:pt idx="32">
                        <c:v>15224</c:v>
                      </c:pt>
                      <c:pt idx="33">
                        <c:v>15822</c:v>
                      </c:pt>
                      <c:pt idx="34">
                        <c:v>16937</c:v>
                      </c:pt>
                      <c:pt idx="35">
                        <c:v>17875</c:v>
                      </c:pt>
                      <c:pt idx="36">
                        <c:v>18902</c:v>
                      </c:pt>
                      <c:pt idx="37">
                        <c:v>19947</c:v>
                      </c:pt>
                      <c:pt idx="38">
                        <c:v>20876</c:v>
                      </c:pt>
                      <c:pt idx="39">
                        <c:v>21443</c:v>
                      </c:pt>
                      <c:pt idx="40">
                        <c:v>21826</c:v>
                      </c:pt>
                      <c:pt idx="41">
                        <c:v>22568</c:v>
                      </c:pt>
                      <c:pt idx="42">
                        <c:v>23219</c:v>
                      </c:pt>
                      <c:pt idx="43">
                        <c:v>23889</c:v>
                      </c:pt>
                      <c:pt idx="44">
                        <c:v>24557</c:v>
                      </c:pt>
                      <c:pt idx="45">
                        <c:v>25007</c:v>
                      </c:pt>
                      <c:pt idx="46">
                        <c:v>25470</c:v>
                      </c:pt>
                      <c:pt idx="47">
                        <c:v>25743</c:v>
                      </c:pt>
                      <c:pt idx="48">
                        <c:v>25994</c:v>
                      </c:pt>
                      <c:pt idx="49">
                        <c:v>26316</c:v>
                      </c:pt>
                      <c:pt idx="50">
                        <c:v>26634</c:v>
                      </c:pt>
                      <c:pt idx="51">
                        <c:v>26933</c:v>
                      </c:pt>
                      <c:pt idx="52">
                        <c:v>27248</c:v>
                      </c:pt>
                      <c:pt idx="53">
                        <c:v>27541</c:v>
                      </c:pt>
                      <c:pt idx="54">
                        <c:v>27718</c:v>
                      </c:pt>
                      <c:pt idx="55">
                        <c:v>27921</c:v>
                      </c:pt>
                      <c:pt idx="56">
                        <c:v>28080</c:v>
                      </c:pt>
                      <c:pt idx="57">
                        <c:v>28277</c:v>
                      </c:pt>
                      <c:pt idx="58">
                        <c:v>28495</c:v>
                      </c:pt>
                      <c:pt idx="59">
                        <c:v>28684</c:v>
                      </c:pt>
                      <c:pt idx="60">
                        <c:v>28821</c:v>
                      </c:pt>
                      <c:pt idx="61">
                        <c:v>28889</c:v>
                      </c:pt>
                      <c:pt idx="62">
                        <c:v>28994</c:v>
                      </c:pt>
                      <c:pt idx="63">
                        <c:v>28995</c:v>
                      </c:pt>
                    </c:numCache>
                  </c:numRef>
                </c:val>
                <c:smooth val="0"/>
                <c:extLst xmlns:c15="http://schemas.microsoft.com/office/drawing/2012/chart">
                  <c:ext xmlns:c16="http://schemas.microsoft.com/office/drawing/2014/chart" uri="{C3380CC4-5D6E-409C-BE32-E72D297353CC}">
                    <c16:uniqueId val="{00000005-3C9B-4CCC-99BC-84CFF113D9B4}"/>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ch_latest!$H$2:$H$65</c15:sqref>
                        </c15:formulaRef>
                      </c:ext>
                    </c:extLst>
                    <c:numCache>
                      <c:formatCode>General</c:formatCode>
                      <c:ptCount val="64"/>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10808</c:v>
                      </c:pt>
                      <c:pt idx="32">
                        <c:v>11401</c:v>
                      </c:pt>
                      <c:pt idx="33">
                        <c:v>11710</c:v>
                      </c:pt>
                      <c:pt idx="34">
                        <c:v>12376</c:v>
                      </c:pt>
                      <c:pt idx="35">
                        <c:v>13136</c:v>
                      </c:pt>
                      <c:pt idx="36">
                        <c:v>13794</c:v>
                      </c:pt>
                      <c:pt idx="37">
                        <c:v>14743</c:v>
                      </c:pt>
                      <c:pt idx="38">
                        <c:v>15572</c:v>
                      </c:pt>
                      <c:pt idx="39">
                        <c:v>16167</c:v>
                      </c:pt>
                      <c:pt idx="40">
                        <c:v>16468</c:v>
                      </c:pt>
                      <c:pt idx="41">
                        <c:v>17111</c:v>
                      </c:pt>
                      <c:pt idx="42">
                        <c:v>17953</c:v>
                      </c:pt>
                      <c:pt idx="43">
                        <c:v>18762</c:v>
                      </c:pt>
                      <c:pt idx="44">
                        <c:v>19279</c:v>
                      </c:pt>
                      <c:pt idx="45">
                        <c:v>19695</c:v>
                      </c:pt>
                      <c:pt idx="46">
                        <c:v>20057</c:v>
                      </c:pt>
                      <c:pt idx="47">
                        <c:v>20233</c:v>
                      </c:pt>
                      <c:pt idx="48">
                        <c:v>20538</c:v>
                      </c:pt>
                      <c:pt idx="49">
                        <c:v>21085</c:v>
                      </c:pt>
                      <c:pt idx="50">
                        <c:v>21546</c:v>
                      </c:pt>
                      <c:pt idx="51">
                        <c:v>22229</c:v>
                      </c:pt>
                      <c:pt idx="52">
                        <c:v>22670</c:v>
                      </c:pt>
                      <c:pt idx="53">
                        <c:v>23112</c:v>
                      </c:pt>
                      <c:pt idx="54">
                        <c:v>23294</c:v>
                      </c:pt>
                      <c:pt idx="55">
                        <c:v>23672</c:v>
                      </c:pt>
                      <c:pt idx="56">
                        <c:v>24051</c:v>
                      </c:pt>
                      <c:pt idx="57">
                        <c:v>24414</c:v>
                      </c:pt>
                      <c:pt idx="58">
                        <c:v>24872</c:v>
                      </c:pt>
                      <c:pt idx="59">
                        <c:v>25236</c:v>
                      </c:pt>
                      <c:pt idx="60">
                        <c:v>25600</c:v>
                      </c:pt>
                      <c:pt idx="61">
                        <c:v>25797</c:v>
                      </c:pt>
                      <c:pt idx="62">
                        <c:v>25797</c:v>
                      </c:pt>
                      <c:pt idx="63">
                        <c:v>25797</c:v>
                      </c:pt>
                    </c:numCache>
                  </c:numRef>
                </c:val>
                <c:smooth val="0"/>
                <c:extLst xmlns:c15="http://schemas.microsoft.com/office/drawing/2012/chart">
                  <c:ext xmlns:c16="http://schemas.microsoft.com/office/drawing/2014/chart" uri="{C3380CC4-5D6E-409C-BE32-E72D297353CC}">
                    <c16:uniqueId val="{00000006-3C9B-4CCC-99BC-84CFF113D9B4}"/>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ch_latest!$I$2:$I$65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4638</c:v>
                      </c:pt>
                      <c:pt idx="63">
                        <c:v>4638</c:v>
                      </c:pt>
                    </c:numCache>
                  </c:numRef>
                </c:val>
                <c:smooth val="0"/>
                <c:extLst xmlns:c15="http://schemas.microsoft.com/office/drawing/2012/chart">
                  <c:ext xmlns:c16="http://schemas.microsoft.com/office/drawing/2014/chart" uri="{C3380CC4-5D6E-409C-BE32-E72D297353CC}">
                    <c16:uniqueId val="{00000007-3C9B-4CCC-99BC-84CFF113D9B4}"/>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ch_latest!$J$2:$J$65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246</c:v>
                      </c:pt>
                      <c:pt idx="31">
                        <c:v>282</c:v>
                      </c:pt>
                      <c:pt idx="32">
                        <c:v>334</c:v>
                      </c:pt>
                      <c:pt idx="33">
                        <c:v>378</c:v>
                      </c:pt>
                      <c:pt idx="34">
                        <c:v>437</c:v>
                      </c:pt>
                      <c:pt idx="35">
                        <c:v>503</c:v>
                      </c:pt>
                      <c:pt idx="36">
                        <c:v>566</c:v>
                      </c:pt>
                      <c:pt idx="37">
                        <c:v>627</c:v>
                      </c:pt>
                      <c:pt idx="38">
                        <c:v>688</c:v>
                      </c:pt>
                      <c:pt idx="39">
                        <c:v>754</c:v>
                      </c:pt>
                      <c:pt idx="40">
                        <c:v>806</c:v>
                      </c:pt>
                      <c:pt idx="41">
                        <c:v>865</c:v>
                      </c:pt>
                      <c:pt idx="42">
                        <c:v>925</c:v>
                      </c:pt>
                      <c:pt idx="43">
                        <c:v>993</c:v>
                      </c:pt>
                      <c:pt idx="44">
                        <c:v>1044</c:v>
                      </c:pt>
                      <c:pt idx="45">
                        <c:v>1094</c:v>
                      </c:pt>
                      <c:pt idx="46">
                        <c:v>1131</c:v>
                      </c:pt>
                      <c:pt idx="47">
                        <c:v>1187</c:v>
                      </c:pt>
                      <c:pt idx="48">
                        <c:v>1217</c:v>
                      </c:pt>
                      <c:pt idx="49">
                        <c:v>1255</c:v>
                      </c:pt>
                      <c:pt idx="50">
                        <c:v>1308</c:v>
                      </c:pt>
                      <c:pt idx="51">
                        <c:v>1353</c:v>
                      </c:pt>
                      <c:pt idx="52">
                        <c:v>1398</c:v>
                      </c:pt>
                      <c:pt idx="53">
                        <c:v>1440</c:v>
                      </c:pt>
                      <c:pt idx="54">
                        <c:v>1463</c:v>
                      </c:pt>
                      <c:pt idx="55">
                        <c:v>1504</c:v>
                      </c:pt>
                      <c:pt idx="56">
                        <c:v>1545</c:v>
                      </c:pt>
                      <c:pt idx="57">
                        <c:v>1571</c:v>
                      </c:pt>
                      <c:pt idx="58">
                        <c:v>1600</c:v>
                      </c:pt>
                      <c:pt idx="59">
                        <c:v>1625</c:v>
                      </c:pt>
                      <c:pt idx="60">
                        <c:v>1643</c:v>
                      </c:pt>
                      <c:pt idx="61">
                        <c:v>1655</c:v>
                      </c:pt>
                      <c:pt idx="62">
                        <c:v>1666</c:v>
                      </c:pt>
                      <c:pt idx="63">
                        <c:v>1666</c:v>
                      </c:pt>
                    </c:numCache>
                  </c:numRef>
                </c:val>
                <c:smooth val="0"/>
                <c:extLst xmlns:c15="http://schemas.microsoft.com/office/drawing/2012/chart">
                  <c:ext xmlns:c16="http://schemas.microsoft.com/office/drawing/2014/chart" uri="{C3380CC4-5D6E-409C-BE32-E72D297353CC}">
                    <c16:uniqueId val="{00000008-3C9B-4CCC-99BC-84CFF113D9B4}"/>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ch_latest!$K$2:$K$65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val>
                <c:smooth val="0"/>
                <c:extLst xmlns:c15="http://schemas.microsoft.com/office/drawing/2012/chart">
                  <c:ext xmlns:c16="http://schemas.microsoft.com/office/drawing/2014/chart" uri="{C3380CC4-5D6E-409C-BE32-E72D297353CC}">
                    <c16:uniqueId val="{00000009-3C9B-4CCC-99BC-84CFF113D9B4}"/>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ch_latest!$M$2:$M$65</c15:sqref>
                        </c15:formulaRef>
                      </c:ext>
                    </c:extLst>
                    <c:numCache>
                      <c:formatCode>General</c:formatCode>
                      <c:ptCount val="64"/>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533</c:v>
                      </c:pt>
                      <c:pt idx="16">
                        <c:v>704</c:v>
                      </c:pt>
                      <c:pt idx="17">
                        <c:v>1056</c:v>
                      </c:pt>
                      <c:pt idx="18">
                        <c:v>1408</c:v>
                      </c:pt>
                      <c:pt idx="19">
                        <c:v>1743</c:v>
                      </c:pt>
                      <c:pt idx="20">
                        <c:v>2022</c:v>
                      </c:pt>
                      <c:pt idx="21">
                        <c:v>2750</c:v>
                      </c:pt>
                      <c:pt idx="22">
                        <c:v>3621</c:v>
                      </c:pt>
                      <c:pt idx="23">
                        <c:v>4792</c:v>
                      </c:pt>
                      <c:pt idx="24">
                        <c:v>5818</c:v>
                      </c:pt>
                      <c:pt idx="25">
                        <c:v>6953</c:v>
                      </c:pt>
                      <c:pt idx="26">
                        <c:v>7650</c:v>
                      </c:pt>
                      <c:pt idx="27">
                        <c:v>8219</c:v>
                      </c:pt>
                      <c:pt idx="28">
                        <c:v>9779</c:v>
                      </c:pt>
                      <c:pt idx="29">
                        <c:v>10850</c:v>
                      </c:pt>
                      <c:pt idx="30">
                        <c:v>11944</c:v>
                      </c:pt>
                      <c:pt idx="31">
                        <c:v>13083</c:v>
                      </c:pt>
                      <c:pt idx="32">
                        <c:v>14391</c:v>
                      </c:pt>
                      <c:pt idx="33">
                        <c:v>15224</c:v>
                      </c:pt>
                      <c:pt idx="34">
                        <c:v>15822</c:v>
                      </c:pt>
                      <c:pt idx="35">
                        <c:v>16937</c:v>
                      </c:pt>
                      <c:pt idx="36">
                        <c:v>17875</c:v>
                      </c:pt>
                      <c:pt idx="37">
                        <c:v>18902</c:v>
                      </c:pt>
                      <c:pt idx="38">
                        <c:v>19947</c:v>
                      </c:pt>
                      <c:pt idx="39">
                        <c:v>20876</c:v>
                      </c:pt>
                      <c:pt idx="40">
                        <c:v>21443</c:v>
                      </c:pt>
                      <c:pt idx="41">
                        <c:v>21826</c:v>
                      </c:pt>
                      <c:pt idx="42">
                        <c:v>22568</c:v>
                      </c:pt>
                      <c:pt idx="43">
                        <c:v>23219</c:v>
                      </c:pt>
                      <c:pt idx="44">
                        <c:v>23889</c:v>
                      </c:pt>
                      <c:pt idx="45">
                        <c:v>24557</c:v>
                      </c:pt>
                      <c:pt idx="46">
                        <c:v>25007</c:v>
                      </c:pt>
                      <c:pt idx="47">
                        <c:v>25470</c:v>
                      </c:pt>
                      <c:pt idx="48">
                        <c:v>25743</c:v>
                      </c:pt>
                      <c:pt idx="49">
                        <c:v>25994</c:v>
                      </c:pt>
                      <c:pt idx="50">
                        <c:v>26316</c:v>
                      </c:pt>
                      <c:pt idx="51">
                        <c:v>26634</c:v>
                      </c:pt>
                      <c:pt idx="52">
                        <c:v>26933</c:v>
                      </c:pt>
                      <c:pt idx="53">
                        <c:v>27248</c:v>
                      </c:pt>
                      <c:pt idx="54">
                        <c:v>27541</c:v>
                      </c:pt>
                      <c:pt idx="55">
                        <c:v>27718</c:v>
                      </c:pt>
                      <c:pt idx="56">
                        <c:v>27921</c:v>
                      </c:pt>
                      <c:pt idx="57">
                        <c:v>28080</c:v>
                      </c:pt>
                      <c:pt idx="58">
                        <c:v>28277</c:v>
                      </c:pt>
                      <c:pt idx="59">
                        <c:v>28495</c:v>
                      </c:pt>
                      <c:pt idx="60">
                        <c:v>28684</c:v>
                      </c:pt>
                      <c:pt idx="61">
                        <c:v>28821</c:v>
                      </c:pt>
                      <c:pt idx="62">
                        <c:v>28889</c:v>
                      </c:pt>
                      <c:pt idx="63">
                        <c:v>28994</c:v>
                      </c:pt>
                    </c:numCache>
                  </c:numRef>
                </c:val>
                <c:smooth val="0"/>
                <c:extLst xmlns:c15="http://schemas.microsoft.com/office/drawing/2012/chart">
                  <c:ext xmlns:c16="http://schemas.microsoft.com/office/drawing/2014/chart" uri="{C3380CC4-5D6E-409C-BE32-E72D297353CC}">
                    <c16:uniqueId val="{0000000A-3C9B-4CCC-99BC-84CFF113D9B4}"/>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ch_latest!$N$2:$N$65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val>
                <c:smooth val="0"/>
                <c:extLst xmlns:c15="http://schemas.microsoft.com/office/drawing/2012/chart">
                  <c:ext xmlns:c16="http://schemas.microsoft.com/office/drawing/2014/chart" uri="{C3380CC4-5D6E-409C-BE32-E72D297353CC}">
                    <c16:uniqueId val="{0000000B-3C9B-4CCC-99BC-84CFF113D9B4}"/>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ch_latest!$P$2:$P$65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246</c:v>
                      </c:pt>
                      <c:pt idx="32">
                        <c:v>282</c:v>
                      </c:pt>
                      <c:pt idx="33">
                        <c:v>334</c:v>
                      </c:pt>
                      <c:pt idx="34">
                        <c:v>378</c:v>
                      </c:pt>
                      <c:pt idx="35">
                        <c:v>437</c:v>
                      </c:pt>
                      <c:pt idx="36">
                        <c:v>503</c:v>
                      </c:pt>
                      <c:pt idx="37">
                        <c:v>566</c:v>
                      </c:pt>
                      <c:pt idx="38">
                        <c:v>627</c:v>
                      </c:pt>
                      <c:pt idx="39">
                        <c:v>688</c:v>
                      </c:pt>
                      <c:pt idx="40">
                        <c:v>754</c:v>
                      </c:pt>
                      <c:pt idx="41">
                        <c:v>806</c:v>
                      </c:pt>
                      <c:pt idx="42">
                        <c:v>865</c:v>
                      </c:pt>
                      <c:pt idx="43">
                        <c:v>925</c:v>
                      </c:pt>
                      <c:pt idx="44">
                        <c:v>993</c:v>
                      </c:pt>
                      <c:pt idx="45">
                        <c:v>1044</c:v>
                      </c:pt>
                      <c:pt idx="46">
                        <c:v>1094</c:v>
                      </c:pt>
                      <c:pt idx="47">
                        <c:v>1131</c:v>
                      </c:pt>
                      <c:pt idx="48">
                        <c:v>1187</c:v>
                      </c:pt>
                      <c:pt idx="49">
                        <c:v>1217</c:v>
                      </c:pt>
                      <c:pt idx="50">
                        <c:v>1255</c:v>
                      </c:pt>
                      <c:pt idx="51">
                        <c:v>1308</c:v>
                      </c:pt>
                      <c:pt idx="52">
                        <c:v>1353</c:v>
                      </c:pt>
                      <c:pt idx="53">
                        <c:v>1398</c:v>
                      </c:pt>
                      <c:pt idx="54">
                        <c:v>1440</c:v>
                      </c:pt>
                      <c:pt idx="55">
                        <c:v>1463</c:v>
                      </c:pt>
                      <c:pt idx="56">
                        <c:v>1504</c:v>
                      </c:pt>
                      <c:pt idx="57">
                        <c:v>1545</c:v>
                      </c:pt>
                      <c:pt idx="58">
                        <c:v>1571</c:v>
                      </c:pt>
                      <c:pt idx="59">
                        <c:v>1600</c:v>
                      </c:pt>
                      <c:pt idx="60">
                        <c:v>1625</c:v>
                      </c:pt>
                      <c:pt idx="61">
                        <c:v>1643</c:v>
                      </c:pt>
                      <c:pt idx="62">
                        <c:v>1655</c:v>
                      </c:pt>
                      <c:pt idx="63">
                        <c:v>1666</c:v>
                      </c:pt>
                    </c:numCache>
                  </c:numRef>
                </c:val>
                <c:smooth val="0"/>
                <c:extLst xmlns:c15="http://schemas.microsoft.com/office/drawing/2012/chart">
                  <c:ext xmlns:c16="http://schemas.microsoft.com/office/drawing/2014/chart" uri="{C3380CC4-5D6E-409C-BE32-E72D297353CC}">
                    <c16:uniqueId val="{0000000C-3C9B-4CCC-99BC-84CFF113D9B4}"/>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ch_latest!$Q$2:$Q$65</c15:sqref>
                        </c15:formulaRef>
                      </c:ext>
                    </c:extLst>
                    <c:numCache>
                      <c:formatCode>General</c:formatCode>
                      <c:ptCount val="64"/>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2.2984819999999999</c:v>
                      </c:pt>
                      <c:pt idx="15">
                        <c:v>2.572371</c:v>
                      </c:pt>
                      <c:pt idx="16">
                        <c:v>2.4389759999999998</c:v>
                      </c:pt>
                      <c:pt idx="17">
                        <c:v>2.2998769999999999</c:v>
                      </c:pt>
                      <c:pt idx="18">
                        <c:v>2.3386339999999999</c:v>
                      </c:pt>
                      <c:pt idx="19">
                        <c:v>2.599326</c:v>
                      </c:pt>
                      <c:pt idx="20">
                        <c:v>2.5435140000000001</c:v>
                      </c:pt>
                      <c:pt idx="21">
                        <c:v>2.8124989999999999</c:v>
                      </c:pt>
                      <c:pt idx="22">
                        <c:v>2.8296860000000001</c:v>
                      </c:pt>
                      <c:pt idx="23">
                        <c:v>2.8752970000000002</c:v>
                      </c:pt>
                      <c:pt idx="24">
                        <c:v>2.8060679999999998</c:v>
                      </c:pt>
                      <c:pt idx="25">
                        <c:v>3.3874689999999998</c:v>
                      </c:pt>
                      <c:pt idx="26">
                        <c:v>4.2280629999999997</c:v>
                      </c:pt>
                      <c:pt idx="27">
                        <c:v>4.8588079999999998</c:v>
                      </c:pt>
                      <c:pt idx="28">
                        <c:v>5.5611179999999996</c:v>
                      </c:pt>
                      <c:pt idx="29">
                        <c:v>6.4055049999999998</c:v>
                      </c:pt>
                      <c:pt idx="30">
                        <c:v>6.4585990000000004</c:v>
                      </c:pt>
                      <c:pt idx="31">
                        <c:v>6.1871080000000003</c:v>
                      </c:pt>
                      <c:pt idx="32">
                        <c:v>7.8297670000000004</c:v>
                      </c:pt>
                      <c:pt idx="33">
                        <c:v>9.1871749999999999</c:v>
                      </c:pt>
                      <c:pt idx="34">
                        <c:v>9.9227559999999997</c:v>
                      </c:pt>
                      <c:pt idx="35">
                        <c:v>11.104946</c:v>
                      </c:pt>
                      <c:pt idx="36">
                        <c:v>12.710613</c:v>
                      </c:pt>
                      <c:pt idx="37">
                        <c:v>12.826290999999999</c:v>
                      </c:pt>
                      <c:pt idx="38">
                        <c:v>12.502708999999999</c:v>
                      </c:pt>
                      <c:pt idx="39">
                        <c:v>14.691692</c:v>
                      </c:pt>
                      <c:pt idx="40">
                        <c:v>17.354813</c:v>
                      </c:pt>
                      <c:pt idx="41">
                        <c:v>19.551131000000002</c:v>
                      </c:pt>
                      <c:pt idx="42">
                        <c:v>22.817083</c:v>
                      </c:pt>
                      <c:pt idx="43">
                        <c:v>25.706788</c:v>
                      </c:pt>
                      <c:pt idx="44">
                        <c:v>25.558769999999999</c:v>
                      </c:pt>
                      <c:pt idx="45">
                        <c:v>25.473262999999999</c:v>
                      </c:pt>
                      <c:pt idx="46">
                        <c:v>28.649947999999998</c:v>
                      </c:pt>
                      <c:pt idx="47">
                        <c:v>33.585369</c:v>
                      </c:pt>
                      <c:pt idx="48">
                        <c:v>41.040056</c:v>
                      </c:pt>
                      <c:pt idx="49">
                        <c:v>50.097242000000001</c:v>
                      </c:pt>
                      <c:pt idx="50">
                        <c:v>54.983046999999999</c:v>
                      </c:pt>
                      <c:pt idx="51">
                        <c:v>62.053234000000003</c:v>
                      </c:pt>
                      <c:pt idx="52">
                        <c:v>60.997813999999998</c:v>
                      </c:pt>
                      <c:pt idx="53">
                        <c:v>59.950392999999998</c:v>
                      </c:pt>
                      <c:pt idx="54">
                        <c:v>66.770877999999996</c:v>
                      </c:pt>
                      <c:pt idx="55">
                        <c:v>73.441391999999993</c:v>
                      </c:pt>
                      <c:pt idx="56">
                        <c:v>83.100652999999994</c:v>
                      </c:pt>
                      <c:pt idx="57">
                        <c:v>93.495119000000003</c:v>
                      </c:pt>
                      <c:pt idx="58">
                        <c:v>101.77526899999999</c:v>
                      </c:pt>
                      <c:pt idx="59">
                        <c:v>101.167351</c:v>
                      </c:pt>
                      <c:pt idx="60">
                        <c:v>109.242386</c:v>
                      </c:pt>
                      <c:pt idx="61">
                        <c:v>122.018687</c:v>
                      </c:pt>
                      <c:pt idx="62">
                        <c:v>138.407106</c:v>
                      </c:pt>
                      <c:pt idx="63">
                        <c:v>199.24013299999999</c:v>
                      </c:pt>
                    </c:numCache>
                  </c:numRef>
                </c:val>
                <c:smooth val="0"/>
                <c:extLst xmlns:c15="http://schemas.microsoft.com/office/drawing/2012/chart">
                  <c:ext xmlns:c16="http://schemas.microsoft.com/office/drawing/2014/chart" uri="{C3380CC4-5D6E-409C-BE32-E72D297353CC}">
                    <c16:uniqueId val="{0000000D-3C9B-4CCC-99BC-84CFF113D9B4}"/>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ch_latest!$R$2:$R$65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3.7656139999999998</c:v>
                      </c:pt>
                      <c:pt idx="31">
                        <c:v>3.7896809999999999</c:v>
                      </c:pt>
                      <c:pt idx="32">
                        <c:v>4.0855249999999996</c:v>
                      </c:pt>
                      <c:pt idx="33">
                        <c:v>4.1808810000000003</c:v>
                      </c:pt>
                      <c:pt idx="34">
                        <c:v>4.4340659999999996</c:v>
                      </c:pt>
                      <c:pt idx="35">
                        <c:v>4.8454300000000003</c:v>
                      </c:pt>
                      <c:pt idx="36">
                        <c:v>4.9745949999999999</c:v>
                      </c:pt>
                      <c:pt idx="37">
                        <c:v>5.5028670000000002</c:v>
                      </c:pt>
                      <c:pt idx="38">
                        <c:v>5.7868870000000001</c:v>
                      </c:pt>
                      <c:pt idx="39">
                        <c:v>6.3537949999999999</c:v>
                      </c:pt>
                      <c:pt idx="40">
                        <c:v>7.3505479999999999</c:v>
                      </c:pt>
                      <c:pt idx="41">
                        <c:v>8.1712950000000006</c:v>
                      </c:pt>
                      <c:pt idx="42">
                        <c:v>8.9128480000000003</c:v>
                      </c:pt>
                      <c:pt idx="43">
                        <c:v>9.4449190000000005</c:v>
                      </c:pt>
                      <c:pt idx="44">
                        <c:v>10.649960999999999</c:v>
                      </c:pt>
                      <c:pt idx="45">
                        <c:v>11.344016999999999</c:v>
                      </c:pt>
                      <c:pt idx="46">
                        <c:v>12.925678</c:v>
                      </c:pt>
                      <c:pt idx="47">
                        <c:v>13.896815</c:v>
                      </c:pt>
                      <c:pt idx="48">
                        <c:v>17.037890999999998</c:v>
                      </c:pt>
                      <c:pt idx="49">
                        <c:v>18.827736000000002</c:v>
                      </c:pt>
                      <c:pt idx="50">
                        <c:v>19.398657</c:v>
                      </c:pt>
                      <c:pt idx="51">
                        <c:v>19.337654000000001</c:v>
                      </c:pt>
                      <c:pt idx="52">
                        <c:v>21.182452999999999</c:v>
                      </c:pt>
                      <c:pt idx="53">
                        <c:v>20.598201</c:v>
                      </c:pt>
                      <c:pt idx="54">
                        <c:v>22.599646</c:v>
                      </c:pt>
                      <c:pt idx="55">
                        <c:v>24.821037</c:v>
                      </c:pt>
                      <c:pt idx="56">
                        <c:v>26.117162</c:v>
                      </c:pt>
                      <c:pt idx="57">
                        <c:v>29.705531000000001</c:v>
                      </c:pt>
                      <c:pt idx="58">
                        <c:v>32.894067</c:v>
                      </c:pt>
                      <c:pt idx="59">
                        <c:v>33.001133000000003</c:v>
                      </c:pt>
                      <c:pt idx="60">
                        <c:v>39.207102999999996</c:v>
                      </c:pt>
                      <c:pt idx="61">
                        <c:v>50.390841999999999</c:v>
                      </c:pt>
                      <c:pt idx="62">
                        <c:v>59.028238999999999</c:v>
                      </c:pt>
                      <c:pt idx="63">
                        <c:v>85.739034000000004</c:v>
                      </c:pt>
                    </c:numCache>
                  </c:numRef>
                </c:val>
                <c:smooth val="0"/>
                <c:extLst xmlns:c15="http://schemas.microsoft.com/office/drawing/2012/chart">
                  <c:ext xmlns:c16="http://schemas.microsoft.com/office/drawing/2014/chart" uri="{C3380CC4-5D6E-409C-BE32-E72D297353CC}">
                    <c16:uniqueId val="{0000000E-3C9B-4CCC-99BC-84CFF113D9B4}"/>
                  </c:ext>
                </c:extLst>
              </c15:ser>
            </c15:filteredLineSeries>
          </c:ext>
        </c:extLst>
      </c:lineChart>
      <c:catAx>
        <c:axId val="267841359"/>
        <c:scaling>
          <c:orientation val="minMax"/>
          <c:min val="10"/>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98294639"/>
        <c:crosses val="autoZero"/>
        <c:auto val="1"/>
        <c:lblAlgn val="ctr"/>
        <c:lblOffset val="100"/>
        <c:noMultiLvlLbl val="1"/>
      </c:catAx>
      <c:valAx>
        <c:axId val="129829463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2678413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Todefälle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Todefälle</a:t>
          </a:r>
        </a:p>
      </cx:txPr>
    </cx:title>
    <cx:plotArea>
      <cx:plotAreaRegion>
        <cx:series layoutId="regionMap" uniqueId="{538DAE7F-B7AB-41C6-827B-EE90E3A1AE0E}">
          <cx:tx>
            <cx:txData>
              <cx:f>_xlchart.v5.2</cx:f>
              <cx:v>death</cx:v>
            </cx:txData>
          </cx:tx>
          <cx:dataLabels/>
          <cx:dataId val="0"/>
          <cx:layoutPr>
            <cx:geography cultureLanguage="de-DE" cultureRegion="CH" attribution="Unterstützt von Bing">
              <cx:geoCache provider="{E9337A44-BEBE-4D9F-B70C-5C5E7DAFC167}">
                <cx:binary>3HzZbhy7suWvGH7ulDmTeXH3AS5zqEGjJXl8SZQ15MRkzuPn9FN/xH07P9ZRtuVt1dG2txu+DRwB
hiVVFisjuRgRK1aQ9Z8303/cmLtd82IqjG3/42b642XSddV/vHrV3iR3xa49KtKbpmzL++7opixe
lff36c3dq9tmN6Y2fkUQZq9ukl3T3U0v//Gf8GnxXXlS3uy6tLSv+7tmvrxre9O1P7j25KUXN2Vv
u/3wGD7pj5dXN8l4ly4vX+xui9T6ads16U2H/3j5X7sm3vUvX9zZLu3m67m6++Plo/e8fPHq8A7/
Ys0LAwZ3/S2MZfKIIVcxSbjLCWaKvXxhSht/vayOMBdKIMrhJ+EP9z3bFTD257Z8tmR3e9vctS08
yueff457ZDe8vHr5l9OQtqX3ZYa8cm+2t/78nK8eI/CP/zx4AZ784JXvQDqcpp9d+kvjHj3HHqOq
urPLnTEvNtbeNU0CJtuHqfstkFGkEKYuFugrLN9B5gKglHLBAU7CEKGA6JfV8hW1B+ucv2ndX4D4
9Mc8mguYis2zw/S/+rb9nwGVCUyIZFi4LsHuIz90jyjDLlKMM+VyhN1DV/yGxt8172eoPv6cQ1gv
nwmsK7Nr+vbBQX6Db4ojV2HMpBQCY0oUPoARCS45QcRlWLmM04dbf/HNn5vzNGwP4w5gWp08E5j0
XWNf7f+7e5iv3wKVIkTsIyUSlAFgj6CSR4KAtwnEMSKcuggufx9G99Y8vPKUMU8D9WXUAUw6eCYw
hU36qeyb+Efz8ov0RBxJpDiSnErFsHTlAUjI3TsaIuBQEDSVerj1F38Km7v0008MehqoP0cegBX+
u4a+7xnjI7b5q4xRHCmECHIRuAeGVPQ4U6kjwAIDo+RcYcQ5OqAf35jtX9vzNCLfBj4y/juq/G/F
EfWuvTPOyc7eQuGxu+8e1u1ToeQXXQYYPccSEQzuAugQcuAycAl4ocsgpinh4gN8fsWwp4H61084
cCH9bNLSZxCvut3t78WPC2B5LmOMg6dJiGnf0XvIS5gToQhFjML/5En8fmrTj6D7OvgQtatnkqXO
P40783srMgiJEO0UUxgwo3hfKH8HGYREpJQk0gUuwVyFDsj73zHoabz+HHkA1vm7ZwLW6s7+8/8M
v5f2EQzFseDMRRII4GPaJ44wRZICpQDfAw88rJ7Bnvsfxeqncfoy6gCj1XOhfatm13/6539b8KlX
qybdK1jpj+boF/OZOBIcaDhnwCXol5rpO+dygacrYPEMCQZFFfx4uPXXkupP4x4uPJVj/wK37wcf
wvfvSgQfPQfIVdu+2f1oan4RLnlEga9DYhLiszwFJe53cMm9oIhciJGISwYBEdjJ92XVz4x5Gqcv
ox49GDzXm2cSA68TKGF+s+i7V3UFBDqBFAWy/ggj9wgpV3EGLBFKLvYv+epv2PM0TN8GHiB1/VyU
35N++Yks8MvOhIR0KQe2/lmEf5ysQJ3HiGJgHhQAcwk/KH9/bs7TOD2MO4Dp5Lk41Nldf5P88393
d+Yh+DyVEn4RKlD+XEhSisA/F+rix1CBjqFARwLCwREVAoqzh1t/SVNg0p39f5Mqvht6ANjZc2EY
Z+nt/wBnd6GMgs6WUkrIz9LRd3lKQRcFmDwIf9Bl+arHf5+n/pZFT3vXd0MP8XourP2qO3qx2hnz
m9te+5qXU+ZigoFCPK6L3SMisQvvEBwr8EMBstT3gF3tbN79DaOexuzx6APYrp5L+gKJbXd/n+z6
9jcDJ6GfBTKucKExeQicOgK5A9RdSdW+cUnQQU/k7xr1F8A9eqRD4NbPhCFelabsgCX+sCPxi/lM
HhGXuxAZQesFQn/QyQIZirkSYAN3BK/8rAI/cre/Y9FfQPbn0EO8zp8LXrC9Y4bdHV9m7DeQD3mE
BLBAwkBkkoofkA91JLmAIlowIQlc5Qc18l5a/7E5f4HU13GHMH18JjBdpzepLX8jTAJ8Cqpf4iqJ
QNJg8lHdpaCxAr0u4QJUVBIEV793qWvYRJP+0MOfRulh3AFK15tngtKb5veqTRJ4BPQaEYItF4cN
R/VZbXIh5BEhKYXS+TFGP7HlaYA+DzpA581zUZfe7vrbhzn6DYFOHHHYqAYarUsg6/xrlQUhTkCE
g11PXyrmh1t/qbLe7X7SqnkaoK/DDiB66z8TB3q7M7u0ffUOCHvaPkzYb8EKusQMiizpKgVbYQ6V
QIiAoNhKSWCXhUslf7j1F6y+WPXw2lPmPA3Ww7hDtK6eCVof+/hHk/LLLA+DKAEuQ77sO3vcLAZu
DokISmAO7EK50JZ8uPUXjH5iy9MAfR50gM7H51JCffznf8NO3eRhmp5atr+MEMOwu4WBDCgR9PQP
EYJeFjQVgfqBlCGg/fhw668I/dyev0DpYeAhUv/fa6a/3sH7bWOzv+t2wecd0d9t4v3x1c9PDbu3
D4b+iJJ/IWOb2z9eSoADur3f7ZzZf8wjtnbQuHw06m7Xdn+8FEcU1Fto9INs+NAKGe/2V/iRC69w
kJ1Ao+ewWwP4ui2bLoH92jBKcFB7YXPhnu7v94m2Zf/1EqYK9gRLaJYB14dO2MNDXpRmjkv7bUa+
/v3C9sVFmdqu/ePl/oOqL2/7bCvsLJawU3G/UwT6pXs6BNdvdpewDX7/7v8VLUx1mBazTtA8r50R
3dalG5CKtHox6iNWxiPI5DquUqH75FLJSI8zP0lrEYpKbhIp+0C22ezljlNqYt3jQlFQLL/tX3/C
Ssj7T5gJmquEGYTm3+f969+bOdBFyaUZJ10R3HtpR97kZt0MQ+TPxYI9Xkl/aFnp2YQmvltFHwYn
KQJniKxXDkUdcOsxyyY9pW/cFLe6Rew2ZfmsaUZH3VPruypb/L6osWfgqfqoWNUZvSbFLLxiWt5R
WdVefZ/T6jLh9ZktilLnI489nMtPY3WbqfgYOYNukzT3JbKXchABj+wZyrypJiekNJfVVNwNog1t
V0oNt/iAS4a9VJLao6nSSIxYz7S67l0z6nTpOw9UlhPVpVi78fC2FTyopT0VH9zEJ2jdROqux9UK
5aGa7eVQ85talNc9j0LkThtXzBsp8nWXRJO2DbuhRZDCqtNdQBd30i0rdmnP3kfd6TyXYUUaDbrO
WYdwH6RDuYuU2/lNqc5wFTDX8WPRnPXd8gnPiV+h7Ky0uNdFMd6bZeJ6FhfTYi9asfSaOUIv3OrY
mfXEucZV7y3lvFaFE0TUS6NIJ5lZz3UZShpvnDgKZITCitOVcVsPzd0GFIlVKrJ1ReogK9pNwgDD
/jJq/GFWfjbEAU+jYP+qkzerShm/XPZmdt6SVyEIiCuQqsJ6P73lEMZtpasxDmKHnXZlu+F0m8Bk
DhU5zqsCjiTwVeQuga2b0Cr4SEH8yrabgWznaAhsjk5ShU+yhJ7GjT0b6LwuKxSwFh672UTgKj38
6iyOrhOrczLrhX6Iy3blLmA9YhonrueOddBGmkyzN3bK43kcNu6Zy42PkTcjrgmGj45jj9ZcyzYJ
WImDwdmOzRi6/crN0HqaUo1pp+N03ZZloIZOj/ZqkJesdL3C5Tqhrrcg3RjqO0sUtEWnTR97nWqC
9vVSYXDpbjN1sVekzqWNmqA861sVVirVKK38Bn3KK6Hz3vUS+pbMH6e2WKsWB1NDwiLH4TRRf3TL
0xLOQ6C3NTyRYyKP9PCO2gl60q1aRLyUpMECEBZVIDJ3k5Z1MI6XNu81n5OgW5LANnXolpEXw+Jo
s07vbcdj53VObHTu9mLF6ILeFHJwfaWKm2pMAzrvpjIaQ6HwJ55RrsfB8XHmFrqtae/ldY69pplQ
kIl2LcY2zIk/MnfWFdQXfonn+7F1HT3ychvVCfFINrUhQvXsSYNhUeIeAhpx1lEl6tN+6K4MwD3I
avbpnExeHjdvWdnc5JVlfl+WVPNsinWt0kXXedR6+VSdVZFUehL528jMV3SwfMMzl4VibBqdRpX0
ouJ1xYZzWdnrBiWjdqMSFk9pqy2FCH7OkJ3D74/EPIr4N2U1w76M5Ou5pG9//mMdXAafT8j8+dL+
UNOff63uyj2PaH/4ptOr8PrwDfuk/e1j/jyGs0+T387kHKTeL0enHlLWr1x8lLQfbQ99IEP7lEYI
FCDfksu/JOy9CAZHrl68enHVp3DEY//LkC7Q0P22O+Lbp3xJ4Bgd7ZMOqNqgvFFX7tP0zxO4BJWH
75WDrxkc+NxDAudHioBIroCNf95xTn8lgQOB36foRylcQNcYiiwwDU4bgOL0OIXTtI1rnBKilyH3
eJwarboy8fkCv5m+P1ucT13XEN2pCG+NGqguWCK8JYJANaCzlF3Hcbmc1RGZdGob7OGJE+2K8VSS
y6wzhea28BvYjRrULMl0jtStyqa3i8wTzdKreRDReipvkqVGgR1or2lH3rfDUm6aql+NWZlpZ5ob
3VayXBm0ZD4yo9W9intNGuGumOJU46Jfc9Yvp328hJir3OeGyRVu7Mppiskbypl7hXV4kE5kCokD
aXMQo1dZ56JKI75ecB9rVc/rWqTdcVsXq96kp3WM83Bwcsfnc9R7Zd3V/uiUicakeGOHdtjWbaa0
nc3iVbLVTj1MfpLEjT4mJO+8NOv6cImLT0S452McTatYTNafFnY5ReSuqiMTJH3Pg5ld96IgHs0H
LSqEfDKJTguT3Q1suCnysdum7IOTn2DR4US3EmnSqe0gRHo1YuUE1TAyn8WLJ7uR6oQU8bZy8k99
XeG1Gsb3k3CqVRPNGxWXjnbb5rwrMrDNENfjjQnrvn07ZfWHJKazFjDpbT3H2zHv/HkUiddV6RYl
+1hIorMpz5oAsdF6Q7dsJp63YTJoGvfyhMtdSgZ6PC/pVVyTyJ9y9xT2mHS+SlPkiTbzR2xsKJyp
C5KmEoGrxjd9o1KPVVGt0egAd6STFmPeXoJjebCjQY8lX85zMqx7UR7HBRDO2RUqmJNPrCnmIMfs
suZm8uokOi4yEroFDdIRhwVGiW9iS8OkokYzmryJcJ2uTTEC4Ck+67ruumlTEgDDC3kcz0H8vuaQ
WHoKGTwtVKiaZtC1La9UO31URbv4bjLIgJF865iy1PGMYojMqL1whlJ3Bh8j4rieU6Z8NUxsWtUy
Jrot3ONqsmNgovmMomRdsygFVkGTMJ9IpstGJSs6WhYM47uql1ijiEO6w5n0uJrrrduSK0wre1ZX
6KxNRIgzxoNSVGDByAbN8kinJi80ysfUJ9aJwroZ3qUzNcARXWCMLD5r+XvJpqsFGqjHXem+yQsz
veaxvCmAfXR90q9mRiB7F9ivOwKkgtrGixebh7Rny/Ek6WvkJB9r5zVZ+Bx0LXpLhiI6SdF45cxD
2FZ2PE6WbvRMI85GO3dr3g2FhqmrPPEewXFbbxjd3LNSLT7vndkDGqLW42ZaxtRLCnycFm3qtcOU
hB1ktlM4CrfGRR5KSVmgJC+DKIlXka3m14VtXXgqrCNOFj9pLh1YObjNRl1MLvYEB7KIaqGto8Sq
TJcPEaLZyqnqD8MijlneDmvWVa9l1t5NRWeDuJ7oScWXKsRdHvsdS1TQOABlM59gh9kLWGkdPHN8
vLS2PDVK03zmulomvyci9iynfiR6sorwilIFBM26zMf0tqpIDnAm5XHbilEvDtRCtYEY0sVk1BNS
EBTjhnv16OSBavvNJKNPVBjfHVi3cZV4k7HyrODOvO7wcsajLPFYV25alBQwZwF3uE65P9Vo2lW9
ExBVx54kYwQVRA/wdem6m1vdMBs0TVdrVXVSLymtQob7d0VWfUpgyCaJWl3G54kz1OD2rloJXpwv
KHX9BHcfy1iUPoQe6s2t8RJ3gACrIu73ANvcXPK2huifU69OJ6udIVujnryt820xmXHrqEj4Wayi
wJ2BN4lpVronCMhOxgNczJWm+9gwAmy4I9la9vRW4jSD+Ff7hVqA4I/JFlZYoo0NSFlyf2YG+XIq
37E+eh3ncvSIbE9xPW3TIg5zCQ/TuG6zAup9kaaFDZNyHnVrhsZ3F67NJC+aBierxL2rMnjfhHmt
iVx2sCF4CIzbbFWRDIETs1w3w/TORutk7gq/rqLFn1O1tVKm54NwLiQcFfeiyhi9dP1WjGkKk5+m
oTR5FDCc6sTphhWH9BiZ6pjDCy4shmBuWayzJuq0FEtA4eWST4tXOrVvaOpCGM+irXGOO4vy1Wyn
UTsmc3SJBuJHkjVBEkWwuFNTaUd2viuMR3nTBNzE0nOKhq9QO/deAQV2AuW3zuXk6KwW7gdR38zO
vJ3j4bRwrXMZ2fFj40juVbRPddrQ7iov21hbV53wxdUuXPNV1m7ZEtlVNK8U7LLwxiju/KnCjZe1
3XvFpw2ExdZHEeTf1jiXAx5v9/5OILmsh27wIholqzxPfSdFsZ4wuy5Ua8I5Tk+lk48+m4HsZkOb
QOVXblKWDnpusdRRSd+WkQUXmtsqjPGYBWKxxm+p2mSl381AtIvW+KbuYFUVbNZdOWPdYvDmckYe
yZVPsqr1mEiH97RZVrLx+ly+I82CvCnrAOCq8eqGqrMZx5pP+wdrkeuxubcbZ+E5rDq+AwEhtMwu
q2REd7kpPJkLv4vU6Je5CWyEKw3biMgKpbEfLXjQKRnfJqWCMpBMuVakueO1HNdjkeko5fdZ073m
cl4P8LdbWevvL5S8W3w4Orp43UQLDzTXzHMhSXlJ3Fc+vPVTlrF1Uy7OmjQ0Oiv3woGhwEdoHfvx
ZF9POGt8ENJdjbtuVTm2v55Zt2i0OHUoZ+MxCeu1n7ZdVUSnBBgZHFgognyMxap3izVxxiGEWNNq
OGOyKUpnWI3pcjXH04cBpqtucyimWKMhE5/AnTPPjATAi2ruTSPCK5IAJ8o7rjO5GyH2+BTYweho
aZxtocYmWBR60w6y97ox3SYt6QMnKw3kPUE9kY3JqjD4YuGnyMn2ib0+qTkePFWRU1WoC3dOoNpz
j2mr1ApqshnuU0YQohgNhlmu+yVRWuwTZNG5QQqRKSvG49pNd9hZSg+eN/ElWfMCfTIqmrxmgTxs
mhIYgtxxu8R6rPJin//P0glNW6LmE0Gmaa3mao2Sud7QsQBvTr1B0pCQqj3GY9L4RTxhbykcL7PT
dCqc8qR21ssgkIaSsNHTAuXeOEC8h720yUoV3QBhYMx0HFeDnk7gzhfgixBiqyHTQK3Y+dJNK6jB
/TxtK2+GnrE2RVloQ+RGyC69bAy6HgbnUx+xcdMtzuLNBdTT3Jpas6G9qBbqQsATMPn1fdZLdSkr
R4XzEhPfzi68JzGvgeOluqFzGzYJuFKSn7r5SYJVAoV3CVScjrdJulwYiW9nubTePKl3fWTsCtk+
zKvxqk2rdkPKSEexeceqxb5LneGK2RVNVnjvpSZxtmiYVyISDuDZ3WDe6loW28rlH2qljB4y6heU
nGUpV16rHEjggg5BbqmO3QWfCFkHM3iDzohtfBGV1UqKbVmOgWXxGz7a0h8FjKIChJ3U0nVlQPNq
IFWy6CNIoJCESTv5UPoEM1oM1Np1CloLyXyn66k3MnhtWJiXizk/VqzogbfxDYrj1qMVIDpnQQUH
D1ZARotVactBx5HatWVSebD11h672JKghFM/oEG5pa6gyD5habl4cTGKtVgGb5HN7HNXJcECkfWy
rvhlW5n+uOhhhsSgEGgkPD6l43LcIaNeO2cdLzZVzfNjNmOgTGW/mvj4OsGzHxspj6eqgyRbIBDE
lnmdZ/QGAVEcpH2vhHPnSrPiRQPaXlru8FDX26a15y0y8zGL5hOQmT7JWvSrDLkXTQwqzTLVO9WL
IcSMd6upn6877uR+2XvJuKCg6/tlW6fO2hZquxRxfFHXNQmAlbwGnezjkg+TBnUB8tJYQybMziqD
rwZT+kwm3ItiDJXXyOftAhRcZbjduJMALbaP4zVktFSy23252Dflcc18ECPH10wWCIqkHioaHDlr
hOdTp+pA7KD0traOORMYOFBELnC3yOPMpNIf067z03EESkTwhwKWuZZJiUDncqRXKKJr7EIU7uFh
zTpxKnkSo9aXMY2hwAHbxxSEUFMj3Y/5RVOidek2rU7KxnoRnha/MsubBpZRPCABhS96m2Bj/MjG
Oh0hOfVQNGuqCjdYpEdcOWyHePTyua7XtYk+NrwhQQuSm+XDJ9BhROhUDdQ4doDyL1n8nBJgBKCU
90MEy565XtqPIEMOS+LHPOBtO3i9ze6TDm6SHdMhPxlkXQKPUZ3uBjto2NMD4hUtdRJDWZfK2k/m
uV01zbjtgclt5/dxViQgYU+tNnJ616NxK5fXxEDYa5iPJtfV4KIV1M1+imOpaYnjsC3K80LIYhPR
7phLBFbArPO+j8KepKC9WdGcJLN8W8JKTsd2BE9yaq/Kx1pnHNYFWaIPNYvrk64XIBhAoOjrBgTd
CKJ4V53TCSWbKeIhHBW5VCh5lxYjFFFMhlXTK7+cui1SFujhVWwSvOJqcjxjsq1Qo9SDo24mBzmQ
ScyiFwsroTK3TjwMWvE687qm28wNLPTGqDXs5jiGzP0mlsAQBsioQwO67tRS6EiMc+LlMDkgZTJP
dbz2M3DZoCwhTNZODMmzyW/aJsnCMtvM/A47mZeR7tzG0LewGqSQacX5mPjUcXKIhMsE6S477ht2
XtacaZWi903RXzdpm3s4kcCpenHvKAglrhF1YETy3om419gShYJP29HEF7OFLI3EqbAg2Pf15LEB
c6AqvmtmkLZHRGFJHxtq2mO3lB/z4rJ176zQSdOOG9H2EPFSqDSqbskCWy63WWvKjYG9ej6HLpLu
4WApFP3Dpkdv3IHetorew/chrcjSJLpB+T30N+gqo5Cek77wWqBGEA0mr2rGE1Wh0I7DErqN0MiZ
wmgWLgjT7jVM96LhNL6jsapbf5DmlJF0CsoIhNp4otLHS3au5AQaeHw5TqvM5d0pqdnWDs7tzPAH
6ihoQiyzxg2Gwh/0Ht3O0Raky7AqupsZFTuXVF4DrpR1GDy7+mg4uyhxlq5U7NecXJSV41eJE5K2
OZ57BQY5CMQp9x4q6VR3XSw8G6WuXuYiYH11BX5537UiARl7GHxHdaEtykXHUhRelILyicQNfPVT
5tn8nWkA4WGmZxLKDBuTOnSaPTeFZE350oXjEt3jaL5pi+xjPfa+KsW15W0EFSjZ5CLZAE+swmFs
Zt1kwJYcmntxHOFgOWsreNYctqMHfW/Ok9msTQohOBUtMGEnMWsyJic58wYzQdFroRelUqtl6kya
FubtkLhJMI3DrYgX4y8s6oEHfaQtHX1D6pOp6HN/jnnYtH2uQSd0gsw5qXshTkAPK0FyhKv4zeDU
HxumLuLOnrpOVnkZlZlHOkn8DHTq1oLTGPgWqDBnN8aqKixofwJtxouhROXpbCEmxC5pQqbzwbDz
mtyaubqeHJKHeVIGopvZyQyy+FK2ILTEbiAgJNgCWy9N+us2QMWybQxURTR2gjFmq3kG/YWZBNJp
k23GEUFLUTV6UfX1YopW5/lgw6IyF0bIj5B270wzxaAzsdaDBtt51ZFFlwmWnmj6SPPa6GKTpCMw
2RxKbsc5AdqF/LTkXh9TE8qh3Uxx6U/Ic0SEvQyZtz1roMjqlx2PRj0UFJ+AHrVy2lzTSrqrkkOr
x7jDdkZRtc25Y4Iqzo4lr7ttNzJH26UIStl9TFgzr2S6UG0p4C9pDiUwiT4tSXTRzyu2VP1VUwxQ
yE2sAD2hnHSXG7HOU0q9IQOmFOHRW1KpHQLdyiSO7ydI/2lhtjJPL5O2V6uJMW0UlAesWTYJ5Hw/
yVOIQANISgQ1l/UUXUS4h57ZALJTzct7Ctl6lX2qDVm2IPuVHfVR3kd+jmerCfRzT2IIU9Zxz4tl
OHFN/0HOLA9TR0LMlXgl7HVWd8sWmoJEWnuaZ8eis3mQ5NHowUGX98tkGz1OxniQTKU3j+N958iP
ixWXCVIg8PVXFvRWH3QdnC7viijReZWnmtVFiGRlwCR16UY1tHXc8WKvDelmotwnalrhAg2nuYXk
M6JW+s7AvGRKGuDLCzgNuFsFZ7K9ycyub6c6gEDX6Mp1jE9NfG2ctvBAgo+3dkRXiVKgWgJDj1Qa
+VFaZlBsNtCZywhedw57nY7vElr5ZVeZECTwwfsAVX/pKVmOn9cVbvPa7/KWajjd48WmACFgTs6w
EdmJraG3Y7MRsksP32JGM1iUqjzu3WQ6j3MotlnHoCmVVFYXCyoDnNkKajo5+DyqEDSVnUIvpLfr
Dr64IRj2AiFhY9CMcQq9tc7ovgraKjJhhaCB605Op0uZejxqL5cqucZuekzqzoJG4zAPx2XhZ1Xq
x7m9wHRoIXCOUGdmzaodc6A6cfVWRfVNkYh3Cx7DaR6h05ZAjT6XxRpaCaeyBvGepAycfWCnZRGm
zf9l78yW7LaxrP1CzQgSHEBeNocz5smT83TDSClTIECCIEgCHJ6+17GsLslVrm5f/BHdf5cj7AjL
TukM5Mbea31rM36B/APLQN+Zsk29liaZ1t0C7a96jSCopcSud9yDl2UuzU58Rq/C0dAFm2ry3iIP
UtXakg62uM7pus7onu2aycp/qfUtJtxTu/r1Aw0txGC0O5P1cVzSb/OcdBlh8YvxyvtloH7eODA6
V1emqow3fU+Lrpvd3DExOk53sybDofVObIjIeZ3lFVMc356V7CiH8LqEKNqNntqNgn6rFy93NQpa
FI8lZjLneWXDpgy9MsWYyneyf5Fr/BYM7Xu32NRa3eeuY1+1STYkkWIzTzGOY0+PmA7pYW6jTzWG
Ju16G6KDrKYN54+0W9GfmWuM7QpSR3WA4imzLpwaWMKjyNd1OKyeHor1whsEYSU3vgtle5q6JmvU
BMUWlcd68ZyhT+qaoM1YlZDMaZq7YW7skdn4rla0zyeDVmUKStSaGa8tWF18nd29x8jB66oXb6RX
vgbkkKiD3x61srhgp/joLP7y4kZjYRvxofuY3rvUMalppyntoR7VLIlyfLeQvwTJQj5OXyCgmaAp
APXlZSP0lQ0qlpZODy2gFfWWTvSJW43fguHsi1HS2vVNzD2HtjSdme5IVnvmCalUFyftzHFw4Jb3
QRBkSkBRch3TpBgW17PtnnTTTduJVE+DkLi86VDfwRx/HNr+y/zNreim7xq2c/ljl/jyqqU9rg2v
Y5iVY7VZUBA9Twy3fRJVm9C1HQ6v8ZgY89yPPj84GAYLsoqNjCbneeHzkc1jWARMBZvWqarMH4Lp
1PWobH5o8zKc5I7Oa1jUlkB/cSChB8zMLzKMYHXxd9U6uyloPteBQAGb4uFsSydfuX6TygOCUsmr
bvA23Ha7zpXhVnvAK5prD9NnXuvB3pZyUkXDSufUsDHzFT4SUZdxVvtTlPaQsdIOPtrONv5Tb6fN
EurTsJb7SqrPOplLDGa4rqakjHPZey4ml8EvxsTyPRXXJR0Z/KspOrT9CKWH10VT6RIyfRPsh1au
WftO3Tk4/5/y07t/EUP/44mhLkH59dt6HzvMu54oxmW4M0Ntq01jO76rw965KS9Y1Bibre+EODqw
QRHVqFufaHmYbcdgINsQEjZc77lzlwOrx1fb6XwVVhzGEuIapMqTAdq0daXYw0DcL5JWpyAeXt2k
bw4VRoxhWpKNE1VJPsIbwmTP1WaqbM6CqU8DxYadTUq08UMIaQRclQu97Nj3cXscahZA8i9V5vhd
dPCt6nI6DB5GFzocIhGpDJu2+nzQ2oH6dV8x9Y7I97rRvn4QtCrcaA2uw8UdNkHAMX5ClgNLVA9b
N4gAkpTmqOrghHY1SoXwne1aJBwNURW6JmVxfeiX+bw0/m3gojd20YvvdWJupsi+rnFWjZFIw2qI
IPPM6IB8gCZDuLMrLJUm9DBSKZ6pCXCfioM6J+EEo55dB/NaLMpZi8r34PSFvt30LkbPXqrrFuT+
lRKaQQGl5rA4Q4tWAd0W9INdp9wocysc80N0p7y2zkdv9ArGYHonYjwIf3x0q/KAZsrduE5bZ8Mc
O3nZzztpqQOMoSHoEas6s4s5AnxYAPeAwFtwNBzRDKp0Ni3JG9fPxAQmru7gf5ZVSVMqyKOZFZyD
uk/RwLI8IRgg9TznPCb1FSMW/kI942dhuupphGMT14XEXI0pRrnwr1eRWabYdWJQ9WfibFQs77nb
9GkfYcbveo8VXhSXOQ/dL3PYqsJv4ZHCtqc7XBQ7v3Fw5DnlqXQIOzgwptFl74JFepsLXEDXqis8
pct0MPqpWeh9xceH1aEmD8PqC3/WcoTL6scWYu085MzFzN3UXwICc4h2XKZJRV7Dod+vIBtLFxAG
yYbuACwi+vCcb7Vy49z2fAEW+IGFwM/wC2p4QOsbYC9WYFuESZduWxkGS6daN5Wn8rC24W0wj1vf
zH1ORuHgapgLzpl+iwTaQdP4HuzM6WOR35SuP6NmfvRwqK+BrdOxfO/QX6w1rMZIRxhwjdig3ey3
jR3u3BIf9OAJsYcH9CSj7j1cpTz4g/yMInsAfbekxJAlrxx/xfvBu3F99VgSC/laQIXl+hmyDKZc
nz31bvtUh/TBqSnou9qL0nKe97T3K/SQokoFlKcUqArbu8LBgd7H+dgweW7JiO8MZkPp+V9MTA91
HX0mwRoU9RjkTjXEO+DZkH4GKIyBkwcXuX/B59bOTeGGXZBiasmTOhQYhAJ3t4YuzNa13gjlYLSE
2DnGNSRKS3AJrtFDWAcm81cqCs/h6cLA7EGCKoJqhi+iJYGpPWBoE1u1wC7XIU2DlsH712MN1arc
o22Od/jQ30AbwjgUHtzZBLZoABN+GkSmJVgFn3xMsPQPQnbpOC/fnER/UVBs096g87XM9U7TFDYp
N59SkTddordsL5prErQwB1PtC37RX76YtryFUHRyylpul26AVgfjvyshqhFj0tVkwmv4jroMBl1S
bhiGpBRXldyWkfiYZDfnkvKvjDYufNiWQVkWIIrb5uq3f6Dvaq4G29fZDModUpKEtGv64SjG6pNU
8G/WvhMYlIK5GLl5IyHbe0T4VzwhOeHeJ+DlZuOWbZiGBv9jYGH5OZNXX9UjXFl3go4On2wsphV2
zVqTffnG0SxfadnCMi/fQQemS2zLI1Phu2v8lOryvlKBAhg73zcVu+583K98zqewfhIjQf1YzKuO
6Ga10Jfs8mSoNFkTT/ctCcTtgC8c08/NKLz1burUdYkF35ug0c6m8eO7wCqcOUSTtFlQjX3KvsRR
aDA59wz6q67yVU91rqfV5rOBiWlaeh1ay47ARElaQwJQdcRvCIM6bUMOHCtQa8FjIA+9ro/EqZ9B
FYkD3DxTdNEKc55iGEvWuk5FQKET9cmau73Pc8zdOxs2t+O6QuyM/I/JRFBMJTObcRIbeNQQ2OeT
WkwKbx+FTjdZz6lFkcenZg3GoWh59nAUpeVas120ZIT780Z7BkU5CZ9rKnGYBO5947tw4EFl7/UA
4SO0GxG2S97AT8okiWTqeD2BfMJ2700rxLmXz858q6AX29Lt80ouH6ULHakZYKVju1dhtPwqFuda
O/rk9pUprFc1BYyZG9tyL2O0xUwNz9UskHc8E2ZVxc+4yZu3vvbTIVblpmvcW+23Y9r5biF7x+6V
hRaDaxR3tDsFu9Kwd8F7JwvInZZ+lIYBHyBM27ZYu6DMyqbfRa62z+HFyq9pB9ePeaBK5/q46K5g
i77BePpNq4pvEx6UKXRuSFTSIagP1XM8jGQztetRziYGTVaOBQGsRcV2bFHT8P09Wb24uQFkl1Vm
/iJ9DI0Tbd7AwPm7clWP43wtvaW/rbXhWxO4Lrqg9t2Mi4vBcnlf47G5EuXiZ53bpeB4O+2YAydi
gAkOwThzLmO9t+gdtdMbLJV6Y8YWml2yngjOVJfMa0o7WKZVaaq0HOVOdAHZ8NF9Mkv8OfdjcMCe
clJMORUJ3psDJkt6Bk60DPZhL6rToNbXQIaQA0o6HezkdDusD3Nyax+Ci4LM2ysH4EhW9gvsqREV
pNYtrFKdsUGh0PVwy0rIDBT6dJMclVfxNwxpEHjDN8F4CTIjMhvw5NptwPNU4jwkmD1HG37DgvST
04ygjPrmaqUtZrTQPVp+HYimQw8Sx3mim1x74+2QWHy/zbIz5Qh262Kj/5sKpV7HBPbSqIHlOEHy
0cLs9M10D3sXnFP0XNXxtlEW6t3kqMwHV079B5G0VytboZ5bXOzzxUCt+1dHA7f4N0PFKtYIehCL
QHHMDcZgzLO4zHlm0P6JCVq647JXAwknnGAqRQ7/MrjiXsbNDYnpkmK/4IWpkQfaMIA6mBANXPVU
xBQUccUgCM+3CGaMh7p9deu5yf46Nnz68YyEP1K/P0O//zVc/D+LG/4l5/QzN3wJ+6B3/mfs8I/9
278mhH77oe+oMLaTYPFjAqALqxIiCqTtByqM0DfFWkis88fCQZ8QgtT3j6wPlqVRiqwPNHZcZsFl
k+sPVBj7hBAiTyjSPgH2HiM8+QOc/oX8RsDpH6RokOr5O1L4EqnFYlHf8xGddZEi+zlFw+OOr8Nq
ISYzoETJUL4ayj+aelS7xPFT9HDeafBseRgVcNkgqoFfwMeRQ3eLJlvt0KDEKomy3/4xxcTd2GjO
vUU1UGoB5hr8yZlbkulIQfJNyi0ByMNkCbXdrYviO2/V9YNh0zfeNTtWDsUQNKBSpzWL6y6GD+/s
8RiLKEtKirsM6GfamlLc0t6c/N7eSonATeQvGzIDSSqNwEFOKZCyni1bxlC84FCgJeu6oh9ilLKO
D3nFxrfem441vhzMl/RY2xWOMfJOYPLNNyVHk45+g/puny9IQBqFmGJMyY4GeOht7XnXgR4gUSl1
pykausFBIVMVWie/hOPukxGRJ5MPJuS5LHFCu0OPBm0hD6aCfrSIEaB/jC7QiKA5grxhaY3hcwQB
ULPCyCX3EWAY12Hfwlmf5ZrHXZPPsr2qCDlM8r2U9c6Jh2Ncszu3b/LeDw9YoLNb+uAonZ3jNrcT
kJ91Joekrg69QTRK4fS3dhMPbMs8vMjSwu+KMuvhcw9EDsIBfnNVQFIqnOGBNAjOlCMmoTbFdJXX
4ZJ7Cfr/jn8uxrIb4XmFX5W3vKLDDiDhA4kMLbCVWBxrM7fntgqejBYQ5AsHGnjRjb44O9Yv9CLb
F4eL48xR1WgZNNsolaH3JejkV0+EhwtXk0WO/9b4IzRq3m1JVwObG9Gqdsm87aKGFmUN5awbls3S
S4AqcGe7i7+3ajPuNJzuWmFS5I1Z8n4uvdQZ0IEq9Iizgkbc3xhEiNIyse9VRUZQOsuH59fnDtri
OvfzlRNWsDdY2MEAdRBKYXpTf4n8Tl8nS48QlkAmaNCnEbJgYLv2AMRigOsAYlHGztcIvUzGfSNg
b0ECpwGdEXB5i+Ep1IbfIm80bAnWbGdkBd+NOuBm64JGPCZjBa8dQxITPc3iOYFWrFacBauJj0p2
9+FMch1Mh5rFwZa2QLaaZkBvAgYmhVvVpAnA2qtgsUUc1V8n1hRgu77+9YPgv8yPPPOad58f/P2f
nhT/ew6COPZQGv88RPJ99/Uv25d/T35+/8nvpwGW51BkerFGAiucvy/6+J4bochbY2t6gvPGD7G9
20XF/9thgMeDBAhrYxc+shyXHcM/DgP8mJfgPCA0jrFBJAn+ymFA/z5RGflxjEixH5AY+91xIP18
FsRI4K1xrH30kiNcRJQp5B/A5BDVZxV3i1pgSMAAAKQNPM4nR6xxnC+zjJq+Lm0HHwwmzRS8JQTS
CPxJCE7/A8zfWSHbWcKE51/AFKXL+im1Bv7bpomPyl6/RuwaFJJX3Wr25CJTwe/BHQDMrVOP99mM
sSHUMHgg2jjCZEPEM4FBm4WXOZlkalnxa3Heorn/6QL6B4czjvI/pHiwDQY9A/7GNnBcEpfv66cg
7rI2VMsQxJyaIJ50anivbIXTYeKPBlIRmPFdF0dnd5m/4upKl0ZcTrad8gHsDDSrNMSFBxfKgL+o
DBm0ovUuHgvCreADKw1fgaiMAQGpJxBSl1+DqrOgRZ3BLCx43xbq6mLDTEngtBdDdP0MkOXpkx3i
hGEE/6f+ANoN7exVmTfWPg32raJgIkMwIzwNwyeP/DeMd4mTAhDhskuYbDPqYL7lfSo8x8NZz3LP
BDe0pYeQgSucgLhsSyf6xGiRZF2JgWAiWeTN4vun/3um/Jde6ee42l9rZP9/q3IoMLjI/rzK/bTl
5vfq9v0nvle3GOl1LKZHqj38fbni33pdpOS8EJt1cD1fFlH9kmu/9LM+TQj9bR8IOtQf5Q07Xwil
KJnw6y87KP5SeYuCS/36NRUHcz2hro9nYxFsjf5DrzspvXAHkV0Y2fzbiDyFpgi8ag/EBtesmN2k
TOckyPhS33p18woGpNpJp8GczmG1xjWcTWo+x8rd+R6MgcYBTrZCIC85qbNYB/vO0Y+Lx7/OzbCd
6+gpDiEzVxKUa6QGYAQb49B5L2y4Q4wKoQ0BzEctuOvqoauR93Cuq8DeuvCC9yLIhACk0ZdNVES1
EOlcuRvBc28C+D93yzdVARNR7m2joRBTBO2joAeYqeAqjC7iu5RVRUkLL/D20xhubCkg6ovhDiLI
U4in2tUM8Qfo4PvAqL1a7HGRHRpnkkxpIKQPz6M8N1V0sA4CXxX0+EaJW2bUp/YIvBDxJgaVKuPi
hbvukk8lNSgILbIksAuw52BIu7A9TuX4vKASjVAINtxLdkgS3qyl+9CQ6WOeFMLFjY8AIWbYrlnS
wT1R9GvFEANLtOqK6XhKCWmRqZGJgSA0WmjL83XjCLtbWlg4PlQbEhVlDPtVoCbMIcD5dfw2eO59
MnnPEqnwOaRgtNBVSr9GaW/VpnbVtlqhd1XtHnuHMEufgjE86ApvAl3z/aKBjqlmzFf4UEVv7F3j
LzJL0h4Tj4WllIoKQeEFJjt+5WMpr732xW2drU3mvC/FC2PVIYAq3oUjIu+2OtRrjZlImXMZAd4a
xZvxQAtU4ShTH/rdAA4px8TzjY30wefNUID2fex8WCiT5nmZAOhyBnz1iQTOwjyRVV7HCx0u9xOv
ElzB7/7kf6PTynMDDnkXndFv0lQot84Ckzw5NjqJKPxErmIErznBXwnW89r2MeSrGCAF8vUDD079
ZI81p1+jlmyUIjaFxgQOYur2Jdz1GPq0mMWeJVNWdTOiSF7wYpM+h31eFQ1opJR0413on+sOTLde
ysdmCTJAB89V1VW5bZFLD5BxgkmRIQggcyfcqh4ulEzKp1jivIj5vU0i/zDRPVIq+DrWcsllXZbI
ZpU4tCBz55ZXQF68+nX0+7Mi4ks/ol9vQ0xFpkKwxbsauV5xN5QwvGnJMbYwoH6gjC/7CXgqNdlG
/D0iNyXSiLb6BtZs1W3a1xtAILT7BEaMm7+2R1XCPCTHlZ+W8gQIydFfAfCw4GN2ng3gYzXeL5DP
ERANXi07xfgA0EQhswIW9cnUd24AGA1u0BF5UInZMUGLRG7G5l6MG6IPsffIO8h/2zbaNO6JuNeI
JExd4VOAAgDM8JXdlD6iDQAe7ZAGfZW5sPStAO5XnT118vkTPFGouCfA3RSRvClpwQjeu2xbeznB
TUF77Gu40bNGXu3WcxAvOa2nEi1ON+9bXJN1fWbrHYlOhDyu1f3i3c3ONZFQ/09D/8DibU3vYnmu
wbUMIIj1u8bPWsQ18efm3VpgwxB2VNxp5zOObipe9OuXRT0ogo/tdQxf5ktr4n+FeebMucLLxP2R
PGtxZ5NvHJepfvGAIZjhOcYMJ+YYOtZLFb46CbC53I6bhX9h4d2CPJlVttAZlV4KHM1by5SyLlWI
yEDNzBH5yBDawBM1b0p+oIgwcfY8lF1KQpEnwzMDjzV7SzqB9poT90DpwQc7M9JP2sIgWPyc4b1P
EfJw+JJ9kGr8yYEHA7GhmBEYaPuDsadoGrIm4FncT3mXICYH8dnMS4GmPuXI8djPEaHXNoFTSd6Z
3LP66AE1ZndmhN4cfp38l5gfF3GqyQNlR1G9R/qaj1Cm4amAw0w99doDZ0N8LB9BuzvLdcwPBJc9
p+JQVTJlAxY6tBjj4bLCqCgRv9PPEzxIjpawMtclbJg+yLS9Q9IpWy7mR9LgFck8auDU3UdOAqQP
DAv6WXxQ7fJp+o+F3WtoyAxUk6cfVNxlMYi2ZYlyj0/5Cjk+acB06Spr/MeWhWmrnj0nS1wFeBRW
ctBlie4za4O8HPSmxPwQwrVqMDAQ3kAiBpXoADBiLTLNJRpSifeIeGExELgTGEhYulq4a0M7b4Tb
fsQ2+hKw0GbUygPvpk+s5TDyre8/yKr8NPIvZ+LIvrgzv8X+kztvTkYoSae5CzT8GyHysZUNUOo6
Q/TxILW4rC0xOyqQ6VxFu3FABXmTwcfaxpfgJbntcPGAsuIGKEAbAo4tlMWiDIETP60oMqE1KCdN
pCy6Sb+GyvZZFD/MSbwnuCex3gU5BI2Mrpo2o4NjF5448sDJ9eDPqBz6FYnnh35hWzeMr7tZFS4F
ARcSmVZA6tOprop4BYsrMEgh0k5zGcM8Ks/9FL1ZGdyqvj9XMp7Thfq4hi/rVNbOwn1MpZ9U2eR2
EL5mfI5s8g8X3jhjE/bRxE59tvHyHF4aBGfuPhGibNOVfRKvmnNdQUhrLvVyfXJN/OR0yV6CnQhM
G+UG109aRc4hISv0qGnYrz3KtZ2TFleElyGO9bCu5AyU6BF/RC4QulgVcGEznBdtribSf4WeolJA
u2Dwh7StTLeZRHiPXg98KAaJi21B4TxRpaFjL81Lq9VJ8voEFc1g8uqueYmUKhlfBP7aGNq9ejp5
H4BipvHcHlZ39bMB+SfFwt3Ml4dI8xUuvifyzsOKl+G+jm1zWLon3uP214Lyw7+0kH/0aOFf9O0E
gvE/mxJ+fTzw74PC9x/6MShcHhLnui72luGpmL891PSHDgJ9BJuFYyxfh9IBPeQXHQT76vw4giwO
IdnHa/gxKEAv96MENpdLgu+PgvkLojgYmz8OCgDjfR+NMR646oZuAs3+58E77tAe0FmgsUwQgcZD
aJai9FDObHdhVZAg8qh5VUFyJWuEtRKdgSXCIoK6CzIo3aB9aTzsCA7SVUmdO9jQlYYKtZa7Swab
7alc0V1DrctavykWHWTjGOE3reuhcJbmkbEor6sFC37UZqxHcRKGfehE6v3ks3LTaoZNT4BZMlF6
1zDSF0h/zogqK3nKZ6xRIpFVwE3blzbm1w0KHB4/e18G+qyWl8mDXo08M3IunOdYTSURpGXeQU4B
7kYn422CbkPRPA6wK8h1BzeLg+peivF9sfWbbiPkzC/QbdJaF2dguEMwOgQPEeGMk/euw5ObGLqJ
dpbcQSjRHyhOx+iFShwOGkhRMsXsNK9PJS1N0SfOVYNdBFnZIgYXredh7D7lhLJoVPgiIi+48YPo
HuMm3zCqz9aQL//Kp/wrn/Jn+RRseokni3MeIZQZ5PXVkvibhF97MJ1YFsAhQUpVpL6qtnY1BGsT
ovNQDZthQnSIXvSxvq2ODJYqmJ4xzJolxuKvMrx2L0vcsBBmS3SvNkqjZ+w4dlQt2IwD08hzT9Ym
V8YIsnVGgblMN+jLp90YYNlF1Y57EyfPDAvlsL7CuojmULlD/J8T/xQk6hMb1twMK0LQXPjAaHj9
7CMFng+T66TxGjwYhRqiFuZuYgr0A0/GApsX9nloI3vve5s1StZj0zdbvMQGW17ss+yYu61nkbca
6zSSZCQnTKyQ/QaCYK7vIv5eP4ZL/Q2E9P3QUoYbWjvQzcTWncaHGTxNgYjkEXBfnaladKe5Rk/f
u31GVbCbWPWRhKgQ6O/ukZW7jUW97GVtN8vonBFCJYUXZ1LW5A4uxF6EPWIf2G8BXaBLsZcQG3dm
mOTan4Fnh/OVQPO7GcFr5rFTBYU7wegD+NkApujudDXuBg4VmmKHTdYl3mnE+L/BGhz0nwPbzx3e
j7PGn4SqV6tmFLJFY8gt52hX0fF6dacdq5flqtNBykjrgmGKwCQ0pJjHTmdBgD8yWNC/tJW8b2JU
qWodEN0j7GRmE15JpHZYY6ptK+mXUJ0Z3rihlc0SOH1EINjtNEOOFBnbrMBLdsKafHWCagsYUqad
jbBR0AnXnU8wb8lJPgqpIH7gu50ETC0XKWDtxLuuL5HO9AUU114Dc/KxO0KOAg27Lk/LCJIKqc+N
57ebZBgv+2luWLveU4UPoH9owvJ8+deh97865fw2eNgIUEXbSNa3M3WfZ8+7b1f3GWsm0op/cdry
oVvlziUM24PwInp3QydyhXPgGntBDozP98j8baBBp36IbxCRa98XCNfu5pbAew0AFGE5SkmOvUOe
gyrZlB3ZLQ1mEi+4goz0YvzoNNWIarVVAfuwufIaAlezLa8bnzz3yuxBqYstgi03sBHsYfYGH2BG
dxzLxWbNzDQSO0TmkvjRNpx6rLGTkO27EKBONQUcktNIoGusgP4TWLy4O6GWqImJIlybPqsRobzC
ZcOycH75f9D3/S9yt5JLD/Tnuu+//+dT5vctFvn1lfrpMZo/fK7ffo8f1EPkoYPCo0wJFtR6JIaq
/L3Bw/Ps8Xh0/Ack42E2QQ3+ucGDKwYzH9tYAupCp/25wQOggLYQUjCJPOxp/ytGV/h3xkp0aesA
WIQRwTMEvT/0d1MoKjUsXYS03p2PluJQzXo/WiM31CxRAW+sekQVn5AG8gxsrO6WRVP5GEtscQGS
3ATeWPSj3YxIbeZupLHYS2APBSRL7MQcBrUDXHDqwDQWLtYfYOfjdGhZF+AMgHTQId2btwgEb3it
dW6qJ2Qwm3wM3IxP8FWCthouNu6h6iudD8JcITK09xLUuoAjq4gojYMbnSQngyUl1rlmcv7gnePv
2tZ7iXywo+Hq6gOjpXecfLpzmExOgiEhvVYNQ1Kpkd83CsIL+ROMBPL9H5V1PPkPRR1b5/DlESzI
/blh1n4fz1IjGGUWxHAI5nNkxCEmhLoCTzl7eQfhG8t3+Bl5ZWw7BdaZ9XNUUNljm0/v3SApdeYh
nbYBgoJ2nOIrO0UnjWdbgBm5yPJL9eADqc2EkWfH4xpgIhYeOZO4/+m6/t31+WX77eWl/sEkwDtA
cBxWAfaLXHidn98KwO+ln0RNIdVinQkcwy3WMSDgHZgLmNueEIgWeUwB9iJPiM9yj+UzR5wr7nFd
lm3Lyo8xiLoU64fGuwgQrOsH7f7/evFBEfjvFJ9/N1jP+KfVB7/Jf1YfXGJw2bGf8TfbCLXtR/Xx
EjyxBg/VuzzkMHYvFtHfbHY8JAU/haHTw6P3Lo+R+tt4Cf/9UrQohkGKh3T8lerz2+Luv7vEAuqH
PglBeWDG/PUSW0SotZxllJIG0lxgsFGhNFGOID26Fdy00eX2pZcbWXj+C2/aYIedKR8BgT9kimlg
JfYHVOwmwBZSsItQ6lpa70dUCn4pGbNUB7ZABoxK7eczdo3w3wpM9VRdCo68lB51KULjpRzJS2GK
UaHWS6kCZy7hiE0nxDLUzu08BDAabAeKa/OIlL6D7CWmxlAOALW95r4zM9j2BMtprFbndendbAzE
w9RWWAGCZXdgSOOTudzO2BOVVpcbfMKdHvXrjc+BubQQxbE3A8XgUhYo6gPEudzq5kzaMjk0Lnib
tlq3beM9tNjL511uJoq7qr7cXuZyo2Fd8KdP16263ILY/nQkw9rsk5xebtFpRNfe4q7Fpo7r6FFq
APpadOniqs3MZXUe3Rh126/1FjuVKMKkM5Kl2OvSRHwXt7GPcCKCReE2pCj+XN3KBZld4oVeXo4e
Fomo8QFZxTabXkyFOOZleZsC3rPlI19Sw8U3bC3SaeliuRmQaFQM1yBy9x/cncly3EiadV+okAa4
Y9zGPDE4k5I2MFJUYp4cjvHZeve/2H+gtOpUKqsqrdqsFt0bVWUqKZERAR/ud++52O0Mp+w3ZgJq
yY1Fe9t6Wb6JipjwhhYDY31Sf00ZlHdjCjp2yI0daiWO0cI6BGJCOldMfPhLALCNyRlN7i4y52JF
lBBBEKwjdIrwbKegIkgKI1fH+WOR8VmCr8VcY9iXYf6lCAegkNisdJTDw/RJkUwz8dxxRFGog3kf
mHDdoOVx4rPk1WqL+FqkDkCWtuDHGbISycFDaCACvTfgZa3GENBuDXRAxYxC5sB88GR+KjhYy9mf
tmp4dSO3AUYyQOy0gQ2WDReGeTbL/8Tw/n/R8cxz/+XxbPVD9+jfT2Pfv+R3uc32AtqF2KKXGqL/
Xg+pL2fHBhMbfF8NXZ/d8If1kI6OpQURZ5JPfdvv6yEoes51/BZzQY5w/95pTPwJVosKiKqHO8Ck
u4VZ4x+Xw2zw/awNZrEyl+c63LEUZ+d/jTSomdNlXfNcThOObwVwME0EChyr7Qmv3Au2yxqqxF8c
cxbH1x8XboeOQRoxwAtweJX2T1jdyVOtY1a2WEke4z1UlL3OeQYbNz9W1btPCOBm6OAqNFyUPSNH
XitGa9e6KahL7Pxo2q0b6d8+6//08GUt28UfTiyolb7tClfYdLZxJ/vj6xdWTZtIDzqWbkWwtfMI
h0580RgdcTmZHTvAuDYvmiDzWhj13eQF9V98C1gT//Q9cGjH2SaX1yaAYvzH7yHCFlTaojABvEQM
B7PeWleVjQkh6I1LV6TlKpVi5XjxCPBthmSkfvXn+S3prf5EuqBHdrzv63PiBeV6jhnbgEXLSazN
2H2NaDrzAuDGB1uyTduuPg89Bs/QjzecxmzG4kw6bR2lt2U97m0kkySyX63IJ+xVM0QTZgK6QcfA
r+AfmIxmo7B6ZtP4Eiyk3gFFc3KtV3A820JruQ617xGxAW9AdiY+M9Tn1DCxP8tzxJlj7WJEWgj+
cleHtjw0M1kCxjXBpmYna8RYgZ5I7l2v7XYq6q/1FL6U8wQwAFP3qm0JKnQdE0SCarIxH3IVnpOA
XSLpOQ3EE6GaPgLpbqV9ciEVR3q90neDFb3YE+jdgQFd6bavcGmsfVMYb7wvB10U5o1VTc3GXP7W
qXtrAEQ/w/SDU1y+TTpzrnWSqhdXmsdSKFzPnn5KgtI/dXZkrc3I7CEcyxgnLJ7syTl3TcOQZhpt
xmX4TOrYgU7rp4cZGOPK7PrmMLb9JbbDPYGefFfWTngKwtAHNemlK3wtINEjDgC2nE4SO/klNoLd
yI528ofolJmqBmJq6V0eduFtmIAoAM6RHfG9HvroFETJfLWAd+HQTk5J8ApnFHpWO3sHF2eKmQHd
VCIGk4lbF6KOJc6jRbmC9xzABb4jjbianDa6jeL5pUiBl2KcsFZ5AdVfaTEdGYedRshy/FeY5doy
gfS62NJ14qzdPDkbOoDiMuzqIb1LM/JH9RjPdxWEFAV/aO1CD19zN2kuwCAgmwoA8L3e1qkJslaG
9Eu0MTmaPXrdAlpML0hwkHUDAxQqhpuqCXKwjMFDOxic2frbPgcYXGDtweG96jRZp2nQAuwqa5pb
xeLkIoyAHKxOVW9tiBCTm3IVmau5wbzTgHNI2msaZP55HPgtv13HPiGVOU1MGiicYjW0LT+XgeMp
qX8dC0evZV5cq843Th14qCxT8T4M7Xg1uNmwZjQM1S+e4eADEANNhb7VW4D5UvWEe8I9BAUTawOS
WGxjmfcaHe41sbyh1WAmAjWvh7YAlVlkV1PzcnAvFRtJKwZE1JIuiKpbyMf9dhqYCjLV+cCXfXBa
owA6whkpcbuzXTU11spyOlUwjSzD8I9qTCBUdI53L9vzHBrxNRxPrje6xGmLOze96ka4O7/nuOPm
TPz4KC2UU9wYGAqrWM4r267bY6S+TRIwr1CNvx74+dboRahGcGVXmbObrIn0nEnUK9Ec1wr7Ky0C
+abDSbRvqgIA+LxKsvCw+BWP5ixIA2+krQOgcZjlOdNUnKiBB+tu2oXmMmsHaYgvCPZCoF2QliRb
IwPfQiE5ZRVB/KkaF0VVjFs1vpSRG94EjQ/cDvSfP7U3MIpZRfqUoEE5krWIrG6PGPsgyAxRDtPw
5/BXTkkM9i4tvsZpmayz1ppXQ+1bezs2v4iywe6xZMDa3N7irsHL6RCwEr4YTzhwQBanqNnM11II
OyoiPj5e1HddNqFdxTY6ZLhFtVUCkI1ZBWDB5WuYeuSmhvC9TK17iyX0CFmdtNqkdr61ijoItb6V
Ep6UGTPrTFbwGo0nz6qupMIfsJ/lL07Xf/S8exkDKhDGaqv7EKi28G1EyW7e8ICXuxR6JATKczer
z6UKvX3ezRWSa+fd8jAnqivRWBiAr6URfMmbvNvXUSbWoy4xhhbhR94OHPArgRcIGmSN8XeUwDaM
tcmlpbKgTZssGWQye+9QqfjYIB6OVfqi015sZcUxG1TWux9Eh6grIZYagX0IdPZsZrB1bGdXo/Pn
/lMzz6DJxGtD9wgfnwWuLQzShUGVr5vWehAD2LM+dfa+hEHXhu23pB6TPZjLWzKrtE4oBTYUQqDB
eBPFBsxPxwVpbfbpuMv9dRo0/XWMnFNbg0aZjOZBZdVzKwN9G6vumD3m2XwqpX9mM3JZMIMdQbA3
XVdiy/ZzKATxk24eu407aV6YUiVH30qcXSw1YOQML1Y0mHTFyXe7nOZNAaGf20YfAXsjf+t39NAu
PMhA9Bs3a1YmHpi7SuZnqgUwtbXDlcc4A5vNWMKO7I2Xl/eqqcjadfXCRA3VGgSpAS3XS9pbTZp2
XeYj+pvOP2CY1Ndp7LutGQP5M3XzRTRzt6n94RBTwSKBtW8gRqGgB4+Daw5bamzmtdXqy6DVh1dB
KsoD/dGM3ptlVD4ARKiDhrXzKuaXTfSFc9rBKgPgScSY2c7I+lpW0sNgzbOTm1xJe9drMKrvcxi4
QFH6T1zbDSiC4z4euSLJhLxfgU/FV6neMvDBbqEFFqnF8OgX2aYw8Qq2TJrA8LKZhoX31EjZbCLj
Ne7yCu8MpOyqZb+PXPa+PB6uWXfJciHJclTZva9dezsVHA46oE/4UApY9oCZGh1xnOvtberwNzE5
8QHxJs/SVt1tb2jNI6y+GlOWXL4b20xH8l4NbXL2YOnBUnOPDqd/4LSF2s2EZQEkE0msbT5qPU+2
3w3PPtJWUfXERMX8gh1lpvUGu58bFlfMK/4tD2xwWzvo/hZiAnpEnaxFQx5pnjsWmTmA3m1mvCcl
/hDYaFgwraHcjc6IczXLxFaH26FJd3aR3dqDRczHfSx69Yym9z7E8TMNUdSj2C7nCtXeqIIDFKFa
vWEmB0A5aVjosX52Dadsc3g1MziWttKoHrjNvPmYZnLXBnIFPf1i+3tfMdezkEUOmjNuLRijA/28
1OCtCQfjonNlcaBFgQS0ExyyfHwbGTMfSKtO9+TRyP/bj61DdG2AzVPF5UZOjnOfz6lLAqlIdmbV
4cZsccTVcE3zMWwOU9ZDQlYGA6YiQj6Bsp94INS1N/t47W+GKCMWPvEpDAiGjtNJ22SElPMpGOD1
k147E5bNn5Qx3TODI99J8Gfb+NNrHSbwvXuFB2q604X2rulogyGrwwwVmr0DnAaEMVJzSyjqI86s
2zhxjnmCMbOouvHQTcaHYwzEXMlCYxsr3I0D/HzMjOZCWP+r28G2t4eAfcTJxsdsKLdDoU6CkyaB
Pda6eQpmogHlm4pFddZMBFdhTxbXGgcS+OIwFlhvE8xim1pPW98Zhi1VRIv/CmaDG0PYLvpeXr7/
0iRxvIvjENXCSct7d4yvfBz6i0r8heaJSW2Am1nb7QVAFr0OQwsbqhw22jTDTSVKPKo6LM6lN1+N
Oc3Ws3AeMhNWalOqW+PDmIKbrIKW3jhMd/OWbyyY9hzRn6LAfsiCbM8zZh27xYOWR/1jODOANEui
g5HkTyN3y3G7/MhTao+GUb4yWoUZaTsX14U9m+R0WFjB8GBZ1VOPGTGQvd40wbQdcvEsHLYuz8WU
C4UV31sw+bt8SI5G7NXrEEEndtO9Z3O/tQ3JjOs2D7MGYLZbbkDrm5F9O5WaMzV8hVXr1P3azQCW
c5Syd3wg71GTP4vcD9CyFm9bVB1qIy1WhZny7cyfbLapEgJ9r3Z6CHdeGT35I1J1KTyT7P/RxLa+
oqMCwKOoaTcYJeBF5bwMBPTs+mJEn1zDuvBR6IFCmlBVcYq7uXVBmAmuAxcK3RQTT0iPX2/ggFhT
obMi0TxvW+iE0uJZFO+MQFgASX5seGGgemnGcFYTsxF68Myi4I2RLU0N1ivfWYqvHItM5VIc1fV8
1qRDPBMMOz54uZp0+TIazjvb74MXyYc80f62882vZjAVpKnxtcniNJckLcexOuLU4cbNCJk3dGJ4
Mz/qASLsxBi56dKcdhXl7kpXE/nMKZNSg2yOUauePaPrPkMVuUvEpctT5joVpRjc8qDTFuk2Z9q+
7qaxWZdanLTp3Au30SBI+HDN6eBBbw9uOT9RthX4W6D5uJJdDIH814q2CnbNGtgzTl+va5i6JP4G
dB0311XnZsyTorBkremv3cC73WUEjXKOKluqKaLIX9tKNavBn/xtATvBncnrhKk7nzNc4is/K/EY
ORG+4xJ2JBVzGcgZLKpxyR9fBLuqde9VURylLKjhUk2ybSNtoIwA/s5UNuz+Flq53ekMxx17+q8J
cY21k9KaVy8fPQoGVyLENNR7T0EZWLu/uZnr+UIJFA05v/jT+FBW0GEMJU8Oj3htENbV4o4yh3It
o+koK06J/4F5x/+1KA6xQaZs/3wq8lvg8PJWfrRf47df9U/B9d++/Df9z/sFuzypQ5x2ggwqytXf
5yHeL2h7aG7UwPqo1lKKH/U/x5MgYxlQIQN+lwZ/n4dILFvMSTybsZ9w/715yD/Q/5jT4BInl+MJ
QDx/1I5k6k7Eh9naMkwRuCWAUNlVf+Zu/BEs1MclWahm/VW78FV/eMnufhPJfpz2LRn7n7Uz27Qc
xxSWxc+/hP1/nPb1dSsGV3AijHX0uIQdwtp4DpT34YnosXSKjWOMV9Yeyh94khi3CIO6n9nez2QD
/gEKl8aO+162l7yzTx7YkiE/wo26q0xxMpX/8lff/Z+GlQ5IAYo/maZLCVvgp2ElogEYbgdHdGHV
4ZLaIQDsR8UaEQLyFnVRq26ekrVp6nbXlPaR3WIm2Q7uMF3o4hl3WifSt52I7gvZ9Ew4/DsbbFYm
2HaNHIKaN14ND2uO1cfemviIuIVweNe3obG3arHrQgpdfA7alF+qdd5EJU2A77Uzcrw0kxHGC3Ds
FJPTNODbwPNkxiAC4sUH1WOIsmx1JIJkH3KsUoqrVNThnQIVJfYDdir8jebNvDismgSvVb24ruTi
v5qxepgxg1joKleq/wTBAmC/VQTpSZoGitOEC2pGjtKYuwJMXjMoewifyb5xa7BnGMHEd0sYa92M
RWxavGL+4hpLhV2w2VfPEQQhk0CBAJIedvJE4BO8RvCic/9VjJqZ23Ctlf8UsZKn6Kq9tveJEe4d
2/hkqeBXHp/9COSlraKHIq3umOJ5AwCC0T6rlq087cpPrZefalINbqWPitN+YXOLrJ6aPDuMkflt
JtlZkfDMTcCkJij3IQUQ3UXkbOo3mxK1nbcEH0ekoiUIaXO+WkPF+jYuIclFpVz55CYF+cmKHKVs
Ul4CS2EKJ7m5RC3zJXS55PSH/xH6OFHlp4zXN6sSsU/ZbDa6aLkv1Ua3pXUsheAgxnXVng3A6Rcv
ZbswnWLaJ4hAEX0ON3VezhRnfZ4SydEAkq2aIOZrkz3tH+KPVSfnHW0tL/UCd8gC7lO4UxmzIkbF
S0PRNsRav2oo7DvMBmPCqiyWfhz5lCMbH2Z2evLwJSJAKIJLQ5Rsqmes7Yn3vEiIXsslXRdovzLC
AQZqBRdDfzJHo91koFF3EEy3jKc3IDK8QykYBZrhUzFlmMqsFg52WlwB51Bf6o6fcrO7H0T1wYiv
X4vepk9MkBEINLYTaS33Fc/84lYepzx0800VcVEW2qEsROQHRtcXJ6q9c1p52PBC4xYaW0ydTb9U
0aCrJ/ZnqzxqO+tOXBYyuij7x5ZP0z6sGLB1gXVn6kWaDjb2CNejQPlEj+PqQXCQugnzXfTKxk5F
OmvAKSUbiPlzKOXJteHgARMHZos/F6LypmFQutO5u88H886czPpmAOoTQ+SmEOxrI4vq0oIii4xe
bbPcoKYgifqj9OjjgM8LOGoaNqPwhrPucsXNg+JOm45M6jkpiwOl1+/7KSOtHE2H2DbSY68bzIkq
KPeB1xjr/8BR4n/PYJC5HdOef35I2KnkvepU9NPh4Lcv+/vhQHqQA/BJSDxXJH9+GA561EBzbPAZ
ebFLyj+YJRafD18V2AufZumQ/vvhwP2FA4U0TUcyjSLX+28Bapgo/nmHxqbhoqbbPgyE79PDH0Lw
maKIY0xac1UKKlqD0EGGKqy913HzKDLiPKR1voXpXFK48BDHZs1WTTQqBC0HypH9oKgRD3B7Nfsx
d1Ao7WFPTdm2NxRBd58CydyrLqIbYRgHhMxUe2gzVOGobyEPAo/aimG6mYel8JXnJ+2hdpo4313g
9XFBRAmipbUxmihYTVN/iHCW7QYneBlNCGOcoN21JYeLEgRfpXsMOOfP/G/iWBdjTPc8DrDB5dkV
9XZx9zJ02tHN93BJSFA2rnUJjeizVyYbt7qJ2+DWyoYv2Oy/xSZ/RmwcWrem0trckSjYRJN/KcUT
FcJOTrjYc7L7rvdu51hRRAnSTty7TjYjIfOiNIDoCZclABCGs9mIY9X6N1XN/ZxCXspp+i64VKzB
WYGom8WwDql2PgeQsLdh73wbbBSmxkhA06fn1j0Dr/ky2rziLPYDdYFJ09zSxCjO6FhnoI/AjFmO
V0U0EOc0PPUXx7jvhr2fRqCWzQmSWIjD5+7nc5AdBkGThhEm4IHBQzBBFDSr/lNWMXRrWKga4Mkr
FwDbzjLZ/rPJqZ/Q+z2HcuASy9BffD/yz+NQhsQ8II5HESt3/58GxSBG7bKpOa0YPZDnJdRIOcBD
0pmoTh2cL0tVVDL7kDPYlav86LdJua8E4FfSdLkCt2ApODaO6UPQi+/G3nzMGB1vJJf1jYLvXFHx
AP40bPe9nM60Zqkq5//W3YU02CqZmHFiccN712lyk7Oh4KqbYE8x8f6wnvyDEzQ/0p8fUFYJjJ5L
mIeDPFeIH4/Qdk1h34RUtFIW6S2dDRgkjeCl78znaa6LHTT/reUVwSrzx2NkcdKxGVQeQhdWLlUY
NmnpnIZ1XCa1zb09VcuWnQ0vZTNdSlcYj2Utjswk4pVrz9VTUYb9urSpfLdsttJouTfYeIt1JnLY
1sEHw9UYIwtq0RDV95nHPKgoYeO7Bj0b9h39MmR3TP0sLQMxYJEFikUgmEg77pqoRTRY5IMOHcFH
TxD1PO3GRWII0BomNAdZM2JRHAvoQFpbiyzRo09ki1Dholi0KBcDCgYTiJeogYIiBzKNQPwLmivW
VS2Jqhoz8BHOoTvIF68N2kiBRtIsYskIh0DV3KDtRUjxefo31iKuoMsvUotGc1GL+AL2D3/XIsjw
90HfX0QamxrEhEzVlfbqS4uOky2CTr9IO5OQl7n7lHbqUk23g/BeVATOsVgkIauba9J0NKDU/nFu
DHC3uDH3PkrSKI1dAH1YTedhkluB3tSJHFEGyKJS9WFcJCm5iFNYsT7nqFUmKR9eRVoQ1SJlzYuo
RY0XxSGhQ0MMUxqjZEzeNFuNf210Tv4ijBmLRGY02yhBMiOefQTYSI9NDg6rVDMlYIvEZvvzc8I0
YhwwloJmehCoccAKHtJFnvMWoS5yHMo+ke6qnNz/IuYJVD2PQX400+7jF8hNYVfigeO4hLGeaYNN
g4sPtHSIvIcJvRCpuFjkw8ZmnaAiIGdMHdxEGHAUx3AERxPlMbVJLClhXeu+hHAwEaEfKzfc2Itk
SVy1XUWm3jWomeYiazbQKFZyco9RqPpLYhs3IBKK+zx1F96qG+0KJ0cnXX5xI8b/1SKgcu1oWKEN
uJWi2tb4ApkzADvM4bn2pJDL3HgxFqaqm/pEh62nJsTd1tSzu/YGYMi9Onz/h9kzyApjGzPCg9UL
uj4WqH+CJ5Bbg9s8OKN9Uikpgii7jyqaFhJxKlrrVdPaUXuIgSkCKMDbJJkeYWLeymC+yCG41V1w
qxxx43TyxhrE2aJuq/ft05iJ0/L7dBjfy/sWfVd0nnMXWOwOYTyALtBWuWP0+4Gm9r4cqykExdY8
TQUJCrdET2sJhmTu8OxwaEEgJZRjxMa4tMjkuN/qD2n039qU0SubCgxZRp82aTm7IdcftsDpGg8Z
2wjMvckPtGrH19Zcdue8BsGme0bbc0eRRpZxMUytrSnoFZZNjDBIuSxYseQSuDRh9JN1zKhwo5XH
glynGEhAXHhQI8mU7ztlVZX7yBsf0zDTK2rbURJJgvPckp0bxy9YnmFhhEbGVaSURHG4oGdUqI3O
55L3pPF5Q9gZx43dFXBBpeuzL3X1DTd2yJwciPNmoBS08c79zFrQBTLbtOMDH8wtEGHgcM1BFeIG
N066dnRVknQOvhYTxglX3TOwzTZuFD71mZqObTw9duPARB1jwgoC1MvQTm8pj0TIV28NKSiezSqf
Ep49XFx0aC9jNUNwLalGFm33DGecFPtSlD3WnVjr1rG2tI4RG6livkG0ZjNinBgxuomU+MD2re/J
Nm1ayh3WbWpwOWVST7OvD/2YAjS4l8MmdhRsj4hZhh+LRzuIznbJAlB1lJZrDji1xx5dZAR8XM1d
DKcCM+7KZrh7GRow7sCp6fMsc7GPC6C4Y8XFqbeGAwwSlxefIVcYHeLu5EdMqUrFJ02aeBEDjYQT
uNTcxac+vGXggNfSGctdK3A1zH0AbAJgLaln6FBCHDrKfxDlb+hjwnZRs4Yt9vZOIO1XVb6Dr9et
Cr95b+IGKjo6TC6JLDniEhkvXu9f+9DJTnV5F9JmwbTZb7e1r3a9CC/TzKtPTcsGBMomcmv6KuNs
m3ZJsvUgvXgTWbAgl/3RyMihlgNODrwY8Z3hT2gFq9DuYtbR9CVhIr228+WjVtbqykaww1LzruHM
bplb0VSZiyc6xT7PvUZQqcUmDtQNKNtyP4IWoJEVmkSTPdq6M1Z/+91QNi9WMYm2UXfU/rTXvJ3W
KIOADRdzWRNf5GI2G9Mh2P7rUwXXh59kOW9xA3JwAocGN/0nO9nvErVDUc9uFMGTRKjxFnU6H7p1
0NfYROLJZxXsf/0P3BD/r4nNtLbwEv/ze+RevXXv/++/yj+nfn77yt+ukpb5i01mguw0mgvAJxs1
9Tffvf8LpnkoqJzReUttrpk/6symy83z+0n5O8/0h5sk3nnS4Uvom0sqofN/I9XNKvbzh4qzOKFy
y+eYipHT/slnCiPCazDFoPXGDGxw8mQa+LLusMgV78INbocoHPeRO5a0VNoPYyi+1c1iEMR0xA3q
qXMLsZZZv3Jrk8TP6HK0ydNvQLe/Mq3XDJs+G9nFgpjKqYwVUWj/1LMNPg6WD/aiB/VoRzOFEAPf
AtrsqTaydzKM1sHvwc5R07hX4UQYr1pArOpWF3Q+zgTp1rQt75qufUFU+xxHknWJTq+Wmlc6vTVN
l268xvN9MmPTYlgaXscsVVv6Zst1r+fj6GAwiSnTwJVzcby3RPSSUqzkEQYVZKcsuDE9qTd+stR1
t4CmrbzcuQbqTKxqdxv4w3OnFmNHzTnLHIx2NcuRw2fWPvBhWAsH1ayiuCcT/YEC4XNUwIaZeFe3
U/xuU7C+NP6yIObcw+LwXPBEB2y5CYVHBTzXTY5lj5Evi6ot4+fQahLsD8Nh5gJ5pSX5SbUJM861
vXOiaNpGnxqHZaCT7bFPCn+HO4QTVlk9+u34xS/YrwI6q7e2yE6wWuH0TSaHvsJs7wyofTq3ziZn
g7VRJQ6VsPa4b7wI11ERnGvGpNs8nFAkF3QHCPp6kDHOPAh3laLgVw6lve2HV3K6Fsqfw+JrYdOi
gLBZDG2PFleDa1Ob15amYiu1nW3l1nwHA2UHdhau8JuwAWRDAibECHeoea/JJPM1rlePrTG6ts4n
j5v6zAf4rGmtyop8vHci72uBJq+7uKMYSiBMYjJoNKqnkEwtkQtwG3X2fIb7f28a8ZfGuBcz7nrd
mi+iL8JLYg6PFK3v2pq7eTzrgTumex3KiSumpqaCl65eu5/Mpdq7H4IMbduf6QgyKPjotX8YjuM8
oIgW1jkpiKUsdW073VXlDcVWB4ij+JulvQVWXDHupvKtrKf7osRcFZM9DrGV4It8MPjkWG2K4DHS
Ce86nLbMhrZzw3cpUpwZEEtuAXXzuZ/ds51BzbV1fe+l7bex0OU2akbKv5253lk0j220zbyUcALo
7+liYZO745Om+Zmj89yW1Q1lMdS1MDSYceMJdKISuwNYEUEh3V5KzJ6qDGgRlh91zZmb9vbq3Lbu
gD5BaqLJaX7VEUP90fQRDCIcg81gEIRpu+Pohe/Szem+sPURNvEzpbnXwjGmg6afmGnsQpThRLWk
QeJi6xhor85mbMzxjUPhVoDuWXtiCLc0uPD26eSgpwXaQy8BPjgy6RrXYiLrHbdcrjH1e8yXHGN6
KKroFp5Nw2Mf+HsKYG9nzG+YCoGkMEIDXWRJ8Gu4iIMeQriPD6XjbZvUA6wdUDf4DRoObagS6cHs
xEuTnYoxH06Gj0EJiy0sIYjsO3ecAFhxZxldnPVWgSoml7Vh4G2z4D0evE5+eBaTHzfnLuXPW6a/
8YlPGPg49LKKtMtk5+YGZeDV7sL7KAOMK7z2xmrGU0LHJhQafmAsl/vEt+6SpCh3ccWIqM25wwYz
u/zo3Sllxfs4+FaTpduPlkORgDe/4UPHsRaok1/gZjEiCjpUP76WsOwmXWyaOpw3U+KfSs9LbnvX
uPMUTHfYclx7dHdyQV/w4ifJzsuzcGtbSNmG7in/xoGMq9jhX+BXiynu5RKbqlAvLCaMq/QPOMSx
K6PBfpMELOPUJCz8/9LM9lNJlt/IUwNXTk9BmmerbRyGfLiTnCoQT28YDOJ0oK3FySNvbeAA2pst
gKYCo2QcEdjJPHT6tHGDz27zdTKm0xT1NwUVjQ84oL4ow6NlRnYo/0rqx6wCZ1MG/sWZg8XkCsEn
bU82Zinq1vbgYq01Z18a72s4WGmrP/nOSA+S125QLeYd5MIHDsofy/Mu2FwOvab3hYgWTuBkYyTY
YUbLfir8Nt/RJX7jGbjR7AmrfbpcICKjOjKEYHrSWh79dvKlosZlZU5tTbvikG7deSkJl/4xregf
lzcg5/JN3ugFi0YMVVeTxY2Vp7mazLXIfOKzOPNsN+k/kabcewpXhPdKmAvXbAqzWdXwRJT0r/TV
rpxx+cFak6P/1JVHY2aslJfO24yHpGQ4tKcQ+FuWF2svczc69AdSsvm2pKJ15fj+Mj+JkIgt/Mli
eIkrX5wmMeKswJzoNN5wGDB5hInza6r0veNNh55/Duqy3Cy/UTl63li2N6815eVrwiLYQNmkGF90
9Yb/9D1N7QW1bRxw2Yew1qKziYRHcg1OWTSW92graoNqTpWc1nuost3TZGvaiKlY3nkTecClg6Ab
T7ouwhuq7VdM8IttNkQunvHiwAC637HWIP9YzrGomJ8Myfw4RePnnpcL3PMW2z+SkFtd+JtTZtCC
Ny9snPU4mJTTxv2JK56zSr23gbVnIzkdQCLwcuNU+IPCmWQ+tz3ZVyY1p7gVdAWnVc6+55J8oCNx
T+nA3UxljZEuG3tzaRwLY2wtSHb4d8FE14wVnGWLKDm0tOsQEQtZomy57Sfv0M2xv3KXDbLQASz5
BycthnMTJHg3iVDz88YbT0CgMd9zPxwZ/LMP56rihECndUmaY6gzeik6eU1GczwJf7q4YhwPPtw8
M56aoxwKnuZk3XsSR27dnjFUKhSf0VrPcNzSchxvXKO6NMZh7nGe4avngrR0+ww96z3Z4HjvL5hJ
uh6YrcKJay0qHL0sOIiUZTVNEjKIQU11la6QZb1ir+YyuQUVwmSto+AiZ9OnSsnbTRz/dmMWP7TL
GH2QMCglbIqaFkIAdT4U/XLcFwMevTaiSqoCTrkOjby7gHyuMSESBFdje9PRQ76u8jFbPtKaDQqS
SWAkx8GgA5Mn9nOXdFAxJCgev7IAcB2ctNbn778IZ/ROqX2Lr5Ama5W7m1pxnomTID2U062X645B
fm4dI/NTZ8AOSqZx1+UIZV6j7/u5vaHbNr1ngBCvnNIyd1nOmS+Eyh9k4PmthdNPl/Vp8CGpAiQW
hf7VKcP0iSbF5FAtmH/FXjsu4H9/OQAsVQD9UgqQcJvbxjTIrhTP6MB0EQoLf/b3XwgRUX5U8RCV
942z1HNFAJhGPkk+xqZTbqfWjQOpuh7y6lDk0UcceJ+zuDeY32RfR7jnaDhfHdCd4QJELxY0ehNS
Eg9/sWGaybHE9Kx32TFYSkY75Xgefpo9uWcV6dZ4PFTB+pZmkd5GfKrWlCYCS4neMPID27fB5Xds
saQNmHGan+YqJoYflaRnnGxjaFeCYOruI6+Iti3q3xa667kzFTqWWtdJKblOTA0OM0WbPKOrFRZx
BlkmVeRcJFAQjXZbJf3VrHDHTroOtsX/Z+/MlutGzi39Kif6uuHAmAAuTl/sCXviTIoSbxAURWEe
E/Pj9Kv0i/WXlOViSeWqLsdxRB+HHWFXlMwtbe0NIDPXv9a3ABIiYp1nJyaGLmlG1+fQ4/6paeXS
XEQMw9u7lgbt8ErvxU2eu5+0iP5uy9LYw1jVrhg4EzxgIr7sTZuRTgxJwLbgp7DsFskcMbE919zT
rLi1Rz+MUrGW2kc6dkBNo5zv6L/5MPmSovpGszdJ6ohN5IzRpalH+ybB5zwnrnGZVJcTENXrkRPE
RdKkqgzmMpO9vJ5HxC78ZpcMO6gJ0sZss+SAueM5Yn0vvSDS8KIJ1ZA8CPoUHOd6ocAhKO3o2rHn
rW7p9GF25nOXZz1bx3w9Jjm4yRwReyrPqqhzvbRFcyrmJg36SqFonWwOZotQrOmQ9pmyyMN+iTFX
750j28gO5WzJtlKyO4fDl95T+U3owzJ3qZU+Wgy+yEWQKQAyg9rD02/tqcdgNsaPTcedozRYkXbg
/+yXRC9PBnOx6xbnL14jceHiVypT2hnMwdEONOSOqyql2DaOvzRc3du5F3LL2sMnh+kJg6Y/n9gs
V2vGJXhp9A0rHV2f0zRc4vTeMOP/FI7SObRGShcV3UBEzYyj7JYATQ6GuQP90nXKg20U9xxsKWfr
ZBVENZsvWy/+kT6Yf1wH+UPOtgJ1v1Q1nPAo7uT/eqsRgEaxee6ef/Uv27JLuvmmf23n21fZ5913
jUD95P/r//kf3/h293+IvsPw9rtCybFvn38ctr+95PuwnRG2AhOAHwBaYylQxjeFhCQu7jMUbfKv
WOssC+3klyTut1kic01aYU0f8eT7sB3wncO4/W9gFPPPSCSW/vMsz8F/Z1q0JwobLwBv4v0sLyrq
Cgk2NVaT1ojAzXNxg1l1Y1s46d0WS5UsnLt62FOLNN+MyjuvW8tzTAOuodME7HcaRVEhHVXsigOP
5elsGO7GGeBO1SLey2YAiQSjF/tLh20/w75fegc/Tb5aytWfFWG+ycLHTvn9wWKPxNibkx4NKZul
rN+UPtyQsjPkBSasfealPlDsmBbg8HNvdQ9m6N3hyF45hA0mQgcYi4eqMbd+yW6Pww9ATZVQKIgq
0MA+bmeVXpjfggyGyjQMVgeeRR+sde546WZYFsYYBgGIxKHNrYHQGifhEuROSgtWjCBKR3C2TA89
YYpKpSo6la+YVdJCqMyFrdIXs8phlEOzdgYjOXmCCpVCYYhDldswCHCkptHhDDP7q76GyFWmfmAV
+NTniOET13tCyfkcwMcibazSwwMx4kHQYh1mOyA8xs6hvGblt9G+TQaGZmgMU8Wk0cXDlBsmZyCT
hF8bP0HzQkC/TZzPtm6SySrc3TChX5EkWffqgEuX3FUxaNV+zOZdy2Ol7FIv4IwuOUZSH6YMURAI
sV4rk5SHWyplxG8r+9SifFSpe9eo1LVAul76D45KY2cqw9irhDZDYmK9hLYbwtvoV//upP93J31U
/8t20odjBqe61avTQGBoUckhQ2WI/gnTiuC1unwuXuW/SBUPo6HfXYPP/fIzD+Pbi76twh6tOQLz
GqMFy+b0rIogvq3CLquw4mHghodMZuD8eb8Km75uKtICv2zrAq/191WYTjZFDuJFOqE47Gp/ZhXG
Xc8q+2s3k8u0F0IQ9FkP7NkPQAfSjeMYTRMLmfSGbSQG2DxtD1KqcbeLIczNolLVRBIvR4FrdKyA
UId40/W5vUssJMx8AbYw+zq5Ry8V5zGMT3LGmRudnI/tTLOENiXW8SnRAQ4AhtwtcSM28BNBLsbd
E9D0+a6zjXUsK+pWu5d0oOcUqlAHC4g0clEvrdLKVqYtjyPBwZWIM22d9bwNdzUxRmeskuQfdTKW
tOOCsQWqPSVLcmpMUHyddeuX7cNUh9Z1qffnYTIZV449ajDBU1j+F1XHsVyrHEahGNQKPD2Mtx/z
RfTHvoTmV3QtB4na8rY18EmKZlQay9Hik167Bwwjyy6r+4bTvrySobcvoxeNE7nfkfTDL0vwbt9Z
5HojIjki3eQ1dTZy4uS95IhR6N4FPTqMtpl0HyGbB/B5dmFbUKRB8g7mI3IHw8cQ24+5iojLp3xu
ZDa3IIaqbNlGDAe8WGxUj9pMoJVaxm3b89Eg+WmGs0knsaOPYy1lt0t7setquatsbbs0CGox7g1p
rgZkfiu+19D7vAR/bHd0MPSPpGJdjrauJIULYbKdabagLjaJCPKGVTD73c7XBL4fh0Q40LShXDf+
gFEv3UxdD7eHUJuPFlneG7m17jjhdgvVuWm+rbjahtFZl0SEUZyD0a4PZg4XFdeCAU574cSrffJC
CiuiA+7r/WjYAXN1/NJircAmUVRcUqfL8c2m5nPZqk+CPO+mxgDnJfOVPj6MEgdInl+qL0BvvmS0
JEyOf68Leczj+MQM55Oc0ZvrJKjL4nMS9beVhTLnZu098rXm33eJtR+ktn1jO3CU+hxPPXJRX52x
i5THcEyqVe7GhylvEMNda9rrRXZPaSguELgAEFgo7xCEolYTjS5Ux5pBNhrQQNPQ2uDZThUrMlfU
SKH4kbUiSeJKzxRZcvF30QhpclLMyUTRJ4lO2AyOIFIKxaYs2fAH2huvUpEre8WwZGJGQSzdAlT+
AjoBdBkq4iXPlQOHzEc6li8J7arDbK2KSmGizsuqCO2LKDSPdt3u0xInFl9TROIW379RAxgdjEAu
SRBzgvTjs1TsCkqppUvbdhPtNGvcaXVGlUe0pZWQhCiHysXezRlb12LyLooRUcFQaNHKz0yUJw1o
iQKPJgpBauvTjWeVZANKonle86WwqweGaTlZbeYbgPs5xEb4v3SFN824CnUFPJVv6NOqBYNAKqZO
5alTeFRKWFd5eOlO9uexKDnKq7O9AqpKyKoUTzpUaAFb1RV2NbK09YgEszXSnJaHxCDlAKQ1NsG1
Ng3ErBSA66xIrhBdqYARJFwbEngK9xrK4lPqOq/MX3RcQeG+R49Yo2exIYYW6ylsLNMlyB1Gux+H
8jaKQctSOEF6metk2yvwbKYQtDyMoi3D4BTXCv5NXfERYFJOx0YxE0ZFT0B+sbc+QIW+iJYLC8TC
oFgLqaIu+BHWKq1PX2A48GH0sNk6RWkwGipewTaQD++DJOsxDVpWeQt8v9+RnrzIFe7hjfugCBDN
9EEoIoRtIxKN2uNb3lcLiQfnJYoqjj0BqhamhAFcAlOuv0KMmHcFXQ0jiea1r1gUS175G2MNeBWj
lMznQ6LqwxMKiQzaopfaCJIU5RFC0UsDv6JRzIvZpDuaJGW1oImOHgGHkXrTtaFYGZOiZozuF+LV
8lD1y8IT1I9WcUPzhaUxXvIK7C64LaXicDjpZQiWw1F8Dn864oOKL02uCsXvIFEA+18xPUrgHuDZ
QMQo3kcM+KNUBBBbsUBKoCAecJBJUULemRd+w7SKD/3HJVYYVLurw7YQNm4FZeD9latccxyOMnBk
c/1hMF/HPE7xzFTh1siqYq11xe3cE5UpCgNahU1RHLUUVyOaEsUWfrxLeTjCzajqPc2uKdCC/MVb
+iPDjsBtrKB3MQLY4a3FCbJNicDHPLmNT0m8ScUpErcFGa2urnd+2B6sed6HGMLCctoLTdW6kXE1
roTerTHWMoMTB88jOipBKmGmMrwZp22hni8cEZWMHx90rQl0LVxLUaxr+A4u2Q6+4ZMP9K4x1wzn
ghSrUF7LIMyxG5pY+jKD3nfm4HB13HDakTpnGL63Z23Vx9am853D0tMlKvSz3VOeJKKth00XywIB
lWrFMREH67RvmFw44RP+rSA+9lgVxEAKCjdTT6uoj5M303rm2xCZ+G+Do4oFzqqhk/CkhiIPwZ7m
pQYbWTrvewjdlLWvQQjvSzKv1dn5ilcSTMCB9iEz+CfsnP/7JEGE8H43CXL52r/E/+d/d6/5D/LU
txd+l6cAugk2soYrHFcxeL9vjAl1mIqJCc3XIQ2CPv9+Y2ywu/Z8Nszih6AoqhYiB78hjhtmYZiM
vqtzf71LEfb+LuiMyOqPd63joIzBEya1qpu6yr68v2vBXZqN8NhwUhgF26PCCJxRtrKhtDK6jSZv
WZshS54c2ZAQ36Y13tCuB3pHrpyBZ6Sev4goVpnGEQ/eBEdMI4TuGJ21HxlX42/04USgE/MKebv0
ZnsroCtOpBn30gLNAfzpJVsYOPT5sdPSelcXw6uVmMaq9BxwQBYlbo2m2mMmCmDthRR5Q3ajtgEc
WukHh9KgWP/iG7ek8o911O1KX9tNtAGpf28zf4vDbW8Dhqya/MKHlYDHsGoNAikZKDmXAVpM8xQM
sSjfLy6D+mi8M6vuHPn9QZT53lmubQcG25heiKI716n30c/KSyJxudOeQ37KyfUTOdw1TS+ECayr
3kqPOU9/msXWmdsfLMFe15RsWJ19asjdXB4tPDBprxPlZHRQ9Ds0yn2DzhUl8wM2p2uzD3dO0x1C
BvQ+s4IRkHFoI/KZ1pXbTIFI8wsM9IGY+O2ZIxP/UDvDQ95vl5zhZdPu/JbDRj2gBZKtwYqiPgKL
vi8qhs8NIdZaaBelEW+Mbgr8oT3nyGmkYTjiZMC/og3Qgn2KMSsf78b2RVfNy7wJ3YMqNbVnhKpj
OrHnTOCoQiIbC1Ck8W0/hfjyWZ9TSfQeOBnGBpDLxDU6cgfahZY8qb2k+lQ6HKLAOdgTTcAyOgwo
U2Ci3afO3sK0j2kK7Q/+mAs0U30UjIwuvWi+ZdsEdL8/MBk/VOaNWrtnEANW3h+0Sm7Z+6x71e8c
y20y53tV7uHY+LgYEmom5dCFdzTdbI+RZjMk/IwUmwEvLfVszXOZY8nIOglBYCJYMFrymFErVGjj
dFdFeYRJA8NLDOijM6r2bKTjNlYMkFbRQLDkQ9cDEFIqUkg9E2wyZuvAonBVAROJqg7f+8jq/kap
8iHnDUNK0mIyEvfSKq/1CD6IH1EZiuD32HqgvdAbAfuH442hmdm9OVmnuhohnPi0eWkkEOYjjEex
grL/FHW1DkDgIgYLyXacMf1otDjXujiYGAvtF8VUKRRdhRmRAWRGHkvjIpKC5uapOEcVSARnKKJT
IZ3LEJ9UzV9x36Xu12xGF20SjHlY99m8aY9LxAXtGFxLI/PIov1YLN6TLcvneh5otWtgtmrDp6b3
d6ZfpLsJoBs2bx4sRQQirhSvVedQ/toOBCJ1+voSWtDq5ciR55JJfoX7IeY7sll3nRF7MKhu0Djy
uBiN3C52Nq9sJy52lo7ZbRxhteQV+CbbH46D4U2MTld1TvFzFPsmm+X8Vk75cIoG7zar2D+OysU8
2mF43U+8N3vRN3NV3xmReTQoHjQ692w19rTywa6Vp6YaPEzCHjg4a/6oi2475OmXpvXcOx3gxapX
XvsWQ0kW+YKZFEURS2qunaQbP+Op6W1Oli7mlTxtzoPNczLU0PSJnAJ2yNxk/09Yf//FlCvBqvpu
p6omVH+dPCl97j//x2XyZXzOfzbZfnvd38QrV8GtPQqQBGKPwoF+N9mauCh0HZyB6g22PTa1v4yQ
sFOznjNXAhPtqr3Ce/HKpmP8jUVt4tP7M2v0G2z0B+3KNgz1p/g4sdgT/HqJttwmZvmdeVSY5sqI
HOyV3a62OVipwUcrApkbOMQ+AHjEaxlS1EGua3JX3f3S1UCY5a7Ghc8l15oM44FRx1LRSBA3+hDu
S75ZjEfXcfaT1l3o9DIpIYbTyiW5F4XL2RCIa93A8Kmar5srAiIcJXW57AykoVZpRMzXh695mNwJ
NgzMD5GSBiUqOWBzjrGfPaoMWYLuFCoBalkwXS6lp61BL9NRWRX3sYkBR+jYUpZ4HM6u7T8Zsr7x
MTe8++5/45Ri2grf8OOH+SYp0oyLd/pHOoWXOTYR/RZeGVtiKzOSTZJgYIwa+06Y7UUVyltsAk+T
WdeHOtMvQonSk/m4eZIaxFrYJncmyKmklMBVsX7SorSuQs89eA6W1L5iEyVNH+SYBP4UebqkzeUJ
fwVka49ZDyXeFFdFeK4KW8WK0uXG8r3n2HE48Tg9MBh72KX5yHFhjotT1CPFgeAq1whAz5ULYKCZ
cMGULoM8ADLUwJnVtHFr/zOXMOtHz5GFZEO0h6nDsXqVjT3uYzoQViLKP5ROqVHKUHR7r7AlOlh+
aXjDJ47aZ8KOCqRFIapjE0JwTUiKsYR2ENfHxImuWrjgHh0NSaE/YGc9D7ONvPMIx25DWvjeSYGC
m9qJfR0lne691bj3laa9JJF1UxkfYJ0Tqo+fcVqdTGu49ZaUY27yOEX22pPZUzK5u741VrY+Xukk
fjquk5Bq3jI7Ahs8ZIk4z1l1XS/5M206l4NXPDWWgw+iOxKjuCqR10xzOo1ZdcBDG/icxgqvPZYD
eyrKtvvmOo4DPnB8Zg7GxSawpok8iKBikQ1ZM9Cyp22L3NtRyov5gnV/SF/tunvQik/cMThRp6to
Qpo1JriDqD/t5xI500lqdrEDtUG4eskHU2qJwVS7s8fpcQZWKqzkmYLjdnpJRL41YY8jaK3nymb5
8yiEST3jtrDCY+oyB/b1i2629/VSH9gY7ITsMT06G31OL/Wh2DsEZJA67YbdSeywX6uC0asDiTnB
0/Nt6s4np/gq6cNMgYDX8N5IMtK0TKkgzgdS2nNGhaOLHXvGHIOEKBGpdIJXTndVV2AZ8NOmaKyk
rcEaIFsa2tF1vGvdC6+z8W4ZTWbW5t7k+YP8cYDdtU2yYa0zQ14iY5cl8Yesiw9VEiVbc4T1NlnM
ZmNcK1XX7JY0WPjDN9zWYD7mzEcqbbDiy8gM2rS+Sft+WuW6E6HGX+kQ+vZuWC1UU9RwuQa187dz
eKuRTi+qG/NuC2zOReUdJNyLrHpaRlB0dMlfNIV1a6fDF2mL+E73NZC3EF1DgU7FpP3b4+S/ttD8
v9GBF174u+fpT2vp1effXkrfXva3pVQnsIznSR1uwRywWH1fSmkqV/8RBkdXsETvjrviLz5UdLBI
gvEMr+RF75ZSYiUszaCwabFhRPTD8fb3jrscon9+/GMXITkDTsH2PGUJeX/cDa1Sq+EgIl6nviqJ
bvUTl6T76Brdmgzuyip770R5jLysEmyOXD/A4uI7aF5fWq4soS4xnWst5prDdk9T4SGMesztIR4B
V12erC94TWfgoJm6eD11GeNAG2AwXzu1Fm0zdalraXtjmaUZ9Oo2wGVG4yvB3rWubhI9DSZ10/jc
PTaC+SkcxIYbINnm3GE5d1pfTXsfcKNGUMQWKYk+qsw4rWF7PaVRuC36dD25GDaRjGj/VZXptNpi
KjAC4nC0TF1ZGdDiUxlCyUPYdAExZi/WgONaFKpqYFdGzznWSWnMgU7/6ozD3GjoZvPyjcETwkX9
9Tp0KA9CYRtv2begmlKNENdrjdNQ1fTrLLTBGLY3xIqe2OezrqsVHoswvzuLvteSXtQaJGrcfV0Q
QdqnZ0GmF8ay0dTsygV/wnFSnsnNWteOhmjOoKtm4IU7NznVIa+q8ReyuGzmQc8+5nkJGZlkgeEd
QDOH6zFGUjWpGYa7tCrVjA1OMyxvNXfL1AROlO1LZxbgLHWYuD49WwzrQjW1w+AG3LE0CAk5+fqS
6hHzWHrkK7oPI3mieiZuyXRMzQKpPgZdpeaDTYmUz9d+V/Qj3GedoK5CNw8K4iyhOUO8CwPUhnkV
QnrGEWutiOWIfaEw0L2xdWIXLDQVvzz1rZl0ENGGQeGjMenEWCfbOMC3Gowyj04mtOlRYadr+NMA
PiP+GLl+d3v/xnbp59tFGCwqhsW9zN3yNiR+f7skSEPwNGF5daqp3RLt69DiCR8I+vixq+3R3j8Z
znifZVl3qP2YiZdF9YnNRRwl+2TiXJ0OFO+G1aGIxLiem6riQ5dH0y79r6Z2XVr22u3l116Z9lPX
RY5fpnJbjZUaKNn5qTQpXPHVrshge5SofRLz4mcrmW5CrRfrLp+j1Vs0NVH7K1vttMLxKSrZ35hq
D+YtgpXTg6clWzxL9qi7B5tNW/8W3GEbZ7Cd89nWxWp/l6qdnq/2fBWbv1HtApGvnkq2hQ7bQzsz
7wCemvi4iByx4wJhTKkck4ujoL3NUWDxWtlzppHf7O3L+K9dbP5x9+D/n+ZAKDooln8/RXnX/eU/
guc8fy1/0GC/vfDbouT/BecBIiw6pmWYOv64XxYlLmx+FEyfjv7pYDN4d77jV2H1/RXwp3yFvyxK
HnYC4rS6MHRk2D8F63ONn9AmqL+YJOjGZekk7vnDosR1Ky0s5MghZsy4GKyyXdPXwI62WsMfubAT
JiNDHkEmn4f+XCtPOwUzBBImOOrmghJYzggVaHoJxdzkJNvIOUgT3n+R3jZN7O78qnRBgkqic8w8
C+Wrl28Oe+W1jzHde8p9nykfvqUc+R7WfBSg+Dhj1o8USGs6ExXAja0xBq5xD5KFtK8WVDtZ8DBN
EDtn0xc8z9hL5qZ7EG4HWCPX74dB+9yH9njogHSs5yIP19QbNOA4JBt6XAMyZ3qvNV/T3vVu3Zru
6XmJqLmdfX4mzm8IZSar1pqBZsTqWJRdcP6IDS8+JBUITssav8TJcp27xpfZXeR6nrzHHltFoOOs
yOrxTiZA6k301TDKHyGfl4+JNtzZZWCBNlaxmjzWjvowByIUoAyM7sVw4D64xZEu3k+NB/RtSK0N
4+XLNHGgp3sYwAthDdustOiSWIyzcJvtTHxllbLcbERY1YErjhWzRKzWDw5Q8g3ubdLyNCRscavv
YbUZDJ2WSzt8EjYMGcOUqvhO3846polsYqLexGZKR0H0kTTTdRe6V1R/UjVhbuY4JzNRrr1c25P7
2iPDIzwlWL779HOZhNjWowN60wVHKeL74G3sTVY7l742PJFOw5gNWyjjAb3w/stBHFyPKyzs9zA2
yGcs1gUm/t3UBuOs7+olpqbc2liD9TAM7loHXyQZZK6NWtQHWpKvl3gBRqAB0JggoMz6AVp+4MXT
rdZ0+1b3D0nab3qvfYzstCNtFRN3nfy9n6EJ9ibLK+pls/EhhiAbR1TWWHnLdqPUP8+Z97mqzK8e
zS9bsCZWULR+tJ71MFzbXnPlDecxpVJKxuN0TkI6nQAa0ShSHD0xP2v2cKSOFV9lCZnCbJKA+qav
Aq7cvkiXg2zaM/lD/+iOxqvbMpHTI77OytE2iXeTwG/DJ79clV0I8kU2oHBslv+S3VaXx6CckyuH
tMFKT5ie9ByT4C6cQSoao2IxlO4+d+6Tmb9dHaYADHr70hyMD4PZfcaRQHyORpKjXcgHN9bEhV9B
qqUutB0WJedDNeg9qrBPiUdl7WzjseirHgOvHe9wTIltX3NoncdD0kUfzblizD9BuF0e59nDBhMb
OHETK0ZxDflIXA8oAajyxii2VlCOS4Km2eOaL+g7sbI7o6frE8Cwu5nKudrEVTPtHSHOTVz3O5CH
LyFAPFy9lWBQH44EefXLuvOmrYVPwIvYO3UjCDwjD+NNbSEaaOCzCSabh66iPCOKoGkJFviNF/m3
jp7Q7MpHFKk0gWlX58XWYciTd14VDfAKawZz0XNm4y5ptHitpy1UI/acRi+3XdxqcJdaL8BfdA8X
OJiA8CwFlsCUFJYGIAxuWEIEVMLXnim99pNuw+KgknUivS6GKdu0WTCw8WAgII4tYOxVJwtQvnE2
H4X5lZTNfR0yRpHC/7pUpn0ehqnZG2QqEKNh5ouOAXBlaJ8y2gOuwvjZ7pLAlcy5rRHbTa0R6xAE
uCUn4bJ/cgwPEM8Q1Ia2HxAthpG8aukeyHytkz7c46naDhiaR89QeT084GaA9YEph3Yq8+46zZH1
bAUxnjbwQ4rnOdMuwzY66EOLfVkGGJ3P4fRikkGebGhOwy7pBOd7y70P2QQbO63Qtl1vndQIibD+
BSHAwGa0EKV9EM1tQF5sb0iyD7TO1Jq9Xfr2tu95pESlgAH+WrLBrjt7Z9w1movry/G/GrV10loc
WA7WoOTMaeXWseLP6p8DYpgN43+xAU9i2LJsf2/Z7rolkzwv8W4hP8ETRiejEOQ6B5k8Ij48N3Zg
mK04ZzScQ0AODHfA5CXLejvlu37M7wugmmk/lVce9oCTIWh21pzqPo5duTfj8CYxjG3o69F1XCev
85Bf1FID7mYfxbaQ2m0p29uiiA9hEWJXyfGdUA/IkEW9xaKHlkWGXp/g+0cmHvD4k2+FJ+3U981t
adbMKWX5atVDYHYuU7z5jtDQgxijD2NTHnPTCShrenWb+alt7Yu4tbeEZjfhwGc9pTdprl2Z/LVa
ZL0yxwmn8rApeNjqtSHEuJrmdj9T7GAtd7GBQcRf5jtSuBtXYIDX0i5Yav3c14TrfNicHESEpF8D
yO+6i41VKrJ9GulnMwz3raqMycRllddXI0iE0bsnv0cgMLyqM/drEeOXm0eQvDzOsLPPN07yGCbR
NbOV28RLbwSzzEi3jpRV3Ixe/Knm+5z09isgughvBvtxz9NYmHR108TsWEDA3hOBT3mWoNnIQccR
FnabFLfSgv1lV2khTSSYpta166bboapurUaOgRytyx7kyU3BNNhxiOrQM1CvEH4epZU/lkVHMiDs
v1LARNwRN/7G1dyTjsH90BjjKYq6J5MM86aRnNWSut7St5HtNA2qT9ZCMoXxG6/8noO+tnzETmVw
ICRclPpXBgVU1JLgMDFVdM9UIb7EvjJUqM9WGb+3/5n6vVDBv0pFADuygCmZwEGFAy0VE/yfv/Td
Ni3dr7pqgc1UH2wU0wxLOGlThTy2RMIsU1dlfPQnIexSZrMVqqrPjWCKasmjO5nztjc1kKv5Uafd
T6qaPyLLZDWE3Ec1LjEM/iMLkEbpiioITCVVgaUqDYQgECvr36VUhYJO0spdrhPOUmWDfJN0Bqkj
Ua+qCJNJPIGE4q7sq6dWjZBDz9sUs/MxK8o7XRUa2n4uVp6lnYBeQfkql2w1WjxAe5oQE1WJGKty
xF7VJHr0JaZlbyCDkOkcWXbzrsBfVVXXRs5gFwPsuNcI+G2lV4M7VUBkWbjpOhJqEk9XY1FS9+Qp
Y1KR987GUZWOHd2OcZfwGc6DRNhUD6RIbqJnQrYlteB6d29S1N6nAPtKVRqZVjcsOeWGqjhMDmtX
lUtmgohkTd0kU9htWPZ0aaoqSqkzGB5VPeVET6Wd8vTrrXZl3gsspjEJkaBfQCRZfhTMwKsZlUDO
Ded7wPlz4JBVYfH0jyMtmjptmj7w1eMyQ6xUZby9zNnH2Do15HOO2VFd/Jr0482kowfrXvtAHVu2
7TFVogmR4a9z6oxIKe84QFJxhdVrQ++a7abhwxyVN6E/4Uw23WGvaxWtyaUU2zimkoVj5sGl8Puo
tbf/Plv+YfCMa4Iz3e+cLRUE/mv83MvfOF2ql36XPMHogNIhsWXZ+hvv/bviaRsWp0vXdbHDMVt8
p3jiitc5XmILAutj/krxdP/iwLg0XAO2x58SO5XW+utZF4MuBTO3DcBBpvmG+HznyKM7LKYGrHZW
3Ui6dSlhH9f5Fy3CQe05sKS7tlNNITRUEP2CbXmKR/0hcnmKDeSXhlbWNPZAMR7HOV5nWDxqL2Fe
0znNJl2wnFQVR7RGi0jOttmLbPH7VenBHCUHNPq9cEtuwmoGvDXaXzsrCdJhII5e4UfLhRPI2GoD
fcIkNMiyRU5Dk1GWzpEzAu0hn/oahWUcFOww+Sz19K7w8mvTc2d47LrCZxRHN6erwcHvlrX9mpKk
7uCR8Vz1Y3ZNSc2+8ltJoWxbEq6eFm675aHlkMV2VOA80D9gWM1x10arBCDuCmUN2c8r/C0oOBKD
+AkissRz0+ybPHxqnZbQMW+ndIbPRCwFlmBcH2M5QDOKF4pH2O5Iiif6IeQUgcUz6UcrAMyGwcjZ
OlLZSkr1hOMPIfA7MENzgR/mk9etukGx4z0Y8sIi6M7GbJe4zSaeZxkguOGNcIrj/DFK+RImOlGw
ZE+PvT5SzHRj5u6zg/ikU7y24gBbUwa7SYwIbHuFyiiL6qoQbnEIga47rs67CM1rp8di1JvYOopS
tOd4dj/QH7ZJRjmuYZs26zob4ak7NFSZS/gJJH5z7nrBlcExum/4uJeQo05XX3EGYAsYOjvLpCNK
jx+Tgr1Bbru7Gos+Y6DuqOPJsGAj5bERMBPW1nmeHoU3QgXXvJdJ0/+KpP67tjZF2vrxynfQZuDB
60Q57TfX27sr34qmpmP9dlZL0TSwFsVFmlrZyknzq5AgBAYZOtVKg3xHGz0MXAVZlxWHqNjM5bqf
dHEBXLSMOop2HfDyLeSCZSnxWXvVhV7FX0U+3BDTv3DG6uQnrfNHAFieJT+9fdRhwjGMKEB8/cC6
9cwywTbMcjxwC9luzMwyMjB2j858XIA6eSkWJ38S06rG4bmHkZK49hdfjBc9JUqNvfHmcryxXSDo
HI9gZIE73+vGfKHVHbZXy/rSkJe8FAZUHS4Go1t4NOQJZvmkIys/kvqOTRCq6DArN670rTdoLhNV
FO6l5WRX+1cfcU3AAGU8vukmsJCJ4vAT6d71hVZz6efDmpRGvzEzDtui61ZZ3m15Fl7/e+H644XL
VVfE7yxcVY6xq29/0kTfXvd91dJNFZbVmaqhOPqKMfw9sGVZHr+I9G8T2cLZ8itNVFeGGMcAyKJs
qL9oou5fAM7xWDTpy8VRSrfxnxjUvV3hv7ZpkCYTjBIVfpokmFra3t3Ac9xWDk8mGnKwDC7TcjlS
3XoR03KwqLoDCg4zzM4DoX15InIxrWdVjsDyxtPYhm2RqeqEXJUo5LQppG35MbbbOQC8geBlARFg
VwiMyQw/LzFWsBlzQN3ftcUAUmjCegbLW6GBc7HPEstaDxQDDaExrpfERTawK6Z10ddpmeH1Uq1g
UeWZN03Js9l6fPfN/cYIRsnMv34WwIBmCwHrj8koc1U2Ee8/iczLPRlVBkTfsCq2tVj6fTk592PR
aCutHqZNyxe1BwWuqGjbiILHlQyBdNE2v44z1mdOQyi3H+Rb0UO7HGIJbyPOEnvlDeSqTL29HZ0+
O2Wmv5PwYkP7ruaB16g+h1o1O/z+X+i3upWVW8qBkO+Y7k8gyl/Kj1LVaUU7+qEsqIOFgnUN/vxo
ELxJhXFcsrEC1zndCjqSfv8tsM366UN1ufxp4DZ4uPKk/SGrMHcOxj1cxqsEMNoxlSGQKv2YQ+PF
maoaIEG3PrAM3spxHANjFsehNobLON7odCzsio5mFjfVgFbzB+zjtzwHZ3VKIOUuypqrhqJmyIPy
1VXdlBg9ncCgrrKWxu3/Ze88liPH0iz9KvMCKLvQwGYWDrh20imDYgMLBiOggQstnn6+G2XZFSmm
2rKtF21js8i0VEw6QeDiF+d8Z0gRgmbkgTHLGnLmLaRb6saLVGmXufeETJm0LkJX6ZZsvXzuvMJm
VkFmXUeKMLbBj6xEeD1khJQthGqSDb2VhGyyGXCB9WCmkDoyXp0Bu+1qQQW2vcHoRVCnrxI7S5Xd
GY/uJ6lgpHqoXM9SJXxaRH3udJX62RSi2o4MNBjHX+Xk1efVKrx9T1hoq1JDwWdXRHvtRIq3kJwM
m66fjFE4tu02yskdHZyTRQyppfJIZ4JJq6m5lVHyPKvEUkvZlfKYHBGtZ+MnQHSYHdKfErVnBNh4
zc17iwhUX2Wh9q79IsZoh4Ka6B1Nr4/s4Xb1QC2TTsbDDH3HygC/tMmdIaed13XLsbTEfURLi1+N
NYqRfY5KWy3aAG2QAbEgkzeNAO0q5vVMcYkcbeqfGMrs7Rlhe7eQqcco4LHoqh/JWEJpZJtSWDMg
5pVBTWwZN6vGU9P1ZFQuEBn6ZnwhOofery32nIzr2dJ3zuiMj1CzwS6xaRQzMOIYdP3OwN7CdMd6
6icStS1IVhj58pcGpfGmYZ4l0kYAnS2/R3OdE/UCIRZC2rypqo9c5QANLn4rD3SyoTGFmTN9l/mG
trf85k6LBuOakAkfxB6Kv7G6zVpk3nlKDBnJkJTB3h0zPSjsRnTn4L+8Du66N8E2w2i0t5aHS64l
zkgX5BphHSVMhOweWNoq9UjlH9UpZ2BksDwAoKyRt0iayNRTbQPfzo6p8i+qzJHFgJ5VqBwSWyWS
1Ezdt4oSevGnZTpDxqH8JsHEUlkmmUo1KVS+iUa2xBbYPUC9qb5IB4E1sYh1AyZwiiT+OnE3EJey
aHTB1MUZUW8hREIggFnD1kSlrFgqb6VUySsdESymymJJWCCobJbGWMEzqryWeiG4rcXD1ZPkMvr6
naayXbpWFPss5lemcl86lQAjqmPavBGCjmAhqY19z5gosOPoylFPeoyhOSj/xMU1ikMkRR1WakWW
qdSZZhTWzmISmEknBiZHFWcYJJ3qI3k1To13B1/np1y7e8rK12FmkMu4/zZRaTcIoyxwTk/t4oEi
9h3nMJIX2639Vizc4ODVvT32oP0ITKJQVIkEvESvOBNtt5DFJ8vvRAG7O0ua5AB8cx64y4lEdKO3
4SexAnQFiZhp4MPFW1JkVJrXQ/uMD5biXYxRk4Zew2MyDuPGhRJ+U9Uf0imOiGkZF8aSs6TXFASR
ZPPILg4lb+FmQbeR15wzTudn97nBkFPkF2EZ423caEfCcgjppFEN9RrtI8q4dCED0dCsp7ome7BV
Ia8ljoiNaDKsc2jjYrfVblPRJ/Safrf1iwRenWG+pDMDLFT36Ptsfo2kyi4qXtYhZ5YyRyLHYz9H
AK1QUbSLCqWtoAAxebTp2oblgJfzHXAgTBRzN5reg/RmD3Bb9DUR02dlDiWsqOHTTseL7M01iF2A
Jm3zpFk1CMt0bkNWfduaDF1dhemuffO+JvTSwIQGAOiVvB3N9NOl8+B4Zv1flc0VFdv32T3PANHA
rhOkMSa5DOg47nHKhbUK98WQl29wctxOcVqg4uFNXPbpnZs3G6nCgS3BIHHwqE5sPs4I8y5qSKYy
Vahw0pkfkz9/zX/GDavgYTFKe2fVa3q0VSxxrwKKo4UBLVmQh06FF6+kGCekGf98p/4tdcJ/XXzw
K5jofx+2D9s/chX+h6oTGIr8Unr8STD3+C2ZlvWPyoSfX/SbMkGJCCyENWgnlcDtF+U5iT86lYvJ
cMlgtPS74RHDHGpCQxXqjvv7pCBEcgDPbYIEKZutv6U8/5M3zBG4oxgh8UHANPxRlyB7jRWpjSES
Adm+1KyTXYzs5lGFdd4lZ0Ep2C5WSM1+uUZ/UfKiufh9xcu3dUzsbeSpei6dxu8r3shehePJ1GbS
UoZgMqkD8C7iE4q4jUG7n//9twNP8advqNNqU1sbSA1131PV4i/NhpG3vbN4JGog58qOEHK1zaBc
OUuZPBir0eytSvueS+khkvO6oMx0AMNSxX8v6SeHCSDWYgG2mWLtsmyX/f6+1ptx2/P4Bq4pm9vv
iU1rPPdagCFOMgZPWiJB2vliFPY+L/SbqFo+08To76oy/4ZNt9mYxp2P77sSAlW8ZPQ0o2xqpnUJ
R4utqN/SpPAFB6NTnYobbRzI2hQGy7KLQBynZqdvm6yCiaoD2J9NeexTuS9NMJVqGaBrvMmlAxU4
qr8NvfWBgjmyCjCN2JnjLDsvpahe/cUOWzMdrkyj5y3lOfObcmuoPZ0W53vWy/q+VDs82ebJrlyz
nXR7EAIEAFu5RlKM80Hk8uxHDL1RhKepdi9G9pNr9GWGDpX37z1vUIPJVF9El8Jr9hMmrbZwv8y2
fhqS9KRYeklkHdbYOoB3OK6w3FIyDJqhuLDdOEQiOemtIioccg5EMZsQZPPDwJJHn7tj09s3ko1s
HT2ssRmmDqac1jzpuQYbID8wsdhH43VBRsMQJEwM4zRlHy1QBz7zhXN9V5fOoR7yA7ElB6OPdw3y
N5KX96uh7dxMkDBEAoabnWT0LNDoaax6kL9nODS6bIFcPW0xQoHFUlUKi2G28+TLHirkkXGRnqbh
oDvri+aTrZgU/ISsK/MZAzei0KG2g1gfdz/F7tJ5LJLqUsEn73HoTVlGXg5RmgZ51QYbf66eiSVA
awcSOMqLm0TbYiIwqo0u1kRxFEHbrO8WHdrwoD1IwFf5JK8LnA6moj52ZlQVmk9gjeliy0p1TFJJ
N5IQzpx2zT/HpQB8vqCNa1xKlJgZnmixnJAl2eHz32id5u5B+zWhhLM36jQvC2HG+1TH3SgrPcjY
OZ01E1RfO7ogXy3qwHX6FCvbKDyCc5rdfFCifOpKnW5EAneo8UloSXJjSO8hq+1tpJEgg0sNnsVm
GU9FZx18artqmXAKJKeye7EzJ6zckVSgMpxJLbfTaNt71mayskOJaMbNDhacDMny18R7PcAxRIkD
u5pfKJFiA8LQCi086qeaJbsoLpQwu6LFjDbERFB2Rwq6nTUgNOev1R85hJMESpeKSpm9eFsRO1kh
aoiqHWJTUi6hyur8X2sRdj1XDcBwpyXbmiy1rKQUYlenyBwWjJHWdk42ZBqWl9AcUBdVZ4RngedA
tahvlSpDCgeFp70RJ7PPIDR+7bQlNAabAHmsDX50mNsHyUo44zpV1oCW9Ko+d1r4N+z8EGbksOsL
GA6hk9hHv2hUFEldnXA43Tor9yUmig+nTOMrAqRjaVfbtX5Iw0gUX2onz4CbybsyS/bqU2P02xU8
bQu5JZj7T9qVPf3doIS0cfTFmEc2tcM1r+2TVyR7yUPgeNrGxiGBumazoHKj9SZDLhhizBlg9hf2
BXUz7sy6O5ISFAzZQHDlV6esjjPL0cFkmyvwDR2mmX154xn5bsqZdACIvFYaf1HmuvGQI6Nj8oNZ
IcrKwFfogaIX6Q7+42aZqic1ttqPRXSEMHcTzevOGdKbkXV1rcgu2CGcluOh8KDfaS8Dv1CNjFIr
mra5VSCN0b/BlHnS+uEcQz3l3jz1rf80j/G+j6FOj0gd8vXV7gm7B+ccwXJZvy36EoI3AU03A56z
T65/oxI/SgW9rZNtW5UH9UcKubxkumC+1Tq8nXxHk7kxpLiJJ/eSwUvRo2FXIBwRBazkEXO18z6N
2k7GMNcXdu0WYahwnJNil/TmjS/G26ifb7us2TmgACT30WacjsvaH/N6ubTLdjL7gIcz4P2+j7Hs
stOxRpNxb8T6hdYc1Htdg9pzOQNjrCNBm/AuKBqjO5CEULMoxvRlrzfNMuM1GvINhzLVu4kejx0v
3wxkkKuzNZCVSvnpeHAds+EQyt5l4rEgov+rPHQBU1U8G216M8D5DZaR2VttkYWgQYYKdX8+GEPl
KGHiGs7GuUubzxVpb+A2DPmqWDsNi2sdxdT8c0T0t8rZv6pDf1eo/tfr3f+h5Szlzy+105/K2Sdm
yvHX4Y/17M+v+q2etRhpIMC2bCpTg0Hxb1NlFVeiFOQ66SMElrjid/Us2lz+IfkmyF8pbX+dKpse
nhASwJjXWYrb9TemyvpfrYVU7IkF2YH87j+yOKMIAKRRGyBv3WMt8t0g7CuGvK/62DQnC7kCGM+w
nY0Lk/HT3Frq4b/1FOJYjjjTk+0vV+8vCl3L+4sNLcEtFkgyFj2W/rMy/aXyJH9hMBP4ELxWDRRv
anblIxJV6Foztzvy+OpLPGL/YykLCWfKryLXHpoxHsPYhBxtt2vJ0WYe13Twg1pp74RS4Q1Kj9eJ
FEUZEj0o8UiplGhPqfdWpePTlKIvnutvUmn8/Nm76DFPMvkVddgpJWDS2v7OnR51pREslVqwVLrB
7FjmLtwu5dCP633k57FKRU4QMLiUOg0skjh5jXNoZgPVLhHgr/N0NGIGT7rSLc4IGHulZKRmKrFE
MgEr8nPvXdyoLCn4qQu0Ruw85JCO0kWaCCTLRlKxRWYXtM30oSOizBFT1kpViWm3COziuRXeYc4w
e9gKQnYZlRoTQS8YNaXQNIf8OgwyCSTZbiUizkmpOTM6/n3mztfGHaN95t0nSvlptDleSe4PB1Ho
xPzh1MX9pUTUSkRNfYj9/Ee5ZHtXKUr9vnY3FDYnF7EppoxTlLnnRKlQvb6cL+NPZWp5YXByXaaM
mVmXJIGpVKydRBsI8OfHnHsfAqGr8VPx2thzOC3sk5HlDSoGgp9OsnNW5IYDjKFuQwnFyrYeXtrm
3iYYojPnx7zKD1IUh9rVtoVrntrc2E16fFyL+bGy8g/P6PYW3jzgB1VYDZjbNYWi79h1VJ73Y0q6
uzhKyU21Tp63vruL9pr63cOc6iQb9huZ2OGKSE4Qa5X6kO1iWBaeecrwoAxoncf3HotGa+Avao+C
9Xws+Q/4DHEXNCWjK9GzgKiOw409zJc8drCDWO9eCqQqlfypit98mXfqwiwhSs5H0/B+dMkQ8LBC
R3KEHajPu8oUzRHIcxagDOm89s1vavC3+e0aS4XHg/HmkDqhZ94zOd5p4Mw2lKrs3ie7smzsh9Gc
eM5G/2Hk9ZX4063ff6/mco+lAz/Nq5f313UQ31qZnFRrgExuH8fgYq3oyzIPJF/Wd5nXnV1JumvU
3rsRxioVPJBn5jcBa2p0q1fP0b77REYTOHCAqkHZZ28mCgsX3OyiEYuJkszP1rBJ09NIKqBoGgy3
crO68dYq4gc3ba+cNxdBXsdITEA7QCVp87eSnmD2m0NsaWGHk6tz+pukdIK8iMPacc+j0FFiFy+r
GT+Xdn6drP6G8nBVHhaNid3EoVF6fVj12vNIpqHVGnQw4hJ769GV8TYR8jT6d4nm3UsGqovunvUo
20cJhko9p5t1zhE/0mxQi47xsciTuyniR1zGm2LsNstdZkw7aYqjXeEDJurS7lKKEv+QOeKoUGoe
DeqEen3MT0vVhegeALkDVmP94BpHD4GqC2WhT1UKsX4sociZ6C5Mpzk4cgYNNe1A4QSVCwm9J+iU
z0UQ9rnzv0uarZiLwd+5hjzZZf+GuezKngEnME+o9uA68tPo4ocpL8gEdhG0JfleF9pdm5l7x552
q92eHNsICqKe5hE1IDl6NNVhJ3+mixLCGE0NruHsFh3ho8UOu2CXXamltqm222rNnTFaD0a1+tbU
ElxX63CEBHsSZrSwtUlCuCyte21/rs91nwtCdjovlkST7iUWHRBCE6H3xDeb0nwXOyOVGiPdAZXw
JvNcNyAEKGSjfm+Ioj/l1ZvIZ4Tz6GgI2032I2sanVzMxGIAPsF2O6KaDpoR1oevAgVICQRuOOjP
Sx27e4Gp7OAT0+lPo3OjImuSWT/W8UpWZ1HwZRjUvG7Z9jMj+QTdXcu9ace1f6QLUNJGgpdG1Gxz
IuvdqnO6oIrvs/XkUp7vU8FPwSqKYxQjvIXNfojLk9aBby5xoQewcNLoq2eRGKZjRt+sOg0bIZFP
XVa/FZ6Zbe6bzpan2Zie9XhGvJiIBvOZ92nqy2075tF+Hb1rPvMSGF0IG7P/aY8GZkNg11SGMOMK
k+1WlxUkfSA6Al7o6yG+y8AxZLNjycP2gJ3aXTK8ddj5yxcwXhgpKY+DZE2XG6NPdsyDEOm3UMt6
QI2LLt9sYsmOA/SXKHbDRpvx34wlaiPXfC90645/ADYzta1wtmXYRAKatc2Vj1XwAsean8yoRuDR
pM6+Sgg5yQ2CX/59RaGrbfDv9uYsM32mdZaSojEE/MMoK5padIq6Bp6u534xcRA0pAcIM0HfpR0s
O7svYvGS99JDbmRe60xgUcXCIZSX4+dn+f8l9NfPMq0ge/Zt+q3/czFM0fl/l2Y8pd/Sqv7LL/qt
gqYOAisikP7gq2bK+68K2iQXnuxRDwc1sF2BTew3FonzD4cqEVczGLGfWsN/VdD2P0CPMRQGJKbG
yOgL/kYF7SiZ4x9uMBOevfB1nTG2QB3y+1kpey5/8gdAJCWkC6onUpLkOeuOqQ6SHcQoqJvPUnGN
yqHcRqR30iPcKr+PGVSteb+aCUxClECaanghb/b1e0z+O2ry+NFHwIe0/M5pgiwxLvrcIEHG44Gh
c73F+vzoNP2ubLFXOqn2hC7tkufWQRgpuvJx11TDwGjAf1w6++T7K5wwZBoivpGLiWR/ODcuU7bY
Xm+r6FS2KnK2nuMApNUP3lDnwa5vUFKcsqokCS251A75dUf5ZiXuA4y2e6udvbBhSUjVBxtjYBDc
d8lWw/p2M2HnaLDfblzJglqU6WGeogwTXQZHrL6tNb6UYE6MbV5xcZfE3Au5fA5lebSj4iNy028g
N92tETX7uvcdtHXEpSDgDotZR3eVuhdvqCj2JNEqjYsMS02rOdOTi27HKn3WcTZyWjsiP4BotBrj
42nFkF1l0Vk3j44oCD4R7nnSOUjJ8m4hoaUk9jTPIlW9zstoMcjAn8tgpd9qCTYcUTKJKjV+M9mC
eMBGZr8U1rH2NV7iibWNdSOsM9PeINcvL06EUHCMmAJMb3NeEMUdLW44SmJRCoST2ATaZ3JE4Bun
Njl0zGTgkxV7d/WJnc5/eBa0r5TubDeZ1UdbaNXB90kRL3xSd4HBdkh2NlOfJFuvdYErJsWHl1N0
dmZSB/LOyMh7bfMa+kSEJC5iaeak/ZONo4bR3niKCeDbmN300LImDeNq2RO4SlvgMbZw+W0ySEcg
sIx2fjCyCROwy4y5Z7YFa1bfM5nuoeqy6swn1yVfhV+/rwWziJB+4wgHyGxdsz6FFLDU+yp/Slnc
BpGXnNO+Qk2nWQaKB/M+Kph7OdFwsRcKUax4DCaHjeHkyFdTtAzF8kk8FyzkYngylgUkBhQ2w5Kh
zq02pOoN3xN6j4cubGlONlWLsMNco+eK8AQuVaRCAbriOLcm29f+XFpNcSsGa+suAI3hOJOXoIEW
GKOMnWiCMqhgVOiV0LFkqddoW8sljAwTYOjq3+W4K/ZLyROYrMlt66GkysroMxMWa5JRl9t+dMAC
qjamKNbjutwQQpdhxtRsIMAe4yawB02tk2o23me2duv0HYjXTJsBOyOlGCHHGcZKhFq0zZ0a3VFC
A+hDKlhy50vhN7SV8bfCrJ99ihkYwHkgV4pIhort1oXMLfXlYKXd98mKscq2Pu1Sl58R5yYHkRdv
UAbvfdTKug4/DzPlViaGZB2vbeZB+84WFqEyLO7cAGJQ0+2t+bxJ8qY8OJr5PeqqL3ELEibFFNR3
XIw0wxNzwgq4IfW+NXOEDdGmEod8bDjmqvKlV5WMS5mwaRqTgECvQYTWYrXxbJoYBZtQGDoX/C92
iPquRM7ZVUN0LGbsCEicmLn59Ac+1L2a9Jtq6A7PkSnO/az9yOT6TcvK9xgFcp3EH4VgoMqQbeIg
KNYfjRAfpSvanV5Douj8fjsDk9licasOWjw/a5r2VpaVygEik0d3Assmipp0Jnvr9OXX0nDom3He
I2d5FnQDG3Mp4KUaaASqGvuVYR68zt+BcgC63CTPrZe9zJ5HN0g1X9gaTjTZbrt07LZ2SRSgZgkg
1Wuxb2sD6rKb7itqLclebReTHccxVl3n1f9eZYBTFwsqcVmuPcbk7rHNZm9jx7jn2uSHBbd32xgu
mwkL1gazqbdm4IblOGoqYNvDFG88fCBboT+P4N03CD9eF19Nsa0rMOpjRFxkqEEVOAqnPyyJ5Z7r
1hrDVvSs0zz/TK/YhObMEmVgksz4sgNL587boVQ7fDXyEDR5cKGCdV4uhIE/1dHtJOMXP8e26EVb
6ftPplm8QTFoLMq6lEjLdbiySSNluuu+9s0TrGoeBgycbQ71CbTiTeXyY0yzfzSiYu+w0PPl9NFn
PGo6A/s6G65Ds1/pXAUrqdo1b8wCDl7ia6YKUA+iWb9Cq7zXo+qSFqhCTHrLIUZ3RpOMrsfJ0tdw
ZLDui2GnMy92OTcH9iAaUre5YGkgnIs91pB+eLU6cfmuRvng+FQOXHSx5ZPs/YvGtMvhCx3BOZzS
f2WwsSGIqj0VRjl7PDHOerBeLZCJJeKRvPyO4Po7r7FPd5pRHipmaHdFeXpp53gvS6Jp8EJ1BWgG
/I+DztLRe5jcGRP29HOzmzb3hBreGEZHqGD5mEtI0p7PpXJFcmP35dUws3dzcJ+6KL3XOq6wnid7
A7rP0ngXryEPmBH4EMVvNj9TXFVfaS0PC4ruUcRhg2dctMiajI4xg1t+lbb36Qt15C0FUZFkmgar
bb+tif7koBfdWOtHaRjXpivlrjA45gH8NzTZn5k+PcQtq0AM9PiNChY+M9bSUNfbHTKXFs05l0Xj
Lpirh9kYH70ckzs5jI3fWUGv1nXp2L/nVpecvAnm4UQofQsQJLTK/EQRE2InOPfdIjBldkHSVB/S
rW5cL16CxfF2eZLpW7LZTm6X1gdNs3/UqwWE3tgImQNtqS+D616GEj6cBs/T+XQ0jiIc2KmAiOXo
m75qj01DnK790WTxLiJ6stXKO8QGF37JFAnjfiYvMgNAtSTyTke8mLAHRFSy5QW19WfzPk2bgz3U
j0Ph79GgBJbEoA6cvSIScepc9H71AVTlc2xZTCAdZGqvkrastc3bfgDK72gzHJwXRiI3npgE+Nhh
O7uobKhmXDqobK6PNj9dyd7CNF3g2fbtKNMPEsg4njwM67JYCCUifihzw0G3WDda+3Zu9klcPoLk
esnXPoy7c6HP/4lcgIL7zyUwnCIFmAAcIYAZ/b4Exogop5l7Y5O2xJJBQSLrEHwQ8Pw7s/HgqOc1
lj52Npn7WmQWNH1/kds1jW9p8gPD4xlKa9PDQmx90+nTwra0v3TKl5AJKJVO8m57FVYaS16jPEdH
x60O13Pv2Y/tpMXYzOMv+WpcctIOohltF+OrXdssjwP398bxuRCpc/IGGLpzx9iRgGhM88jgiH0I
nKHKtwL8AyADmDiNZ4ckur0aWabtS4CimjEFwqX2E4C0N8jGHEjc9qvpcBMiGJt5V29KXQOm4r25
SfthjhFV9xB/AAa78EBcKBxPhX9rFoSMRoV9md3+YbSL9x5gGQrUkLs2qDr3KdaQF9o+gIO8uBDj
Ani/vAxIFOJZPmrpKwApLpx5W6TerUpi4Ce5S+v2frSeRqIuO3impOCtGkERK6bABOlAfFs91FV6
dHMZ1vURReVReSUp7o4jOzM8M2fHL7eDH21ZAsDEyG+z+Wmd4jtc3ghcjEO7ABCucHJ75SWv5rPb
Jbc9LIcc5kFCpkNr2YRov/AWuZ+lywcgXxZyIq+msC7uYk2+Oll9x3JcWFenbh4bh9PM8PjkDTi+
gdX50hi7VvfuUp6utdHvqYovZjoFk27hOJlu1Cu6bmH25elzyibSmY9962G+rYBJDY15J6zldU17
we2TgCxHAjFSUMLmwyepua+rWLhjaloyc4taGAT+yHuhj2WiMAIgwCcyr2TzYNbyRrZ84xoLN+6c
KHA0A4Vb22I4FQ5TPKcTgU8gdK/pT7UOIsr8GNz4fbLmILYzcgqKrywRvjVLtqn67plx5C2TBy7P
iAy90daNq9vupkRG/M8hx3/vYOH/Mcwpaqh/O1f48nX4/ONU4eeX/HOq4P7DsFTSjsMEANIM8Ibf
pgrOP2CqmYKWhNWb5SBB+3WqQNI2s0W1eBOKNP6//gXAwZ0o/iPrx/xbaznnTzMFBhcs5HyDXRjO
EvGHoRUSZY0sUxsp8SiKYztyRwG0B/tvOVupz99jn+6ycyrCOe22C7EtYdxC07tpkZWEtedWuwEv
9AbtE5vnVf+urbQL9Yi4vSEHO1iscjmbltbieBBQNMFNtEXzUcHhIsQXqWxC04chItnZ6TXK9JNe
LYgElCzXjsZh09m+pdRTQE5I7jwD8hFP8WKPYRFLjIjQxGBG9tounZbsMIl+o0uJuFOmLD7QA+X+
UGym0reCGrgNWx1JQY0lzgPYYKkXh7UOOwdR3NaLXoQJm9SpXI4sUX2P1pKKhXWQVuzWAXwimwde
yiRXjhNqCrTW3z1Dcmf8x0TqL9aSvv6ntSQ5cj5IbMbhJv7RPw55eltWSjNNW9A5+h3eP4qHyGjo
fKKHJS5cqkNYEx4CXXL04kth6xeOerLU++KHKCMG1XH3JEdaCSuBfAfJ41Kv401jPgmwDkcP3uXe
GfJnGBOBybwcsCNwSiYFSKtnXCA15ddce49l1cHUHKxLH6PbNlvauGxtYbwhz5adA/17l1YZ2vnE
zraLW09Hh4lOqQHttrIFgQG7kRvf0bDGLKiHiNlFCx4HXhfF+yGuHeJM+ibsJzni7x+RwajkW/jd
G1S9o16hx/dCb6CTSyx6W3clboODvjeQnzkjc/aKPWdMAxvVTr+xW+3KMtsNLKAcx0THjEkA9bkw
t53ftmeirsog950Pi2ScQyGXaNOmOWOm4UebLWQWJ4XO+mv5MnmAwOsYCFyOLehQIrLekfoxZp/u
2GiP7jpdhlwwU+lR+Pkem4CuXfHC4/PTHOYf1srmZBri/tj1E87M1N9IkoM63623ul24m95qDmtK
1CycTPNWFTKth+a/cgjKaPLHtdORW3tM4+lDM2zNgZDM88de3CD1hh1qNcAajOFk9FWOLbiSweRZ
8154nX1j1N43U1bvUSqT7cta9eyW5j65WztIAkQpN9QEJnfAguPBy1KG8mkKcDjfJo40dwUpFwQi
hU1LELbbxzd90u+Em/ZbMnJLwMZ37ZQWJ2f0brXoi7SNi223LCYm/j+Rjz4r+drk5vKgmYT1FOSO
oOK2StBIcAmczDtE65goKdppdYwE2NHoh71CI/t9FOTx9IWdFIoYHeZbUkiWl8V7ZNIcGh2v0Iym
VPcXZ1eiaqGWRstOljZTqupgT87LIqj4zNqOcTMhiLcpqvbCntGkp4CbiyocOucK+iIk5kTuB4s8
Hgo7jh7NIW04k1sPa28Ds1ydcRTC5PrONQvtLlKB1IAAAz9XrPeO+6eXDAcRZuLuvq9T+5OM6IyY
lFOJzxXvS3YZsvgiJw0BqDHP4YDGgO557jetFREJgylgk97DeuU5nZJvPh1SHYFiamFVHrOe7OTe
Sffe5L9Yg5dumxrHaWHFXjhh8jV/9Oz1y8Kt9wWq122yZE+TtdcGRkK1hU4sm/tjNmnXvMNq10yL
S0UqX3MJ/Dyu4mfUiR9pW79PkrscGGdF/536N4juU+SoiJt6TLhz5Nx5YDOCrqdj4/2EaGAVP8zC
P4yGdpsNn9pkHUlGgCYTofZsgLpjapjfmRG6YZHWHswRwhxSzR2DNq6y62QM57Vt4wcNSBz0SjVP
9HQiulchji7/0qhwhqerTappzPJVNFgt4o7kdBgbc5BD888YUwcQ3JQuebiIxcl2RlGV21nje3YS
D5iZH0xjhCwxNDlAoMwO3VoSE5B7IR9ThMbIpS4dSfkp173VVA3HWfQq7QSLrls+C51WKEkcfA9D
z5besHcFVPBgYI6EbLS/UiAOmwKv3ybNW+Y5i3kuDAPm2zAR9WZ86YvqXS9LBMMrl0bAK8PcoYNj
Q/uQNkW2rZgEB7xDR5LcrJT4tTbACj0iGru0iXgsBK1G37Mwh35DK5GdGZAgVBz8Z2K2r4OBo0CS
mzWZ2o486NYFJ+qbh8rvP+LF/5J02mmZaXWU/DBynjPVpLfOXGyWhc6kbA/D5DwSTT3gaGquAo/+
xnXCXsT3mdHBM0JVaHlfcglGrtF2IxFhSTHf9lq8S5gkJ8t8BnHO6tJt25NFQwEVzv9C7hr5HIRR
TFHJKfYpSFxH0XZXV8krEkDA0WqD4Jn73EXkeDRZYCPDXLCxlKEbgRERORadpHwvm5Gca4aFTGKs
xj45MlnRFSOfcz4tTbabSi6XYtBp+RJYLRqkpeiivovGPHfVLLmR5cjjpX8zU+2xN6vAKebtPMFI
aYDMxJ2HNFQgG29Vnomukk1qlXFiqbQTP+pfZ8d19nJIfqw5PC4UMgHaD+LS2hShqYbgajNlNZof
f73JCG/fVu5rk9M58QbS4iw5MVK/17PqFTpqeV5Fm165BQ4439/ypnKucNXb4dpNpCB0CciSSaux
yKkYgrz3lN8TQYbdy5OyygNLyDargUPeqcWZYCQ4AGZsBL5za4vks5jm5WERvhX2pfzCHeefawvp
bUoou67FcSgT09oLbpz/w955LEeOXWn4VTq0FmrgLsxCipj0mcykd80NghbeezzOPId2erH5kKxq
FcnuklrZE8GZmI1MFQuJBC/uPec/vxmjFD34kAp4u4ALECbJrBJ8QJpg8dnaqnsywrTCD2dloxvH
seHcYFGEWRWGCScWYqIes9EQPsw6zOxLGPeMVY3oZ4JYurMm1SBtdLxypf5UMQu5DT0GJqCWzizS
65uSgqpzTPXCHDUMC+HU4tpWHMLf2hayl1WNHvWDdu3kAbB0p0antucHEHWJUO+c9KyrmZSIUzUf
GJ0WK9WmHQdOdBhIUILJpPzBXXei+WAoGrwOl9QJvIxXQ5bFS8eUdo2VpgtJr0DPSoHrYc1uWsSz
COGeyRtxBK3jzG0Lb6UNMaaMNMyKnxxnRl+SJFMjw/UgFRAJJTmWtFYlmPl9ABzV+r2+gAYVmJw0
GEZ4m7CFGa0bjr42GvUe5Uiy6o3mOnfZ9IH6vVki4PsiSN2UHggQkZQ07YyQj8IK7XOmZLdRZy/a
NoDacdfbw3HsRi9B4C6plIypj+MpNID0pPHmPUgPsy3o4amCJlorT/TQvcoBDJKke4A98KJLjNZC
NYMIr73kubyN/R0IVYnRcBPPm7o7IpEjmmQQmFzn0gyT08hZGra7SQQvqBxy7bDA+ayem1F6ypG6
cqHlY2R3lajVWoPJ7sXehVNrj0VwlRbWRo6Dba5BW5eq+KzCMtcGxidVD95ButVhtziJs/WceBes
255OPcc3Haw4nuFGtSWRAOcw7jgq1p3R4F6G35QSnmhUH5gDnsWFh31Wd1RI1pWtOmg907u0pcrU
VDJdiosEfYCixLM4y8CmC/mxd2lazGHdgvLvt56sxV2NERy9NzBVx3PRYz6vkmwgUcOZIrb4uea3
Cun+CrNpsEjKXDnStqhi56HVwOXKT9oW1JD5C9O/ixC9N7nSR1ViPhGNNHOUFVimX+mrwI5+BnGc
l1EE8waJQ1Lex3hyTEapspOWuwAz9w4RQI05kptUc9NNt5UyK+sFLzcgrq7tWnbiAmIPhzMa00Qe
Tq3UOHFyvnJJrCJhZzcW1ocQTRZGHN/mYjGC0Iodz9yWpRT2x4PRgfeSTOTg8V/1eBsmMzmuZdqV
9nikTLspciIYz6WmoEhW8Y+JswDXxhxsUnYugOL3t7KUaYWaBtMpoRrNxM/dFQjWJpcVjwMu2mpC
uhFVeI4UYBLZTAj4dbBLPlX48fFyYkfZGo9h6N6kXXiWI38IHTLXtZbukhHDTGuR8ftltyXez53V
HRu8bJyVioLPvDyHA3mX9eZFQD4lxRauifY1eqwdXomU2EW1C2tvzaBjziA54WTgI8mJ5bhzN9Ru
1AHlzO+bueHqj3rk8O7Z4a2iatPeQzBtMqRGz+KZzjWJgucGiQIm6H4JDDuDaoMdIB5PphdMBHqF
HuJb1u6sXMHkIFkz3NjppfzY5AGRCvYFVRBndzerEJqGcnDH1G9rmc15xPol4scnGWniI/nzM/tc
1Z4aqzsZ6W1Vb99oiXVpufo5ZcksLoI7XOVOPXgJdEqlB/cUWWNc+9jj9OQBlJXizx0iO2vNKbBU
aYczLZDXLdJKKfc2UtxsvCRJtkFMuejrXX/UlOGuDmFMpZGzaw1fnrUDs2C5yBmSSO0N/mpU3eZM
1V22qppmgxnYGvX6E6kMZ1FoQblRmumfnUG3KkXjaMbga64l9pEcBaRRILCBhRrnC0oW9AIlOXtx
de4GMcPwAXq5NSQnBSrnSWI/KTk27LaR96s/Q7DwJZsogUmioPewE8o9tQ7NlauJE0pqZVLbegOZ
kS5SrRmLaaPNtAyhINH7Ryvtnv/clCAKTUuYZR0mIAB14E1jXDNRg3d3jdabR5Vir1QEYUs3q9fj
ZKYsIxDEEgw8ohqXVMefpX26C+PUZjaLqF7PXQGBkZrZzCCcFnEIiwnlpwyWDrEfilgVZcMiz8In
kqgYvubTRmMfTeNMAs5M5nYji/n/U3j+ubsKBPHvAJMPLPjr++jeL3/6j59u8J32yw+o2/ivX1E3
64s+GnewoCBXWDDf/wG6mSawm20ByNkA/up3ZHioPEJjaKDgf0Jm9siT/4a6QeUR6EEtXft9zmDm
eEtvWTzCHtO4wXcs6PiGzp19r3hs7KAvfYeNN+1JHpCza5G2ylGUgaDrZjkhYaycOyYeXoha4shl
+Mr/4GonkVotrRQthtME6xxmtCPTIAx6/6wUSMB1A9KvkbbsiF7KdcqCeOfzsOrp4lBTTsoMmksn
LQQcTBwZyN4LwmHbRmycsivFxOpZYNXJKTKSqGndo04Nm3lrLeoe07CwArzPxAWD1yvPihX2bA4l
VVgAYW1PaYHt4DTKtjLOwVgKB0dRRafu6EvPQLqi9Ww7jWUu2oItXxcvjq91ixS5YhiEjG1ruCYm
PslU//dBMvowOLgsd+aD39s+GZslHgqBYM+mFwsCIhHw9eqoT6fKkDIclA3MMONuBXekA9PC6zKG
QqqHIpvnrnOuh2AoPsDavAh0BstNsjLjzObhRjZjH3uL9e1V7kEPjjO8Ww3jZ51AASJfB8B+s0cE
2NWTzlBqnBMKDaXZeSEkYAgm1kzAhznhvBaQFbp9XLrSpapYGC+jaizBoiZuhJVa0OWYUXcksaiP
zFMIF5edaFr4MYsgypJ5kQl98ZL7pgI5yzzFcExAtNHxbYrMOSyFWxfuAgDoqiNPFkwhuuqCGrcR
qNGFR9MeQ30EP5KvCrAYzn0ZzyxQEyXyV1gJWGyqzsKtGAu71OgTzKMwSFOZ8uU0IW2MIUgMDco1
I3nZKftR87PSej3ezJ2YakoCDCoF+SSyjGZhOgN2Mb02NxsX+b8AEGsATXOWcojHMsFFwDi2SGWk
//EsLFDcBqU1TTKf6SlK4FnC7ks8iLNOiXqdeCrDNhVpYlzCqBniEvs3Uhs4CVKKWjoQq4G6XUR0
Hq6AdaSZGUmIGSGZ3YDAogabwUyAhGLiL7S6n2UJwGfZw1vSFX+nozeddCmdvUv5hLzrGvLWKNMw
p52r78K+wy89QSvF0sjpKloq1qkbRvdemRND5ziw6HUvIHLLvxyY6rLhizsPg1/MjKAlY1u67eBj
2Sb/J1WGU6Rv8YLmcqHl0i0qqhMnund7+OmSaS3UmMAQUQOI5iI6zjxUYmWHpGMdUy5C4HLQHhTn
RGOVa0XgDT7wCugFNGfa78IxZZIAYY5I+DLZJJhnEdPushTPUWNf1w3+LJKbzjM1WxVphSrLRf5c
Jirbg3LsOE0L4qWOLmH9OfZV3hLEYSo5yRF0L3rrFuneCn76qdJqNlxsdzLyF7yixsGJiDLEolKO
MR8x3QtV61dM4HlpM72cwaQZsy+LIHdOzJJsw7CiyBhQTxZyvYIrFkwywfQtkMD9YlgdZJxeFDUq
54zvEKLnpDHfmYmX0EX7sOzwxPDM/hRaJTlqBb/6rJJOCqKEMVbJlsJrq1lvy6e67zxkyNinUEqu
PRmmvAh5I7UY/WxF9kpigAjUFbQgCX4QISrxHAgygzfEGxxOE4j70iSb4TSjbwiFTsHIC8hTsRJc
hEb9ZMNLXvkh4m492FhBT/yqn2/xFg34qqa/8eGhwAO8iqwm2nhleZEri1jmG8VGHy8GrXmyIeOQ
P2OTi5yGF1IfQsvwvOtQi4ulZqa3RmSXUyEoTmwe97QwN7KWTPAGwio5xgeoI9pYeuLXhVO4pZ1K
wxByJcRIYSMua3PV500Em07wRLvYnsSkpWuSe6ZkpNS12ZnhAk8YdbpquyM3wlvJskeqFaQRhyon
u5asQD/CqGJjEAFTYuAxExImyaYKWV6gYXYLJdmWGVqWvh7lyiaYfHaM9HuflqP1BkbVCmiFAyAk
yfW8wX4FQZJ61uHANJdyB7QUc9dKIQwSz3OdlzRWkA7flJD1Niose4fEPFw3Nl5QrCQ/DaGZIY6J
ndo58QalWoQF2LblSus+sZMNReNCjwg7TeNuo8bs9w11IFg1oiLPNy0iu4N4JsNepPKMyONxMDg0
cv96qJt8FZbec6/TOySxfgFwFEzsxLyS5A6PTNgADEqcTdWq6aIgmoCkZ2OeuBYc9spEp2kPN7Qc
a9gw/cLzGa0SqDJs+sWQc4RBIdUW7WPWiPzYTNgZ/V4ehSW4uWOrXXbxhSi3NH98n9ZB0VnIwEGo
jKTCAQY0ijU5vde1PowpOIjoVTi9vsA8qVPca89O4YZDzGuN2tkprTsvDIZveYYfDAmdGLn3j4G6
iSmDpo3kP+qB/dK1mGPJA6YDxHTeq4mzlBkCwSV15WnQumcGg7SNImH6kvlkpAMZICjAjqfNVW0h
sJufsqa00Y/7qOtljHxHrV4czmSpVaa5NbwEAhGzLSrmf0b94NXNOZ1mO5VGQYZbuMetjpNWafNy
wV+dRGXgTruQDAMFTVHex9c4LrJt2TufsPljDzkT1J0YwyvNOS+a6srXE+0IwmMw9UlOZTQuKaMr
i3qCU7lSiUWQovO3HPk2bEoMcmyTJ66GRxqZ93punQS5eewKN4HN2+JA7wTz0jXFMs0RljBnXSQq
RF+yOfCycq88ChGwkljeSuEGj+32MhuHX3J3ajleM89N4cyYOeXE3GA5kfhXlo9VkVUNzdrIL3VU
QGTNb/EMa1aVjN2TgL2FQsOdubL/4hg4RXU+LkVhxpDOBAQeeE5+ZhpbIPJzQ+8Q/eqYu1dxo5xa
hVjUloyKt6zVtTNUJ4XkxqT12Gs9sKgSAvtRckymHmW+M+SepcScCDBV03ztviBinoEgNQp9nhg7
PrQnFy0tYD40CJrqemJ4cKxscNGlXfqnDkYYa+ApnSYyGLtJx4eX6hjOoho7zWDsOQHMmL6MfWix
70gt+7aF05WBgjdDidd+eZsKiILobiZlai+08f1FiY9NW43tdEwYfZc6wySUlGcvzu9qm6Ft6BUp
XIhhmVWEIphSMqJ2eFG4rFjsPdCMD9pFF+TadFAg62U6avxYtSaD015JofNzWDknMW4fFvBGQc3J
nogDrVT317VWNIwBw0tJEza1MJZEGJw1ieutPYAdRolTxeFJuqN2BvsqpogCPzAcD0xGiYvxHSN3
CvyLneSOTX489C12rB6eb9N4jEylmamlAw0nc+fOcbNt0ikbGIarWu4mSp/dFza0mxhT32UhDcdM
3YxJMpjZFEkBnljAuW4IdbgtCI/RGusBcfWwZOwAcQ3XVtzjb8qCqAHTiJu52vgA14ZxOwwsKESP
o+vZC4arwP/BAkcoY1rCLqt0rB9kyb5ucbFY+jpkUjvOtk4fbioOvkXuwJxOJF7kKlYWcgFdSLGk
mQKLa6H19N667j85TU5yrwILVO9xI4ugVapjbHCXUWIWzNCmVO6ncs4vPgEWKZT4PnU0NKV6Zc9d
0ayHrqA1cNiSW7I2MpKgVXKWp1GvQ2DuzYVIA0LVZHzk1FB6AJc+0krsfnvIjVqLS7dbDOxzBfxq
edh5PmBW91RLI1zbDqjsxykagIkBIjjtamXpyiZxF+FDhUcbTicNqSbdk96yWhUTS7W83w4Otbie
Ch+zixJdlnwZalU/l/UCY+TAxv2DgDdZWKDslrjNKzPAnASH9wQD1t/fxO/8xyIt05fqva/SGz37
PxW8/++JMhSYkf6oib+r3feN+/5ffGvcEeDo2ChZNk5LCKb0b5279QU7YRu7VF0mxhBvpO/oMiPJ
BktUOn7+mOYajs23zh1zVEveB0wZv9PVmzb9fe9uKIqhKfgfEMkm1Pf0Q06xULJTZseerjx5CbQ7
nYS4XGFPxCWSfTOat0Jj3fXSUcyQc2oMyAdhah45PjNqw7dv3EDXl2TGwRFvkXpUMTSw2D/qch2k
q6mJkcDCuqJUE2kNE9A3wE2bHleVUJ8X0phT1KewXZqQYdxCj+NgQjy6TpjLeHiTrGP5SJhl23vA
vVLDNsjduLF7TRq4dKJb7Fk+8364PnSf49FmY1rpYKLGJgSGTAWDpKg5MpvMnnEj5xkFrFCya5Xg
YVLljq2L1o41EEip3OpBsTOS+jZnTL/1i/C49bKZUUZkWnXNLhtieRF7fbO0qfwsubwqCjPESJWn
4zpryKqnJjczFwKxIjo98rzNXYArNgEHPuCfltymWbEqUIHMlDq16b3DZ1/RdnaUptS62UrqmTY1
bMahxGiKyYpmSOVEy4U2MUNj7VrxBBrQJmBQSIc1bxjMYRnOSJepG62mROCiwGsRY+ogJcQgv/UV
ahOVbJqOJiaxzCk6QoKSYI7gnGiZ+UQZ+qmX2hMXAvKwcDv7pB2P+xQ6MnkMwm9nbVpPIzg4sdTM
nJL6EHCytJuzUWxbB+Q8VDrzr2WEJ8wgx6vKA3bUzjpcSRqbNHedceewQjE5Cct+UlLsQUFyPEgi
XosJivxoBEBDU7WB5IrbeRiIeUIkhDtnagKLXJlpFvtjB4fYo2KlN7dzizJzWAi8FXuFeb8aLYCV
Mc++rWprapuo8DkLpMJdsr+Tjguxl326p0fSh24mDEQ6YUmyNYwM605WzozwolFyLK3qs7i1l2MF
ppLCV5Ns7cg3VnsHN6EpEH0DuYqB2HsbhVq6MJm8dIigirhaRGm4CsNkPh4PFMhK/DhePmOoGSLq
iDg58hT9Eh1/NwL7aUb6DlKn9AwF+DxHDzRa1+bKTY0lYjGUuxr9teivIKaMre9ssMz5SPAt8ZZs
Hdx5HgY1m4U4/wXpY8KaMVIVK4F4qbn9pChCvAvQFNX13I7VqWn2U2cglzc8VU3KLRx9MOaFa6WQ
sabBmcEJdZlHuK8jXhg6CB0NxoVVvbQzfVNi3C9rfG8K1VK3FmZHyHRqovoJ9BcLT6/FUFRPLZbx
v/+Q+afHx/85vxTZ4GD4hVr3ASm++/vfkIh6Hw6a8V99O2hAc60x133czbGtBKh9deHmoBFQwt78
zTe1p/kFsiabKZTJPWMTP7t/HDQQ09GNfvVYQR/8O9SeHCYfzhqcWkwbH0KsBDXrPU5cO4NSNIqq
T0q/PPIzitS8ssXcd8UJrtQdjhJCzOoi8MmRoPCmW2kyb1GUwxVhqjJ6Ev8BnwRk3yPvXTqNBVnd
FPkqVxS9TzHXORMpbY+QpByrbnc+hnZbpf+s2u25Ibvn0jDzw/5okTOhZiBz0pUJGusyfCh97PB1
57RYZW55K7cYnnpJmE2MONwZebxgugqNiZALIoVGp9nwhECbCyeRrn0I2lh1/4waCNGqVE36qp5j
7k9AtsJP9hnizIgiUmTqWWjJSyN2N7ZabVBR3ZfjT0jK2BXlVxpGolWG+CJ4iVO6IRVGnY8xXiq3
C1+UOzq147Bsdpgm3BGFtHNxDJxY4IeAc5OmN45DUWG6gKDBIVwQxs4Vs+FVTbcpkaPj6Mm2zxr8
Bx+hdwOld6dZ8IJEPQK/4+6NEC1SCKKeQMfrIVpXmfZ4Qde2CZXmBmeXC1+Hw+bG0mPfmiSKO89a
YEPFbIk3dno2RuXagPogcV4FXXhMOY/NmHMKv+UqEu35yKft0KaxS61LMtPM0uYHFQPEN63nVV0+
CD280yUdCVy7Q2p74TvdWdYDebk0YVnsnhUExCpdd8mKmaV1vlW5d7fTrsyKDdhqz2XXPMbRbGV3
wQwihD+kJI/X0b1RRxUYGYk4RbXRtPbEK6JHy3OPorJeCYiDrtPsqAzWfXdJX7NM6zspNksYdpXB
ALlXtx08JXsQ3Skh5j/3fsNYoDBw3c57jEMkb1s1qrfNevcZ+UWDl0twyW+Z7AyTvNmehDczFJs2
4RQOfbB0VBszCKrlcQ1iggd0jU+ggI3oe9ZG4vheuCOEPcbPyeTQ9UN9S8u+jMmnI9fEWrY1LI6c
lmuqdhqaxzKcNLZcrFwYbqgYIzgBMidlkeT8ljoMFBMMbvGigeYi1zjrUaGZuoZAUoHJaPfOvE77
eiY1wpgIJVCXXq7cW3joL9uMhhMKgIN/usGB5rZrDMFOauQSU1oxUGpvuE6Gni7sqXHrnOowQ92p
Q7GRoU+RqrfKsL/2eMXRjBQnimTqM5solklUlRFRhMmuD9NTwo9GZwh7HXP+BJq9hLP1Eg4pXJoq
UpYOjlzH5MQVE4mAOycOjvu+uLHCI5F0+RRWUj21PHizRvnAdWIpxOIGaGiJv8faaRGISBluRYOz
cl21mMMrwCjDMUlu5F2WiP3rmnSRa3061bHQruCMTIIsz9d5plxhGXxZj5YVkoV5RTG6WFReNG1F
e6mqSFENc10ZXXUWVc+1xbaCZKVaEQ98BtYAhaHPBYULCjJ5rgnWZNJZ6WyQxLEeDkd1y5pq4taD
MZVD5yallVq7CKeSvHFzcr8lub1j6gxO4L3UeHTMbATZ4NDHjHgFKmcqXULNfiYJ9KLVum7ZQjza
dE4dwCodlwR4xVTT1TslVEzqtnN9wNRGVM9wi27LuKOy9/H3NH3xXAE6T3jT2ElU5RxTTgIRUxIW
Rbcx2uJa6vqVqGyXwqZD/+oprF6luRZKSa4ObB4nq+94hxeqZ7lrfHbGkQfSsjAg8NFNsSUX5TyI
rNvcIwU5cCl0Wlvc4vnWzs2wv41V5IfCtbempG+DNnrqcjTnZjqrTXZ8jN77uaKysBQ1ukmJmKUS
986GTpw2KqV2a5TaAnemU3ZDY1VlRP4wpJCbTaoQRiIr2IZzDpCDeNIBqpg2o7V0sE34v+Y9wkYW
jItkKAMgk4xol2ropJSmelL0/gE+2SqpGZ4EXn2jqepOjSWJAQ5kR88dF88IjTRZeqyXN5HM6G1k
xYYIpg1sUiYOtrOjTf6j7XuQmhdDtDNVCzpm3r4kjgZjl6cV1TigWPgW+l5woynBk2LCdang/jIg
JGc1LuHSKZTOnlCva9wFeUMZiNqdM81d+DMoqY5a2bsvMLXB25qsdqfKln6H/34sMJ9pq2BGnI+Y
ZolhAvDkD9ChcEnpZQwSXIgYaJinwkTv3A3eHJCxY7zp8AtUs3LBJO7GHLleje+fNAoTyKS/DQxU
XL18oaSjennZp7iXa6MnGCffLnUyg4Gpfo5K8yVUjIucBve01gVaMSWfNZJ3W2FUsBKMDyVsxk8c
SNUQ2+cQeE5kOdl2JLjBUge+jpE/OLG6MlrlEj/rp3FHgfVIt4Xa4moE3qOxD4vySl4oWbcTY4/W
0Kx5NG3Z2L3BjrvVxnbOh/7gDgXSymvJO1bGrk+n/YsgYiaed2GMfaE5dohSQ6+I9BHib7Moxy4y
H/vJSIE4TKwgXxRXs9ee077KG2ldjN3oQFsqkxuMxZa8VsaOVSmD5H+COPEHoylf9VNjFTpPKr/q
z+rnoj9/Ljkuy29V4Pi3p6mfVJe4yf87P/TjC/30vL/o5Z5k8ZjWSTXegeunb6Jo9nyHN2Xz/pb2
9/ujK0T33HH99PyXP+kG+WmyikhFF6htKIT/9BOhE+7Xv7a+qNhVU1oLMYIuQn4t0797Qr/1DH78
9V4f5o9/5s0X+JFVDBIbCvd/5TG8u8p3j8H8MqJUeC6OWSosVr7nm8egCMMyMALiv8fang/7XM8A
68PX23qN9vpldX5cCj96BhCH8bYBcBtluQaEme+egfmFP5KxUldlYeq2GLVOn+4xWNZoVXnoUgB3
JLZJ1/HeHPlG7x6DgTUQ2obRGor/VD/jGzFKqg9/DONXFJqOqg2botG/6LvVYH9RscvnJwxSl7/C
t59vNZgfYIXf2B9/+6Vgf1TV0eGUGDxNN0cs+rvHAICgsnEaMk5OAMj2aCX1+R6DLV4X6WF7A8A7
8AUE66974HePwWb3xPLZEOydqi4Dq37Cx2BiiHvoS2F8YVDIJgmxENcuyIXvVsMo/0V3y6E52u+O
+QefcTW87tyHrQbdABkzdQraV5/hN6tBw12NLDD8jIHQ9r4Pn+8x4Px26GqgaBCKKTPYAtnjOfBc
v3sMJmsF/A3tDvuChaPcp3wpQE0PfQzGF1Xh1TcEyniTzfLtFml8UTTZ1HgrOE05Uz/l3kBF8z4I
8nefFEwtbWEbJq+/zBZhsdm8WQ0G6YNsGxyonKv7QvvTvRSmaR/8UhhfsCAg1JKjUiGT+d1jsHFJ
QH2kYqGArZFNffEJt0hkXQdXkSP7nLJA6PRMTLrH7/ndarCpGyyqCtwgMIsYTSE+42MgTenQvYF5
vYG5DL4O2r59ers3WF/YFpjAK9i2w+HfT20+3UthGOMa5rYOODB5KWzWgsWsiX5aHo+e71YDVYVF
+cjeKWTNMDhPPuFqGJfy4Y8B5xTZVm08T3g59LflkwUUQXFFhAG9J4pL/vYTLobRw+PgxUADCZhg
7UPHxirxu8WA1kUWmkIzQa39tbj6fI+ByejhjwERDua3lkKjDazA6nrzGLBxtfCxAWmQycH4uhV9
LtRF7Nviw1YDZaI6VsvIm2ih3vfZ1hfACKoG/CzHFmuvYvp0q0Hsg/gOfQwyI0bgFH7jo5bq7Q5p
fYEMxrYAIYxhwYjCfcK9ga3rD+izdSL0dJ0z05TpK962FGP2C/WEzWNi+zB4bz7jY9jH2By6Gka8
Facmqoa9UO/N3kARSbkgYG5QSJv6J90beGsP3yJB5nUOCxMGJaX02yIS8EmmsCKfck+XHLWMn+/A
HM+xwx8D3lmg88QXgSy8R114KailbboqKJ6ats8o/3xb5N5D7rCXwvgimE7QTdvq6Iz2bouk4cCd
fFShjgyjsdj+jKvhI5v43+iz8VHjnRB4+I8F0vstEmwOthdHBPibDZL/rz+Gf6G4+GX+N/X86Gk/
+fOfy18bEP7WD3zrIz7+/deB1/rpL38aB3tvfnAcBL5+9j8Gg399g1rvB1Lf/eW3AdX+c77+869f
8ONHv/msb9/q2x+u/OfivniEb7CfSX69zeP7mPnhXf3bxLzvJphv7vS77eDHl3Y/EP5GLvo/vuNf
/vTvXPe3HR4PvOFXPfu3Gxx/jRhqjUjxtz96neb+O/d8VfjfLvLLdcd99dBn8aMUjQOfxg8z7g68
9kUaIWytizfD8PFh72G8Qx/Kj8KmD73xR+/+5cW7r8vnD/e+L/0PvvfqpyVuCr9y9T9iuZw8tPfR
04eLMxujGzz01o/9p1+/OoDhH3D15/rR+/t/Vc/Rt2t9fZFe4Z1Db35bPz4XyfO7ayN+4RQ+9Nqb
urj/dpWvN/067j/0wsvivn74+9+Sj7/RVwT04OtH90Vdvr/1PcZ88KWfk+fmw1PZDzMOvfSi8B9S
jKbf3/d+fHjoxSe/skqs/Zj64Cvfl8+RdIklyLsbf+VE/DGXn74ykT5+Av34oZ/wn1n2nAzPUfTT
SV09F9K5l35cmAwUqff+uI8iSukHH0U7f/BH3f9K0usrY+nHl/61Wu0X1tHHCu4bo+rX/tnb8nT8
icfo+b74638DAAD//w==</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Todefälle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Todefälle</a:t>
          </a:r>
        </a:p>
      </cx:txPr>
    </cx:title>
    <cx:plotArea>
      <cx:plotAreaRegion>
        <cx:series layoutId="regionMap" uniqueId="{538DAE7F-B7AB-41C6-827B-EE90E3A1AE0E}">
          <cx:tx>
            <cx:txData>
              <cx:f>_xlchart.v5.6</cx:f>
              <cx:v>death</cx:v>
            </cx:txData>
          </cx:tx>
          <cx:dataId val="0"/>
          <cx:layoutPr>
            <cx:geography cultureLanguage="de-DE" cultureRegion="CH" attribution="Unterstützt von Bing">
              <cx:geoCache provider="{E9337A44-BEBE-4D9F-B70C-5C5E7DAFC167}">
                <cx:binary>3HzZbhy7suWvGH7ulDmTeXH3AS5zqEGjJXl8SZQ15MRkzuPn9FN/xH07P9ZRtuVt1dG2txu+DRwB
hiVVFisjuRgRK1aQ9Z8303/cmLtd82IqjG3/42b642XSddV/vHrV3iR3xa49KtKbpmzL++7opixe
lff36c3dq9tmN6Y2fkUQZq9ukl3T3U0v//Gf8GnxXXlS3uy6tLSv+7tmvrxre9O1P7j25KUXN2Vv
u/3wGD7pj5dXN8l4ly4vX+xui9T6ads16U2H/3j5X7sm3vUvX9zZLu3m67m6++Plo/e8fPHq8A7/
Ys0LAwZ3/S2MZfKIIVcxSbjLCWaKvXxhSht/vayOMBdKIMrhJ+EP9z3bFTD257Z8tmR3e9vctS08
yueff457ZDe8vHr5l9OQtqX3ZYa8cm+2t/78nK8eI/CP/zx4AZ784JXvQDqcpp9d+kvjHj3HHqOq
urPLnTEvNtbeNU0CJtuHqfstkFGkEKYuFugrLN9B5gKglHLBAU7CEKGA6JfV8hW1B+ucv2ndX4D4
9Mc8mguYis2zw/S/+rb9nwGVCUyIZFi4LsHuIz90jyjDLlKMM+VyhN1DV/yGxt8172eoPv6cQ1gv
nwmsK7Nr+vbBQX6Db4ojV2HMpBQCY0oUPoARCS45QcRlWLmM04dbf/HNn5vzNGwP4w5gWp08E5j0
XWNf7f+7e5iv3wKVIkTsIyUSlAFgj6CSR4KAtwnEMSKcuggufx9G99Y8vPKUMU8D9WXUAUw6eCYw
hU36qeyb+Efz8ov0RBxJpDiSnErFsHTlAUjI3TsaIuBQEDSVerj1F38Km7v0008MehqoP0cegBX+
u4a+7xnjI7b5q4xRHCmECHIRuAeGVPQ4U6kjwAIDo+RcYcQ5OqAf35jtX9vzNCLfBj4y/juq/G/F
EfWuvTPOyc7eQuGxu+8e1u1ToeQXXQYYPccSEQzuAugQcuAycAl4ocsgpinh4gN8fsWwp4H61084
cCH9bNLSZxCvut3t78WPC2B5LmOMg6dJiGnf0XvIS5gToQhFjML/5En8fmrTj6D7OvgQtatnkqXO
P40783srMgiJEO0UUxgwo3hfKH8HGYREpJQk0gUuwVyFDsj73zHoabz+HHkA1vm7ZwLW6s7+8/8M
v5f2EQzFseDMRRII4GPaJ44wRZICpQDfAw88rJ7Bnvsfxeqncfoy6gCj1XOhfatm13/6539b8KlX
qybdK1jpj+boF/OZOBIcaDhnwCXol5rpO+dygacrYPEMCQZFFfx4uPXXkupP4x4uPJVj/wK37wcf
wvfvSgQfPQfIVdu+2f1oan4RLnlEga9DYhLiszwFJe53cMm9oIhciJGISwYBEdjJ92XVz4x5Gqcv
ox49GDzXm2cSA68TKGF+s+i7V3UFBDqBFAWy/ggj9wgpV3EGLBFKLvYv+epv2PM0TN8GHiB1/VyU
35N++Yks8MvOhIR0KQe2/lmEf5ysQJ3HiGJgHhQAcwk/KH9/bs7TOD2MO4Dp5Lk41Nldf5P88393
d+Yh+DyVEn4RKlD+XEhSisA/F+rix1CBjqFARwLCwREVAoqzh1t/SVNg0p39f5Mqvht6ANjZc2EY
Z+nt/wBnd6GMgs6WUkrIz9LRd3lKQRcFmDwIf9Bl+arHf5+n/pZFT3vXd0MP8XourP2qO3qx2hnz
m9te+5qXU+ZigoFCPK6L3SMisQvvEBwr8EMBstT3gF3tbN79DaOexuzx6APYrp5L+gKJbXd/n+z6
9jcDJ6GfBTKucKExeQicOgK5A9RdSdW+cUnQQU/k7xr1F8A9eqRD4NbPhCFelabsgCX+sCPxi/lM
HhGXuxAZQesFQn/QyQIZirkSYAN3BK/8rAI/cre/Y9FfQPbn0EO8zp8LXrC9Y4bdHV9m7DeQD3mE
BLBAwkBkkoofkA91JLmAIlowIQlc5Qc18l5a/7E5f4HU13GHMH18JjBdpzepLX8jTAJ8Cqpf4iqJ
QNJg8lHdpaCxAr0u4QJUVBIEV793qWvYRJP+0MOfRulh3AFK15tngtKb5veqTRJ4BPQaEYItF4cN
R/VZbXIh5BEhKYXS+TFGP7HlaYA+DzpA581zUZfe7vrbhzn6DYFOHHHYqAYarUsg6/xrlQUhTkCE
g11PXyrmh1t/qbLe7X7SqnkaoK/DDiB66z8TB3q7M7u0ffUOCHvaPkzYb8EKusQMiizpKgVbYQ6V
QIiAoNhKSWCXhUslf7j1F6y+WPXw2lPmPA3Ww7hDtK6eCVof+/hHk/LLLA+DKAEuQ77sO3vcLAZu
DokISmAO7EK50JZ8uPUXjH5iy9MAfR50gM7H51JCffznf8NO3eRhmp5atr+MEMOwu4WBDCgR9PQP
EYJeFjQVgfqBlCGg/fhw668I/dyev0DpYeAhUv/fa6a/3sH7bWOzv+t2wecd0d9t4v3x1c9PDbu3
D4b+iJJ/IWOb2z9eSoADur3f7ZzZf8wjtnbQuHw06m7Xdn+8FEcU1Fto9INs+NAKGe/2V/iRC69w
kJ1Ao+ewWwP4ui2bLoH92jBKcFB7YXPhnu7v94m2Zf/1EqYK9gRLaJYB14dO2MNDXpRmjkv7bUa+
/v3C9sVFmdqu/ePl/oOqL2/7bCvsLJawU3G/UwT6pXs6BNdvdpewDX7/7v8VLUx1mBazTtA8r50R
3dalG5CKtHox6iNWxiPI5DquUqH75FLJSI8zP0lrEYpKbhIp+0C22ezljlNqYt3jQlFQLL/tX3/C
Ssj7T5gJmquEGYTm3+f969+bOdBFyaUZJ10R3HtpR97kZt0MQ+TPxYI9Xkl/aFnp2YQmvltFHwYn
KQJniKxXDkUdcOsxyyY9pW/cFLe6Rew2ZfmsaUZH3VPruypb/L6osWfgqfqoWNUZvSbFLLxiWt5R
WdVefZ/T6jLh9ZktilLnI489nMtPY3WbqfgYOYNukzT3JbKXchABj+wZyrypJiekNJfVVNwNog1t
V0oNt/iAS4a9VJLao6nSSIxYz7S67l0z6nTpOw9UlhPVpVi78fC2FTyopT0VH9zEJ2jdROqux9UK
5aGa7eVQ85talNc9j0LkThtXzBsp8nWXRJO2DbuhRZDCqtNdQBd30i0rdmnP3kfd6TyXYUUaDbrO
WYdwH6RDuYuU2/lNqc5wFTDX8WPRnPXd8gnPiV+h7Ky0uNdFMd6bZeJ6FhfTYi9asfSaOUIv3OrY
mfXEucZV7y3lvFaFE0TUS6NIJ5lZz3UZShpvnDgKZITCitOVcVsPzd0GFIlVKrJ1ReogK9pNwgDD
/jJq/GFWfjbEAU+jYP+qkzerShm/XPZmdt6SVyEIiCuQqsJ6P73lEMZtpasxDmKHnXZlu+F0m8Bk
DhU5zqsCjiTwVeQuga2b0Cr4SEH8yrabgWznaAhsjk5ShU+yhJ7GjT0b6LwuKxSwFh672UTgKj38
6iyOrhOrczLrhX6Iy3blLmA9YhonrueOddBGmkyzN3bK43kcNu6Zy42PkTcjrgmGj45jj9ZcyzYJ
WImDwdmOzRi6/crN0HqaUo1pp+N03ZZloIZOj/ZqkJesdL3C5Tqhrrcg3RjqO0sUtEWnTR97nWqC
9vVSYXDpbjN1sVekzqWNmqA861sVVirVKK38Bn3KK6Hz3vUS+pbMH6e2WKsWB1NDwiLH4TRRf3TL
0xLOQ6C3NTyRYyKP9PCO2gl60q1aRLyUpMECEBZVIDJ3k5Z1MI6XNu81n5OgW5LANnXolpEXw+Jo
s07vbcdj53VObHTu9mLF6ILeFHJwfaWKm2pMAzrvpjIaQ6HwJ55RrsfB8XHmFrqtae/ldY69pplQ
kIl2LcY2zIk/MnfWFdQXfonn+7F1HT3ychvVCfFINrUhQvXsSYNhUeIeAhpx1lEl6tN+6K4MwD3I
avbpnExeHjdvWdnc5JVlfl+WVPNsinWt0kXXedR6+VSdVZFUehL528jMV3SwfMMzl4VibBqdRpX0
ouJ1xYZzWdnrBiWjdqMSFk9pqy2FCH7OkJ3D74/EPIr4N2U1w76M5Ou5pG9//mMdXAafT8j8+dL+
UNOff63uyj2PaH/4ptOr8PrwDfuk/e1j/jyGs0+T387kHKTeL0enHlLWr1x8lLQfbQ99IEP7lEYI
FCDfksu/JOy9CAZHrl68enHVp3DEY//LkC7Q0P22O+Lbp3xJ4Bgd7ZMOqNqgvFFX7tP0zxO4BJWH
75WDrxkc+NxDAudHioBIroCNf95xTn8lgQOB36foRylcQNcYiiwwDU4bgOL0OIXTtI1rnBKilyH3
eJwarboy8fkCv5m+P1ucT13XEN2pCG+NGqguWCK8JYJANaCzlF3Hcbmc1RGZdGob7OGJE+2K8VSS
y6wzhea28BvYjRrULMl0jtStyqa3i8wTzdKreRDReipvkqVGgR1or2lH3rfDUm6aql+NWZlpZ5ob
3VayXBm0ZD4yo9W9intNGuGumOJU46Jfc9Yvp328hJir3OeGyRVu7Mppiskbypl7hXV4kE5kCokD
aXMQo1dZ56JKI75ecB9rVc/rWqTdcVsXq96kp3WM83Bwcsfnc9R7Zd3V/uiUicakeGOHdtjWbaa0
nc3iVbLVTj1MfpLEjT4mJO+8NOv6cImLT0S452McTatYTNafFnY5ReSuqiMTJH3Pg5ld96IgHs0H
LSqEfDKJTguT3Q1suCnysdum7IOTn2DR4US3EmnSqe0gRHo1YuUE1TAyn8WLJ7uR6oQU8bZy8k99
XeG1Gsb3k3CqVRPNGxWXjnbb5rwrMrDNENfjjQnrvn07ZfWHJKazFjDpbT3H2zHv/HkUiddV6RYl
+1hIorMpz5oAsdF6Q7dsJp63YTJoGvfyhMtdSgZ6PC/pVVyTyJ9y9xT2mHS+SlPkiTbzR2xsKJyp
C5KmEoGrxjd9o1KPVVGt0egAd6STFmPeXoJjebCjQY8lX85zMqx7UR7HBRDO2RUqmJNPrCnmIMfs
suZm8uokOi4yEroFDdIRhwVGiW9iS8OkokYzmryJcJ2uTTEC4Ck+67ruumlTEgDDC3kcz0H8vuaQ
WHoKGTwtVKiaZtC1La9UO31URbv4bjLIgJF865iy1PGMYojMqL1whlJ3Bh8j4rieU6Z8NUxsWtUy
Jrot3ONqsmNgovmMomRdsygFVkGTMJ9IpstGJSs6WhYM47uql1ijiEO6w5n0uJrrrduSK0wre1ZX
6KxNRIgzxoNSVGDByAbN8kinJi80ysfUJ9aJwroZ3qUzNcARXWCMLD5r+XvJpqsFGqjHXem+yQsz
veaxvCmAfXR90q9mRiB7F9ivOwKkgtrGixebh7Rny/Ek6WvkJB9r5zVZ+Bx0LXpLhiI6SdF45cxD
2FZ2PE6WbvRMI85GO3dr3g2FhqmrPPEewXFbbxjd3LNSLT7vndkDGqLW42ZaxtRLCnycFm3qtcOU
hB1ktlM4CrfGRR5KSVmgJC+DKIlXka3m14VtXXgqrCNOFj9pLh1YObjNRl1MLvYEB7KIaqGto8Sq
TJcPEaLZyqnqD8MijlneDmvWVa9l1t5NRWeDuJ7oScWXKsRdHvsdS1TQOABlM59gh9kLWGkdPHN8
vLS2PDVK03zmulomvyci9iynfiR6sorwilIFBM26zMf0tqpIDnAm5XHbilEvDtRCtYEY0sVk1BNS
EBTjhnv16OSBavvNJKNPVBjfHVi3cZV4k7HyrODOvO7wcsajLPFYV25alBQwZwF3uE65P9Vo2lW9
ExBVx54kYwQVRA/wdem6m1vdMBs0TVdrVXVSLymtQob7d0VWfUpgyCaJWl3G54kz1OD2rloJXpwv
KHX9BHcfy1iUPoQe6s2t8RJ3gACrIu73ANvcXPK2huifU69OJ6udIVujnryt820xmXHrqEj4Wayi
wJ2BN4lpVronCMhOxgNczJWm+9gwAmy4I9la9vRW4jSD+Ff7hVqA4I/JFlZYoo0NSFlyf2YG+XIq
37E+eh3ncvSIbE9xPW3TIg5zCQ/TuG6zAup9kaaFDZNyHnVrhsZ3F67NJC+aBierxL2rMnjfhHmt
iVx2sCF4CIzbbFWRDIETs1w3w/TORutk7gq/rqLFn1O1tVKm54NwLiQcFfeiyhi9dP1WjGkKk5+m
oTR5FDCc6sTphhWH9BiZ6pjDCy4shmBuWayzJuq0FEtA4eWST4tXOrVvaOpCGM+irXGOO4vy1Wyn
UTsmc3SJBuJHkjVBEkWwuFNTaUd2viuMR3nTBNzE0nOKhq9QO/deAQV2AuW3zuXk6KwW7gdR38zO
vJ3j4bRwrXMZ2fFj40juVbRPddrQ7iov21hbV53wxdUuXPNV1m7ZEtlVNK8U7LLwxiju/KnCjZe1
3XvFpw2ExdZHEeTf1jiXAx5v9/5OILmsh27wIholqzxPfSdFsZ4wuy5Ua8I5Tk+lk48+m4HsZkOb
QOVXblKWDnpusdRRSd+WkQUXmtsqjPGYBWKxxm+p2mSl381AtIvW+KbuYFUVbNZdOWPdYvDmckYe
yZVPsqr1mEiH97RZVrLx+ly+I82CvCnrAOCq8eqGqrMZx5pP+wdrkeuxubcbZ+E5rDq+AwEhtMwu
q2REd7kpPJkLv4vU6Je5CWyEKw3biMgKpbEfLXjQKRnfJqWCMpBMuVakueO1HNdjkeko5fdZ073m
cl4P8LdbWevvL5S8W3w4Orp43UQLDzTXzHMhSXlJ3Fc+vPVTlrF1Uy7OmjQ0Oiv3woGhwEdoHfvx
ZF9POGt8ENJdjbtuVTm2v55Zt2i0OHUoZ+MxCeu1n7ZdVUSnBBgZHFgognyMxap3izVxxiGEWNNq
OGOyKUpnWI3pcjXH04cBpqtucyimWKMhE5/AnTPPjATAi2ruTSPCK5IAJ8o7rjO5GyH2+BTYweho
aZxtocYmWBR60w6y97ox3SYt6QMnKw3kPUE9kY3JqjD4YuGnyMn2ib0+qTkePFWRU1WoC3dOoNpz
j2mr1ApqshnuU0YQohgNhlmu+yVRWuwTZNG5QQqRKSvG49pNd9hZSg+eN/ElWfMCfTIqmrxmgTxs
mhIYgtxxu8R6rPJin//P0glNW6LmE0Gmaa3mao2Sud7QsQBvTr1B0pCQqj3GY9L4RTxhbykcL7PT
dCqc8qR21ssgkIaSsNHTAuXeOEC8h720yUoV3QBhYMx0HFeDnk7gzhfgixBiqyHTQK3Y+dJNK6jB
/TxtK2+GnrE2RVloQ+RGyC69bAy6HgbnUx+xcdMtzuLNBdTT3Jpas6G9qBbqQsATMPn1fdZLdSkr
R4XzEhPfzi68JzGvgeOluqFzGzYJuFKSn7r5SYJVAoV3CVScjrdJulwYiW9nubTePKl3fWTsCtk+
zKvxqk2rdkPKSEexeceqxb5LneGK2RVNVnjvpSZxtmiYVyISDuDZ3WDe6loW28rlH2qljB4y6heU
nGUpV16rHEjggg5BbqmO3QWfCFkHM3iDzohtfBGV1UqKbVmOgWXxGz7a0h8FjKIChJ3U0nVlQPNq
IFWy6CNIoJCESTv5UPoEM1oM1Np1CloLyXyn66k3MnhtWJiXizk/VqzogbfxDYrj1qMVIDpnQQUH
D1ZARotVactBx5HatWVSebD11h672JKghFM/oEG5pa6gyD5habl4cTGKtVgGb5HN7HNXJcECkfWy
rvhlW5n+uOhhhsSgEGgkPD6l43LcIaNeO2cdLzZVzfNjNmOgTGW/mvj4OsGzHxspj6eqgyRbIBDE
lnmdZ/QGAVEcpH2vhHPnSrPiRQPaXlru8FDX26a15y0y8zGL5hOQmT7JWvSrDLkXTQwqzTLVO9WL
IcSMd6upn6877uR+2XvJuKCg6/tlW6fO2hZquxRxfFHXNQmAlbwGnezjkg+TBnUB8tJYQybMziqD
rwZT+kwm3ItiDJXXyOftAhRcZbjduJMALbaP4zVktFSy23252Dflcc18ECPH10wWCIqkHioaHDlr
hOdTp+pA7KD0traOORMYOFBELnC3yOPMpNIf067z03EESkTwhwKWuZZJiUDncqRXKKJr7EIU7uFh
zTpxKnkSo9aXMY2hwAHbxxSEUFMj3Y/5RVOidek2rU7KxnoRnha/MsubBpZRPCABhS96m2Bj/MjG
Oh0hOfVQNGuqCjdYpEdcOWyHePTyua7XtYk+NrwhQQuSm+XDJ9BhROhUDdQ4doDyL1n8nBJgBKCU
90MEy565XtqPIEMOS+LHPOBtO3i9ze6TDm6SHdMhPxlkXQKPUZ3uBjto2NMD4hUtdRJDWZfK2k/m
uV01zbjtgclt5/dxViQgYU+tNnJ616NxK5fXxEDYa5iPJtfV4KIV1M1+imOpaYnjsC3K80LIYhPR
7phLBFbArPO+j8KepKC9WdGcJLN8W8JKTsd2BE9yaq/Kx1pnHNYFWaIPNYvrk64XIBhAoOjrBgTd
CKJ4V53TCSWbKeIhHBW5VCh5lxYjFFFMhlXTK7+cui1SFujhVWwSvOJqcjxjsq1Qo9SDo24mBzmQ
ScyiFwsroTK3TjwMWvE687qm28wNLPTGqDXs5jiGzP0mlsAQBsioQwO67tRS6EiMc+LlMDkgZTJP
dbz2M3DZoCwhTNZODMmzyW/aJsnCMtvM/A47mZeR7tzG0LewGqSQacX5mPjUcXKIhMsE6S477ht2
XtacaZWi903RXzdpm3s4kcCpenHvKAglrhF1YETy3om419gShYJP29HEF7OFLI3EqbAg2Pf15LEB
c6AqvmtmkLZHRGFJHxtq2mO3lB/z4rJ176zQSdOOG9H2EPFSqDSqbskCWy63WWvKjYG9ej6HLpLu
4WApFP3Dpkdv3IHetorew/chrcjSJLpB+T30N+gqo5Cek77wWqBGEA0mr2rGE1Wh0I7DErqN0MiZ
wmgWLgjT7jVM96LhNL6jsapbf5DmlJF0CsoIhNp4otLHS3au5AQaeHw5TqvM5d0pqdnWDs7tzPAH
6ihoQiyzxg2Gwh/0Ht3O0Raky7AqupsZFTuXVF4DrpR1GDy7+mg4uyhxlq5U7NecXJSV41eJE5K2
OZ57BQY5CMQp9x4q6VR3XSw8G6WuXuYiYH11BX5537UiARl7GHxHdaEtykXHUhRelILyicQNfPVT
5tn8nWkA4WGmZxLKDBuTOnSaPTeFZE350oXjEt3jaL5pi+xjPfa+KsW15W0EFSjZ5CLZAE+swmFs
Zt1kwJYcmntxHOFgOWsreNYctqMHfW/Ok9msTQohOBUtMGEnMWsyJic58wYzQdFroRelUqtl6kya
FubtkLhJMI3DrYgX4y8s6oEHfaQtHX1D6pOp6HN/jnnYtH2uQSd0gsw5qXshTkAPK0FyhKv4zeDU
HxumLuLOnrpOVnkZlZlHOkn8DHTq1oLTGPgWqDBnN8aqKixofwJtxouhROXpbCEmxC5pQqbzwbDz
mtyaubqeHJKHeVIGopvZyQyy+FK2ILTEbiAgJNgCWy9N+us2QMWybQxURTR2gjFmq3kG/YWZBNJp
k23GEUFLUTV6UfX1YopW5/lgw6IyF0bIj5B270wzxaAzsdaDBtt51ZFFlwmWnmj6SPPa6GKTpCMw
2RxKbsc5AdqF/LTkXh9TE8qh3Uxx6U/Ic0SEvQyZtz1roMjqlx2PRj0UFJ+AHrVy2lzTSrqrkkOr
x7jDdkZRtc25Y4Iqzo4lr7ttNzJH26UIStl9TFgzr2S6UG0p4C9pDiUwiT4tSXTRzyu2VP1VUwxQ
yE2sAD2hnHSXG7HOU0q9IQOmFOHRW1KpHQLdyiSO7ydI/2lhtjJPL5O2V6uJMW0UlAesWTYJ5Hw/
yVOIQANISgQ1l/UUXUS4h57ZALJTzct7Ctl6lX2qDVm2IPuVHfVR3kd+jmerCfRzT2IIU9Zxz4tl
OHFN/0HOLA9TR0LMlXgl7HVWd8sWmoJEWnuaZ8eis3mQ5NHowUGX98tkGz1OxniQTKU3j+N958iP
ixWXCVIg8PVXFvRWH3QdnC7viijReZWnmtVFiGRlwCR16UY1tHXc8WKvDelmotwnalrhAg2nuYXk
M6JW+s7AvGRKGuDLCzgNuFsFZ7K9ycyub6c6gEDX6Mp1jE9NfG2ctvBAgo+3dkRXiVKgWgJDj1Qa
+VFaZlBsNtCZywhedw57nY7vElr5ZVeZECTwwfsAVX/pKVmOn9cVbvPa7/KWajjd48WmACFgTs6w
EdmJraG3Y7MRsksP32JGM1iUqjzu3WQ6j3MotlnHoCmVVFYXCyoDnNkKajo5+DyqEDSVnUIvpLfr
Dr64IRj2AiFhY9CMcQq9tc7ovgraKjJhhaCB605Op0uZejxqL5cqucZuekzqzoJG4zAPx2XhZ1Xq
x7m9wHRoIXCOUGdmzaodc6A6cfVWRfVNkYh3Cx7DaR6h05ZAjT6XxRpaCaeyBvGepAycfWCnZRGm
zf9l78yW7LaxrP1CzQgSHEBeNocz5smT83TDSClTIECCIEgCHJ6+17GsLslVrm5f/BHdf5cj7AjL
TukM5Mbea31rM36B/APLQN+Zsk29liaZ1t0C7a96jSCopcSud9yDl2UuzU58Rq/C0dAFm2ry3iIP
UtXakg62uM7pus7onu2aycp/qfUtJtxTu/r1Aw0txGC0O5P1cVzSb/OcdBlh8YvxyvtloH7eODA6
V1emqow3fU+Lrpvd3DExOk53sybDofVObIjIeZ3lFVMc356V7CiH8LqEKNqNntqNgn6rFy93NQpa
FI8lZjLneWXDpgy9MsWYyneyf5Fr/BYM7Xu32NRa3eeuY1+1STYkkWIzTzGOY0+PmA7pYW6jTzWG
Ju16G6KDrKYN54+0W9GfmWuM7QpSR3WA4imzLpwaWMKjyNd1OKyeHor1whsEYSU3vgtle5q6JmvU
BMUWlcd68ZyhT+qaoM1YlZDMaZq7YW7skdn4rla0zyeDVmUKStSaGa8tWF18nd29x8jB66oXb6RX
vgbkkKiD3x61srhgp/joLP7y4kZjYRvxofuY3rvUMalppyntoR7VLIlyfLeQvwTJQj5OXyCgmaAp
APXlZSP0lQ0qlpZODy2gFfWWTvSJW43fguHsi1HS2vVNzD2HtjSdme5IVnvmCalUFyftzHFw4Jb3
QRBkSkBRch3TpBgW17PtnnTTTduJVE+DkLi86VDfwRx/HNr+y/zNreim7xq2c/ljl/jyqqU9rg2v
Y5iVY7VZUBA9Twy3fRJVm9C1HQ6v8ZgY89yPPj84GAYLsoqNjCbneeHzkc1jWARMBZvWqarMH4Lp
1PWobH5o8zKc5I7Oa1jUlkB/cSChB8zMLzKMYHXxd9U6uyloPteBQAGb4uFsSydfuX6TygOCUsmr
bvA23Ha7zpXhVnvAK5prD9NnXuvB3pZyUkXDSufUsDHzFT4SUZdxVvtTlPaQsdIOPtrONv5Tb6fN
EurTsJb7SqrPOplLDGa4rqakjHPZey4ml8EvxsTyPRXXJR0Z/KspOrT9CKWH10VT6RIyfRPsh1au
WftO3Tk4/5/y07t/EUP/44mhLkH59dt6HzvMu54oxmW4M0Ntq01jO76rw965KS9Y1Bibre+EODqw
QRHVqFufaHmYbcdgINsQEjZc77lzlwOrx1fb6XwVVhzGEuIapMqTAdq0daXYw0DcL5JWpyAeXt2k
bw4VRoxhWpKNE1VJPsIbwmTP1WaqbM6CqU8DxYadTUq08UMIaQRclQu97Nj3cXscahZA8i9V5vhd
dPCt6nI6DB5GFzocIhGpDJu2+nzQ2oH6dV8x9Y7I97rRvn4QtCrcaA2uw8UdNkHAMX5ClgNLVA9b
N4gAkpTmqOrghHY1SoXwne1aJBwNURW6JmVxfeiX+bw0/m3gojd20YvvdWJupsi+rnFWjZFIw2qI
IPPM6IB8gCZDuLMrLJUm9DBSKZ6pCXCfioM6J+EEo55dB/NaLMpZi8r34PSFvt30LkbPXqrrFuT+
lRKaQQGl5rA4Q4tWAd0W9INdp9wocysc80N0p7y2zkdv9ArGYHonYjwIf3x0q/KAZsrduE5bZ8Mc
O3nZzztpqQOMoSHoEas6s4s5AnxYAPeAwFtwNBzRDKp0Ni3JG9fPxAQmru7gf5ZVSVMqyKOZFZyD
uk/RwLI8IRgg9TznPCb1FSMW/kI942dhuupphGMT14XEXI0pRrnwr1eRWabYdWJQ9WfibFQs77nb
9GkfYcbveo8VXhSXOQ/dL3PYqsJv4ZHCtqc7XBQ7v3Fw5DnlqXQIOzgwptFl74JFepsLXEDXqis8
pct0MPqpWeh9xceH1aEmD8PqC3/WcoTL6scWYu085MzFzN3UXwICc4h2XKZJRV7Dod+vIBtLFxAG
yYbuACwi+vCcb7Vy49z2fAEW+IGFwM/wC2p4QOsbYC9WYFuESZduWxkGS6daN5Wn8rC24W0wj1vf
zH1ORuHgapgLzpl+iwTaQdP4HuzM6WOR35SuP6NmfvRwqK+BrdOxfO/QX6w1rMZIRxhwjdig3ey3
jR3u3BIf9OAJsYcH9CSj7j1cpTz4g/yMInsAfbekxJAlrxx/xfvBu3F99VgSC/laQIXl+hmyDKZc
nz31bvtUh/TBqSnou9qL0nKe97T3K/SQokoFlKcUqArbu8LBgd7H+dgweW7JiO8MZkPp+V9MTA91
HX0mwRoU9RjkTjXEO+DZkH4GKIyBkwcXuX/B59bOTeGGXZBiasmTOhQYhAJ3t4YuzNa13gjlYLSE
2DnGNSRKS3AJrtFDWAcm81cqCs/h6cLA7EGCKoJqhi+iJYGpPWBoE1u1wC7XIU2DlsH712MN1arc
o22Od/jQ30AbwjgUHtzZBLZoABN+GkSmJVgFn3xMsPQPQnbpOC/fnER/UVBs096g87XM9U7TFDYp
N59SkTddordsL5prErQwB1PtC37RX76YtryFUHRyylpul26AVgfjvyshqhFj0tVkwmv4jroMBl1S
bhiGpBRXldyWkfiYZDfnkvKvjDYufNiWQVkWIIrb5uq3f6Dvaq4G29fZDModUpKEtGv64SjG6pNU
8G/WvhMYlIK5GLl5IyHbe0T4VzwhOeHeJ+DlZuOWbZiGBv9jYGH5OZNXX9UjXFl3go4On2wsphV2
zVqTffnG0SxfadnCMi/fQQemS2zLI1Phu2v8lOryvlKBAhg73zcVu+583K98zqewfhIjQf1YzKuO
6Ga10Jfs8mSoNFkTT/ctCcTtgC8c08/NKLz1burUdYkF35ug0c6m8eO7wCqcOUSTtFlQjX3KvsRR
aDA59wz6q67yVU91rqfV5rOBiWlaeh1ay47ARElaQwJQdcRvCIM6bUMOHCtQa8FjIA+9ro/EqZ9B
FYkD3DxTdNEKc55iGEvWuk5FQKET9cmau73Pc8zdOxs2t+O6QuyM/I/JRFBMJTObcRIbeNQQ2OeT
WkwKbx+FTjdZz6lFkcenZg3GoWh59nAUpeVas120ZIT780Z7BkU5CZ9rKnGYBO5947tw4EFl7/UA
4SO0GxG2S97AT8okiWTqeD2BfMJ2700rxLmXz858q6AX29Lt80ouH6ULHakZYKVju1dhtPwqFuda
O/rk9pUprFc1BYyZG9tyL2O0xUwNz9UskHc8E2ZVxc+4yZu3vvbTIVblpmvcW+23Y9r5biF7x+6V
hRaDaxR3tDsFu9Kwd8F7JwvInZZ+lIYBHyBM27ZYu6DMyqbfRa62z+HFyq9pB9ePeaBK5/q46K5g
i77BePpNq4pvEx6UKXRuSFTSIagP1XM8jGQztetRziYGTVaOBQGsRcV2bFHT8P09Wb24uQFkl1Vm
/iJ9DI0Tbd7AwPm7clWP43wtvaW/rbXhWxO4Lrqg9t2Mi4vBcnlf47G5EuXiZ53bpeB4O+2YAydi
gAkOwThzLmO9t+gdtdMbLJV6Y8YWml2yngjOVJfMa0o7WKZVaaq0HOVOdAHZ8NF9Mkv8OfdjcMCe
clJMORUJ3psDJkt6Bk60DPZhL6rToNbXQIaQA0o6HezkdDusD3Nyax+Ci4LM2ysH4EhW9gvsqREV
pNYtrFKdsUGh0PVwy0rIDBT6dJMclVfxNwxpEHjDN8F4CTIjMhvw5NptwPNU4jwkmD1HG37DgvST
04ygjPrmaqUtZrTQPVp+HYimQw8Sx3mim1x74+2QWHy/zbIz5Qh262Kj/5sKpV7HBPbSqIHlOEHy
0cLs9M10D3sXnFP0XNXxtlEW6t3kqMwHV079B5G0VytboZ5bXOzzxUCt+1dHA7f4N0PFKtYIehCL
QHHMDcZgzLO4zHlm0P6JCVq647JXAwknnGAqRQ7/MrjiXsbNDYnpkmK/4IWpkQfaMIA6mBANXPVU
xBQUccUgCM+3CGaMh7p9deu5yf46Nnz68YyEP1K/P0O//zVc/D+LG/4l5/QzN3wJ+6B3/mfs8I/9
278mhH77oe+oMLaTYPFjAqALqxIiCqTtByqM0DfFWkis88fCQZ8QgtT3j6wPlqVRiqwPNHZcZsFl
k+sPVBj7hBAiTyjSPgH2HiM8+QOc/oX8RsDpH6RokOr5O1L4EqnFYlHf8xGddZEi+zlFw+OOr8Nq
ISYzoETJUL4ayj+aelS7xPFT9HDeafBseRgVcNkgqoFfwMeRQ3eLJlvt0KDEKomy3/4xxcTd2GjO
vUU1UGoB5hr8yZlbkulIQfJNyi0ByMNkCbXdrYviO2/V9YNh0zfeNTtWDsUQNKBSpzWL6y6GD+/s
8RiLKEtKirsM6GfamlLc0t6c/N7eSonATeQvGzIDSSqNwEFOKZCyni1bxlC84FCgJeu6oh9ilLKO
D3nFxrfem441vhzMl/RY2xWOMfJOYPLNNyVHk45+g/puny9IQBqFmGJMyY4GeOht7XnXgR4gUSl1
pykausFBIVMVWie/hOPukxGRJ5MPJuS5LHFCu0OPBm0hD6aCfrSIEaB/jC7QiKA5grxhaY3hcwQB
ULPCyCX3EWAY12Hfwlmf5ZrHXZPPsr2qCDlM8r2U9c6Jh2Ncszu3b/LeDw9YoLNb+uAonZ3jNrcT
kJ91Joekrg69QTRK4fS3dhMPbMs8vMjSwu+KMuvhcw9EDsIBfnNVQFIqnOGBNAjOlCMmoTbFdJXX
4ZJ7Cfr/jn8uxrIb4XmFX5W3vKLDDiDhA4kMLbCVWBxrM7fntgqejBYQ5AsHGnjRjb44O9Yv9CLb
F4eL48xR1WgZNNsolaH3JejkV0+EhwtXk0WO/9b4IzRq3m1JVwObG9Gqdsm87aKGFmUN5awbls3S
S4AqcGe7i7+3ajPuNJzuWmFS5I1Z8n4uvdQZ0IEq9Iizgkbc3xhEiNIyse9VRUZQOsuH59fnDtri
OvfzlRNWsDdY2MEAdRBKYXpTf4n8Tl8nS48QlkAmaNCnEbJgYLv2AMRigOsAYlHGztcIvUzGfSNg
b0ECpwGdEXB5i+Ep1IbfIm80bAnWbGdkBd+NOuBm64JGPCZjBa8dQxITPc3iOYFWrFacBauJj0p2
9+FMch1Mh5rFwZa2QLaaZkBvAgYmhVvVpAnA2qtgsUUc1V8n1hRgu77+9YPgv8yPPPOad58f/P2f
nhT/ew6COPZQGv88RPJ99/Uv25d/T35+/8nvpwGW51BkerFGAiucvy/6+J4bochbY2t6gvPGD7G9
20XF/9thgMeDBAhrYxc+shyXHcM/DgP8mJfgPCA0jrFBJAn+ymFA/z5RGflxjEixH5AY+91xIP18
FsRI4K1xrH30kiNcRJQp5B/A5BDVZxV3i1pgSMAAAKQNPM4nR6xxnC+zjJq+Lm0HHwwmzRS8JQTS
CPxJCE7/A8zfWSHbWcKE51/AFKXL+im1Bv7bpomPyl6/RuwaFJJX3Wr25CJTwe/BHQDMrVOP99mM
sSHUMHgg2jjCZEPEM4FBm4WXOZlkalnxa3Heorn/6QL6B4czjvI/pHiwDQY9A/7GNnBcEpfv66cg
7rI2VMsQxJyaIJ50anivbIXTYeKPBlIRmPFdF0dnd5m/4upKl0ZcTrad8gHsDDSrNMSFBxfKgL+o
DBm0ovUuHgvCreADKw1fgaiMAQGpJxBSl1+DqrOgRZ3BLCx43xbq6mLDTEngtBdDdP0MkOXpkx3i
hGEE/6f+ANoN7exVmTfWPg32raJgIkMwIzwNwyeP/DeMd4mTAhDhskuYbDPqYL7lfSo8x8NZz3LP
BDe0pYeQgSucgLhsSyf6xGiRZF2JgWAiWeTN4vun/3um/Jde6ee42l9rZP9/q3IoMLjI/rzK/bTl
5vfq9v0nvle3GOl1LKZHqj38fbni33pdpOS8EJt1cD1fFlH9kmu/9LM+TQj9bR8IOtQf5Q07Xwil
KJnw6y87KP5SeYuCS/36NRUHcz2hro9nYxFsjf5DrzspvXAHkV0Y2fzbiDyFpgi8ag/EBtesmN2k
TOckyPhS33p18woGpNpJp8GczmG1xjWcTWo+x8rd+R6MgcYBTrZCIC85qbNYB/vO0Y+Lx7/OzbCd
6+gpDiEzVxKUa6QGYAQb49B5L2y4Q4wKoQ0BzEctuOvqoauR93Cuq8DeuvCC9yLIhACk0ZdNVES1
EOlcuRvBc28C+D93yzdVARNR7m2joRBTBO2joAeYqeAqjC7iu5RVRUkLL/D20xhubCkg6ovhDiLI
U4in2tUM8Qfo4PvAqL1a7HGRHRpnkkxpIKQPz6M8N1V0sA4CXxX0+EaJW2bUp/YIvBDxJgaVKuPi
hbvukk8lNSgILbIksAuw52BIu7A9TuX4vKASjVAINtxLdkgS3qyl+9CQ6WOeFMLFjY8AIWbYrlnS
wT1R9GvFEANLtOqK6XhKCWmRqZGJgSA0WmjL83XjCLtbWlg4PlQbEhVlDPtVoCbMIcD5dfw2eO59
MnnPEqnwOaRgtNBVSr9GaW/VpnbVtlqhd1XtHnuHMEufgjE86ApvAl3z/aKBjqlmzFf4UEVv7F3j
LzJL0h4Tj4WllIoKQeEFJjt+5WMpr732xW2drU3mvC/FC2PVIYAq3oUjIu+2OtRrjZlImXMZAd4a
xZvxQAtU4ShTH/rdAA4px8TzjY30wefNUID2fex8WCiT5nmZAOhyBnz1iQTOwjyRVV7HCx0u9xOv
ElzB7/7kf6PTynMDDnkXndFv0lQot84Ckzw5NjqJKPxErmIErznBXwnW89r2MeSrGCAF8vUDD079
ZI81p1+jlmyUIjaFxgQOYur2Jdz1GPq0mMWeJVNWdTOiSF7wYpM+h31eFQ1opJR0413on+sOTLde
ysdmCTJAB89V1VW5bZFLD5BxgkmRIQggcyfcqh4ulEzKp1jivIj5vU0i/zDRPVIq+DrWcsllXZbI
ZpU4tCBz55ZXQF68+nX0+7Mi4ks/ol9vQ0xFpkKwxbsauV5xN5QwvGnJMbYwoH6gjC/7CXgqNdlG
/D0iNyXSiLb6BtZs1W3a1xtAILT7BEaMm7+2R1XCPCTHlZ+W8gQIydFfAfCw4GN2ng3gYzXeL5DP
ERANXi07xfgA0EQhswIW9cnUd24AGA1u0BF5UInZMUGLRG7G5l6MG6IPsffIO8h/2zbaNO6JuNeI
JExd4VOAAgDM8JXdlD6iDQAe7ZAGfZW5sPStAO5XnT118vkTPFGouCfA3RSRvClpwQjeu2xbeznB
TUF77Gu40bNGXu3WcxAvOa2nEi1ON+9bXJN1fWbrHYlOhDyu1f3i3c3ONZFQ/09D/8DibU3vYnmu
wbUMIIj1u8bPWsQ18efm3VpgwxB2VNxp5zOObipe9OuXRT0ogo/tdQxf5ktr4n+FeebMucLLxP2R
PGtxZ5NvHJepfvGAIZjhOcYMJ+YYOtZLFb46CbC53I6bhX9h4d2CPJlVttAZlV4KHM1by5SyLlWI
yEDNzBH5yBDawBM1b0p+oIgwcfY8lF1KQpEnwzMDjzV7SzqB9poT90DpwQc7M9JP2sIgWPyc4b1P
EfJw+JJ9kGr8yYEHA7GhmBEYaPuDsadoGrIm4FncT3mXICYH8dnMS4GmPuXI8djPEaHXNoFTSd6Z
3LP66AE1ZndmhN4cfp38l5gfF3GqyQNlR1G9R/qaj1Cm4amAw0w99doDZ0N8LB9BuzvLdcwPBJc9
p+JQVTJlAxY6tBjj4bLCqCgRv9PPEzxIjpawMtclbJg+yLS9Q9IpWy7mR9LgFck8auDU3UdOAqQP
DAv6WXxQ7fJp+o+F3WtoyAxUk6cfVNxlMYi2ZYlyj0/5Cjk+acB06Spr/MeWhWmrnj0nS1wFeBRW
ctBlie4za4O8HPSmxPwQwrVqMDAQ3kAiBpXoADBiLTLNJRpSifeIeGExELgTGEhYulq4a0M7b4Tb
fsQ2+hKw0GbUygPvpk+s5TDyre8/yKr8NPIvZ+LIvrgzv8X+kztvTkYoSae5CzT8GyHysZUNUOo6
Q/TxILW4rC0xOyqQ6VxFu3FABXmTwcfaxpfgJbntcPGAsuIGKEAbAo4tlMWiDIETP60oMqE1KCdN
pCy6Sb+GyvZZFD/MSbwnuCex3gU5BI2Mrpo2o4NjF5448sDJ9eDPqBz6FYnnh35hWzeMr7tZFS4F
ARcSmVZA6tOprop4BYsrMEgh0k5zGcM8Ks/9FL1ZGdyqvj9XMp7Thfq4hi/rVNbOwn1MpZ9U2eR2
EL5mfI5s8g8X3jhjE/bRxE59tvHyHF4aBGfuPhGibNOVfRKvmnNdQUhrLvVyfXJN/OR0yV6CnQhM
G+UG109aRc4hISv0qGnYrz3KtZ2TFleElyGO9bCu5AyU6BF/RC4QulgVcGEznBdtribSf4WeolJA
u2Dwh7StTLeZRHiPXg98KAaJi21B4TxRpaFjL81Lq9VJ8voEFc1g8uqueYmUKhlfBP7aGNq9ejp5
H4BipvHcHlZ39bMB+SfFwt3Ml4dI8xUuvifyzsOKl+G+jm1zWLon3uP214Lyw7+0kH/0aOFf9O0E
gvE/mxJ+fTzw74PC9x/6MShcHhLnui72luGpmL891PSHDgJ9BJuFYyxfh9IBPeQXHQT76vw4giwO
IdnHa/gxKEAv96MENpdLgu+PgvkLojgYmz8OCgDjfR+NMR646oZuAs3+58E77tAe0FmgsUwQgcZD
aJai9FDObHdhVZAg8qh5VUFyJWuEtRKdgSXCIoK6CzIo3aB9aTzsCA7SVUmdO9jQlYYKtZa7Swab
7alc0V1DrctavykWHWTjGOE3reuhcJbmkbEor6sFC37UZqxHcRKGfehE6v3ks3LTaoZNT4BZMlF6
1zDSF0h/zogqK3nKZ6xRIpFVwE3blzbm1w0KHB4/e18G+qyWl8mDXo08M3IunOdYTSURpGXeQU4B
7kYn422CbkPRPA6wK8h1BzeLg+peivF9sfWbbiPkzC/QbdJaF2dguEMwOgQPEeGMk/euw5ObGLqJ
dpbcQSjRHyhOx+iFShwOGkhRMsXsNK9PJS1N0SfOVYNdBFnZIgYXredh7D7lhLJoVPgiIi+48YPo
HuMm3zCqz9aQL//Kp/wrn/Jn+RRseokni3MeIZQZ5PXVkvibhF97MJ1YFsAhQUpVpL6qtnY1BGsT
ovNQDZthQnSIXvSxvq2ODJYqmJ4xzJolxuKvMrx2L0vcsBBmS3SvNkqjZ+w4dlQt2IwD08hzT9Ym
V8YIsnVGgblMN+jLp90YYNlF1Y57EyfPDAvlsL7CuojmULlD/J8T/xQk6hMb1twMK0LQXPjAaHj9
7CMFng+T66TxGjwYhRqiFuZuYgr0A0/GApsX9nloI3vve5s1StZj0zdbvMQGW17ss+yYu61nkbca
6zSSZCQnTKyQ/QaCYK7vIv5eP4ZL/Q2E9P3QUoYbWjvQzcTWncaHGTxNgYjkEXBfnaladKe5Rk/f
u31GVbCbWPWRhKgQ6O/ukZW7jUW97GVtN8vonBFCJYUXZ1LW5A4uxF6EPWIf2G8BXaBLsZcQG3dm
mOTan4Fnh/OVQPO7GcFr5rFTBYU7wegD+NkApujudDXuBg4VmmKHTdYl3mnE+L/BGhz0nwPbzx3e
j7PGn4SqV6tmFLJFY8gt52hX0fF6dacdq5flqtNBykjrgmGKwCQ0pJjHTmdBgD8yWNC/tJW8b2JU
qWodEN0j7GRmE15JpHZYY6ptK+mXUJ0Z3rihlc0SOH1EINjtNEOOFBnbrMBLdsKafHWCagsYUqad
jbBR0AnXnU8wb8lJPgqpIH7gu50ETC0XKWDtxLuuL5HO9AUU114Dc/KxO0KOAg27Lk/LCJIKqc+N
57ebZBgv+2luWLveU4UPoH9owvJ8+deh97865fw2eNgIUEXbSNa3M3WfZ8+7b1f3GWsm0op/cdry
oVvlziUM24PwInp3QydyhXPgGntBDozP98j8baBBp36IbxCRa98XCNfu5pbAew0AFGE5SkmOvUOe
gyrZlB3ZLQ1mEi+4goz0YvzoNNWIarVVAfuwufIaAlezLa8bnzz3yuxBqYstgi03sBHsYfYGH2BG
dxzLxWbNzDQSO0TmkvjRNpx6rLGTkO27EKBONQUcktNIoGusgP4TWLy4O6GWqImJIlybPqsRobzC
ZcOycH75f9D3/S9yt5JLD/Tnuu+//+dT5vctFvn1lfrpMZo/fK7ffo8f1EPkoYPCo0wJFtR6JIaq
/L3Bw/Ps8Xh0/Ack42E2QQ3+ucGDKwYzH9tYAupCp/25wQOggLYQUjCJPOxp/ytGV/h3xkp0aesA
WIQRwTMEvT/0d1MoKjUsXYS03p2PluJQzXo/WiM31CxRAW+sekQVn5AG8gxsrO6WRVP5GEtscQGS
3ATeWPSj3YxIbeZupLHYS2APBSRL7MQcBrUDXHDqwDQWLtYfYOfjdGhZF+AMgHTQId2btwgEb3it
dW6qJ2Qwm3wM3IxP8FWCthouNu6h6iudD8JcITK09xLUuoAjq4gojYMbnSQngyUl1rlmcv7gnePv
2tZ7iXywo+Hq6gOjpXecfLpzmExOgiEhvVYNQ1Kpkd83CsIL+ROMBPL9H5V1PPkPRR1b5/DlESzI
/blh1n4fz1IjGGUWxHAI5nNkxCEmhLoCTzl7eQfhG8t3+Bl5ZWw7BdaZ9XNUUNljm0/v3SApdeYh
nbYBgoJ2nOIrO0UnjWdbgBm5yPJL9eADqc2EkWfH4xpgIhYeOZO4/+m6/t31+WX77eWl/sEkwDtA
cBxWAfaLXHidn98KwO+ln0RNIdVinQkcwy3WMSDgHZgLmNueEIgWeUwB9iJPiM9yj+UzR5wr7nFd
lm3Lyo8xiLoU64fGuwgQrOsH7f7/evFBEfjvFJ9/N1jP+KfVB7/Jf1YfXGJw2bGf8TfbCLXtR/Xx
EjyxBg/VuzzkMHYvFtHfbHY8JAU/haHTw6P3Lo+R+tt4Cf/9UrQohkGKh3T8lerz2+Luv7vEAuqH
PglBeWDG/PUSW0SotZxllJIG0lxgsFGhNFGOID26Fdy00eX2pZcbWXj+C2/aYIedKR8BgT9kimlg
JfYHVOwmwBZSsItQ6lpa70dUCn4pGbNUB7ZABoxK7eczdo3w3wpM9VRdCo68lB51KULjpRzJS2GK
UaHWS6kCZy7hiE0nxDLUzu08BDAabAeKa/OIlL6D7CWmxlAOALW95r4zM9j2BMtprFbndendbAzE
w9RWWAGCZXdgSOOTudzO2BOVVpcbfMKdHvXrjc+BubQQxbE3A8XgUhYo6gPEudzq5kzaMjk0Lnib
tlq3beM9tNjL511uJoq7qr7cXuZyo2Fd8KdP16263ILY/nQkw9rsk5xebtFpRNfe4q7Fpo7r6FFq
APpadOniqs3MZXUe3Rh126/1FjuVKMKkM5Kl2OvSRHwXt7GPcCKCReE2pCj+XN3KBZld4oVeXo4e
Fomo8QFZxTabXkyFOOZleZsC3rPlI19Sw8U3bC3SaeliuRmQaFQM1yBy9x/cncly3EiadV+okAa4
Y9zGPDE4k5I2MFJUYp4cjvHZeve/2H+gtOpUKqsqrdqsFt0bVWUqKZERAR/ud++52O0Mp+w3ZgJq
yY1Fe9t6Wb6JipjwhhYDY31Sf00ZlHdjCjp2yI0daiWO0cI6BGJCOldMfPhLALCNyRlN7i4y52JF
lBBBEKwjdIrwbKegIkgKI1fH+WOR8VmCr8VcY9iXYf6lCAegkNisdJTDw/RJkUwz8dxxRFGog3kf
mHDdoOVx4rPk1WqL+FqkDkCWtuDHGbISycFDaCACvTfgZa3GENBuDXRAxYxC5sB88GR+KjhYy9mf
tmp4dSO3AUYyQOy0gQ2WDReGeTbL/8Tw/n/R8cxz/+XxbPVD9+jfT2Pfv+R3uc32AtqF2KKXGqL/
Xg+pL2fHBhMbfF8NXZ/d8If1kI6OpQURZ5JPfdvv6yEoes51/BZzQY5w/95pTPwJVosKiKqHO8Ck
u4VZ4x+Xw2zw/awNZrEyl+c63LEUZ+d/jTSomdNlXfNcThOObwVwME0EChyr7Qmv3Au2yxqqxF8c
cxbH1x8XboeOQRoxwAtweJX2T1jdyVOtY1a2WEke4z1UlL3OeQYbNz9W1btPCOBm6OAqNFyUPSNH
XitGa9e6KahL7Pxo2q0b6d8+6//08GUt28UfTiyolb7tClfYdLZxJ/vj6xdWTZtIDzqWbkWwtfMI
h0580RgdcTmZHTvAuDYvmiDzWhj13eQF9V98C1gT//Q9cGjH2SaX1yaAYvzH7yHCFlTaojABvEQM
B7PeWleVjQkh6I1LV6TlKpVi5XjxCPBthmSkfvXn+S3prf5EuqBHdrzv63PiBeV6jhnbgEXLSazN
2H2NaDrzAuDGB1uyTduuPg89Bs/QjzecxmzG4kw6bR2lt2U97m0kkySyX63IJ+xVM0QTZgK6QcfA
r+AfmIxmo7B6ZtP4Eiyk3gFFc3KtV3A820JruQ617xGxAW9AdiY+M9Tn1DCxP8tzxJlj7WJEWgj+
cleHtjw0M1kCxjXBpmYna8RYgZ5I7l2v7XYq6q/1FL6U8wQwAFP3qm0JKnQdE0SCarIxH3IVnpOA
XSLpOQ3EE6GaPgLpbqV9ciEVR3q90neDFb3YE+jdgQFd6bavcGmsfVMYb7wvB10U5o1VTc3GXP7W
qXtrAEQ/w/SDU1y+TTpzrnWSqhdXmsdSKFzPnn5KgtI/dXZkrc3I7CEcyxgnLJ7syTl3TcOQZhpt
xmX4TOrYgU7rp4cZGOPK7PrmMLb9JbbDPYGefFfWTngKwtAHNemlK3wtINEjDgC2nE4SO/klNoLd
yI528ofolJmqBmJq6V0eduFtmIAoAM6RHfG9HvroFETJfLWAd+HQTk5J8ApnFHpWO3sHF2eKmQHd
VCIGk4lbF6KOJc6jRbmC9xzABb4jjbianDa6jeL5pUiBl2KcsFZ5AdVfaTEdGYedRshy/FeY5doy
gfS62NJ14qzdPDkbOoDiMuzqIb1LM/JH9RjPdxWEFAV/aO1CD19zN2kuwCAgmwoA8L3e1qkJslaG
9Eu0MTmaPXrdAlpML0hwkHUDAxQqhpuqCXKwjMFDOxic2frbPgcYXGDtweG96jRZp2nQAuwqa5pb
xeLkIoyAHKxOVW9tiBCTm3IVmau5wbzTgHNI2msaZP55HPgtv13HPiGVOU1MGiicYjW0LT+XgeMp
qX8dC0evZV5cq843Th14qCxT8T4M7Xg1uNmwZjQM1S+e4eADEANNhb7VW4D5UvWEe8I9BAUTawOS
WGxjmfcaHe41sbyh1WAmAjWvh7YAlVlkV1PzcnAvFRtJKwZE1JIuiKpbyMf9dhqYCjLV+cCXfXBa
owA6whkpcbuzXTU11spyOlUwjSzD8I9qTCBUdI53L9vzHBrxNRxPrje6xGmLOze96ka4O7/nuOPm
TPz4KC2UU9wYGAqrWM4r267bY6S+TRIwr1CNvx74+dboRahGcGVXmbObrIn0nEnUK9Ec1wr7Ky0C
+abDSbRvqgIA+LxKsvCw+BWP5ixIA2+krQOgcZjlOdNUnKiBB+tu2oXmMmsHaYgvCPZCoF2QliRb
IwPfQiE5ZRVB/KkaF0VVjFs1vpSRG94EjQ/cDvSfP7U3MIpZRfqUoEE5krWIrG6PGPsgyAxRDtPw
5/BXTkkM9i4tvsZpmayz1ppXQ+1bezs2v4iywe6xZMDa3N7irsHL6RCwEr4YTzhwQBanqNnM11II
OyoiPj5e1HddNqFdxTY6ZLhFtVUCkI1ZBWDB5WuYeuSmhvC9TK17iyX0CFmdtNqkdr61ijoItb6V
Ep6UGTPrTFbwGo0nz6qupMIfsJ/lL07Xf/S8exkDKhDGaqv7EKi28G1EyW7e8ICXuxR6JATKczer
z6UKvX3ezRWSa+fd8jAnqivRWBiAr6URfMmbvNvXUSbWoy4xhhbhR94OHPArgRcIGmSN8XeUwDaM
tcmlpbKgTZssGWQye+9QqfjYIB6OVfqi015sZcUxG1TWux9Eh6grIZYagX0IdPZsZrB1bGdXo/Pn
/lMzz6DJxGtD9wgfnwWuLQzShUGVr5vWehAD2LM+dfa+hEHXhu23pB6TPZjLWzKrtE4oBTYUQqDB
eBPFBsxPxwVpbfbpuMv9dRo0/XWMnFNbg0aZjOZBZdVzKwN9G6vumD3m2XwqpX9mM3JZMIMdQbA3
XVdiy/ZzKATxk24eu407aV6YUiVH30qcXSw1YOQML1Y0mHTFyXe7nOZNAaGf20YfAXsjf+t39NAu
PMhA9Bs3a1YmHpi7SuZnqgUwtbXDlcc4A5vNWMKO7I2Xl/eqqcjadfXCRA3VGgSpAS3XS9pbTZp2
XeYj+pvOP2CY1Ndp7LutGQP5M3XzRTRzt6n94RBTwSKBtW8gRqGgB4+Daw5bamzmtdXqy6DVh1dB
KsoD/dGM3ptlVD4ARKiDhrXzKuaXTfSFc9rBKgPgScSY2c7I+lpW0sNgzbOTm1xJe9drMKrvcxi4
QFH6T1zbDSiC4z4euSLJhLxfgU/FV6neMvDBbqEFFqnF8OgX2aYw8Qq2TJrA8LKZhoX31EjZbCLj
Ne7yCu8MpOyqZb+PXPa+PB6uWXfJciHJclTZva9dezsVHA46oE/4UApY9oCZGh1xnOvtberwNzE5
8QHxJs/SVt1tb2jNI6y+GlOWXL4b20xH8l4NbXL2YOnBUnOPDqd/4LSF2s2EZQEkE0msbT5qPU+2
3w3PPtJWUfXERMX8gh1lpvUGu58bFlfMK/4tD2xwWzvo/hZiAnpEnaxFQx5pnjsWmTmA3m1mvCcl
/hDYaFgwraHcjc6IczXLxFaH26FJd3aR3dqDRczHfSx69Yym9z7E8TMNUdSj2C7nCtXeqIIDFKFa
vWEmB0A5aVjosX52Dadsc3g1MziWttKoHrjNvPmYZnLXBnIFPf1i+3tfMdezkEUOmjNuLRijA/28
1OCtCQfjonNlcaBFgQS0ExyyfHwbGTMfSKtO9+TRyP/bj61DdG2AzVPF5UZOjnOfz6lLAqlIdmbV
4cZsccTVcE3zMWwOU9ZDQlYGA6YiQj6Bsp94INS1N/t47W+GKCMWPvEpDAiGjtNJ22SElPMpGOD1
k147E5bNn5Qx3TODI99J8Gfb+NNrHSbwvXuFB2q604X2rulogyGrwwwVmr0DnAaEMVJzSyjqI86s
2zhxjnmCMbOouvHQTcaHYwzEXMlCYxsr3I0D/HzMjOZCWP+r28G2t4eAfcTJxsdsKLdDoU6CkyaB
Pda6eQpmogHlm4pFddZMBFdhTxbXGgcS+OIwFlhvE8xim1pPW98Zhi1VRIv/CmaDG0PYLvpeXr7/
0iRxvIvjENXCSct7d4yvfBz6i0r8heaJSW2Am1nb7QVAFr0OQwsbqhw22jTDTSVKPKo6LM6lN1+N
Oc3Ws3AeMhNWalOqW+PDmIKbrIKW3jhMd/OWbyyY9hzRn6LAfsiCbM8zZh27xYOWR/1jODOANEui
g5HkTyN3y3G7/MhTao+GUb4yWoUZaTsX14U9m+R0WFjB8GBZ1VOPGTGQvd40wbQdcvEsHLYuz8WU
C4UV31sw+bt8SI5G7NXrEEEndtO9Z3O/tQ3JjOs2D7MGYLZbbkDrm5F9O5WaMzV8hVXr1P3azQCW
c5Syd3wg71GTP4vcD9CyFm9bVB1qIy1WhZny7cyfbLapEgJ9r3Z6CHdeGT35I1J1KTyT7P/RxLa+
oqMCwKOoaTcYJeBF5bwMBPTs+mJEn1zDuvBR6IFCmlBVcYq7uXVBmAmuAxcK3RQTT0iPX2/ggFhT
obMi0TxvW+iE0uJZFO+MQFgASX5seGGgemnGcFYTsxF68Myi4I2RLU0N1ivfWYqvHItM5VIc1fV8
1qRDPBMMOz54uZp0+TIazjvb74MXyYc80f62882vZjAVpKnxtcniNJckLcexOuLU4cbNCJk3dGJ4
Mz/qASLsxBi56dKcdhXl7kpXE/nMKZNSg2yOUauePaPrPkMVuUvEpctT5joVpRjc8qDTFuk2Z9q+
7qaxWZdanLTp3Au30SBI+HDN6eBBbw9uOT9RthX4W6D5uJJdDIH814q2CnbNGtgzTl+va5i6JP4G
dB0311XnZsyTorBkremv3cC73WUEjXKOKluqKaLIX9tKNavBn/xtATvBncnrhKk7nzNc4is/K/EY
ORG+4xJ2JBVzGcgZLKpxyR9fBLuqde9VURylLKjhUk2ybSNtoIwA/s5UNuz+Flq53ekMxx17+q8J
cY21k9KaVy8fPQoGVyLENNR7T0EZWLu/uZnr+UIJFA05v/jT+FBW0GEMJU8Oj3htENbV4o4yh3It
o+koK06J/4F5x/+1KA6xQaZs/3wq8lvg8PJWfrRf47df9U/B9d++/Df9z/sFuzypQ5x2ggwqytXf
5yHeL2h7aG7UwPqo1lKKH/U/x5MgYxlQIQN+lwZ/n4dILFvMSTybsZ9w/715yD/Q/5jT4BInl+MJ
QDx/1I5k6k7Eh9naMkwRuCWAUNlVf+Zu/BEs1MclWahm/VW78FV/eMnufhPJfpz2LRn7n7Uz27Qc
xxSWxc+/hP1/nPb1dSsGV3AijHX0uIQdwtp4DpT34YnosXSKjWOMV9Yeyh94khi3CIO6n9nez2QD
/gEKl8aO+162l7yzTx7YkiE/wo26q0xxMpX/8lff/Z+GlQ5IAYo/maZLCVvgp2ElogEYbgdHdGHV
4ZLaIQDsR8UaEQLyFnVRq26ekrVp6nbXlPaR3WIm2Q7uMF3o4hl3WifSt52I7gvZ9Ew4/DsbbFYm
2HaNHIKaN14ND2uO1cfemviIuIVweNe3obG3arHrQgpdfA7alF+qdd5EJU2A77Uzcrw0kxHGC3Ds
FJPTNODbwPNkxiAC4sUH1WOIsmx1JIJkH3KsUoqrVNThnQIVJfYDdir8jebNvDismgSvVb24ruTi
v5qxepgxg1joKleq/wTBAmC/VQTpSZoGitOEC2pGjtKYuwJMXjMoewifyb5xa7BnGMHEd0sYa92M
RWxavGL+4hpLhV2w2VfPEQQhk0CBAJIedvJE4BO8RvCic/9VjJqZ23Ctlf8UsZKn6Kq9tveJEe4d
2/hkqeBXHp/9COSlraKHIq3umOJ5AwCC0T6rlq087cpPrZefalINbqWPitN+YXOLrJ6aPDuMkflt
JtlZkfDMTcCkJij3IQUQ3UXkbOo3mxK1nbcEH0ekoiUIaXO+WkPF+jYuIclFpVz55CYF+cmKHKVs
Ul4CS2EKJ7m5RC3zJXS55PSH/xH6OFHlp4zXN6sSsU/ZbDa6aLkv1Ua3pXUsheAgxnXVng3A6Rcv
ZbswnWLaJ4hAEX0ON3VezhRnfZ4SydEAkq2aIOZrkz3tH+KPVSfnHW0tL/UCd8gC7lO4UxmzIkbF
S0PRNsRav2oo7DvMBmPCqiyWfhz5lCMbH2Z2evLwJSJAKIJLQ5Rsqmes7Yn3vEiIXsslXRdovzLC
AQZqBRdDfzJHo91koFF3EEy3jKc3IDK8QykYBZrhUzFlmMqsFg52WlwB51Bf6o6fcrO7H0T1wYiv
X4vepk9MkBEINLYTaS33Fc/84lYepzx0800VcVEW2qEsROQHRtcXJ6q9c1p52PBC4xYaW0ydTb9U
0aCrJ/ZnqzxqO+tOXBYyuij7x5ZP0z6sGLB1gXVn6kWaDjb2CNejQPlEj+PqQXCQugnzXfTKxk5F
OmvAKSUbiPlzKOXJteHgARMHZos/F6LypmFQutO5u88H886czPpmAOoTQ+SmEOxrI4vq0oIii4xe
bbPcoKYgifqj9OjjgM8LOGoaNqPwhrPucsXNg+JOm45M6jkpiwOl1+/7KSOtHE2H2DbSY68bzIkq
KPeB1xjr/8BR4n/PYJC5HdOef35I2KnkvepU9NPh4Lcv+/vhQHqQA/BJSDxXJH9+GA561EBzbPAZ
ebFLyj+YJRafD18V2AufZumQ/vvhwP2FA4U0TUcyjSLX+28Bapgo/nmHxqbhoqbbPgyE79PDH0Lw
maKIY0xac1UKKlqD0EGGKqy913HzKDLiPKR1voXpXFK48BDHZs1WTTQqBC0HypH9oKgRD3B7Nfsx
d1Ao7WFPTdm2NxRBd58CydyrLqIbYRgHhMxUe2gzVOGobyEPAo/aimG6mYel8JXnJ+2hdpo4313g
9XFBRAmipbUxmihYTVN/iHCW7QYneBlNCGOcoN21JYeLEgRfpXsMOOfP/G/iWBdjTPc8DrDB5dkV
9XZx9zJ02tHN93BJSFA2rnUJjeizVyYbt7qJ2+DWyoYv2Oy/xSZ/RmwcWrem0trckSjYRJN/KcUT
FcJOTrjYc7L7rvdu51hRRAnSTty7TjYjIfOiNIDoCZclABCGs9mIY9X6N1XN/ZxCXspp+i64VKzB
WYGom8WwDql2PgeQsLdh73wbbBSmxkhA06fn1j0Dr/ky2rziLPYDdYFJ09zSxCjO6FhnoI/AjFmO
V0U0EOc0PPUXx7jvhr2fRqCWzQmSWIjD5+7nc5AdBkGThhEm4IHBQzBBFDSr/lNWMXRrWKga4Mkr
FwDbzjLZ/rPJqZ/Q+z2HcuASy9BffD/yz+NQhsQ8II5HESt3/58GxSBG7bKpOa0YPZDnJdRIOcBD
0pmoTh2cL0tVVDL7kDPYlav86LdJua8E4FfSdLkCt2ApODaO6UPQi+/G3nzMGB1vJJf1jYLvXFHx
AP40bPe9nM60Zqkq5//W3YU02CqZmHFiccN712lyk7Oh4KqbYE8x8f6wnvyDEzQ/0p8fUFYJjJ5L
mIeDPFeIH4/Qdk1h34RUtFIW6S2dDRgkjeCl78znaa6LHTT/reUVwSrzx2NkcdKxGVQeQhdWLlUY
NmnpnIZ1XCa1zb09VcuWnQ0vZTNdSlcYj2Utjswk4pVrz9VTUYb9urSpfLdsttJouTfYeIt1JnLY
1sEHw9UYIwtq0RDV95nHPKgoYeO7Bj0b9h39MmR3TP0sLQMxYJEFikUgmEg77pqoRTRY5IMOHcFH
TxD1PO3GRWII0BomNAdZM2JRHAvoQFpbiyzRo09ki1Dholi0KBcDCgYTiJeogYIiBzKNQPwLmivW
VS2Jqhoz8BHOoTvIF68N2kiBRtIsYskIh0DV3KDtRUjxefo31iKuoMsvUotGc1GL+AL2D3/XIsjw
90HfX0QamxrEhEzVlfbqS4uOky2CTr9IO5OQl7n7lHbqUk23g/BeVATOsVgkIauba9J0NKDU/nFu
DHC3uDH3PkrSKI1dAH1YTedhkluB3tSJHFEGyKJS9WFcJCm5iFNYsT7nqFUmKR9eRVoQ1SJlzYuo
RY0XxSGhQ0MMUxqjZEzeNFuNf210Tv4ijBmLRGY02yhBMiOefQTYSI9NDg6rVDMlYIvEZvvzc8I0
YhwwloJmehCoccAKHtJFnvMWoS5yHMo+ke6qnNz/IuYJVD2PQX400+7jF8hNYVfigeO4hLGeaYNN
g4sPtHSIvIcJvRCpuFjkw8ZmnaAiIGdMHdxEGHAUx3AERxPlMbVJLClhXeu+hHAwEaEfKzfc2Itk
SVy1XUWm3jWomeYiazbQKFZyco9RqPpLYhs3IBKK+zx1F96qG+0KJ0cnXX5xI8b/1SKgcu1oWKEN
uJWi2tb4ApkzADvM4bn2pJDL3HgxFqaqm/pEh62nJsTd1tSzu/YGYMi9Onz/h9kzyApjGzPCg9UL
uj4WqH+CJ5Bbg9s8OKN9Uikpgii7jyqaFhJxKlrrVdPaUXuIgSkCKMDbJJkeYWLeymC+yCG41V1w
qxxx43TyxhrE2aJuq/ft05iJ0/L7dBjfy/sWfVd0nnMXWOwOYTyALtBWuWP0+4Gm9r4cqykExdY8
TQUJCrdET2sJhmTu8OxwaEEgJZRjxMa4tMjkuN/qD2n039qU0SubCgxZRp82aTm7IdcftsDpGg8Z
2wjMvckPtGrH19Zcdue8BsGme0bbc0eRRpZxMUytrSnoFZZNjDBIuSxYseQSuDRh9JN1zKhwo5XH
glynGEhAXHhQI8mU7ztlVZX7yBsf0zDTK2rbURJJgvPckp0bxy9YnmFhhEbGVaSURHG4oGdUqI3O
55L3pPF5Q9gZx43dFXBBpeuzL3X1DTd2yJwciPNmoBS08c79zFrQBTLbtOMDH8wtEGHgcM1BFeIG
N066dnRVknQOvhYTxglX3TOwzTZuFD71mZqObTw9duPARB1jwgoC1MvQTm8pj0TIV28NKSiezSqf
Ep49XFx0aC9jNUNwLalGFm33DGecFPtSlD3WnVjr1rG2tI4RG6livkG0ZjNinBgxuomU+MD2re/J
Nm1ayh3WbWpwOWVST7OvD/2YAjS4l8MmdhRsj4hZhh+LRzuIznbJAlB1lJZrDji1xx5dZAR8XM1d
DKcCM+7KZrh7GRow7sCp6fMsc7GPC6C4Y8XFqbeGAwwSlxefIVcYHeLu5EdMqUrFJ02aeBEDjYQT
uNTcxac+vGXggNfSGctdK3A1zH0AbAJgLaln6FBCHDrKfxDlb+hjwnZRs4Yt9vZOIO1XVb6Dr9et
Cr95b+IGKjo6TC6JLDniEhkvXu9f+9DJTnV5F9JmwbTZb7e1r3a9CC/TzKtPTcsGBMomcmv6KuNs
m3ZJsvUgvXgTWbAgl/3RyMihlgNODrwY8Z3hT2gFq9DuYtbR9CVhIr228+WjVtbqykaww1LzruHM
bplb0VSZiyc6xT7PvUZQqcUmDtQNKNtyP4IWoJEVmkSTPdq6M1Z/+91QNi9WMYm2UXfU/rTXvJ3W
KIOADRdzWRNf5GI2G9Mh2P7rUwXXh59kOW9xA3JwAocGN/0nO9nvErVDUc9uFMGTRKjxFnU6H7p1
0NfYROLJZxXsf/0P3BD/r4nNtLbwEv/ze+RevXXv/++/yj+nfn77yt+ukpb5i01mguw0mgvAJxs1
9Tffvf8LpnkoqJzReUttrpk/6symy83z+0n5O8/0h5sk3nnS4Uvom0sqofN/I9XNKvbzh4qzOKFy
y+eYipHT/slnCiPCazDFoPXGDGxw8mQa+LLusMgV78INbocoHPeRO5a0VNoPYyi+1c1iEMR0xA3q
qXMLsZZZv3Jrk8TP6HK0ydNvQLe/Mq3XDJs+G9nFgpjKqYwVUWj/1LMNPg6WD/aiB/VoRzOFEAPf
AtrsqTaydzKM1sHvwc5R07hX4UQYr1pArOpWF3Q+zgTp1rQt75qufUFU+xxHknWJTq+Wmlc6vTVN
l268xvN9MmPTYlgaXscsVVv6Zst1r+fj6GAwiSnTwJVzcby3RPSSUqzkEQYVZKcsuDE9qTd+stR1
t4CmrbzcuQbqTKxqdxv4w3OnFmNHzTnLHIx2NcuRw2fWPvBhWAsH1ayiuCcT/YEC4XNUwIaZeFe3
U/xuU7C+NP6yIObcw+LwXPBEB2y5CYVHBTzXTY5lj5Evi6ot4+fQahLsD8Nh5gJ5pSX5SbUJM861
vXOiaNpGnxqHZaCT7bFPCn+HO4QTVlk9+u34xS/YrwI6q7e2yE6wWuH0TSaHvsJs7wyofTq3ziZn
g7VRJQ6VsPa4b7wI11ERnGvGpNs8nFAkF3QHCPp6kDHOPAh3laLgVw6lve2HV3K6Fsqfw+JrYdOi
gLBZDG2PFleDa1Ob15amYiu1nW3l1nwHA2UHdhau8JuwAWRDAibECHeoea/JJPM1rlePrTG6ts4n
j5v6zAf4rGmtyop8vHci72uBJq+7uKMYSiBMYjJoNKqnkEwtkQtwG3X2fIb7f28a8ZfGuBcz7nrd
mi+iL8JLYg6PFK3v2pq7eTzrgTumex3KiSumpqaCl65eu5/Mpdq7H4IMbduf6QgyKPjotX8YjuM8
oIgW1jkpiKUsdW073VXlDcVWB4ij+JulvQVWXDHupvKtrKf7osRcFZM9DrGV4It8MPjkWG2K4DHS
Ce86nLbMhrZzw3cpUpwZEEtuAXXzuZ/ds51BzbV1fe+l7bex0OU2akbKv5253lk0j220zbyUcALo
7+liYZO745Om+Zmj89yW1Q1lMdS1MDSYceMJdKISuwNYEUEh3V5KzJ6qDGgRlh91zZmb9vbq3Lbu
gD5BaqLJaX7VEUP90fQRDCIcg81gEIRpu+Pohe/Szem+sPURNvEzpbnXwjGmg6afmGnsQpThRLWk
QeJi6xhor85mbMzxjUPhVoDuWXtiCLc0uPD26eSgpwXaQy8BPjgy6RrXYiLrHbdcrjH1e8yXHGN6
KKroFp5Nw2Mf+HsKYG9nzG+YCoGkMEIDXWRJ8Gu4iIMeQriPD6XjbZvUA6wdUDf4DRoObagS6cHs
xEuTnYoxH06Gj0EJiy0sIYjsO3ecAFhxZxldnPVWgSoml7Vh4G2z4D0evE5+eBaTHzfnLuXPW6a/
8YlPGPg49LKKtMtk5+YGZeDV7sL7KAOMK7z2xmrGU0LHJhQafmAsl/vEt+6SpCh3ccWIqM25wwYz
u/zo3Sllxfs4+FaTpduPlkORgDe/4UPHsRaok1/gZjEiCjpUP76WsOwmXWyaOpw3U+KfSs9LbnvX
uPMUTHfYclx7dHdyQV/w4ifJzsuzcGtbSNmG7in/xoGMq9jhX+BXiynu5RKbqlAvLCaMq/QPOMSx
K6PBfpMELOPUJCz8/9LM9lNJlt/IUwNXTk9BmmerbRyGfLiTnCoQT28YDOJ0oK3FySNvbeAA2pst
gKYCo2QcEdjJPHT6tHGDz27zdTKm0xT1NwUVjQ84oL4ow6NlRnYo/0rqx6wCZ1MG/sWZg8XkCsEn
bU82Zinq1vbgYq01Z18a72s4WGmrP/nOSA+S125QLeYd5MIHDsofy/Mu2FwOvab3hYgWTuBkYyTY
YUbLfir8Nt/RJX7jGbjR7AmrfbpcICKjOjKEYHrSWh79dvKlosZlZU5tTbvikG7deSkJl/4xregf
lzcg5/JN3ugFi0YMVVeTxY2Vp7mazLXIfOKzOPNsN+k/kabcewpXhPdKmAvXbAqzWdXwRJT0r/TV
rpxx+cFak6P/1JVHY2aslJfO24yHpGQ4tKcQ+FuWF2svczc69AdSsvm2pKJ15fj+Mj+JkIgt/Mli
eIkrX5wmMeKswJzoNN5wGDB5hInza6r0veNNh55/Duqy3Cy/UTl63li2N6815eVrwiLYQNmkGF90
9Yb/9D1N7QW1bRxw2Yew1qKziYRHcg1OWTSW92graoNqTpWc1nuost3TZGvaiKlY3nkTecClg6Ab
T7ouwhuq7VdM8IttNkQunvHiwAC637HWIP9YzrGomJ8Myfw4RePnnpcL3PMW2z+SkFtd+JtTZtCC
Ny9snPU4mJTTxv2JK56zSr23gbVnIzkdQCLwcuNU+IPCmWQ+tz3ZVyY1p7gVdAWnVc6+55J8oCNx
T+nA3UxljZEuG3tzaRwLY2wtSHb4d8FE14wVnGWLKDm0tOsQEQtZomy57Sfv0M2xv3KXDbLQASz5
BycthnMTJHg3iVDz88YbT0CgMd9zPxwZ/LMP56rihECndUmaY6gzeik6eU1GczwJf7q4YhwPPtw8
M56aoxwKnuZk3XsSR27dnjFUKhSf0VrPcNzSchxvXKO6NMZh7nGe4avngrR0+ww96z3Z4HjvL5hJ
uh6YrcKJay0qHL0sOIiUZTVNEjKIQU11la6QZb1ir+YyuQUVwmSto+AiZ9OnSsnbTRz/dmMWP7TL
GH2QMCglbIqaFkIAdT4U/XLcFwMevTaiSqoCTrkOjby7gHyuMSESBFdje9PRQ76u8jFbPtKaDQqS
SWAkx8GgA5Mn9nOXdFAxJCgev7IAcB2ctNbn778IZ/ROqX2Lr5Ama5W7m1pxnomTID2U062X645B
fm4dI/NTZ8AOSqZx1+UIZV6j7/u5vaHbNr1ngBCvnNIyd1nOmS+Eyh9k4PmthdNPl/Vp8CGpAiQW
hf7VKcP0iSbF5FAtmH/FXjsu4H9/OQAsVQD9UgqQcJvbxjTIrhTP6MB0EQoLf/b3XwgRUX5U8RCV
942z1HNFAJhGPkk+xqZTbqfWjQOpuh7y6lDk0UcceJ+zuDeY32RfR7jnaDhfHdCd4QJELxY0ehNS
Eg9/sWGaybHE9Kx32TFYSkY75Xgefpo9uWcV6dZ4PFTB+pZmkd5GfKrWlCYCS4neMPID27fB5Xds
saQNmHGan+YqJoYflaRnnGxjaFeCYOruI6+Iti3q3xa667kzFTqWWtdJKblOTA0OM0WbPKOrFRZx
BlkmVeRcJFAQjXZbJf3VrHDHTroOtsX/Z+/MlutGzi39Kif6uuHAmAAuTl/sCXviTIoSbxAURWEe
E/Pj9Kv0i/WXlOViSeWqLsdxRB+HHWFXlMwtbe0NIDPXv9a3ABIiYp1nJyaGLmlG1+fQ4/6paeXS
XEQMw9u7lgbt8ErvxU2eu5+0iP5uy9LYw1jVrhg4EzxgIr7sTZuRTgxJwLbgp7DsFskcMbE919zT
rLi1Rz+MUrGW2kc6dkBNo5zv6L/5MPmSovpGszdJ6ohN5IzRpalH+ybB5zwnrnGZVJcTENXrkRPE
RdKkqgzmMpO9vJ5HxC78ZpcMO6gJ0sZss+SAueM5Yn0vvSDS8KIJ1ZA8CPoUHOd6ocAhKO3o2rHn
rW7p9GF25nOXZz1bx3w9Jjm4yRwReyrPqqhzvbRFcyrmJg36SqFonWwOZotQrOmQ9pmyyMN+iTFX
750j28gO5WzJtlKyO4fDl95T+U3owzJ3qZU+Wgy+yEWQKQAyg9rD02/tqcdgNsaPTcedozRYkXbg
/+yXRC9PBnOx6xbnL14jceHiVypT2hnMwdEONOSOqyql2DaOvzRc3du5F3LL2sMnh+kJg6Y/n9gs
V2vGJXhp9A0rHV2f0zRc4vTeMOP/FI7SObRGShcV3UBEzYyj7JYATQ6GuQP90nXKg20U9xxsKWfr
ZBVENZsvWy/+kT6Yf1wH+UPOtgJ1v1Q1nPAo7uT/eqsRgEaxee6ef/Uv27JLuvmmf23n21fZ5913
jUD95P/r//kf3/h293+IvsPw9rtCybFvn38ctr+95PuwnRG2AhOAHwBaYylQxjeFhCQu7jMUbfKv
WOssC+3klyTut1kic01aYU0f8eT7sB3wncO4/W9gFPPPSCSW/vMsz8F/Z1q0JwobLwBv4v0sLyrq
Cgk2NVaT1ojAzXNxg1l1Y1s46d0WS5UsnLt62FOLNN+MyjuvW8tzTAOuodME7HcaRVEhHVXsigOP
5elsGO7GGeBO1SLey2YAiQSjF/tLh20/w75fegc/Tb5aytWfFWG+ycLHTvn9wWKPxNibkx4NKZul
rN+UPtyQsjPkBSasfealPlDsmBbg8HNvdQ9m6N3hyF45hA0mQgcYi4eqMbd+yW6Pww9ATZVQKIgq
0MA+bmeVXpjfggyGyjQMVgeeRR+sde546WZYFsYYBgGIxKHNrYHQGifhEuROSgtWjCBKR3C2TA89
YYpKpSo6la+YVdJCqMyFrdIXs8phlEOzdgYjOXmCCpVCYYhDldswCHCkptHhDDP7q76GyFWmfmAV
+NTniOET13tCyfkcwMcibazSwwMx4kHQYh1mOyA8xs6hvGblt9G+TQaGZmgMU8Wk0cXDlBsmZyCT
hF8bP0HzQkC/TZzPtm6SySrc3TChX5EkWffqgEuX3FUxaNV+zOZdy2Ol7FIv4IwuOUZSH6YMURAI
sV4rk5SHWyplxG8r+9SifFSpe9eo1LVAul76D45KY2cqw9irhDZDYmK9hLYbwtvoV//upP93J31U
/8t20odjBqe61avTQGBoUckhQ2WI/gnTiuC1unwuXuW/SBUPo6HfXYPP/fIzD+Pbi76twh6tOQLz
GqMFy+b0rIogvq3CLquw4mHghodMZuD8eb8Km75uKtICv2zrAq/191WYTjZFDuJFOqE47Gp/ZhXG
Xc8q+2s3k8u0F0IQ9FkP7NkPQAfSjeMYTRMLmfSGbSQG2DxtD1KqcbeLIczNolLVRBIvR4FrdKyA
UId40/W5vUssJMx8AbYw+zq5Ry8V5zGMT3LGmRudnI/tTLOENiXW8SnRAQ4AhtwtcSM28BNBLsbd
E9D0+a6zjXUsK+pWu5d0oOcUqlAHC4g0clEvrdLKVqYtjyPBwZWIM22d9bwNdzUxRmeskuQfdTKW
tOOCsQWqPSVLcmpMUHyddeuX7cNUh9Z1qffnYTIZV449ajDBU1j+F1XHsVyrHEahGNQKPD2Mtx/z
RfTHvoTmV3QtB4na8rY18EmKZlQay9Hik167Bwwjyy6r+4bTvrySobcvoxeNE7nfkfTDL0vwbt9Z
5HojIjki3eQ1dTZy4uS95IhR6N4FPTqMtpl0HyGbB/B5dmFbUKRB8g7mI3IHw8cQ24+5iojLp3xu
ZDa3IIaqbNlGDAe8WGxUj9pMoJVaxm3b89Eg+WmGs0knsaOPYy1lt0t7setquatsbbs0CGox7g1p
rgZkfiu+19D7vAR/bHd0MPSPpGJdjrauJIULYbKdabagLjaJCPKGVTD73c7XBL4fh0Q40LShXDf+
gFEv3UxdD7eHUJuPFlneG7m17jjhdgvVuWm+rbjahtFZl0SEUZyD0a4PZg4XFdeCAU574cSrffJC
CiuiA+7r/WjYAXN1/NJircAmUVRcUqfL8c2m5nPZqk+CPO+mxgDnJfOVPj6MEgdInl+qL0BvvmS0
JEyOf68Leczj+MQM55Oc0ZvrJKjL4nMS9beVhTLnZu098rXm33eJtR+ktn1jO3CU+hxPPXJRX52x
i5THcEyqVe7GhylvEMNda9rrRXZPaSguELgAEFgo7xCEolYTjS5Ux5pBNhrQQNPQ2uDZThUrMlfU
SKH4kbUiSeJKzxRZcvF30QhpclLMyUTRJ4lO2AyOIFIKxaYs2fAH2huvUpEre8WwZGJGQSzdAlT+
AjoBdBkq4iXPlQOHzEc6li8J7arDbK2KSmGizsuqCO2LKDSPdt3u0xInFl9TROIW379RAxgdjEAu
SRBzgvTjs1TsCkqppUvbdhPtNGvcaXVGlUe0pZWQhCiHysXezRlb12LyLooRUcFQaNHKz0yUJw1o
iQKPJgpBauvTjWeVZANKonle86WwqweGaTlZbeYbgPs5xEb4v3SFN824CnUFPJVv6NOqBYNAKqZO
5alTeFRKWFd5eOlO9uexKDnKq7O9AqpKyKoUTzpUaAFb1RV2NbK09YgEszXSnJaHxCDlAKQ1NsG1
Ng3ErBSA66xIrhBdqYARJFwbEngK9xrK4lPqOq/MX3RcQeG+R49Yo2exIYYW6ylsLNMlyB1Gux+H
8jaKQctSOEF6metk2yvwbKYQtDyMoi3D4BTXCv5NXfERYFJOx0YxE0ZFT0B+sbc+QIW+iJYLC8TC
oFgLqaIu+BHWKq1PX2A48GH0sNk6RWkwGipewTaQD++DJOsxDVpWeQt8v9+RnrzIFe7hjfugCBDN
9EEoIoRtIxKN2uNb3lcLiQfnJYoqjj0BqhamhAFcAlOuv0KMmHcFXQ0jiea1r1gUS175G2MNeBWj
lMznQ6LqwxMKiQzaopfaCJIU5RFC0UsDv6JRzIvZpDuaJGW1oImOHgGHkXrTtaFYGZOiZozuF+LV
8lD1y8IT1I9WcUPzhaUxXvIK7C64LaXicDjpZQiWw1F8Dn864oOKL02uCsXvIFEA+18xPUrgHuDZ
QMQo3kcM+KNUBBBbsUBKoCAecJBJUULemRd+w7SKD/3HJVYYVLurw7YQNm4FZeD9latccxyOMnBk
c/1hMF/HPE7xzFTh1siqYq11xe3cE5UpCgNahU1RHLUUVyOaEsUWfrxLeTjCzajqPc2uKdCC/MVb
+iPDjsBtrKB3MQLY4a3FCbJNicDHPLmNT0m8ScUpErcFGa2urnd+2B6sed6HGMLCctoLTdW6kXE1
roTerTHWMoMTB88jOipBKmGmMrwZp22hni8cEZWMHx90rQl0LVxLUaxr+A4u2Q6+4ZMP9K4x1wzn
ghSrUF7LIMyxG5pY+jKD3nfm4HB13HDakTpnGL63Z23Vx9am853D0tMlKvSz3VOeJKKth00XywIB
lWrFMREH67RvmFw44RP+rSA+9lgVxEAKCjdTT6uoj5M303rm2xCZ+G+Do4oFzqqhk/CkhiIPwZ7m
pQYbWTrvewjdlLWvQQjvSzKv1dn5ilcSTMCB9iEz+CfsnP/7JEGE8H43CXL52r/E/+d/d6/5D/LU
txd+l6cAugk2soYrHFcxeL9vjAl1mIqJCc3XIQ2CPv9+Y2ywu/Z8Nszih6AoqhYiB78hjhtmYZiM
vqtzf71LEfb+LuiMyOqPd63joIzBEya1qpu6yr68v2vBXZqN8NhwUhgF26PCCJxRtrKhtDK6jSZv
WZshS54c2ZAQ36Y13tCuB3pHrpyBZ6Sev4goVpnGEQ/eBEdMI4TuGJ21HxlX42/04USgE/MKebv0
ZnsroCtOpBn30gLNAfzpJVsYOPT5sdPSelcXw6uVmMaq9BxwQBYlbo2m2mMmCmDthRR5Q3ajtgEc
WukHh9KgWP/iG7ek8o911O1KX9tNtAGpf28zf4vDbW8Dhqya/MKHlYDHsGoNAikZKDmXAVpM8xQM
sSjfLy6D+mi8M6vuHPn9QZT53lmubQcG25heiKI716n30c/KSyJxudOeQ37KyfUTOdw1TS+ECayr
3kqPOU9/msXWmdsfLMFe15RsWJ19asjdXB4tPDBprxPlZHRQ9Ds0yn2DzhUl8wM2p2uzD3dO0x1C
BvQ+s4IRkHFoI/KZ1pXbTIFI8wsM9IGY+O2ZIxP/UDvDQ95vl5zhZdPu/JbDRj2gBZKtwYqiPgKL
vi8qhs8NIdZaaBelEW+Mbgr8oT3nyGmkYTjiZMC/og3Qgn2KMSsf78b2RVfNy7wJ3YMqNbVnhKpj
OrHnTOCoQiIbC1Ck8W0/hfjyWZ9TSfQeOBnGBpDLxDU6cgfahZY8qb2k+lQ6HKLAOdgTTcAyOgwo
U2Ci3afO3sK0j2kK7Q/+mAs0U30UjIwuvWi+ZdsEdL8/MBk/VOaNWrtnEANW3h+0Sm7Z+6x71e8c
y20y53tV7uHY+LgYEmom5dCFdzTdbI+RZjMk/IwUmwEvLfVszXOZY8nIOglBYCJYMFrymFErVGjj
dFdFeYRJA8NLDOijM6r2bKTjNlYMkFbRQLDkQ9cDEFIqUkg9E2wyZuvAonBVAROJqg7f+8jq/kap
8iHnDUNK0mIyEvfSKq/1CD6IH1EZiuD32HqgvdAbAfuH442hmdm9OVmnuhohnPi0eWkkEOYjjEex
grL/FHW1DkDgIgYLyXacMf1otDjXujiYGAvtF8VUKRRdhRmRAWRGHkvjIpKC5uapOEcVSARnKKJT
IZ3LEJ9UzV9x36Xu12xGF20SjHlY99m8aY9LxAXtGFxLI/PIov1YLN6TLcvneh5otWtgtmrDp6b3
d6ZfpLsJoBs2bx4sRQQirhSvVedQ/toOBCJ1+voSWtDq5ciR55JJfoX7IeY7sll3nRF7MKhu0Djy
uBiN3C52Nq9sJy52lo7ZbRxhteQV+CbbH46D4U2MTld1TvFzFPsmm+X8Vk75cIoG7zar2D+OysU8
2mF43U+8N3vRN3NV3xmReTQoHjQ692w19rTywa6Vp6YaPEzCHjg4a/6oi2475OmXpvXcOx3gxapX
XvsWQ0kW+YKZFEURS2qunaQbP+Op6W1Oli7mlTxtzoPNczLU0PSJnAJ2yNxk/09Yf//FlCvBqvpu
p6omVH+dPCl97j//x2XyZXzOfzbZfnvd38QrV8GtPQqQBGKPwoF+N9mauCh0HZyB6g22PTa1v4yQ
sFOznjNXAhPtqr3Ce/HKpmP8jUVt4tP7M2v0G2z0B+3KNgz1p/g4sdgT/HqJttwmZvmdeVSY5sqI
HOyV3a62OVipwUcrApkbOMQ+AHjEaxlS1EGua3JX3f3S1UCY5a7Ghc8l15oM44FRx1LRSBA3+hDu
S75ZjEfXcfaT1l3o9DIpIYbTyiW5F4XL2RCIa93A8Kmar5srAiIcJXW57AykoVZpRMzXh695mNwJ
NgzMD5GSBiUqOWBzjrGfPaoMWYLuFCoBalkwXS6lp61BL9NRWRX3sYkBR+jYUpZ4HM6u7T8Zsr7x
MTe8++5/45Ri2grf8OOH+SYp0oyLd/pHOoWXOTYR/RZeGVtiKzOSTZJgYIwa+06Y7UUVyltsAk+T
WdeHOtMvQonSk/m4eZIaxFrYJncmyKmklMBVsX7SorSuQs89eA6W1L5iEyVNH+SYBP4UebqkzeUJ
fwVka49ZDyXeFFdFeK4KW8WK0uXG8r3n2HE48Tg9MBh72KX5yHFhjotT1CPFgeAq1whAz5ULYKCZ
cMGULoM8ADLUwJnVtHFr/zOXMOtHz5GFZEO0h6nDsXqVjT3uYzoQViLKP5ROqVHKUHR7r7AlOlh+
aXjDJ47aZ8KOCqRFIapjE0JwTUiKsYR2ENfHxImuWrjgHh0NSaE/YGc9D7ONvPMIx25DWvjeSYGC
m9qJfR0lne691bj3laa9JJF1UxkfYJ0Tqo+fcVqdTGu49ZaUY27yOEX22pPZUzK5u741VrY+Xukk
fjquk5Bq3jI7Ahs8ZIk4z1l1XS/5M206l4NXPDWWgw+iOxKjuCqR10xzOo1ZdcBDG/icxgqvPZYD
eyrKtvvmOo4DPnB8Zg7GxSawpok8iKBikQ1ZM9Cyp22L3NtRyov5gnV/SF/tunvQik/cMThRp6to
Qpo1JriDqD/t5xI500lqdrEDtUG4eskHU2qJwVS7s8fpcQZWKqzkmYLjdnpJRL41YY8jaK3nymb5
8yiEST3jtrDCY+oyB/b1i2629/VSH9gY7ITsMT06G31OL/Wh2DsEZJA67YbdSeywX6uC0asDiTnB
0/Nt6s4np/gq6cNMgYDX8N5IMtK0TKkgzgdS2nNGhaOLHXvGHIOEKBGpdIJXTndVV2AZ8NOmaKyk
rcEaIFsa2tF1vGvdC6+z8W4ZTWbW5t7k+YP8cYDdtU2yYa0zQ14iY5cl8Yesiw9VEiVbc4T1NlnM
ZmNcK1XX7JY0WPjDN9zWYD7mzEcqbbDiy8gM2rS+Sft+WuW6E6HGX+kQ+vZuWC1UU9RwuQa187dz
eKuRTi+qG/NuC2zOReUdJNyLrHpaRlB0dMlfNIV1a6fDF2mL+E73NZC3EF1DgU7FpP3b4+S/ttD8
v9GBF174u+fpT2vp1effXkrfXva3pVQnsIznSR1uwRywWH1fSmkqV/8RBkdXsETvjrviLz5UdLBI
gvEMr+RF75ZSYiUszaCwabFhRPTD8fb3jrscon9+/GMXITkDTsH2PGUJeX/cDa1Sq+EgIl6nviqJ
bvUTl6T76Brdmgzuyip770R5jLysEmyOXD/A4uI7aF5fWq4soS4xnWst5prDdk9T4SGMesztIR4B
V12erC94TWfgoJm6eD11GeNAG2AwXzu1Fm0zdalraXtjmaUZ9Oo2wGVG4yvB3rWubhI9DSZ10/jc
PTaC+SkcxIYbINnm3GE5d1pfTXsfcKNGUMQWKYk+qsw4rWF7PaVRuC36dD25GDaRjGj/VZXptNpi
KjAC4nC0TF1ZGdDiUxlCyUPYdAExZi/WgONaFKpqYFdGzznWSWnMgU7/6ozD3GjoZvPyjcETwkX9
9Tp0KA9CYRtv2begmlKNENdrjdNQ1fTrLLTBGLY3xIqe2OezrqsVHoswvzuLvteSXtQaJGrcfV0Q
QdqnZ0GmF8ay0dTsygV/wnFSnsnNWteOhmjOoKtm4IU7NznVIa+q8ReyuGzmQc8+5nkJGZlkgeEd
QDOH6zFGUjWpGYa7tCrVjA1OMyxvNXfL1AROlO1LZxbgLHWYuD49WwzrQjW1w+AG3LE0CAk5+fqS
6hHzWHrkK7oPI3mieiZuyXRMzQKpPgZdpeaDTYmUz9d+V/Qj3GedoK5CNw8K4iyhOUO8CwPUhnkV
QnrGEWutiOWIfaEw0L2xdWIXLDQVvzz1rZl0ENGGQeGjMenEWCfbOMC3Gowyj04mtOlRYadr+NMA
PiP+GLl+d3v/xnbp59tFGCwqhsW9zN3yNiR+f7skSEPwNGF5daqp3RLt69DiCR8I+vixq+3R3j8Z
znifZVl3qP2YiZdF9YnNRRwl+2TiXJ0OFO+G1aGIxLiem6riQ5dH0y79r6Z2XVr22u3l116Z9lPX
RY5fpnJbjZUaKNn5qTQpXPHVrshge5SofRLz4mcrmW5CrRfrLp+j1Vs0NVH7K1vttMLxKSrZ35hq
D+YtgpXTg6clWzxL9qi7B5tNW/8W3GEbZ7Cd89nWxWp/l6qdnq/2fBWbv1HtApGvnkq2hQ7bQzsz
7wCemvi4iByx4wJhTKkck4ujoL3NUWDxWtlzppHf7O3L+K9dbP5x9+D/n+ZAKDooln8/RXnX/eU/
guc8fy1/0GC/vfDbouT/BecBIiw6pmWYOv64XxYlLmx+FEyfjv7pYDN4d77jV2H1/RXwp3yFvyxK
HnYC4rS6MHRk2D8F63ONn9AmqL+YJOjGZekk7vnDosR1Ky0s5MghZsy4GKyyXdPXwI62WsMfubAT
JiNDHkEmn4f+XCtPOwUzBBImOOrmghJYzggVaHoJxdzkJNvIOUgT3n+R3jZN7O78qnRBgkqic8w8
C+Wrl28Oe+W1jzHde8p9nykfvqUc+R7WfBSg+Dhj1o8USGs6ExXAja0xBq5xD5KFtK8WVDtZ8DBN
EDtn0xc8z9hL5qZ7EG4HWCPX74dB+9yH9njogHSs5yIP19QbNOA4JBt6XAMyZ3qvNV/T3vVu3Zru
6XmJqLmdfX4mzm8IZSar1pqBZsTqWJRdcP6IDS8+JBUITssav8TJcp27xpfZXeR6nrzHHltFoOOs
yOrxTiZA6k301TDKHyGfl4+JNtzZZWCBNlaxmjzWjvowByIUoAyM7sVw4D64xZEu3k+NB/RtSK0N
4+XLNHGgp3sYwAthDdustOiSWIyzcJvtTHxllbLcbERY1YErjhWzRKzWDw5Q8g3ubdLyNCRscavv
YbUZDJ2WSzt8EjYMGcOUqvhO3846polsYqLexGZKR0H0kTTTdRe6V1R/UjVhbuY4JzNRrr1c25P7
2iPDIzwlWL779HOZhNjWowN60wVHKeL74G3sTVY7l742PJFOw5gNWyjjAb3w/stBHFyPKyzs9zA2
yGcs1gUm/t3UBuOs7+olpqbc2liD9TAM7loHXyQZZK6NWtQHWpKvl3gBRqAB0JggoMz6AVp+4MXT
rdZ0+1b3D0nab3qvfYzstCNtFRN3nfy9n6EJ9ibLK+pls/EhhiAbR1TWWHnLdqPUP8+Z97mqzK8e
zS9bsCZWULR+tJ71MFzbXnPlDecxpVJKxuN0TkI6nQAa0ShSHD0xP2v2cKSOFV9lCZnCbJKA+qav
Aq7cvkiXg2zaM/lD/+iOxqvbMpHTI77OytE2iXeTwG/DJ79clV0I8kU2oHBslv+S3VaXx6CckyuH
tMFKT5ie9ByT4C6cQSoao2IxlO4+d+6Tmb9dHaYADHr70hyMD4PZfcaRQHyORpKjXcgHN9bEhV9B
qqUutB0WJedDNeg9qrBPiUdl7WzjseirHgOvHe9wTIltX3NoncdD0kUfzblizD9BuF0e59nDBhMb
OHETK0ZxDflIXA8oAajyxii2VlCOS4Km2eOaL+g7sbI7o6frE8Cwu5nKudrEVTPtHSHOTVz3O5CH
LyFAPFy9lWBQH44EefXLuvOmrYVPwIvYO3UjCDwjD+NNbSEaaOCzCSabh66iPCOKoGkJFviNF/m3
jp7Q7MpHFKk0gWlX58XWYciTd14VDfAKawZz0XNm4y5ptHitpy1UI/acRi+3XdxqcJdaL8BfdA8X
OJiA8CwFlsCUFJYGIAxuWEIEVMLXnim99pNuw+KgknUivS6GKdu0WTCw8WAgII4tYOxVJwtQvnE2
H4X5lZTNfR0yRpHC/7pUpn0ehqnZG2QqEKNh5ouOAXBlaJ8y2gOuwvjZ7pLAlcy5rRHbTa0R6xAE
uCUn4bJ/cgwPEM8Q1Ia2HxAthpG8aukeyHytkz7c46naDhiaR89QeT084GaA9YEph3Yq8+46zZH1
bAUxnjbwQ4rnOdMuwzY66EOLfVkGGJ3P4fRikkGebGhOwy7pBOd7y70P2QQbO63Qtl1vndQIibD+
BSHAwGa0EKV9EM1tQF5sb0iyD7TO1Jq9Xfr2tu95pESlgAH+WrLBrjt7Z9w1movry/G/GrV10loc
WA7WoOTMaeXWseLP6p8DYpgN43+xAU9i2LJsf2/Z7rolkzwv8W4hP8ETRiejEOQ6B5k8Ij48N3Zg
mK04ZzScQ0AODHfA5CXLejvlu37M7wugmmk/lVce9oCTIWh21pzqPo5duTfj8CYxjG3o69F1XCev
85Bf1FID7mYfxbaQ2m0p29uiiA9hEWJXyfGdUA/IkEW9xaKHlkWGXp/g+0cmHvD4k2+FJ+3U981t
adbMKWX5atVDYHYuU7z5jtDQgxijD2NTHnPTCShrenWb+alt7Yu4tbeEZjfhwGc9pTdprl2Z/LVa
ZL0yxwmn8rApeNjqtSHEuJrmdj9T7GAtd7GBQcRf5jtSuBtXYIDX0i5Yav3c14TrfNicHESEpF8D
yO+6i41VKrJ9GulnMwz3raqMycRllddXI0iE0bsnv0cgMLyqM/drEeOXm0eQvDzOsLPPN07yGCbR
NbOV28RLbwSzzEi3jpRV3Ixe/Knm+5z09isgughvBvtxz9NYmHR108TsWEDA3hOBT3mWoNnIQccR
FnabFLfSgv1lV2khTSSYpta166bboapurUaOgRytyx7kyU3BNNhxiOrQM1CvEH4epZU/lkVHMiDs
v1LARNwRN/7G1dyTjsH90BjjKYq6J5MM86aRnNWSut7St5HtNA2qT9ZCMoXxG6/8noO+tnzETmVw
ICRclPpXBgVU1JLgMDFVdM9UIb7EvjJUqM9WGb+3/5n6vVDBv0pFADuygCmZwEGFAy0VE/yfv/Td
Ni3dr7pqgc1UH2wU0wxLOGlThTy2RMIsU1dlfPQnIexSZrMVqqrPjWCKasmjO5nztjc1kKv5Uafd
T6qaPyLLZDWE3Ec1LjEM/iMLkEbpiioITCVVgaUqDYQgECvr36VUhYJO0spdrhPOUmWDfJN0Bqkj
Ua+qCJNJPIGE4q7sq6dWjZBDz9sUs/MxK8o7XRUa2n4uVp6lnYBeQfkql2w1WjxAe5oQE1WJGKty
xF7VJHr0JaZlbyCDkOkcWXbzrsBfVVXXRs5gFwPsuNcI+G2lV4M7VUBkWbjpOhJqEk9XY1FS9+Qp
Y1KR987GUZWOHd2OcZfwGc6DRNhUD6RIbqJnQrYlteB6d29S1N6nAPtKVRqZVjcsOeWGqjhMDmtX
lUtmgohkTd0kU9htWPZ0aaoqSqkzGB5VPeVET6Wd8vTrrXZl3gsspjEJkaBfQCRZfhTMwKsZlUDO
Ded7wPlz4JBVYfH0jyMtmjptmj7w1eMyQ6xUZby9zNnH2Do15HOO2VFd/Jr0482kowfrXvtAHVu2
7TFVogmR4a9z6oxIKe84QFJxhdVrQ++a7abhwxyVN6E/4Uw23WGvaxWtyaUU2zimkoVj5sGl8Puo
tbf/Plv+YfCMa4Iz3e+cLRUE/mv83MvfOF2ql36XPMHogNIhsWXZ+hvv/bviaRsWp0vXdbHDMVt8
p3jiitc5XmILAutj/krxdP/iwLg0XAO2x58SO5XW+utZF4MuBTO3DcBBpvmG+HznyKM7LKYGrHZW
3Ui6dSlhH9f5Fy3CQe05sKS7tlNNITRUEP2CbXmKR/0hcnmKDeSXhlbWNPZAMR7HOV5nWDxqL2Fe
0znNJl2wnFQVR7RGi0jOttmLbPH7VenBHCUHNPq9cEtuwmoGvDXaXzsrCdJhII5e4UfLhRPI2GoD
fcIkNMiyRU5Dk1GWzpEzAu0hn/oahWUcFOww+Sz19K7w8mvTc2d47LrCZxRHN6erwcHvlrX9mpKk
7uCR8Vz1Y3ZNSc2+8ltJoWxbEq6eFm675aHlkMV2VOA80D9gWM1x10arBCDuCmUN2c8r/C0oOBKD
+AkissRz0+ybPHxqnZbQMW+ndIbPRCwFlmBcH2M5QDOKF4pH2O5Iiif6IeQUgcUz6UcrAMyGwcjZ
OlLZSkr1hOMPIfA7MENzgR/mk9etukGx4z0Y8sIi6M7GbJe4zSaeZxkguOGNcIrj/DFK+RImOlGw
ZE+PvT5SzHRj5u6zg/ikU7y24gBbUwa7SYwIbHuFyiiL6qoQbnEIga47rs67CM1rp8di1JvYOopS
tOd4dj/QH7ZJRjmuYZs26zob4ak7NFSZS/gJJH5z7nrBlcExum/4uJeQo05XX3EGYAsYOjvLpCNK
jx+Tgr1Bbru7Gos+Y6DuqOPJsGAj5bERMBPW1nmeHoU3QgXXvJdJ0/+KpP67tjZF2vrxynfQZuDB
60Q57TfX27sr34qmpmP9dlZL0TSwFsVFmlrZyknzq5AgBAYZOtVKg3xHGz0MXAVZlxWHqNjM5bqf
dHEBXLSMOop2HfDyLeSCZSnxWXvVhV7FX0U+3BDTv3DG6uQnrfNHAFieJT+9fdRhwjGMKEB8/cC6
9cwywTbMcjxwC9luzMwyMjB2j858XIA6eSkWJ38S06rG4bmHkZK49hdfjBc9JUqNvfHmcryxXSDo
HI9gZIE73+vGfKHVHbZXy/rSkJe8FAZUHS4Go1t4NOQJZvmkIys/kvqOTRCq6DArN670rTdoLhNV
FO6l5WRX+1cfcU3AAGU8vukmsJCJ4vAT6d71hVZz6efDmpRGvzEzDtui61ZZ3m15Fl7/e+H644XL
VVfE7yxcVY6xq29/0kTfXvd91dJNFZbVmaqhOPqKMfw9sGVZHr+I9G8T2cLZ8itNVFeGGMcAyKJs
qL9oou5fAM7xWDTpy8VRSrfxnxjUvV3hv7ZpkCYTjBIVfpokmFra3t3Ac9xWDk8mGnKwDC7TcjlS
3XoR03KwqLoDCg4zzM4DoX15InIxrWdVjsDyxtPYhm2RqeqEXJUo5LQppG35MbbbOQC8geBlARFg
VwiMyQw/LzFWsBlzQN3ftcUAUmjCegbLW6GBc7HPEstaDxQDDaExrpfERTawK6Z10ddpmeH1Uq1g
UeWZN03Js9l6fPfN/cYIRsnMv34WwIBmCwHrj8koc1U2Ee8/iczLPRlVBkTfsCq2tVj6fTk592PR
aCutHqZNyxe1BwWuqGjbiILHlQyBdNE2v44z1mdOQyi3H+Rb0UO7HGIJbyPOEnvlDeSqTL29HZ0+
O2Wmv5PwYkP7ruaB16g+h1o1O/z+X+i3upWVW8qBkO+Y7k8gyl/Kj1LVaUU7+qEsqIOFgnUN/vxo
ELxJhXFcsrEC1zndCjqSfv8tsM366UN1ufxp4DZ4uPKk/SGrMHcOxj1cxqsEMNoxlSGQKv2YQ+PF
maoaIEG3PrAM3spxHANjFsehNobLON7odCzsio5mFjfVgFbzB+zjtzwHZ3VKIOUuypqrhqJmyIPy
1VXdlBg9ncCgrrKWxu3/Ze88liPH0iz9KvMCKLvQwGYWDrh20imDYgMLBiOggQstnn6+G2XZFSmm
2rKtF21js8i0VEw6QeDiF+d8Z0gRgmbkgTHLGnLmLaRb6saLVGmXufeETJm0LkJX6ZZsvXzuvMJm
VkFmXUeKMLbBj6xEeD1khJQthGqSDb2VhGyyGXCB9WCmkDoyXp0Bu+1qQQW2vcHoRVCnrxI7S5Xd
GY/uJ6lgpHqoXM9SJXxaRH3udJX62RSi2o4MNBjHX+Xk1efVKrx9T1hoq1JDwWdXRHvtRIq3kJwM
m66fjFE4tu02yskdHZyTRQyppfJIZ4JJq6m5lVHyPKvEUkvZlfKYHBGtZ+MnQHSYHdKfErVnBNh4
zc17iwhUX2Wh9q79IsZoh4Ka6B1Nr4/s4Xb1QC2TTsbDDH3HygC/tMmdIaed13XLsbTEfURLi1+N
NYqRfY5KWy3aAG2QAbEgkzeNAO0q5vVMcYkcbeqfGMrs7Rlhe7eQqcco4LHoqh/JWEJpZJtSWDMg
5pVBTWwZN6vGU9P1ZFQuEBn6ZnwhOofery32nIzr2dJ3zuiMj1CzwS6xaRQzMOIYdP3OwN7CdMd6
6icStS1IVhj58pcGpfGmYZ4l0kYAnS2/R3OdE/UCIRZC2rypqo9c5QANLn4rD3SyoTGFmTN9l/mG
trf85k6LBuOakAkfxB6Kv7G6zVpk3nlKDBnJkJTB3h0zPSjsRnTn4L+8Du66N8E2w2i0t5aHS64l
zkgX5BphHSVMhOweWNoq9UjlH9UpZ2BksDwAoKyRt0iayNRTbQPfzo6p8i+qzJHFgJ5VqBwSWyWS
1Ezdt4oSevGnZTpDxqH8JsHEUlkmmUo1KVS+iUa2xBbYPUC9qb5IB4E1sYh1AyZwiiT+OnE3EJey
aHTB1MUZUW8hREIggFnD1kSlrFgqb6VUySsdESymymJJWCCobJbGWMEzqryWeiG4rcXD1ZPkMvr6
naayXbpWFPss5lemcl86lQAjqmPavBGCjmAhqY19z5gosOPoylFPeoyhOSj/xMU1ikMkRR1WakWW
qdSZZhTWzmISmEknBiZHFWcYJJ3qI3k1To13B1/np1y7e8rK12FmkMu4/zZRaTcIoyxwTk/t4oEi
9h3nMJIX2639Vizc4ODVvT32oP0ITKJQVIkEvESvOBNtt5DFJ8vvRAG7O0ua5AB8cx64y4lEdKO3
4SexAnQFiZhp4MPFW1JkVJrXQ/uMD5biXYxRk4Zew2MyDuPGhRJ+U9Uf0imOiGkZF8aSs6TXFASR
ZPPILg4lb+FmQbeR15wzTudn97nBkFPkF2EZ423caEfCcgjppFEN9RrtI8q4dCED0dCsp7ome7BV
Ia8ljoiNaDKsc2jjYrfVblPRJ/Safrf1iwRenWG+pDMDLFT36Ptsfo2kyi4qXtYhZ5YyRyLHYz9H
AK1QUbSLCqWtoAAxebTp2oblgJfzHXAgTBRzN5reg/RmD3Bb9DUR02dlDiWsqOHTTseL7M01iF2A
Jm3zpFk1CMt0bkNWfduaDF1dhemuffO+JvTSwIQGAOiVvB3N9NOl8+B4Zv1flc0VFdv32T3PANHA
rhOkMSa5DOg47nHKhbUK98WQl29wctxOcVqg4uFNXPbpnZs3G6nCgS3BIHHwqE5sPs4I8y5qSKYy
Vahw0pkfkz9/zX/GDavgYTFKe2fVa3q0VSxxrwKKo4UBLVmQh06FF6+kGCekGf98p/4tdcJ/XXzw
K5jofx+2D9s/chX+h6oTGIr8Unr8STD3+C2ZlvWPyoSfX/SbMkGJCCyENWgnlcDtF+U5iT86lYvJ
cMlgtPS74RHDHGpCQxXqjvv7pCBEcgDPbYIEKZutv6U8/5M3zBG4oxgh8UHANPxRlyB7jRWpjSES
Adm+1KyTXYzs5lGFdd4lZ0Ep2C5WSM1+uUZ/UfKiufh9xcu3dUzsbeSpei6dxu8r3shehePJ1GbS
UoZgMqkD8C7iE4q4jUG7n//9twNP8advqNNqU1sbSA1131PV4i/NhpG3vbN4JGog58qOEHK1zaBc
OUuZPBir0eytSvueS+khkvO6oMx0AMNSxX8v6SeHCSDWYgG2mWLtsmyX/f6+1ptx2/P4Bq4pm9vv
iU1rPPdagCFOMgZPWiJB2vliFPY+L/SbqFo+08To76oy/4ZNt9mYxp2P77sSAlW8ZPQ0o2xqpnUJ
R4utqN/SpPAFB6NTnYobbRzI2hQGy7KLQBynZqdvm6yCiaoD2J9NeexTuS9NMJVqGaBrvMmlAxU4
qr8NvfWBgjmyCjCN2JnjLDsvpahe/cUOWzMdrkyj5y3lOfObcmuoPZ0W53vWy/q+VDs82ebJrlyz
nXR7EAIEAFu5RlKM80Hk8uxHDL1RhKepdi9G9pNr9GWGDpX37z1vUIPJVF9El8Jr9hMmrbZwv8y2
fhqS9KRYeklkHdbYOoB3OK6w3FIyDJqhuLDdOEQiOemtIioccg5EMZsQZPPDwJJHn7tj09s3ko1s
HT2ssRmmDqac1jzpuQYbID8wsdhH43VBRsMQJEwM4zRlHy1QBz7zhXN9V5fOoR7yA7ElB6OPdw3y
N5KX96uh7dxMkDBEAoabnWT0LNDoaax6kL9nODS6bIFcPW0xQoHFUlUKi2G28+TLHirkkXGRnqbh
oDvri+aTrZgU/ISsK/MZAzei0KG2g1gfdz/F7tJ5LJLqUsEn73HoTVlGXg5RmgZ51QYbf66eiSVA
awcSOMqLm0TbYiIwqo0u1kRxFEHbrO8WHdrwoD1IwFf5JK8LnA6moj52ZlQVmk9gjeliy0p1TFJJ
N5IQzpx2zT/HpQB8vqCNa1xKlJgZnmixnJAl2eHz32id5u5B+zWhhLM36jQvC2HG+1TH3SgrPcjY
OZ01E1RfO7ogXy3qwHX6FCvbKDyCc5rdfFCifOpKnW5EAneo8UloSXJjSO8hq+1tpJEgg0sNnsVm
GU9FZx18artqmXAKJKeye7EzJ6zckVSgMpxJLbfTaNt71mayskOJaMbNDhacDMny18R7PcAxRIkD
u5pfKJFiA8LQCi086qeaJbsoLpQwu6LFjDbERFB2Rwq6nTUgNOev1R85hJMESpeKSpm9eFsRO1kh
aoiqHWJTUi6hyur8X2sRdj1XDcBwpyXbmiy1rKQUYlenyBwWjJHWdk42ZBqWl9AcUBdVZ4RngedA
tahvlSpDCgeFp70RJ7PPIDR+7bQlNAabAHmsDX50mNsHyUo44zpV1oCW9Ko+d1r4N+z8EGbksOsL
GA6hk9hHv2hUFEldnXA43Tor9yUmig+nTOMrAqRjaVfbtX5Iw0gUX2onz4CbybsyS/bqU2P02xU8
bQu5JZj7T9qVPf3doIS0cfTFmEc2tcM1r+2TVyR7yUPgeNrGxiGBumazoHKj9SZDLhhizBlg9hf2
BXUz7sy6O5ISFAzZQHDlV6esjjPL0cFkmyvwDR2mmX154xn5bsqZdACIvFYaf1HmuvGQI6Nj8oNZ
IcrKwFfogaIX6Q7+42aZqic1ttqPRXSEMHcTzevOGdKbkXV1rcgu2CGcluOh8KDfaS8Dv1CNjFIr
mra5VSCN0b/BlHnS+uEcQz3l3jz1rf80j/G+j6FOj0gd8vXV7gm7B+ccwXJZvy36EoI3AU03A56z
T65/oxI/SgW9rZNtW5UH9UcKubxkumC+1Tq8nXxHk7kxpLiJJ/eSwUvRo2FXIBwRBazkEXO18z6N
2k7GMNcXdu0WYahwnJNil/TmjS/G26ifb7us2TmgACT30WacjsvaH/N6ubTLdjL7gIcz4P2+j7Hs
stOxRpNxb8T6hdYc1Htdg9pzOQNjrCNBm/AuKBqjO5CEULMoxvRlrzfNMuM1GvINhzLVu4kejx0v
3wxkkKuzNZCVSvnpeHAds+EQyt5l4rEgov+rPHQBU1U8G216M8D5DZaR2VttkYWgQYYKdX8+GEPl
KGHiGs7GuUubzxVpb+A2DPmqWDsNi2sdxdT8c0T0t8rZv6pDf1eo/tfr3f+h5Szlzy+105/K2Sdm
yvHX4Y/17M+v+q2etRhpIMC2bCpTg0Hxb1NlFVeiFOQ66SMElrjid/Us2lz+IfkmyF8pbX+dKpse
nhASwJjXWYrb9TemyvpfrYVU7IkF2YH87j+yOKMIAKRRGyBv3WMt8t0g7CuGvK/62DQnC7kCGM+w
nY0Lk/HT3Frq4b/1FOJYjjjTk+0vV+8vCl3L+4sNLcEtFkgyFj2W/rMy/aXyJH9hMBP4ELxWDRRv
anblIxJV6Foztzvy+OpLPGL/YykLCWfKryLXHpoxHsPYhBxtt2vJ0WYe13Twg1pp74RS4Q1Kj9eJ
FEUZEj0o8UiplGhPqfdWpePTlKIvnutvUmn8/Nm76DFPMvkVddgpJWDS2v7OnR51pREslVqwVLrB
7FjmLtwu5dCP633k57FKRU4QMLiUOg0skjh5jXNoZgPVLhHgr/N0NGIGT7rSLc4IGHulZKRmKrFE
MgEr8nPvXdyoLCn4qQu0Ruw85JCO0kWaCCTLRlKxRWYXtM30oSOizBFT1kpViWm3COziuRXeYc4w
e9gKQnYZlRoTQS8YNaXQNIf8OgwyCSTZbiUizkmpOTM6/n3mztfGHaN95t0nSvlptDleSe4PB1Ho
xPzh1MX9pUTUSkRNfYj9/Ee5ZHtXKUr9vnY3FDYnF7EppoxTlLnnRKlQvb6cL+NPZWp5YXByXaaM
mVmXJIGpVKydRBsI8OfHnHsfAqGr8VPx2thzOC3sk5HlDSoGgp9OsnNW5IYDjKFuQwnFyrYeXtrm
3iYYojPnx7zKD1IUh9rVtoVrntrc2E16fFyL+bGy8g/P6PYW3jzgB1VYDZjbNYWi79h1VJ73Y0q6
uzhKyU21Tp63vruL9pr63cOc6iQb9huZ2OGKSE4Qa5X6kO1iWBaeecrwoAxoncf3HotGa+Avao+C
9Xws+Q/4DHEXNCWjK9GzgKiOw409zJc8drCDWO9eCqQqlfypit98mXfqwiwhSs5H0/B+dMkQ8LBC
R3KEHajPu8oUzRHIcxagDOm89s1vavC3+e0aS4XHg/HmkDqhZ94zOd5p4Mw2lKrs3ie7smzsh9Gc
eM5G/2Hk9ZX4063ff6/mco+lAz/Nq5f313UQ31qZnFRrgExuH8fgYq3oyzIPJF/Wd5nXnV1JumvU
3rsRxioVPJBn5jcBa2p0q1fP0b77REYTOHCAqkHZZ28mCgsX3OyiEYuJkszP1rBJ09NIKqBoGgy3
crO68dYq4gc3ba+cNxdBXsdITEA7QCVp87eSnmD2m0NsaWGHk6tz+pukdIK8iMPacc+j0FFiFy+r
GT+Xdn6drP6G8nBVHhaNid3EoVF6fVj12vNIpqHVGnQw4hJ769GV8TYR8jT6d4nm3UsGqovunvUo
20cJhko9p5t1zhE/0mxQi47xsciTuyniR1zGm2LsNstdZkw7aYqjXeEDJurS7lKKEv+QOeKoUGoe
DeqEen3MT0vVhegeALkDVmP94BpHD4GqC2WhT1UKsX4sociZ6C5Mpzk4cgYNNe1A4QSVCwm9J+iU
z0UQ9rnzv0uarZiLwd+5hjzZZf+GuezKngEnME+o9uA68tPo4ocpL8gEdhG0JfleF9pdm5l7x552
q92eHNsICqKe5hE1IDl6NNVhJ3+mixLCGE0NruHsFh3ho8UOu2CXXamltqm222rNnTFaD0a1+tbU
ElxX63CEBHsSZrSwtUlCuCyte21/rs91nwtCdjovlkST7iUWHRBCE6H3xDeb0nwXOyOVGiPdAZXw
JvNcNyAEKGSjfm+Ioj/l1ZvIZ4Tz6GgI2032I2sanVzMxGIAPsF2O6KaDpoR1oevAgVICQRuOOjP
Sx27e4Gp7OAT0+lPo3OjImuSWT/W8UpWZ1HwZRjUvG7Z9jMj+QTdXcu9ace1f6QLUNJGgpdG1Gxz
IuvdqnO6oIrvs/XkUp7vU8FPwSqKYxQjvIXNfojLk9aBby5xoQewcNLoq2eRGKZjRt+sOg0bIZFP
XVa/FZ6Zbe6bzpan2Zie9XhGvJiIBvOZ92nqy2075tF+Hb1rPvMSGF0IG7P/aY8GZkNg11SGMOMK
k+1WlxUkfSA6Al7o6yG+y8AxZLNjycP2gJ3aXTK8ddj5yxcwXhgpKY+DZE2XG6NPdsyDEOm3UMt6
QI2LLt9sYsmOA/SXKHbDRpvx34wlaiPXfC90645/ADYzta1wtmXYRAKatc2Vj1XwAsean8yoRuDR
pM6+Sgg5yQ2CX/59RaGrbfDv9uYsM32mdZaSojEE/MMoK5padIq6Bp6u534xcRA0pAcIM0HfpR0s
O7svYvGS99JDbmRe60xgUcXCIZSX4+dn+f8l9NfPMq0ge/Zt+q3/czFM0fl/l2Y8pd/Sqv7LL/qt
gqYOAisikP7gq2bK+68K2iQXnuxRDwc1sF2BTew3FonzD4cqEVczGLGfWsN/VdD2P0CPMRQGJKbG
yOgL/kYF7SiZ4x9uMBOevfB1nTG2QB3y+1kpey5/8gdAJCWkC6onUpLkOeuOqQ6SHcQoqJvPUnGN
yqHcRqR30iPcKr+PGVSteb+aCUxClECaanghb/b1e0z+O2ry+NFHwIe0/M5pgiwxLvrcIEHG44Gh
c73F+vzoNP2ubLFXOqn2hC7tkufWQRgpuvJx11TDwGjAf1w6++T7K5wwZBoivpGLiWR/ODcuU7bY
Xm+r6FS2KnK2nuMApNUP3lDnwa5vUFKcsqokCS251A75dUf5ZiXuA4y2e6udvbBhSUjVBxtjYBDc
d8lWw/p2M2HnaLDfblzJglqU6WGeogwTXQZHrL6tNb6UYE6MbV5xcZfE3Au5fA5lebSj4iNy028g
N92tETX7uvcdtHXEpSDgDotZR3eVuhdvqCj2JNEqjYsMS02rOdOTi27HKn3WcTZyWjsiP4BotBrj
42nFkF1l0Vk3j44oCD4R7nnSOUjJ8m4hoaUk9jTPIlW9zstoMcjAn8tgpd9qCTYcUTKJKjV+M9mC
eMBGZr8U1rH2NV7iibWNdSOsM9PeINcvL06EUHCMmAJMb3NeEMUdLW44SmJRCoST2ATaZ3JE4Bun
Njl0zGTgkxV7d/WJnc5/eBa0r5TubDeZ1UdbaNXB90kRL3xSd4HBdkh2NlOfJFuvdYErJsWHl1N0
dmZSB/LOyMh7bfMa+kSEJC5iaeak/ZONo4bR3niKCeDbmN300LImDeNq2RO4SlvgMbZw+W0ySEcg
sIx2fjCyCROwy4y5Z7YFa1bfM5nuoeqy6swn1yVfhV+/rwWziJB+4wgHyGxdsz6FFLDU+yp/Slnc
BpGXnNO+Qk2nWQaKB/M+Kph7OdFwsRcKUax4DCaHjeHkyFdTtAzF8kk8FyzkYngylgUkBhQ2w5Kh
zq02pOoN3xN6j4cubGlONlWLsMNco+eK8AQuVaRCAbriOLcm29f+XFpNcSsGa+suAI3hOJOXoIEW
GKOMnWiCMqhgVOiV0LFkqddoW8sljAwTYOjq3+W4K/ZLyROYrMlt66GkysroMxMWa5JRl9t+dMAC
qjamKNbjutwQQpdhxtRsIMAe4yawB02tk2o23me2duv0HYjXTJsBOyOlGCHHGcZKhFq0zZ0a3VFC
A+hDKlhy50vhN7SV8bfCrJ99ihkYwHkgV4pIhort1oXMLfXlYKXd98mKscq2Pu1Sl58R5yYHkRdv
UAbvfdTKug4/DzPlViaGZB2vbeZB+84WFqEyLO7cAGJQ0+2t+bxJ8qY8OJr5PeqqL3ELEibFFNR3
XIw0wxNzwgq4IfW+NXOEDdGmEod8bDjmqvKlV5WMS5mwaRqTgECvQYTWYrXxbJoYBZtQGDoX/C92
iPquRM7ZVUN0LGbsCEicmLn59Ac+1L2a9Jtq6A7PkSnO/az9yOT6TcvK9xgFcp3EH4VgoMqQbeIg
KNYfjRAfpSvanV5Douj8fjsDk9licasOWjw/a5r2VpaVygEik0d3Assmipp0Jnvr9OXX0nDom3He
I2d5FnQDG3Mp4KUaaASqGvuVYR68zt+BcgC63CTPrZe9zJ5HN0g1X9gaTjTZbrt07LZ2SRSgZgkg
1Wuxb2sD6rKb7itqLclebReTHccxVl3n1f9eZYBTFwsqcVmuPcbk7rHNZm9jx7jn2uSHBbd32xgu
mwkL1gazqbdm4IblOGoqYNvDFG88fCBboT+P4N03CD9eF19Nsa0rMOpjRFxkqEEVOAqnPyyJ5Z7r
1hrDVvSs0zz/TK/YhObMEmVgksz4sgNL587boVQ7fDXyEDR5cKGCdV4uhIE/1dHtJOMXP8e26EVb
6ftPplm8QTFoLMq6lEjLdbiySSNluuu+9s0TrGoeBgycbQ71CbTiTeXyY0yzfzSiYu+w0PPl9NFn
PGo6A/s6G65Ds1/pXAUrqdo1b8wCDl7ia6YKUA+iWb9Cq7zXo+qSFqhCTHrLIUZ3RpOMrsfJ0tdw
ZLDui2GnMy92OTcH9iAaUre5YGkgnIs91pB+eLU6cfmuRvng+FQOXHSx5ZPs/YvGtMvhCx3BOZzS
f2WwsSGIqj0VRjl7PDHOerBeLZCJJeKRvPyO4Po7r7FPd5pRHipmaHdFeXpp53gvS6Jp8EJ1BWgG
/I+DztLRe5jcGRP29HOzmzb3hBreGEZHqGD5mEtI0p7PpXJFcmP35dUws3dzcJ+6KL3XOq6wnid7
A7rP0ngXryEPmBH4EMVvNj9TXFVfaS0PC4ruUcRhg2dctMiajI4xg1t+lbb36Qt15C0FUZFkmgar
bb+tif7koBfdWOtHaRjXpivlrjA45gH8NzTZn5k+PcQtq0AM9PiNChY+M9bSUNfbHTKXFs05l0Xj
Lpirh9kYH70ckzs5jI3fWUGv1nXp2L/nVpecvAnm4UQofQsQJLTK/EQRE2InOPfdIjBldkHSVB/S
rW5cL16CxfF2eZLpW7LZTm6X1gdNs3/UqwWE3tgImQNtqS+D616GEj6cBs/T+XQ0jiIc2KmAiOXo
m75qj01DnK790WTxLiJ6stXKO8QGF37JFAnjfiYvMgNAtSTyTke8mLAHRFSy5QW19WfzPk2bgz3U
j0Ph79GgBJbEoA6cvSIScepc9H71AVTlc2xZTCAdZGqvkrastc3bfgDK72gzHJwXRiI3npgE+Nhh
O7uobKhmXDqobK6PNj9dyd7CNF3g2fbtKNMPEsg4njwM67JYCCUifihzw0G3WDda+3Zu9klcPoLk
esnXPoy7c6HP/4lcgIL7zyUwnCIFmAAcIYAZ/b4Exogop5l7Y5O2xJJBQSLrEHwQ8Pw7s/HgqOc1
lj52Npn7WmQWNH1/kds1jW9p8gPD4xlKa9PDQmx90+nTwra0v3TKl5AJKJVO8m57FVYaS16jPEdH
x60O13Pv2Y/tpMXYzOMv+WpcctIOohltF+OrXdssjwP398bxuRCpc/IGGLpzx9iRgGhM88jgiH0I
nKHKtwL8AyADmDiNZ4ckur0aWabtS4CimjEFwqX2E4C0N8jGHEjc9qvpcBMiGJt5V29KXQOm4r25
SfthjhFV9xB/AAa78EBcKBxPhX9rFoSMRoV9md3+YbSL9x5gGQrUkLs2qDr3KdaQF9o+gIO8uBDj
Ani/vAxIFOJZPmrpKwApLpx5W6TerUpi4Ce5S+v2frSeRqIuO3impOCtGkERK6bABOlAfFs91FV6
dHMZ1vURReVReSUp7o4jOzM8M2fHL7eDH21ZAsDEyG+z+Wmd4jtc3ghcjEO7ABCucHJ75SWv5rPb
Jbc9LIcc5kFCpkNr2YRov/AWuZ+lywcgXxZyIq+msC7uYk2+Oll9x3JcWFenbh4bh9PM8PjkDTi+
gdX50hi7VvfuUp6utdHvqYovZjoFk27hOJlu1Cu6bmH25elzyibSmY9962G+rYBJDY15J6zldU17
we2TgCxHAjFSUMLmwyepua+rWLhjaloyc4taGAT+yHuhj2WiMAIgwCcyr2TzYNbyRrZ84xoLN+6c
KHA0A4Vb22I4FQ5TPKcTgU8gdK/pT7UOIsr8GNz4fbLmILYzcgqKrywRvjVLtqn67plx5C2TBy7P
iAy90daNq9vupkRG/M8hx3/vYOH/Mcwpaqh/O1f48nX4/ONU4eeX/HOq4P7DsFTSjsMEANIM8Ibf
pgrOP2CqmYKWhNWb5SBB+3WqQNI2s0W1eBOKNP6//gXAwZ0o/iPrx/xbaznnTzMFBhcs5HyDXRjO
EvGHoRUSZY0sUxsp8SiKYztyRwG0B/tvOVupz99jn+6ycyrCOe22C7EtYdxC07tpkZWEtedWuwEv
9AbtE5vnVf+urbQL9Yi4vSEHO1iscjmbltbieBBQNMFNtEXzUcHhIsQXqWxC04chItnZ6TXK9JNe
LYgElCzXjsZh09m+pdRTQE5I7jwD8hFP8WKPYRFLjIjQxGBG9tounZbsMIl+o0uJuFOmLD7QA+X+
UGym0reCGrgNWx1JQY0lzgPYYKkXh7UOOwdR3NaLXoQJm9SpXI4sUX2P1pKKhXWQVuzWAXwimwde
yiRXjhNqCrTW3z1Dcmf8x0TqL9aSvv6ntSQ5cj5IbMbhJv7RPw55eltWSjNNW9A5+h3eP4qHyGjo
fKKHJS5cqkNYEx4CXXL04kth6xeOerLU++KHKCMG1XH3JEdaCSuBfAfJ41Kv401jPgmwDkcP3uXe
GfJnGBOBybwcsCNwSiYFSKtnXCA15ddce49l1cHUHKxLH6PbNlvauGxtYbwhz5adA/17l1YZ2vnE
zraLW09Hh4lOqQHttrIFgQG7kRvf0bDGLKiHiNlFCx4HXhfF+yGuHeJM+ibsJzni7x+RwajkW/jd
G1S9o16hx/dCb6CTSyx6W3clboODvjeQnzkjc/aKPWdMAxvVTr+xW+3KMtsNLKAcx0THjEkA9bkw
t53ftmeirsog950Pi2ScQyGXaNOmOWOm4UebLWQWJ4XO+mv5MnmAwOsYCFyOLehQIrLekfoxZp/u
2GiP7jpdhlwwU+lR+Pkem4CuXfHC4/PTHOYf1srmZBri/tj1E87M1N9IkoM63623ul24m95qDmtK
1CycTPNWFTKth+a/cgjKaPLHtdORW3tM4+lDM2zNgZDM88de3CD1hh1qNcAajOFk9FWOLbiSweRZ
8154nX1j1N43U1bvUSqT7cta9eyW5j65WztIAkQpN9QEJnfAguPBy1KG8mkKcDjfJo40dwUpFwQi
hU1LELbbxzd90u+Em/ZbMnJLwMZ37ZQWJ2f0brXoi7SNi223LCYm/j+Rjz4r+drk5vKgmYT1FOSO
oOK2StBIcAmczDtE65goKdppdYwE2NHoh71CI/t9FOTx9IWdFIoYHeZbUkiWl8V7ZNIcGh2v0Iym
VPcXZ1eiaqGWRstOljZTqupgT87LIqj4zNqOcTMhiLcpqvbCntGkp4CbiyocOucK+iIk5kTuB4s8
Hgo7jh7NIW04k1sPa28Ds1ydcRTC5PrONQvtLlKB1IAAAz9XrPeO+6eXDAcRZuLuvq9T+5OM6IyY
lFOJzxXvS3YZsvgiJw0BqDHP4YDGgO557jetFREJgylgk97DeuU5nZJvPh1SHYFiamFVHrOe7OTe
Sffe5L9Yg5dumxrHaWHFXjhh8jV/9Oz1y8Kt9wWq122yZE+TtdcGRkK1hU4sm/tjNmnXvMNq10yL
S0UqX3MJ/Dyu4mfUiR9pW79PkrscGGdF/536N4juU+SoiJt6TLhz5Nx5YDOCrqdj4/2EaGAVP8zC
P4yGdpsNn9pkHUlGgCYTofZsgLpjapjfmRG6YZHWHswRwhxSzR2DNq6y62QM57Vt4wcNSBz0SjVP
9HQiulchji7/0qhwhqerTappzPJVNFgt4o7kdBgbc5BD888YUwcQ3JQuebiIxcl2RlGV21nje3YS
D5iZH0xjhCwxNDlAoMwO3VoSE5B7IR9ThMbIpS4dSfkp173VVA3HWfQq7QSLrls+C51WKEkcfA9D
z5besHcFVPBgYI6EbLS/UiAOmwKv3ybNW+Y5i3kuDAPm2zAR9WZ86YvqXS9LBMMrl0bAK8PcoYNj
Q/uQNkW2rZgEB7xDR5LcrJT4tTbACj0iGru0iXgsBK1G37Mwh35DK5GdGZAgVBz8Z2K2r4OBo0CS
mzWZ2o486NYFJ+qbh8rvP+LF/5J02mmZaXWU/DBynjPVpLfOXGyWhc6kbA/D5DwSTT3gaGquAo/+
xnXCXsT3mdHBM0JVaHlfcglGrtF2IxFhSTHf9lq8S5gkJ8t8BnHO6tJt25NFQwEVzv9C7hr5HIRR
TFHJKfYpSFxH0XZXV8krEkDA0WqD4Jn73EXkeDRZYCPDXLCxlKEbgRERORadpHwvm5Gca4aFTGKs
xj45MlnRFSOfcz4tTbabSi6XYtBp+RJYLRqkpeiivovGPHfVLLmR5cjjpX8zU+2xN6vAKebtPMFI
aYDMxJ2HNFQgG29Vnomukk1qlXFiqbQTP+pfZ8d19nJIfqw5PC4UMgHaD+LS2hShqYbgajNlNZof
f73JCG/fVu5rk9M58QbS4iw5MVK/17PqFTpqeV5Fm165BQ4439/ypnKucNXb4dpNpCB0CciSSaux
yKkYgrz3lN8TQYbdy5OyygNLyDargUPeqcWZYCQ4AGZsBL5za4vks5jm5WERvhX2pfzCHeefawvp
bUoou67FcSgT09oLbpz/w955LEeOXWn4VTq0FmrgLsxCipj0mcykd80NghbeezzOPId2erH5kKxq
FcnuklrZE8GZmI1MFQuJBC/uPec/vxmjFD34kAp4u4ALECbJrBJ8QJpg8dnaqnsywrTCD2dloxvH
seHcYFGEWRWGCScWYqIes9EQPsw6zOxLGPeMVY3oZ4JYurMm1SBtdLxypf5UMQu5DT0GJqCWzizS
65uSgqpzTPXCHDUMC+HU4tpWHMLf2hayl1WNHvWDdu3kAbB0p0antucHEHWJUO+c9KyrmZSIUzUf
GJ0WK9WmHQdOdBhIUILJpPzBXXei+WAoGrwOl9QJvIxXQ5bFS8eUdo2VpgtJr0DPSoHrYc1uWsSz
COGeyRtxBK3jzG0Lb6UNMaaMNMyKnxxnRl+SJFMjw/UgFRAJJTmWtFYlmPl9ABzV+r2+gAYVmJw0
GEZ4m7CFGa0bjr42GvUe5Uiy6o3mOnfZ9IH6vVki4PsiSN2UHggQkZQ07YyQj8IK7XOmZLdRZy/a
NoDacdfbw3HsRi9B4C6plIypj+MpNID0pPHmPUgPsy3o4amCJlorT/TQvcoBDJKke4A98KJLjNZC
NYMIr73kubyN/R0IVYnRcBPPm7o7IpEjmmQQmFzn0gyT08hZGra7SQQvqBxy7bDA+ayem1F6ypG6
cqHlY2R3lajVWoPJ7sXehVNrj0VwlRbWRo6Dba5BW5eq+KzCMtcGxidVD95ButVhtziJs/WceBes
255OPcc3Haw4nuFGtSWRAOcw7jgq1p3R4F6G35QSnmhUH5gDnsWFh31Wd1RI1pWtOmg907u0pcrU
VDJdiosEfYCixLM4y8CmC/mxd2lazGHdgvLvt56sxV2NERy9NzBVx3PRYz6vkmwgUcOZIrb4uea3
Cun+CrNpsEjKXDnStqhi56HVwOXKT9oW1JD5C9O/ixC9N7nSR1ViPhGNNHOUFVimX+mrwI5+BnGc
l1EE8waJQ1Lex3hyTEapspOWuwAz9w4RQI05kptUc9NNt5UyK+sFLzcgrq7tWnbiAmIPhzMa00Qe
Tq3UOHFyvnJJrCJhZzcW1ocQTRZGHN/mYjGC0Iodz9yWpRT2x4PRgfeSTOTg8V/1eBsmMzmuZdqV
9nikTLspciIYz6WmoEhW8Y+JswDXxhxsUnYugOL3t7KUaYWaBtMpoRrNxM/dFQjWJpcVjwMu2mpC
uhFVeI4UYBLZTAj4dbBLPlX48fFyYkfZGo9h6N6kXXiWI38IHTLXtZbukhHDTGuR8ftltyXez53V
HRu8bJyVioLPvDyHA3mX9eZFQD4lxRauifY1eqwdXomU2EW1C2tvzaBjziA54WTgI8mJ5bhzN9Ru
1AHlzO+bueHqj3rk8O7Z4a2iatPeQzBtMqRGz+KZzjWJgucGiQIm6H4JDDuDaoMdIB5PphdMBHqF
HuJb1u6sXMHkIFkz3NjppfzY5AGRCvYFVRBndzerEJqGcnDH1G9rmc15xPol4scnGWniI/nzM/tc
1Z4aqzsZ6W1Vb99oiXVpufo5ZcksLoI7XOVOPXgJdEqlB/cUWWNc+9jj9OQBlJXizx0iO2vNKbBU
aYczLZDXLdJKKfc2UtxsvCRJtkFMuejrXX/UlOGuDmFMpZGzaw1fnrUDs2C5yBmSSO0N/mpU3eZM
1V22qppmgxnYGvX6E6kMZ1FoQblRmumfnUG3KkXjaMbga64l9pEcBaRRILCBhRrnC0oW9AIlOXtx
de4GMcPwAXq5NSQnBSrnSWI/KTk27LaR96s/Q7DwJZsogUmioPewE8o9tQ7NlauJE0pqZVLbegOZ
kS5SrRmLaaPNtAyhINH7Ryvtnv/clCAKTUuYZR0mIAB14E1jXDNRg3d3jdabR5Vir1QEYUs3q9fj
ZKYsIxDEEgw8ohqXVMefpX26C+PUZjaLqF7PXQGBkZrZzCCcFnEIiwnlpwyWDrEfilgVZcMiz8In
kqgYvubTRmMfTeNMAs5M5nYji/n/U3j+ubsKBPHvAJMPLPjr++jeL3/6j59u8J32yw+o2/ivX1E3
64s+GnewoCBXWDDf/wG6mSawm20ByNkA/up3ZHioPEJjaKDgf0Jm9siT/4a6QeUR6EEtXft9zmDm
eEtvWTzCHtO4wXcs6PiGzp19r3hs7KAvfYeNN+1JHpCza5G2ylGUgaDrZjkhYaycOyYeXoha4shl
+Mr/4GonkVotrRQthtME6xxmtCPTIAx6/6wUSMB1A9KvkbbsiF7KdcqCeOfzsOrp4lBTTsoMmksn
LQQcTBwZyN4LwmHbRmycsivFxOpZYNXJKTKSqGndo04Nm3lrLeoe07CwArzPxAWD1yvPihX2bA4l
VVgAYW1PaYHt4DTKtjLOwVgKB0dRRafu6EvPQLqi9Ww7jWUu2oItXxcvjq91ixS5YhiEjG1ruCYm
PslU//dBMvowOLgsd+aD39s+GZslHgqBYM+mFwsCIhHw9eqoT6fKkDIclA3MMONuBXekA9PC6zKG
QqqHIpvnrnOuh2AoPsDavAh0BstNsjLjzObhRjZjH3uL9e1V7kEPjjO8Ww3jZ51AASJfB8B+s0cE
2NWTzlBqnBMKDaXZeSEkYAgm1kzAhznhvBaQFbp9XLrSpapYGC+jaizBoiZuhJVa0OWYUXcksaiP
zFMIF5edaFr4MYsgypJ5kQl98ZL7pgI5yzzFcExAtNHxbYrMOSyFWxfuAgDoqiNPFkwhuuqCGrcR
qNGFR9MeQ30EP5KvCrAYzn0ZzyxQEyXyV1gJWGyqzsKtGAu71OgTzKMwSFOZ8uU0IW2MIUgMDco1
I3nZKftR87PSej3ezJ2YakoCDCoF+SSyjGZhOgN2Mb02NxsX+b8AEGsATXOWcojHMsFFwDi2SGWk
//EsLFDcBqU1TTKf6SlK4FnC7ks8iLNOiXqdeCrDNhVpYlzCqBniEvs3Uhs4CVKKWjoQq4G6XUR0
Hq6AdaSZGUmIGSGZ3YDAogabwUyAhGLiL7S6n2UJwGfZw1vSFX+nozeddCmdvUv5hLzrGvLWKNMw
p52r78K+wy89QSvF0sjpKloq1qkbRvdemRND5ziw6HUvIHLLvxyY6rLhizsPg1/MjKAlY1u67eBj
2Sb/J1WGU6Rv8YLmcqHl0i0qqhMnund7+OmSaS3UmMAQUQOI5iI6zjxUYmWHpGMdUy5C4HLQHhTn
RGOVa0XgDT7wCugFNGfa78IxZZIAYY5I+DLZJJhnEdPushTPUWNf1w3+LJKbzjM1WxVphSrLRf5c
Jirbg3LsOE0L4qWOLmH9OfZV3hLEYSo5yRF0L3rrFuneCn76qdJqNlxsdzLyF7yixsGJiDLEolKO
MR8x3QtV61dM4HlpM72cwaQZsy+LIHdOzJJsw7CiyBhQTxZyvYIrFkwywfQtkMD9YlgdZJxeFDUq
54zvEKLnpDHfmYmX0EX7sOzwxPDM/hRaJTlqBb/6rJJOCqKEMVbJlsJrq1lvy6e67zxkyNinUEqu
PRmmvAh5I7UY/WxF9kpigAjUFbQgCX4QISrxHAgygzfEGxxOE4j70iSb4TSjbwiFTsHIC8hTsRJc
hEb9ZMNLXvkh4m492FhBT/yqn2/xFg34qqa/8eGhwAO8iqwm2nhleZEri1jmG8VGHy8GrXmyIeOQ
P2OTi5yGF1IfQsvwvOtQi4ulZqa3RmSXUyEoTmwe97QwN7KWTPAGwio5xgeoI9pYeuLXhVO4pZ1K
wxByJcRIYSMua3PV500Em07wRLvYnsSkpWuSe6ZkpNS12ZnhAk8YdbpquyM3wlvJskeqFaQRhyon
u5asQD/CqGJjEAFTYuAxExImyaYKWV6gYXYLJdmWGVqWvh7lyiaYfHaM9HuflqP1BkbVCmiFAyAk
yfW8wX4FQZJ61uHANJdyB7QUc9dKIQwSz3OdlzRWkA7flJD1Niose4fEPFw3Nl5QrCQ/DaGZIY6J
ndo58QalWoQF2LblSus+sZMNReNCjwg7TeNuo8bs9w11IFg1oiLPNy0iu4N4JsNepPKMyONxMDg0
cv96qJt8FZbec6/TOySxfgFwFEzsxLyS5A6PTNgADEqcTdWq6aIgmoCkZ2OeuBYc9spEp2kPN7Qc
a9gw/cLzGa0SqDJs+sWQc4RBIdUW7WPWiPzYTNgZ/V4ehSW4uWOrXXbxhSi3NH98n9ZB0VnIwEGo
jKTCAQY0ijU5vde1PowpOIjoVTi9vsA8qVPca89O4YZDzGuN2tkprTsvDIZveYYfDAmdGLn3j4G6
iSmDpo3kP+qB/dK1mGPJA6YDxHTeq4mzlBkCwSV15WnQumcGg7SNImH6kvlkpAMZICjAjqfNVW0h
sJufsqa00Y/7qOtljHxHrV4czmSpVaa5NbwEAhGzLSrmf0b94NXNOZ1mO5VGQYZbuMetjpNWafNy
wV+dRGXgTruQDAMFTVHex9c4LrJt2TufsPljDzkT1J0YwyvNOS+a6srXE+0IwmMw9UlOZTQuKaMr
i3qCU7lSiUWQovO3HPk2bEoMcmyTJ66GRxqZ93punQS5eewKN4HN2+JA7wTz0jXFMs0RljBnXSQq
RF+yOfCycq88ChGwkljeSuEGj+32MhuHX3J3ajleM89N4cyYOeXE3GA5kfhXlo9VkVUNzdrIL3VU
QGTNb/EMa1aVjN2TgL2FQsOdubL/4hg4RXU+LkVhxpDOBAQeeE5+ZhpbIPJzQ+8Q/eqYu1dxo5xa
hVjUloyKt6zVtTNUJ4XkxqT12Gs9sKgSAvtRckymHmW+M+SepcScCDBV03ztviBinoEgNQp9nhg7
PrQnFy0tYD40CJrqemJ4cKxscNGlXfqnDkYYa+ApnSYyGLtJx4eX6hjOoho7zWDsOQHMmL6MfWix
70gt+7aF05WBgjdDidd+eZsKiILobiZlai+08f1FiY9NW43tdEwYfZc6wySUlGcvzu9qm6Ft6BUp
XIhhmVWEIphSMqJ2eFG4rFjsPdCMD9pFF+TadFAg62U6avxYtSaD015JofNzWDknMW4fFvBGQc3J
nogDrVT317VWNIwBw0tJEza1MJZEGJw1ieutPYAdRolTxeFJuqN2BvsqpogCPzAcD0xGiYvxHSN3
CvyLneSOTX489C12rB6eb9N4jEylmamlAw0nc+fOcbNt0ikbGIarWu4mSp/dFza0mxhT32UhDcdM
3YxJMpjZFEkBnljAuW4IdbgtCI/RGusBcfWwZOwAcQ3XVtzjb8qCqAHTiJu52vgA14ZxOwwsKESP
o+vZC4arwP/BAkcoY1rCLqt0rB9kyb5ucbFY+jpkUjvOtk4fbioOvkXuwJxOJF7kKlYWcgFdSLGk
mQKLa6H19N667j85TU5yrwILVO9xI4ugVapjbHCXUWIWzNCmVO6ncs4vPgEWKZT4PnU0NKV6Zc9d
0ayHrqA1cNiSW7I2MpKgVXKWp1GvQ2DuzYVIA0LVZHzk1FB6AJc+0krsfnvIjVqLS7dbDOxzBfxq
edh5PmBW91RLI1zbDqjsxykagIkBIjjtamXpyiZxF+FDhUcbTicNqSbdk96yWhUTS7W83w4Otbie
Ch+zixJdlnwZalU/l/UCY+TAxv2DgDdZWKDslrjNKzPAnASH9wQD1t/fxO/8xyIt05fqva/SGz37
PxW8/++JMhSYkf6oib+r3feN+/5ffGvcEeDo2ChZNk5LCKb0b5279QU7YRu7VF0mxhBvpO/oMiPJ
BktUOn7+mOYajs23zh1zVEveB0wZv9PVmzb9fe9uKIqhKfgfEMkm1Pf0Q06xULJTZseerjx5CbQ7
nYS4XGFPxCWSfTOat0Jj3fXSUcyQc2oMyAdhah45PjNqw7dv3EDXl2TGwRFvkXpUMTSw2D/qch2k
q6mJkcDCuqJUE2kNE9A3wE2bHleVUJ8X0phT1KewXZqQYdxCj+NgQjy6TpjLeHiTrGP5SJhl23vA
vVLDNsjduLF7TRq4dKJb7Fk+8364PnSf49FmY1rpYKLGJgSGTAWDpKg5MpvMnnEj5xkFrFCya5Xg
YVLljq2L1o41EEip3OpBsTOS+jZnTL/1i/C49bKZUUZkWnXNLhtieRF7fbO0qfwsubwqCjPESJWn
4zpryKqnJjczFwKxIjo98rzNXYArNgEHPuCfltymWbEqUIHMlDq16b3DZ1/RdnaUptS62UrqmTY1
bMahxGiKyYpmSOVEy4U2MUNj7VrxBBrQJmBQSIc1bxjMYRnOSJepG62mROCiwGsRY+ogJcQgv/UV
ahOVbJqOJiaxzCk6QoKSYI7gnGiZ+UQZ+qmX2hMXAvKwcDv7pB2P+xQ6MnkMwm9nbVpPIzg4sdTM
nJL6EHCytJuzUWxbB+Q8VDrzr2WEJ8wgx6vKA3bUzjpcSRqbNHedceewQjE5Cct+UlLsQUFyPEgi
XosJivxoBEBDU7WB5IrbeRiIeUIkhDtnagKLXJlpFvtjB4fYo2KlN7dzizJzWAi8FXuFeb8aLYCV
Mc++rWprapuo8DkLpMJdsr+Tjguxl326p0fSh24mDEQ6YUmyNYwM605WzozwolFyLK3qs7i1l2MF
ppLCV5Ns7cg3VnsHN6EpEH0DuYqB2HsbhVq6MJm8dIigirhaRGm4CsNkPh4PFMhK/DhePmOoGSLq
iDg58hT9Eh1/NwL7aUb6DlKn9AwF+DxHDzRa1+bKTY0lYjGUuxr9teivIKaMre9ssMz5SPAt8ZZs
Hdx5HgY1m4U4/wXpY8KaMVIVK4F4qbn9pChCvAvQFNX13I7VqWn2U2cglzc8VU3KLRx9MOaFa6WQ
sabBmcEJdZlHuK8jXhg6CB0NxoVVvbQzfVNi3C9rfG8K1VK3FmZHyHRqovoJ9BcLT6/FUFRPLZbx
v/+Q+afHx/85vxTZ4GD4hVr3ASm++/vfkIh6Hw6a8V99O2hAc60x133czbGtBKh9deHmoBFQwt78
zTe1p/kFsiabKZTJPWMTP7t/HDQQ09GNfvVYQR/8O9SeHCYfzhqcWkwbH0KsBDXrPU5cO4NSNIqq
T0q/PPIzitS8ssXcd8UJrtQdjhJCzOoi8MmRoPCmW2kyb1GUwxVhqjJ6Ev8BnwRk3yPvXTqNBVnd
FPkqVxS9TzHXORMpbY+QpByrbnc+hnZbpf+s2u25Ibvn0jDzw/5okTOhZiBz0pUJGusyfCh97PB1
57RYZW55K7cYnnpJmE2MONwZebxgugqNiZALIoVGp9nwhECbCyeRrn0I2lh1/4waCNGqVE36qp5j
7k9AtsJP9hnizIgiUmTqWWjJSyN2N7ZabVBR3ZfjT0jK2BXlVxpGolWG+CJ4iVO6IRVGnY8xXiq3
C1+UOzq147Bsdpgm3BGFtHNxDJxY4IeAc5OmN45DUWG6gKDBIVwQxs4Vs+FVTbcpkaPj6Mm2zxr8
Bx+hdwOld6dZ8IJEPQK/4+6NEC1SCKKeQMfrIVpXmfZ4Qde2CZXmBmeXC1+Hw+bG0mPfmiSKO89a
YEPFbIk3dno2RuXagPogcV4FXXhMOY/NmHMKv+UqEu35yKft0KaxS61LMtPM0uYHFQPEN63nVV0+
CD280yUdCVy7Q2p74TvdWdYDebk0YVnsnhUExCpdd8mKmaV1vlW5d7fTrsyKDdhqz2XXPMbRbGV3
wQwihD+kJI/X0b1RRxUYGYk4RbXRtPbEK6JHy3OPorJeCYiDrtPsqAzWfXdJX7NM6zspNksYdpXB
ALlXtx08JXsQ3Skh5j/3fsNYoDBw3c57jEMkb1s1qrfNevcZ+UWDl0twyW+Z7AyTvNmehDczFJs2
4RQOfbB0VBszCKrlcQ1iggd0jU+ggI3oe9ZG4vheuCOEPcbPyeTQ9UN9S8u+jMmnI9fEWrY1LI6c
lmuqdhqaxzKcNLZcrFwYbqgYIzgBMidlkeT8ljoMFBMMbvGigeYi1zjrUaGZuoZAUoHJaPfOvE77
eiY1wpgIJVCXXq7cW3joL9uMhhMKgIN/usGB5rZrDMFOauQSU1oxUGpvuE6Gni7sqXHrnOowQ92p
Q7GRoU+RqrfKsL/2eMXRjBQnimTqM5solklUlRFRhMmuD9NTwo9GZwh7HXP+BJq9hLP1Eg4pXJoq
UpYOjlzH5MQVE4mAOycOjvu+uLHCI5F0+RRWUj21PHizRvnAdWIpxOIGaGiJv8faaRGISBluRYOz
cl21mMMrwCjDMUlu5F2WiP3rmnSRa3061bHQruCMTIIsz9d5plxhGXxZj5YVkoV5RTG6WFReNG1F
e6mqSFENc10ZXXUWVc+1xbaCZKVaEQ98BtYAhaHPBYULCjJ5rgnWZNJZ6WyQxLEeDkd1y5pq4taD
MZVD5yallVq7CKeSvHFzcr8lub1j6gxO4L3UeHTMbATZ4NDHjHgFKmcqXULNfiYJ9KLVum7ZQjza
dE4dwCodlwR4xVTT1TslVEzqtnN9wNRGVM9wi27LuKOy9/H3NH3xXAE6T3jT2ElU5RxTTgIRUxIW
Rbcx2uJa6vqVqGyXwqZD/+oprF6luRZKSa4ObB4nq+94hxeqZ7lrfHbGkQfSsjAg8NFNsSUX5TyI
rNvcIwU5cCl0Wlvc4vnWzs2wv41V5IfCtbempG+DNnrqcjTnZjqrTXZ8jN77uaKysBQ1ukmJmKUS
986GTpw2KqV2a5TaAnemU3ZDY1VlRP4wpJCbTaoQRiIr2IZzDpCDeNIBqpg2o7V0sE34v+Y9wkYW
jItkKAMgk4xol2ropJSmelL0/gE+2SqpGZ4EXn2jqepOjSWJAQ5kR88dF88IjTRZeqyXN5HM6G1k
xYYIpg1sUiYOtrOjTf6j7XuQmhdDtDNVCzpm3r4kjgZjl6cV1TigWPgW+l5woynBk2LCdang/jIg
JGc1LuHSKZTOnlCva9wFeUMZiNqdM81d+DMoqY5a2bsvMLXB25qsdqfKln6H/34sMJ9pq2BGnI+Y
ZolhAvDkD9ChcEnpZQwSXIgYaJinwkTv3A3eHJCxY7zp8AtUs3LBJO7GHLleje+fNAoTyKS/DQxU
XL18oaSjennZp7iXa6MnGCffLnUyg4Gpfo5K8yVUjIucBve01gVaMSWfNZJ3W2FUsBKMDyVsxk8c
SNUQ2+cQeE5kOdl2JLjBUge+jpE/OLG6MlrlEj/rp3FHgfVIt4Xa4moE3qOxD4vySl4oWbcTY4/W
0Kx5NG3Z2L3BjrvVxnbOh/7gDgXSymvJO1bGrk+n/YsgYiaed2GMfaE5dohSQ6+I9BHib7Moxy4y
H/vJSIE4TKwgXxRXs9ee077KG2ldjN3oQFsqkxuMxZa8VsaOVSmD5H+COPEHoylf9VNjFTpPKr/q
z+rnoj9/Ljkuy29V4Pi3p6mfVJe4yf87P/TjC/30vL/o5Z5k8ZjWSTXegeunb6Jo9nyHN2Xz/pb2
9/ujK0T33HH99PyXP+kG+WmyikhFF6htKIT/9BOhE+7Xv7a+qNhVU1oLMYIuQn4t0797Qr/1DH78
9V4f5o9/5s0X+JFVDBIbCvd/5TG8u8p3j8H8MqJUeC6OWSosVr7nm8egCMMyMALiv8fang/7XM8A
68PX23qN9vpldX5cCj96BhCH8bYBcBtluQaEme+egfmFP5KxUldlYeq2GLVOn+4xWNZoVXnoUgB3
JLZJ1/HeHPlG7x6DgTUQ2obRGor/VD/jGzFKqg9/DONXFJqOqg2botG/6LvVYH9RscvnJwxSl7/C
t59vNZgfYIXf2B9/+6Vgf1TV0eGUGDxNN0cs+rvHAICgsnEaMk5OAMj2aCX1+R6DLV4X6WF7A8A7
8AUE66974HePwWb3xPLZEOydqi4Dq37Cx2BiiHvoS2F8YVDIJgmxENcuyIXvVsMo/0V3y6E52u+O
+QefcTW87tyHrQbdABkzdQraV5/hN6tBw12NLDD8jIHQ9r4Pn+8x4Px26GqgaBCKKTPYAtnjOfBc
v3sMJmsF/A3tDvuChaPcp3wpQE0PfQzGF1Xh1TcEyniTzfLtFml8UTTZ1HgrOE05Uz/l3kBF8z4I
8nefFEwtbWEbJq+/zBZhsdm8WQ0G6YNsGxyonKv7QvvTvRSmaR/8UhhfsCAg1JKjUiGT+d1jsHFJ
QH2kYqGArZFNffEJt0hkXQdXkSP7nLJA6PRMTLrH7/ndarCpGyyqCtwgMIsYTSE+42MgTenQvYF5
vYG5DL4O2r59ers3WF/YFpjAK9i2w+HfT20+3UthGOMa5rYOODB5KWzWgsWsiX5aHo+e71YDVYVF
+cjeKWTNMDhPPuFqGJfy4Y8B5xTZVm08T3g59LflkwUUQXFFhAG9J4pL/vYTLobRw+PgxUADCZhg
7UPHxirxu8WA1kUWmkIzQa39tbj6fI+ByejhjwERDua3lkKjDazA6nrzGLBxtfCxAWmQycH4uhV9
LtRF7Nviw1YDZaI6VsvIm2ih3vfZ1hfACKoG/CzHFmuvYvp0q0Hsg/gOfQwyI0bgFH7jo5bq7Q5p
fYEMxrYAIYxhwYjCfcK9ga3rD+izdSL0dJ0z05TpK962FGP2C/WEzWNi+zB4bz7jY9jH2By6Gka8
Facmqoa9UO/N3kARSbkgYG5QSJv6J90beGsP3yJB5nUOCxMGJaX02yIS8EmmsCKfck+XHLWMn+/A
HM+xwx8D3lmg88QXgSy8R114KailbboqKJ6ats8o/3xb5N5D7rCXwvgimE7QTdvq6Iz2bouk4cCd
fFShjgyjsdj+jKvhI5v43+iz8VHjnRB4+I8F0vstEmwOthdHBPibDZL/rz+Gf6G4+GX+N/X86Gk/
+fOfy18bEP7WD3zrIz7+/deB1/rpL38aB3tvfnAcBL5+9j8Gg399g1rvB1Lf/eW3AdX+c77+869f
8ONHv/msb9/q2x+u/OfivniEb7CfSX69zeP7mPnhXf3bxLzvJphv7vS77eDHl3Y/EP5GLvo/vuNf
/vTvXPe3HR4PvOFXPfu3Gxx/jRhqjUjxtz96neb+O/d8VfjfLvLLdcd99dBn8aMUjQOfxg8z7g68
9kUaIWytizfD8PFh72G8Qx/Kj8KmD73xR+/+5cW7r8vnD/e+L/0PvvfqpyVuCr9y9T9iuZw8tPfR
04eLMxujGzz01o/9p1+/OoDhH3D15/rR+/t/Vc/Rt2t9fZFe4Z1Db35bPz4XyfO7ayN+4RQ+9Nqb
urj/dpWvN/067j/0wsvivn74+9+Sj7/RVwT04OtH90Vdvr/1PcZ88KWfk+fmw1PZDzMOvfSi8B9S
jKbf3/d+fHjoxSe/skqs/Zj64Cvfl8+RdIklyLsbf+VE/DGXn74ykT5+Av34oZ/wn1n2nAzPUfTT
SV09F9K5l35cmAwUqff+uI8iSukHH0U7f/BH3f9K0usrY+nHl/61Wu0X1tHHCu4bo+rX/tnb8nT8
icfo+b74638DAAD//w==</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17640</xdr:rowOff>
    </xdr:from>
    <xdr:to>
      <xdr:col>3</xdr:col>
      <xdr:colOff>0</xdr:colOff>
      <xdr:row>31</xdr:row>
      <xdr:rowOff>0</xdr:rowOff>
    </xdr:to>
    <xdr:graphicFrame macro="">
      <xdr:nvGraphicFramePr>
        <xdr:cNvPr id="2" name="Diagramm 1">
          <a:extLst>
            <a:ext uri="{FF2B5EF4-FFF2-40B4-BE49-F238E27FC236}">
              <a16:creationId xmlns:a16="http://schemas.microsoft.com/office/drawing/2014/main" id="{02FA9ED4-6DA4-498A-9F68-2A7CE6BEB0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2829983</xdr:colOff>
      <xdr:row>4</xdr:row>
      <xdr:rowOff>0</xdr:rowOff>
    </xdr:from>
    <xdr:to>
      <xdr:col>6</xdr:col>
      <xdr:colOff>0</xdr:colOff>
      <xdr:row>30</xdr:row>
      <xdr:rowOff>171449</xdr:rowOff>
    </xdr:to>
    <xdr:graphicFrame macro="">
      <xdr:nvGraphicFramePr>
        <xdr:cNvPr id="3" name="Diagramm 2">
          <a:extLst>
            <a:ext uri="{FF2B5EF4-FFF2-40B4-BE49-F238E27FC236}">
              <a16:creationId xmlns:a16="http://schemas.microsoft.com/office/drawing/2014/main" id="{9A928724-2CDB-4F0A-8A03-9BE64DA113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3</xdr:col>
      <xdr:colOff>12700</xdr:colOff>
      <xdr:row>64</xdr:row>
      <xdr:rowOff>15874</xdr:rowOff>
    </xdr:to>
    <xdr:graphicFrame macro="">
      <xdr:nvGraphicFramePr>
        <xdr:cNvPr id="4" name="Diagramm 3">
          <a:extLst>
            <a:ext uri="{FF2B5EF4-FFF2-40B4-BE49-F238E27FC236}">
              <a16:creationId xmlns:a16="http://schemas.microsoft.com/office/drawing/2014/main" id="{6FD32B1D-6784-4EF3-BB07-816FC517E6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31</xdr:row>
      <xdr:rowOff>0</xdr:rowOff>
    </xdr:from>
    <xdr:to>
      <xdr:col>6</xdr:col>
      <xdr:colOff>0</xdr:colOff>
      <xdr:row>64</xdr:row>
      <xdr:rowOff>0</xdr:rowOff>
    </xdr:to>
    <xdr:graphicFrame macro="">
      <xdr:nvGraphicFramePr>
        <xdr:cNvPr id="6" name="Diagramm 5">
          <a:extLst>
            <a:ext uri="{FF2B5EF4-FFF2-40B4-BE49-F238E27FC236}">
              <a16:creationId xmlns:a16="http://schemas.microsoft.com/office/drawing/2014/main" id="{7FF892E8-8EBE-43DB-B5FD-F887CB6F79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0</xdr:colOff>
      <xdr:row>64</xdr:row>
      <xdr:rowOff>50799</xdr:rowOff>
    </xdr:from>
    <xdr:to>
      <xdr:col>6</xdr:col>
      <xdr:colOff>0</xdr:colOff>
      <xdr:row>92</xdr:row>
      <xdr:rowOff>0</xdr:rowOff>
    </xdr:to>
    <xdr:graphicFrame macro="">
      <xdr:nvGraphicFramePr>
        <xdr:cNvPr id="9" name="Diagramm 8">
          <a:extLst>
            <a:ext uri="{FF2B5EF4-FFF2-40B4-BE49-F238E27FC236}">
              <a16:creationId xmlns:a16="http://schemas.microsoft.com/office/drawing/2014/main" id="{E2219C3F-1071-40E2-A393-283D519623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64</xdr:row>
      <xdr:rowOff>0</xdr:rowOff>
    </xdr:from>
    <xdr:to>
      <xdr:col>3</xdr:col>
      <xdr:colOff>0</xdr:colOff>
      <xdr:row>92</xdr:row>
      <xdr:rowOff>0</xdr:rowOff>
    </xdr:to>
    <mc:AlternateContent xmlns:mc="http://schemas.openxmlformats.org/markup-compatibility/2006">
      <mc:Choice xmlns:cx4="http://schemas.microsoft.com/office/drawing/2016/5/10/chartex" Requires="cx4">
        <xdr:graphicFrame macro="">
          <xdr:nvGraphicFramePr>
            <xdr:cNvPr id="8" name="Diagramm 7">
              <a:extLst>
                <a:ext uri="{FF2B5EF4-FFF2-40B4-BE49-F238E27FC236}">
                  <a16:creationId xmlns:a16="http://schemas.microsoft.com/office/drawing/2014/main" id="{82049080-7EF3-4D1A-9A45-BA9C78026BD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0" y="12465050"/>
              <a:ext cx="8515350" cy="51562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oneCellAnchor>
    <xdr:from>
      <xdr:col>88</xdr:col>
      <xdr:colOff>0</xdr:colOff>
      <xdr:row>2</xdr:row>
      <xdr:rowOff>0</xdr:rowOff>
    </xdr:from>
    <xdr:ext cx="5155514" cy="344453"/>
    <mc:AlternateContent xmlns:mc="http://schemas.openxmlformats.org/markup-compatibility/2006">
      <mc:Choice xmlns:a14="http://schemas.microsoft.com/office/drawing/2010/main" Requires="a14">
        <xdr:sp macro="" textlink="">
          <xdr:nvSpPr>
            <xdr:cNvPr id="6" name="Textfeld 5">
              <a:extLst>
                <a:ext uri="{FF2B5EF4-FFF2-40B4-BE49-F238E27FC236}">
                  <a16:creationId xmlns:a16="http://schemas.microsoft.com/office/drawing/2014/main" id="{808CC665-D7CB-4820-AE6B-715B83F91DD7}"/>
                </a:ext>
              </a:extLst>
            </xdr:cNvPr>
            <xdr:cNvSpPr txBox="1"/>
          </xdr:nvSpPr>
          <xdr:spPr>
            <a:xfrm>
              <a:off x="152933400" y="368300"/>
              <a:ext cx="5155514"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BEREICH</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VERSCHIEBEN</m:t>
                    </m:r>
                    <m:r>
                      <m:rPr>
                        <m:nor/>
                      </m:rPr>
                      <a:rPr lang="de-CH" sz="1100">
                        <a:solidFill>
                          <a:schemeClr val="tx1"/>
                        </a:solidFill>
                        <a:effectLst/>
                        <a:latin typeface="+mn-lt"/>
                        <a:ea typeface="+mn-ea"/>
                        <a:cs typeface="+mn-cs"/>
                      </a:rPr>
                      <m:t>(</m:t>
                    </m:r>
                    <m:r>
                      <m:rPr>
                        <m:nor/>
                      </m:rPr>
                      <a:rPr lang="de-CH" sz="1100" b="0" i="0">
                        <a:solidFill>
                          <a:schemeClr val="tx1"/>
                        </a:solidFill>
                        <a:effectLst/>
                        <a:latin typeface="+mn-lt"/>
                        <a:ea typeface="+mn-ea"/>
                        <a:cs typeface="+mn-cs"/>
                      </a:rPr>
                      <m:t>pivot</m:t>
                    </m:r>
                    <m:r>
                      <m:rPr>
                        <m:nor/>
                      </m:rPr>
                      <a:rPr lang="de-CH" sz="1100" b="0" i="0">
                        <a:solidFill>
                          <a:schemeClr val="tx1"/>
                        </a:solidFill>
                        <a:effectLst/>
                        <a:latin typeface="+mn-lt"/>
                        <a:ea typeface="+mn-ea"/>
                        <a:cs typeface="+mn-cs"/>
                      </a:rPr>
                      <m:t>1!$</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$1;;;</m:t>
                    </m:r>
                    <m:r>
                      <m:rPr>
                        <m:nor/>
                      </m:rPr>
                      <a:rPr lang="de-CH" sz="1100">
                        <a:solidFill>
                          <a:schemeClr val="tx1"/>
                        </a:solidFill>
                        <a:effectLst/>
                        <a:latin typeface="+mn-lt"/>
                        <a:ea typeface="+mn-ea"/>
                        <a:cs typeface="+mn-cs"/>
                      </a:rPr>
                      <m:t>ANZAHL</m:t>
                    </m:r>
                    <m:r>
                      <m:rPr>
                        <m:nor/>
                      </m:rPr>
                      <a:rPr lang="de-CH" sz="1100">
                        <a:solidFill>
                          <a:schemeClr val="tx1"/>
                        </a:solidFill>
                        <a:effectLst/>
                        <a:latin typeface="+mn-lt"/>
                        <a:ea typeface="+mn-ea"/>
                        <a:cs typeface="+mn-cs"/>
                      </a:rPr>
                      <m:t>2(</m:t>
                    </m:r>
                    <m:r>
                      <m:rPr>
                        <m:nor/>
                      </m:rPr>
                      <a:rPr lang="de-CH" sz="1100" b="0" i="0">
                        <a:solidFill>
                          <a:schemeClr val="tx1"/>
                        </a:solidFill>
                        <a:effectLst/>
                        <a:latin typeface="+mn-lt"/>
                        <a:ea typeface="+mn-ea"/>
                        <a:cs typeface="+mn-cs"/>
                      </a:rPr>
                      <m:t>pivot</m:t>
                    </m:r>
                    <m:r>
                      <m:rPr>
                        <m:nor/>
                      </m:rPr>
                      <a:rPr lang="de-CH" sz="1100" b="0" i="0">
                        <a:solidFill>
                          <a:schemeClr val="tx1"/>
                        </a:solidFill>
                        <a:effectLst/>
                        <a:latin typeface="+mn-lt"/>
                        <a:ea typeface="+mn-ea"/>
                        <a:cs typeface="+mn-cs"/>
                      </a:rPr>
                      <m:t>1!$</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ANZAHL</m:t>
                    </m:r>
                    <m:r>
                      <m:rPr>
                        <m:nor/>
                      </m:rPr>
                      <a:rPr lang="de-CH" sz="1100">
                        <a:solidFill>
                          <a:schemeClr val="tx1"/>
                        </a:solidFill>
                        <a:effectLst/>
                        <a:latin typeface="+mn-lt"/>
                        <a:ea typeface="+mn-ea"/>
                        <a:cs typeface="+mn-cs"/>
                      </a:rPr>
                      <m:t>2(</m:t>
                    </m:r>
                    <m:r>
                      <m:rPr>
                        <m:nor/>
                      </m:rPr>
                      <a:rPr lang="de-CH" sz="1100" b="0" i="0">
                        <a:solidFill>
                          <a:schemeClr val="tx1"/>
                        </a:solidFill>
                        <a:effectLst/>
                        <a:latin typeface="+mn-lt"/>
                        <a:ea typeface="+mn-ea"/>
                        <a:cs typeface="+mn-cs"/>
                      </a:rPr>
                      <m:t>pivot</m:t>
                    </m:r>
                    <m:r>
                      <m:rPr>
                        <m:nor/>
                      </m:rPr>
                      <a:rPr lang="de-CH" sz="1100" b="0" i="0">
                        <a:solidFill>
                          <a:schemeClr val="tx1"/>
                        </a:solidFill>
                        <a:effectLst/>
                        <a:latin typeface="+mn-lt"/>
                        <a:ea typeface="+mn-ea"/>
                        <a:cs typeface="+mn-cs"/>
                      </a:rPr>
                      <m:t>1!$1:$1))</m:t>
                    </m:r>
                  </m:oMath>
                </m:oMathPara>
              </a14:m>
              <a:endParaRPr lang="de-CH">
                <a:effectLst/>
              </a:endParaRPr>
            </a:p>
            <a:p>
              <a:endParaRPr lang="de-CH" sz="1100"/>
            </a:p>
          </xdr:txBody>
        </xdr:sp>
      </mc:Choice>
      <mc:Fallback>
        <xdr:sp macro="" textlink="">
          <xdr:nvSpPr>
            <xdr:cNvPr id="6" name="Textfeld 5">
              <a:extLst>
                <a:ext uri="{FF2B5EF4-FFF2-40B4-BE49-F238E27FC236}">
                  <a16:creationId xmlns:a16="http://schemas.microsoft.com/office/drawing/2014/main" id="{808CC665-D7CB-4820-AE6B-715B83F91DD7}"/>
                </a:ext>
              </a:extLst>
            </xdr:cNvPr>
            <xdr:cNvSpPr txBox="1"/>
          </xdr:nvSpPr>
          <xdr:spPr>
            <a:xfrm>
              <a:off x="152933400" y="368300"/>
              <a:ext cx="5155514"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de-CH" sz="1100" i="0">
                  <a:solidFill>
                    <a:schemeClr val="tx1"/>
                  </a:solidFill>
                  <a:effectLst/>
                  <a:latin typeface="Cambria Math" panose="02040503050406030204" pitchFamily="18" charset="0"/>
                  <a:ea typeface="+mn-ea"/>
                  <a:cs typeface="+mn-cs"/>
                </a:rPr>
                <a:t>"=BEREICH.VERSCHIEBEN(</a:t>
              </a:r>
              <a:r>
                <a:rPr lang="de-CH" sz="1100" b="0" i="0">
                  <a:solidFill>
                    <a:schemeClr val="tx1"/>
                  </a:solidFill>
                  <a:effectLst/>
                  <a:latin typeface="Cambria Math" panose="02040503050406030204" pitchFamily="18" charset="0"/>
                  <a:ea typeface="+mn-ea"/>
                  <a:cs typeface="+mn-cs"/>
                </a:rPr>
                <a:t>pivot1</a:t>
              </a:r>
              <a:r>
                <a:rPr lang="de-CH" sz="1100" i="0">
                  <a:solidFill>
                    <a:schemeClr val="tx1"/>
                  </a:solidFill>
                  <a:effectLst/>
                  <a:latin typeface="Cambria Math" panose="02040503050406030204" pitchFamily="18" charset="0"/>
                  <a:ea typeface="+mn-ea"/>
                  <a:cs typeface="+mn-cs"/>
                </a:rPr>
                <a:t>!$A$1;;;ANZAHL2(</a:t>
              </a:r>
              <a:r>
                <a:rPr lang="de-CH" sz="1100" b="0" i="0">
                  <a:solidFill>
                    <a:schemeClr val="tx1"/>
                  </a:solidFill>
                  <a:effectLst/>
                  <a:latin typeface="Cambria Math" panose="02040503050406030204" pitchFamily="18" charset="0"/>
                  <a:ea typeface="+mn-ea"/>
                  <a:cs typeface="+mn-cs"/>
                </a:rPr>
                <a:t>pivot1</a:t>
              </a:r>
              <a:r>
                <a:rPr lang="de-CH" sz="1100" i="0">
                  <a:solidFill>
                    <a:schemeClr val="tx1"/>
                  </a:solidFill>
                  <a:effectLst/>
                  <a:latin typeface="Cambria Math" panose="02040503050406030204" pitchFamily="18" charset="0"/>
                  <a:ea typeface="+mn-ea"/>
                  <a:cs typeface="+mn-cs"/>
                </a:rPr>
                <a:t>!$A:$A);ANZAHL2(</a:t>
              </a:r>
              <a:r>
                <a:rPr lang="de-CH" sz="1100" b="0" i="0">
                  <a:solidFill>
                    <a:schemeClr val="tx1"/>
                  </a:solidFill>
                  <a:effectLst/>
                  <a:latin typeface="Cambria Math" panose="02040503050406030204" pitchFamily="18" charset="0"/>
                  <a:ea typeface="+mn-ea"/>
                  <a:cs typeface="+mn-cs"/>
                </a:rPr>
                <a:t>pivot1</a:t>
              </a:r>
              <a:r>
                <a:rPr lang="de-CH" sz="1100" i="0">
                  <a:solidFill>
                    <a:schemeClr val="tx1"/>
                  </a:solidFill>
                  <a:effectLst/>
                  <a:latin typeface="Cambria Math" panose="02040503050406030204" pitchFamily="18" charset="0"/>
                  <a:ea typeface="+mn-ea"/>
                  <a:cs typeface="+mn-cs"/>
                </a:rPr>
                <a:t>!$1:$1))</a:t>
              </a:r>
              <a:r>
                <a:rPr lang="de-CH" sz="1100" i="0">
                  <a:solidFill>
                    <a:schemeClr val="tx1"/>
                  </a:solidFill>
                  <a:effectLst/>
                  <a:latin typeface="+mn-lt"/>
                  <a:ea typeface="+mn-ea"/>
                  <a:cs typeface="+mn-cs"/>
                </a:rPr>
                <a:t>"</a:t>
              </a:r>
              <a:endParaRPr lang="de-CH">
                <a:effectLst/>
              </a:endParaRPr>
            </a:p>
            <a:p>
              <a:endParaRPr lang="de-CH" sz="1100"/>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30</xdr:col>
      <xdr:colOff>0</xdr:colOff>
      <xdr:row>2</xdr:row>
      <xdr:rowOff>0</xdr:rowOff>
    </xdr:from>
    <xdr:ext cx="5155514" cy="344453"/>
    <mc:AlternateContent xmlns:mc="http://schemas.openxmlformats.org/markup-compatibility/2006">
      <mc:Choice xmlns:a14="http://schemas.microsoft.com/office/drawing/2010/main" Requires="a14">
        <xdr:sp macro="" textlink="">
          <xdr:nvSpPr>
            <xdr:cNvPr id="2" name="Textfeld 1">
              <a:extLst>
                <a:ext uri="{FF2B5EF4-FFF2-40B4-BE49-F238E27FC236}">
                  <a16:creationId xmlns:a16="http://schemas.microsoft.com/office/drawing/2014/main" id="{94A9223D-E7D5-4DDD-BE8B-B5518CA41C58}"/>
                </a:ext>
              </a:extLst>
            </xdr:cNvPr>
            <xdr:cNvSpPr txBox="1"/>
          </xdr:nvSpPr>
          <xdr:spPr>
            <a:xfrm>
              <a:off x="10579100" y="368300"/>
              <a:ext cx="5155514"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BEREICH</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VERSCHIEBEN</m:t>
                    </m:r>
                    <m:r>
                      <m:rPr>
                        <m:nor/>
                      </m:rPr>
                      <a:rPr lang="de-CH" sz="1100">
                        <a:solidFill>
                          <a:schemeClr val="tx1"/>
                        </a:solidFill>
                        <a:effectLst/>
                        <a:latin typeface="+mn-lt"/>
                        <a:ea typeface="+mn-ea"/>
                        <a:cs typeface="+mn-cs"/>
                      </a:rPr>
                      <m:t>(</m:t>
                    </m:r>
                    <m:r>
                      <m:rPr>
                        <m:nor/>
                      </m:rPr>
                      <a:rPr lang="de-CH" sz="1100" b="0" i="0">
                        <a:solidFill>
                          <a:schemeClr val="tx1"/>
                        </a:solidFill>
                        <a:effectLst/>
                        <a:latin typeface="+mn-lt"/>
                        <a:ea typeface="+mn-ea"/>
                        <a:cs typeface="+mn-cs"/>
                      </a:rPr>
                      <m:t>pivot</m:t>
                    </m:r>
                    <m:r>
                      <m:rPr>
                        <m:nor/>
                      </m:rPr>
                      <a:rPr lang="de-CH" sz="1100" b="0" i="0">
                        <a:solidFill>
                          <a:schemeClr val="tx1"/>
                        </a:solidFill>
                        <a:effectLst/>
                        <a:latin typeface="+mn-lt"/>
                        <a:ea typeface="+mn-ea"/>
                        <a:cs typeface="+mn-cs"/>
                      </a:rPr>
                      <m:t>2!$</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$1;;;</m:t>
                    </m:r>
                    <m:r>
                      <m:rPr>
                        <m:nor/>
                      </m:rPr>
                      <a:rPr lang="de-CH" sz="1100">
                        <a:solidFill>
                          <a:schemeClr val="tx1"/>
                        </a:solidFill>
                        <a:effectLst/>
                        <a:latin typeface="+mn-lt"/>
                        <a:ea typeface="+mn-ea"/>
                        <a:cs typeface="+mn-cs"/>
                      </a:rPr>
                      <m:t>ANZAHL</m:t>
                    </m:r>
                    <m:r>
                      <m:rPr>
                        <m:nor/>
                      </m:rPr>
                      <a:rPr lang="de-CH" sz="1100">
                        <a:solidFill>
                          <a:schemeClr val="tx1"/>
                        </a:solidFill>
                        <a:effectLst/>
                        <a:latin typeface="+mn-lt"/>
                        <a:ea typeface="+mn-ea"/>
                        <a:cs typeface="+mn-cs"/>
                      </a:rPr>
                      <m:t>2(</m:t>
                    </m:r>
                    <m:r>
                      <m:rPr>
                        <m:nor/>
                      </m:rPr>
                      <a:rPr lang="de-CH" sz="1100" b="0" i="0">
                        <a:solidFill>
                          <a:schemeClr val="tx1"/>
                        </a:solidFill>
                        <a:effectLst/>
                        <a:latin typeface="+mn-lt"/>
                        <a:ea typeface="+mn-ea"/>
                        <a:cs typeface="+mn-cs"/>
                      </a:rPr>
                      <m:t>pivot</m:t>
                    </m:r>
                    <m:r>
                      <m:rPr>
                        <m:nor/>
                      </m:rPr>
                      <a:rPr lang="de-CH" sz="1100" b="0" i="0">
                        <a:solidFill>
                          <a:schemeClr val="tx1"/>
                        </a:solidFill>
                        <a:effectLst/>
                        <a:latin typeface="+mn-lt"/>
                        <a:ea typeface="+mn-ea"/>
                        <a:cs typeface="+mn-cs"/>
                      </a:rPr>
                      <m:t>2!$</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ANZAHL</m:t>
                    </m:r>
                    <m:r>
                      <m:rPr>
                        <m:nor/>
                      </m:rPr>
                      <a:rPr lang="de-CH" sz="1100">
                        <a:solidFill>
                          <a:schemeClr val="tx1"/>
                        </a:solidFill>
                        <a:effectLst/>
                        <a:latin typeface="+mn-lt"/>
                        <a:ea typeface="+mn-ea"/>
                        <a:cs typeface="+mn-cs"/>
                      </a:rPr>
                      <m:t>2(</m:t>
                    </m:r>
                    <m:r>
                      <m:rPr>
                        <m:nor/>
                      </m:rPr>
                      <a:rPr lang="de-CH" sz="1100" b="0" i="0">
                        <a:solidFill>
                          <a:schemeClr val="tx1"/>
                        </a:solidFill>
                        <a:effectLst/>
                        <a:latin typeface="+mn-lt"/>
                        <a:ea typeface="+mn-ea"/>
                        <a:cs typeface="+mn-cs"/>
                      </a:rPr>
                      <m:t>pivot</m:t>
                    </m:r>
                    <m:r>
                      <m:rPr>
                        <m:nor/>
                      </m:rPr>
                      <a:rPr lang="de-CH" sz="1100" b="0" i="0">
                        <a:solidFill>
                          <a:schemeClr val="tx1"/>
                        </a:solidFill>
                        <a:effectLst/>
                        <a:latin typeface="+mn-lt"/>
                        <a:ea typeface="+mn-ea"/>
                        <a:cs typeface="+mn-cs"/>
                      </a:rPr>
                      <m:t>2!$1:$1))</m:t>
                    </m:r>
                  </m:oMath>
                </m:oMathPara>
              </a14:m>
              <a:endParaRPr lang="de-CH">
                <a:effectLst/>
              </a:endParaRPr>
            </a:p>
            <a:p>
              <a:endParaRPr lang="de-CH" sz="1100"/>
            </a:p>
          </xdr:txBody>
        </xdr:sp>
      </mc:Choice>
      <mc:Fallback>
        <xdr:sp macro="" textlink="">
          <xdr:nvSpPr>
            <xdr:cNvPr id="2" name="Textfeld 1">
              <a:extLst>
                <a:ext uri="{FF2B5EF4-FFF2-40B4-BE49-F238E27FC236}">
                  <a16:creationId xmlns:a16="http://schemas.microsoft.com/office/drawing/2014/main" id="{94A9223D-E7D5-4DDD-BE8B-B5518CA41C58}"/>
                </a:ext>
              </a:extLst>
            </xdr:cNvPr>
            <xdr:cNvSpPr txBox="1"/>
          </xdr:nvSpPr>
          <xdr:spPr>
            <a:xfrm>
              <a:off x="10579100" y="368300"/>
              <a:ext cx="5155514"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de-CH" sz="1100" i="0">
                  <a:solidFill>
                    <a:schemeClr val="tx1"/>
                  </a:solidFill>
                  <a:effectLst/>
                  <a:latin typeface="Cambria Math" panose="02040503050406030204" pitchFamily="18" charset="0"/>
                  <a:ea typeface="+mn-ea"/>
                  <a:cs typeface="+mn-cs"/>
                </a:rPr>
                <a:t>"=BEREICH.VERSCHIEBEN(</a:t>
              </a:r>
              <a:r>
                <a:rPr lang="de-CH" sz="1100" b="0" i="0">
                  <a:solidFill>
                    <a:schemeClr val="tx1"/>
                  </a:solidFill>
                  <a:effectLst/>
                  <a:latin typeface="Cambria Math" panose="02040503050406030204" pitchFamily="18" charset="0"/>
                  <a:ea typeface="+mn-ea"/>
                  <a:cs typeface="+mn-cs"/>
                </a:rPr>
                <a:t>pivot2</a:t>
              </a:r>
              <a:r>
                <a:rPr lang="de-CH" sz="1100" i="0">
                  <a:solidFill>
                    <a:schemeClr val="tx1"/>
                  </a:solidFill>
                  <a:effectLst/>
                  <a:latin typeface="Cambria Math" panose="02040503050406030204" pitchFamily="18" charset="0"/>
                  <a:ea typeface="+mn-ea"/>
                  <a:cs typeface="+mn-cs"/>
                </a:rPr>
                <a:t>!$A$1;;;ANZAHL2(</a:t>
              </a:r>
              <a:r>
                <a:rPr lang="de-CH" sz="1100" b="0" i="0">
                  <a:solidFill>
                    <a:schemeClr val="tx1"/>
                  </a:solidFill>
                  <a:effectLst/>
                  <a:latin typeface="Cambria Math" panose="02040503050406030204" pitchFamily="18" charset="0"/>
                  <a:ea typeface="+mn-ea"/>
                  <a:cs typeface="+mn-cs"/>
                </a:rPr>
                <a:t>pivot2</a:t>
              </a:r>
              <a:r>
                <a:rPr lang="de-CH" sz="1100" i="0">
                  <a:solidFill>
                    <a:schemeClr val="tx1"/>
                  </a:solidFill>
                  <a:effectLst/>
                  <a:latin typeface="Cambria Math" panose="02040503050406030204" pitchFamily="18" charset="0"/>
                  <a:ea typeface="+mn-ea"/>
                  <a:cs typeface="+mn-cs"/>
                </a:rPr>
                <a:t>!$A:$A);ANZAHL2(</a:t>
              </a:r>
              <a:r>
                <a:rPr lang="de-CH" sz="1100" b="0" i="0">
                  <a:solidFill>
                    <a:schemeClr val="tx1"/>
                  </a:solidFill>
                  <a:effectLst/>
                  <a:latin typeface="Cambria Math" panose="02040503050406030204" pitchFamily="18" charset="0"/>
                  <a:ea typeface="+mn-ea"/>
                  <a:cs typeface="+mn-cs"/>
                </a:rPr>
                <a:t>pivot2</a:t>
              </a:r>
              <a:r>
                <a:rPr lang="de-CH" sz="1100" i="0">
                  <a:solidFill>
                    <a:schemeClr val="tx1"/>
                  </a:solidFill>
                  <a:effectLst/>
                  <a:latin typeface="Cambria Math" panose="02040503050406030204" pitchFamily="18" charset="0"/>
                  <a:ea typeface="+mn-ea"/>
                  <a:cs typeface="+mn-cs"/>
                </a:rPr>
                <a:t>!$1:$1))</a:t>
              </a:r>
              <a:r>
                <a:rPr lang="de-CH" sz="1100" i="0">
                  <a:solidFill>
                    <a:schemeClr val="tx1"/>
                  </a:solidFill>
                  <a:effectLst/>
                  <a:latin typeface="+mn-lt"/>
                  <a:ea typeface="+mn-ea"/>
                  <a:cs typeface="+mn-cs"/>
                </a:rPr>
                <a:t>"</a:t>
              </a:r>
              <a:endParaRPr lang="de-CH">
                <a:effectLst/>
              </a:endParaRPr>
            </a:p>
            <a:p>
              <a:endParaRPr lang="de-CH" sz="1100"/>
            </a:p>
          </xdr:txBody>
        </xdr:sp>
      </mc:Fallback>
    </mc:AlternateContent>
    <xdr:clientData/>
  </xdr:oneCellAnchor>
</xdr:wsDr>
</file>

<file path=xl/drawings/drawing4.xml><?xml version="1.0" encoding="utf-8"?>
<xdr:wsDr xmlns:xdr="http://schemas.openxmlformats.org/drawingml/2006/spreadsheetDrawing" xmlns:a="http://schemas.openxmlformats.org/drawingml/2006/main">
  <xdr:twoCellAnchor>
    <xdr:from>
      <xdr:col>4</xdr:col>
      <xdr:colOff>257174</xdr:colOff>
      <xdr:row>33</xdr:row>
      <xdr:rowOff>171450</xdr:rowOff>
    </xdr:from>
    <xdr:to>
      <xdr:col>20</xdr:col>
      <xdr:colOff>736599</xdr:colOff>
      <xdr:row>80</xdr:row>
      <xdr:rowOff>88900</xdr:rowOff>
    </xdr:to>
    <mc:AlternateContent xmlns:mc="http://schemas.openxmlformats.org/markup-compatibility/2006">
      <mc:Choice xmlns:cx4="http://schemas.microsoft.com/office/drawing/2016/5/10/chartex" Requires="cx4">
        <xdr:graphicFrame macro="">
          <xdr:nvGraphicFramePr>
            <xdr:cNvPr id="2" name="Diagramm 1">
              <a:extLst>
                <a:ext uri="{FF2B5EF4-FFF2-40B4-BE49-F238E27FC236}">
                  <a16:creationId xmlns:a16="http://schemas.microsoft.com/office/drawing/2014/main" id="{9E89ACDE-3CA2-478D-8903-C57ABA1AA07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565524" y="6248400"/>
              <a:ext cx="12671425" cy="85725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48.693725231482" createdVersion="6" refreshedVersion="6" minRefreshableVersion="3" recordCount="1306" xr:uid="{9B1C80C3-763C-406E-94B3-86FA4AD270BA}">
  <cacheSource type="worksheet">
    <worksheetSource ref="A1:K1048576" sheet="Fallzahlen_CH"/>
  </cacheSource>
  <cacheFields count="12">
    <cacheField name="date" numFmtId="0">
      <sharedItems containsNonDate="0" containsDate="1" containsString="0" containsBlank="1" minDate="2020-02-25T00:00:00" maxDate="2020-04-28T00:00:00" count="64">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m/>
      </sharedItems>
      <fieldGroup par="11" base="0">
        <rangePr groupBy="days" startDate="2020-02-25T00:00:00" endDate="2020-04-28T00:00:00"/>
        <groupItems count="368">
          <s v="(Leer)"/>
          <s v="01. Jan"/>
          <s v="02. Jan"/>
          <s v="03. Jan"/>
          <s v="04. Jan"/>
          <s v="05. Jan"/>
          <s v="06. Jan"/>
          <s v="07. Jan"/>
          <s v="08. Jan"/>
          <s v="09. Jan"/>
          <s v="10. Jan"/>
          <s v="11. Jan"/>
          <s v="12. Jan"/>
          <s v="13. Jan"/>
          <s v="14. Jan"/>
          <s v="15. Jan"/>
          <s v="16. Jan"/>
          <s v="17. Jan"/>
          <s v="18. Jan"/>
          <s v="19. Jan"/>
          <s v="20. Jan"/>
          <s v="21. Jan"/>
          <s v="22. Jan"/>
          <s v="23. Jan"/>
          <s v="24. Jan"/>
          <s v="25. Jan"/>
          <s v="26. Jan"/>
          <s v="27. Jan"/>
          <s v="28. Jan"/>
          <s v="29. Jan"/>
          <s v="30. Jan"/>
          <s v="31. Jan"/>
          <s v="01. Feb"/>
          <s v="02. Feb"/>
          <s v="03. Feb"/>
          <s v="04. Feb"/>
          <s v="05. Feb"/>
          <s v="06. Feb"/>
          <s v="07. Feb"/>
          <s v="08. Feb"/>
          <s v="09. Feb"/>
          <s v="10. Feb"/>
          <s v="11. Feb"/>
          <s v="12. Feb"/>
          <s v="13. Feb"/>
          <s v="14. Feb"/>
          <s v="15. Feb"/>
          <s v="16. Feb"/>
          <s v="17. Feb"/>
          <s v="18. Feb"/>
          <s v="19. Feb"/>
          <s v="20. Feb"/>
          <s v="21. Feb"/>
          <s v="22. Feb"/>
          <s v="23. Feb"/>
          <s v="24. Feb"/>
          <s v="25. Feb"/>
          <s v="26. Feb"/>
          <s v="27. Feb"/>
          <s v="28. Feb"/>
          <s v="29. Feb"/>
          <s v="01. Mär"/>
          <s v="02. Mär"/>
          <s v="03. Mär"/>
          <s v="04. Mär"/>
          <s v="05. Mär"/>
          <s v="06. Mär"/>
          <s v="07. Mär"/>
          <s v="08. Mär"/>
          <s v="09. Mär"/>
          <s v="10. Mär"/>
          <s v="11. Mär"/>
          <s v="12. Mär"/>
          <s v="13. Mär"/>
          <s v="14. Mär"/>
          <s v="15. Mär"/>
          <s v="16. Mär"/>
          <s v="17. Mär"/>
          <s v="18. Mär"/>
          <s v="19. Mär"/>
          <s v="20. Mär"/>
          <s v="21. Mär"/>
          <s v="22. Mär"/>
          <s v="23. Mär"/>
          <s v="24. Mär"/>
          <s v="25. Mär"/>
          <s v="26. Mär"/>
          <s v="27. Mär"/>
          <s v="28. Mär"/>
          <s v="29. Mär"/>
          <s v="30. Mär"/>
          <s v="31. Mär"/>
          <s v="01. Apr"/>
          <s v="02. Apr"/>
          <s v="03. Apr"/>
          <s v="04. Apr"/>
          <s v="05. Apr"/>
          <s v="06. Apr"/>
          <s v="07. Apr"/>
          <s v="08. Apr"/>
          <s v="09. Apr"/>
          <s v="10. Apr"/>
          <s v="11. Apr"/>
          <s v="12. Apr"/>
          <s v="13. Apr"/>
          <s v="14. Apr"/>
          <s v="15. Apr"/>
          <s v="16. Apr"/>
          <s v="17. Apr"/>
          <s v="18. Apr"/>
          <s v="19. Apr"/>
          <s v="20. Apr"/>
          <s v="21. Apr"/>
          <s v="22. Apr"/>
          <s v="23. Apr"/>
          <s v="24. Apr"/>
          <s v="25. Apr"/>
          <s v="26. Apr"/>
          <s v="27. Apr"/>
          <s v="28. Apr"/>
          <s v="29. Apr"/>
          <s v="30. Apr"/>
          <s v="01. Mai"/>
          <s v="02. Mai"/>
          <s v="03. Mai"/>
          <s v="04. Mai"/>
          <s v="05. Mai"/>
          <s v="06. Mai"/>
          <s v="07. Mai"/>
          <s v="08. Mai"/>
          <s v="09. Mai"/>
          <s v="10. Mai"/>
          <s v="11. Mai"/>
          <s v="12. Mai"/>
          <s v="13. Mai"/>
          <s v="14. Mai"/>
          <s v="15. Mai"/>
          <s v="16. Mai"/>
          <s v="17. Mai"/>
          <s v="18. Mai"/>
          <s v="19. Mai"/>
          <s v="20. Mai"/>
          <s v="21. Mai"/>
          <s v="22. Mai"/>
          <s v="23. Mai"/>
          <s v="24. Mai"/>
          <s v="25. Mai"/>
          <s v="26. Mai"/>
          <s v="27. Mai"/>
          <s v="28. Mai"/>
          <s v="29. Mai"/>
          <s v="30. Mai"/>
          <s v="31. Mai"/>
          <s v="01. Jun"/>
          <s v="02. Jun"/>
          <s v="03. Jun"/>
          <s v="04. Jun"/>
          <s v="05. Jun"/>
          <s v="06. Jun"/>
          <s v="07. Jun"/>
          <s v="08. Jun"/>
          <s v="09. Jun"/>
          <s v="10. Jun"/>
          <s v="11. Jun"/>
          <s v="12. Jun"/>
          <s v="13. Jun"/>
          <s v="14. Jun"/>
          <s v="15. Jun"/>
          <s v="16. Jun"/>
          <s v="17. Jun"/>
          <s v="18. Jun"/>
          <s v="19. Jun"/>
          <s v="20. Jun"/>
          <s v="21. Jun"/>
          <s v="22. Jun"/>
          <s v="23. Jun"/>
          <s v="24. Jun"/>
          <s v="25. Jun"/>
          <s v="26. Jun"/>
          <s v="27. Jun"/>
          <s v="28. Jun"/>
          <s v="29. Jun"/>
          <s v="30. Jun"/>
          <s v="01. Jul"/>
          <s v="02. Jul"/>
          <s v="03. Jul"/>
          <s v="04. Jul"/>
          <s v="05. Jul"/>
          <s v="06. Jul"/>
          <s v="07. Jul"/>
          <s v="08. Jul"/>
          <s v="09. Jul"/>
          <s v="10. Jul"/>
          <s v="11. Jul"/>
          <s v="12. Jul"/>
          <s v="13. Jul"/>
          <s v="14. Jul"/>
          <s v="15. Jul"/>
          <s v="16. Jul"/>
          <s v="17. Jul"/>
          <s v="18. Jul"/>
          <s v="19. Jul"/>
          <s v="20. Jul"/>
          <s v="21. Jul"/>
          <s v="22. Jul"/>
          <s v="23. Jul"/>
          <s v="24. Jul"/>
          <s v="25. Jul"/>
          <s v="26. Jul"/>
          <s v="27. Jul"/>
          <s v="28. Jul"/>
          <s v="29. Jul"/>
          <s v="30. Jul"/>
          <s v="31. Jul"/>
          <s v="01. Aug"/>
          <s v="02. Aug"/>
          <s v="03. Aug"/>
          <s v="04. Aug"/>
          <s v="05. Aug"/>
          <s v="06. Aug"/>
          <s v="07. Aug"/>
          <s v="08. Aug"/>
          <s v="09. Aug"/>
          <s v="10. Aug"/>
          <s v="11. Aug"/>
          <s v="12. Aug"/>
          <s v="13. Aug"/>
          <s v="14. Aug"/>
          <s v="15. Aug"/>
          <s v="16. Aug"/>
          <s v="17. Aug"/>
          <s v="18. Aug"/>
          <s v="19. Aug"/>
          <s v="20. Aug"/>
          <s v="21. Aug"/>
          <s v="22. Aug"/>
          <s v="23. Aug"/>
          <s v="24. Aug"/>
          <s v="25. Aug"/>
          <s v="26. Aug"/>
          <s v="27. Aug"/>
          <s v="28. Aug"/>
          <s v="29. Aug"/>
          <s v="30. Aug"/>
          <s v="31. Aug"/>
          <s v="01. Sep"/>
          <s v="02. Sep"/>
          <s v="03. Sep"/>
          <s v="04. Sep"/>
          <s v="05. Sep"/>
          <s v="06. Sep"/>
          <s v="07. Sep"/>
          <s v="08. Sep"/>
          <s v="09. Sep"/>
          <s v="10. Sep"/>
          <s v="11. Sep"/>
          <s v="12. Sep"/>
          <s v="13. Sep"/>
          <s v="14. Sep"/>
          <s v="15. Sep"/>
          <s v="16. Sep"/>
          <s v="17. Sep"/>
          <s v="18. Sep"/>
          <s v="19. Sep"/>
          <s v="20. Sep"/>
          <s v="21. Sep"/>
          <s v="22. Sep"/>
          <s v="23. Sep"/>
          <s v="24. Sep"/>
          <s v="25. Sep"/>
          <s v="26. Sep"/>
          <s v="27. Sep"/>
          <s v="28. Sep"/>
          <s v="29. Sep"/>
          <s v="30. Sep"/>
          <s v="01. Okt"/>
          <s v="02. Okt"/>
          <s v="03. Okt"/>
          <s v="04. Okt"/>
          <s v="05. Okt"/>
          <s v="06. Okt"/>
          <s v="07. Okt"/>
          <s v="08. Okt"/>
          <s v="09. Okt"/>
          <s v="10. Okt"/>
          <s v="11. Okt"/>
          <s v="12. Okt"/>
          <s v="13. Okt"/>
          <s v="14. Okt"/>
          <s v="15. Okt"/>
          <s v="16. Okt"/>
          <s v="17. Okt"/>
          <s v="18. Okt"/>
          <s v="19. Okt"/>
          <s v="20. Okt"/>
          <s v="21. Okt"/>
          <s v="22. Okt"/>
          <s v="23. Okt"/>
          <s v="24. Okt"/>
          <s v="25. Okt"/>
          <s v="26. Okt"/>
          <s v="27. Okt"/>
          <s v="28. Okt"/>
          <s v="29. Okt"/>
          <s v="30. Okt"/>
          <s v="31. Okt"/>
          <s v="01. Nov"/>
          <s v="02. Nov"/>
          <s v="03. Nov"/>
          <s v="04. Nov"/>
          <s v="05. Nov"/>
          <s v="06. Nov"/>
          <s v="07. Nov"/>
          <s v="08. Nov"/>
          <s v="09. Nov"/>
          <s v="10. Nov"/>
          <s v="11. Nov"/>
          <s v="12. Nov"/>
          <s v="13. Nov"/>
          <s v="14. Nov"/>
          <s v="15. Nov"/>
          <s v="16. Nov"/>
          <s v="17. Nov"/>
          <s v="18. Nov"/>
          <s v="19. Nov"/>
          <s v="20. Nov"/>
          <s v="21. Nov"/>
          <s v="22. Nov"/>
          <s v="23. Nov"/>
          <s v="24. Nov"/>
          <s v="25. Nov"/>
          <s v="26. Nov"/>
          <s v="27. Nov"/>
          <s v="28. Nov"/>
          <s v="29. Nov"/>
          <s v="30. Nov"/>
          <s v="01. Dez"/>
          <s v="02. Dez"/>
          <s v="03. Dez"/>
          <s v="04. Dez"/>
          <s v="05. Dez"/>
          <s v="06. Dez"/>
          <s v="07. Dez"/>
          <s v="08. Dez"/>
          <s v="09. Dez"/>
          <s v="10. Dez"/>
          <s v="11. Dez"/>
          <s v="12. Dez"/>
          <s v="13. Dez"/>
          <s v="14. Dez"/>
          <s v="15. Dez"/>
          <s v="16. Dez"/>
          <s v="17. Dez"/>
          <s v="18. Dez"/>
          <s v="19. Dez"/>
          <s v="20. Dez"/>
          <s v="21. Dez"/>
          <s v="22. Dez"/>
          <s v="23. Dez"/>
          <s v="24. Dez"/>
          <s v="25. Dez"/>
          <s v="26. Dez"/>
          <s v="27. Dez"/>
          <s v="28. Dez"/>
          <s v="29. Dez"/>
          <s v="30. Dez"/>
          <s v="31. Dez"/>
          <s v="&gt;28.04.2020"/>
        </groupItems>
      </fieldGroup>
    </cacheField>
    <cacheField name="time" numFmtId="0">
      <sharedItems containsNonDate="0" containsDate="1" containsString="0" containsBlank="1" minDate="1899-12-30T00:00:00" maxDate="1899-12-30T19:17:00"/>
    </cacheField>
    <cacheField name="abbreviation_canton_and_fl" numFmtId="0">
      <sharedItems containsBlank="1" count="28">
        <s v="GE"/>
        <s v="TI"/>
        <s v="FL"/>
        <s v="JU"/>
        <s v="ZH"/>
        <s v="BS"/>
        <s v="BE"/>
        <s v="BL"/>
        <s v="VD"/>
        <s v="VS"/>
        <s v="AG"/>
        <s v="ZG"/>
        <s v="FR"/>
        <s v="NE"/>
        <s v="SG"/>
        <s v="SZ"/>
        <s v="LU"/>
        <s v="AR"/>
        <s v="SO"/>
        <s v="GL"/>
        <s v="NW"/>
        <s v="SH"/>
        <s v="UR"/>
        <s v="OW"/>
        <s v="AI"/>
        <s v="TG"/>
        <s v="GR"/>
        <m/>
      </sharedItems>
    </cacheField>
    <cacheField name="ncumul_tested" numFmtId="0">
      <sharedItems containsString="0" containsBlank="1" containsNumber="1" containsInteger="1" minValue="1" maxValue="23517"/>
    </cacheField>
    <cacheField name="ncumul_conf" numFmtId="0">
      <sharedItems containsString="0" containsBlank="1" containsNumber="1" containsInteger="1" minValue="0" maxValue="5212" count="684">
        <n v="0"/>
        <n v="1"/>
        <m/>
        <n v="2"/>
        <n v="4"/>
        <n v="6"/>
        <n v="8"/>
        <n v="7"/>
        <n v="3"/>
        <n v="11"/>
        <n v="14"/>
        <n v="5"/>
        <n v="16"/>
        <n v="15"/>
        <n v="9"/>
        <n v="18"/>
        <n v="24"/>
        <n v="17"/>
        <n v="19"/>
        <n v="13"/>
        <n v="23"/>
        <n v="30"/>
        <n v="12"/>
        <n v="45"/>
        <n v="21"/>
        <n v="35"/>
        <n v="38"/>
        <n v="58"/>
        <n v="40"/>
        <n v="41"/>
        <n v="34"/>
        <n v="20"/>
        <n v="47"/>
        <n v="27"/>
        <n v="68"/>
        <n v="51"/>
        <n v="10"/>
        <n v="28"/>
        <n v="50"/>
        <n v="22"/>
        <n v="73"/>
        <n v="31"/>
        <n v="129"/>
        <n v="33"/>
        <n v="63"/>
        <n v="26"/>
        <n v="84"/>
        <n v="37"/>
        <n v="202"/>
        <n v="49"/>
        <n v="102"/>
        <n v="114"/>
        <n v="46"/>
        <n v="180"/>
        <n v="276"/>
        <n v="53"/>
        <n v="141"/>
        <n v="42"/>
        <n v="29"/>
        <n v="178"/>
        <n v="59"/>
        <n v="258"/>
        <n v="368"/>
        <n v="76"/>
        <n v="92"/>
        <n v="32"/>
        <n v="164"/>
        <n v="36"/>
        <n v="281"/>
        <n v="265"/>
        <n v="477"/>
        <n v="98"/>
        <n v="100"/>
        <n v="219"/>
        <n v="54"/>
        <n v="374"/>
        <n v="74"/>
        <n v="291"/>
        <n v="560"/>
        <n v="115"/>
        <n v="251"/>
        <n v="123"/>
        <n v="461"/>
        <n v="25"/>
        <n v="93"/>
        <n v="330"/>
        <n v="797"/>
        <n v="172"/>
        <n v="143"/>
        <n v="327"/>
        <n v="52"/>
        <n v="89"/>
        <n v="588"/>
        <n v="101"/>
        <n v="422"/>
        <n v="1040"/>
        <n v="225"/>
        <n v="430"/>
        <n v="67"/>
        <n v="193"/>
        <n v="116"/>
        <n v="86"/>
        <n v="786"/>
        <n v="128"/>
        <n v="146"/>
        <n v="61"/>
        <n v="43"/>
        <n v="511"/>
        <n v="1305"/>
        <n v="312"/>
        <n v="181"/>
        <n v="569"/>
        <n v="65"/>
        <n v="282"/>
        <n v="134"/>
        <n v="111"/>
        <n v="1026"/>
        <n v="182"/>
        <n v="175"/>
        <n v="85"/>
        <n v="638"/>
        <n v="1514"/>
        <n v="349"/>
        <n v="220"/>
        <n v="680"/>
        <n v="118"/>
        <n v="377"/>
        <n v="184"/>
        <n v="145"/>
        <n v="1151"/>
        <n v="226"/>
        <n v="44"/>
        <n v="189"/>
        <n v="1756"/>
        <n v="436"/>
        <n v="834"/>
        <n v="48"/>
        <n v="270"/>
        <n v="712"/>
        <n v="168"/>
        <n v="66"/>
        <n v="418"/>
        <n v="167"/>
        <n v="1280"/>
        <n v="200"/>
        <n v="56"/>
        <n v="1875"/>
        <n v="498"/>
        <n v="918"/>
        <n v="297"/>
        <n v="109"/>
        <n v="289"/>
        <n v="1423"/>
        <n v="284"/>
        <n v="216"/>
        <n v="75"/>
        <n v="1977"/>
        <n v="535"/>
        <n v="939"/>
        <n v="356"/>
        <n v="131"/>
        <n v="232"/>
        <n v="470"/>
        <n v="302"/>
        <n v="1568"/>
        <n v="300"/>
        <n v="69"/>
        <n v="247"/>
        <n v="39"/>
        <n v="228"/>
        <n v="81"/>
        <n v="2283"/>
        <n v="628"/>
        <n v="1165"/>
        <n v="156"/>
        <n v="95"/>
        <n v="1076"/>
        <n v="241"/>
        <n v="532"/>
        <n v="306"/>
        <n v="255"/>
        <n v="1668"/>
        <n v="343"/>
        <n v="82"/>
        <n v="97"/>
        <n v="87"/>
        <n v="2548"/>
        <n v="104"/>
        <n v="1211"/>
        <n v="72"/>
        <n v="410"/>
        <n v="205"/>
        <n v="1224"/>
        <n v="266"/>
        <n v="728"/>
        <n v="624"/>
        <n v="341"/>
        <n v="293"/>
        <n v="1789"/>
        <n v="393"/>
        <n v="280"/>
        <n v="96"/>
        <n v="2740"/>
        <n v="1354"/>
        <n v="80"/>
        <n v="462"/>
        <n v="1371"/>
        <n v="319"/>
        <n v="794"/>
        <n v="660"/>
        <n v="309"/>
        <n v="2011"/>
        <n v="433"/>
        <n v="299"/>
        <n v="107"/>
        <n v="110"/>
        <n v="2945"/>
        <n v="1401"/>
        <n v="501"/>
        <n v="253"/>
        <n v="1503"/>
        <n v="875"/>
        <n v="718"/>
        <n v="466"/>
        <n v="60"/>
        <n v="369"/>
        <n v="2196"/>
        <n v="474"/>
        <n v="316"/>
        <n v="119"/>
        <n v="117"/>
        <n v="3179"/>
        <n v="157"/>
        <n v="1688"/>
        <n v="94"/>
        <n v="530"/>
        <n v="287"/>
        <n v="1630"/>
        <n v="364"/>
        <n v="969"/>
        <n v="767"/>
        <n v="502"/>
        <n v="421"/>
        <n v="2392"/>
        <n v="495"/>
        <n v="337"/>
        <n v="55"/>
        <n v="339"/>
        <n v="122"/>
        <n v="3310"/>
        <n v="173"/>
        <n v="1727"/>
        <n v="317"/>
        <n v="1704"/>
        <n v="1018"/>
        <n v="798"/>
        <n v="62"/>
        <n v="442"/>
        <n v="2498"/>
        <n v="519"/>
        <n v="127"/>
        <n v="346"/>
        <n v="365"/>
        <n v="138"/>
        <n v="3395"/>
        <n v="190"/>
        <n v="1837"/>
        <n v="605"/>
        <n v="1736"/>
        <n v="1056"/>
        <n v="539"/>
        <n v="64"/>
        <n v="2705"/>
        <n v="378"/>
        <n v="389"/>
        <n v="135"/>
        <n v="148"/>
        <n v="3607"/>
        <n v="826"/>
        <n v="1962"/>
        <n v="112"/>
        <n v="617"/>
        <n v="351"/>
        <n v="1862"/>
        <n v="481"/>
        <n v="1145"/>
        <n v="561"/>
        <n v="491"/>
        <n v="2934"/>
        <n v="547"/>
        <n v="140"/>
        <n v="402"/>
        <n v="70"/>
        <n v="414"/>
        <n v="154"/>
        <n v="57"/>
        <n v="3766"/>
        <n v="196"/>
        <n v="856"/>
        <n v="2091"/>
        <n v="653"/>
        <n v="375"/>
        <n v="1953"/>
        <n v="499"/>
        <n v="1212"/>
        <n v="525"/>
        <n v="3091"/>
        <n v="592"/>
        <n v="420"/>
        <n v="166"/>
        <n v="3918"/>
        <n v="909"/>
        <n v="2195"/>
        <n v="125"/>
        <n v="687"/>
        <n v="401"/>
        <n v="2142"/>
        <n v="549"/>
        <n v="1282"/>
        <n v="610"/>
        <n v="550"/>
        <n v="3302"/>
        <n v="622"/>
        <n v="149"/>
        <n v="480"/>
        <n v="155"/>
        <n v="179"/>
        <n v="4052"/>
        <n v="227"/>
        <n v="1003"/>
        <n v="2271"/>
        <n v="714"/>
        <n v="2306"/>
        <n v="1334"/>
        <n v="625"/>
        <n v="3488"/>
        <n v="649"/>
        <n v="444"/>
        <n v="79"/>
        <n v="165"/>
        <n v="198"/>
        <n v="4188"/>
        <n v="237"/>
        <n v="1073"/>
        <n v="2377"/>
        <n v="754"/>
        <n v="449"/>
        <n v="2434"/>
        <n v="626"/>
        <n v="1383"/>
        <n v="656"/>
        <n v="77"/>
        <n v="3615"/>
        <n v="657"/>
        <n v="452"/>
        <n v="504"/>
        <n v="208"/>
        <n v="4260"/>
        <n v="250"/>
        <n v="1106"/>
        <n v="2442"/>
        <n v="469"/>
        <n v="2467"/>
        <n v="1416"/>
        <n v="670"/>
        <n v="669"/>
        <n v="3680"/>
        <n v="668"/>
        <n v="160"/>
        <n v="464"/>
        <n v="515"/>
        <n v="170"/>
        <n v="213"/>
        <n v="4299"/>
        <n v="1137"/>
        <n v="2508"/>
        <n v="789"/>
        <n v="478"/>
        <n v="2497"/>
        <n v="1431"/>
        <n v="682"/>
        <n v="689"/>
        <n v="3799"/>
        <n v="679"/>
        <n v="486"/>
        <n v="4417"/>
        <n v="261"/>
        <n v="1173"/>
        <n v="2546"/>
        <n v="152"/>
        <n v="497"/>
        <n v="2611"/>
        <n v="727"/>
        <n v="1497"/>
        <n v="690"/>
        <n v="78"/>
        <n v="729"/>
        <n v="3959"/>
        <n v="684"/>
        <n v="171"/>
        <n v="510"/>
        <n v="557"/>
        <n v="185"/>
        <n v="221"/>
        <n v="4493"/>
        <n v="264"/>
        <n v="1228"/>
        <n v="2599"/>
        <n v="808"/>
        <n v="509"/>
        <n v="2695"/>
        <n v="760"/>
        <n v="1536"/>
        <n v="694"/>
        <n v="756"/>
        <n v="4090"/>
        <n v="698"/>
        <n v="174"/>
        <n v="578"/>
        <n v="236"/>
        <n v="4584"/>
        <n v="1286"/>
        <n v="2659"/>
        <n v="162"/>
        <n v="829"/>
        <n v="527"/>
        <n v="2790"/>
        <n v="788"/>
        <n v="1570"/>
        <n v="711"/>
        <n v="4183"/>
        <n v="719"/>
        <n v="604"/>
        <n v="4681"/>
        <n v="1335"/>
        <n v="2714"/>
        <n v="841"/>
        <n v="542"/>
        <n v="2887"/>
        <n v="822"/>
        <n v="1598"/>
        <n v="722"/>
        <n v="796"/>
        <n v="4225"/>
        <n v="730"/>
        <n v="567"/>
        <n v="632"/>
        <n v="215"/>
        <n v="4730"/>
        <n v="294"/>
        <n v="1375"/>
        <n v="2776"/>
        <n v="854"/>
        <n v="2927"/>
        <n v="850"/>
        <n v="1627"/>
        <n v="736"/>
        <n v="4274"/>
        <n v="91"/>
        <n v="743"/>
        <n v="183"/>
        <n v="576"/>
        <n v="103"/>
        <n v="641"/>
        <n v="249"/>
        <n v="274"/>
        <n v="4770"/>
        <n v="1419"/>
        <n v="2818"/>
        <n v="861"/>
        <n v="568"/>
        <n v="2985"/>
        <n v="1653"/>
        <n v="878"/>
        <n v="740"/>
        <n v="846"/>
        <n v="4296"/>
        <n v="747"/>
        <n v="586"/>
        <n v="285"/>
        <n v="4807"/>
        <n v="315"/>
        <n v="1441"/>
        <n v="2869"/>
        <n v="877"/>
        <n v="3002"/>
        <n v="899"/>
        <n v="1666"/>
        <n v="749"/>
        <n v="859"/>
        <n v="4346"/>
        <n v="750"/>
        <n v="292"/>
        <n v="4851"/>
        <n v="321"/>
        <n v="1456"/>
        <n v="2900"/>
        <n v="888"/>
        <n v="580"/>
        <n v="3019"/>
        <n v="906"/>
        <n v="1680"/>
        <n v="755"/>
        <n v="879"/>
        <n v="4399"/>
        <n v="105"/>
        <n v="753"/>
        <n v="603"/>
        <n v="664"/>
        <n v="296"/>
        <n v="4918"/>
        <n v="325"/>
        <n v="1470"/>
        <n v="2912"/>
        <n v="894"/>
        <n v="589"/>
        <n v="3066"/>
        <n v="912"/>
        <n v="1707"/>
        <n v="768"/>
        <n v="890"/>
        <n v="4463"/>
        <n v="759"/>
        <n v="188"/>
        <n v="616"/>
        <n v="106"/>
        <n v="676"/>
        <n v="4967"/>
        <n v="329"/>
        <n v="1489"/>
        <n v="904"/>
        <n v="596"/>
        <n v="3113"/>
        <n v="929"/>
        <n v="1723"/>
        <n v="781"/>
        <n v="907"/>
        <n v="4528"/>
        <n v="764"/>
        <n v="308"/>
        <n v="4996"/>
        <n v="1515"/>
        <n v="2953"/>
        <n v="599"/>
        <n v="3148"/>
        <n v="943"/>
        <n v="1740"/>
        <n v="930"/>
        <n v="4588"/>
        <n v="770"/>
        <n v="191"/>
        <n v="636"/>
        <n v="683"/>
        <n v="5028"/>
        <n v="350"/>
        <n v="1553"/>
        <n v="2977"/>
        <n v="607"/>
        <n v="108"/>
        <n v="3171"/>
        <n v="960"/>
        <n v="1758"/>
        <n v="956"/>
        <n v="4637"/>
        <n v="773"/>
        <n v="192"/>
        <n v="639"/>
        <n v="699"/>
        <n v="332"/>
        <n v="5050"/>
        <n v="353"/>
        <n v="1586"/>
        <n v="2994"/>
        <n v="924"/>
        <n v="623"/>
        <n v="3211"/>
        <n v="987"/>
        <n v="1767"/>
        <n v="803"/>
        <n v="980"/>
        <n v="4648"/>
        <n v="778"/>
        <n v="640"/>
        <n v="705"/>
        <n v="268"/>
        <n v="333"/>
        <n v="5061"/>
        <n v="355"/>
        <n v="1599"/>
        <n v="3032"/>
        <n v="927"/>
        <n v="3238"/>
        <n v="1774"/>
        <n v="806"/>
        <n v="989"/>
        <n v="4675"/>
        <n v="785"/>
        <n v="195"/>
        <n v="651"/>
        <n v="272"/>
        <n v="335"/>
        <n v="5093"/>
        <n v="1613"/>
        <n v="3058"/>
        <n v="928"/>
        <n v="633"/>
        <n v="3254"/>
        <n v="1012"/>
        <n v="1790"/>
        <n v="809"/>
        <n v="995"/>
        <n v="4701"/>
        <n v="787"/>
        <n v="5125"/>
        <n v="359"/>
        <n v="1622"/>
        <n v="3065"/>
        <n v="176"/>
        <n v="643"/>
        <n v="3280"/>
        <n v="1017"/>
        <n v="1796"/>
        <n v="811"/>
        <n v="1006"/>
        <n v="4722"/>
        <n v="791"/>
        <n v="662"/>
        <n v="724"/>
        <n v="340"/>
        <n v="5146"/>
        <n v="1643"/>
        <n v="3089"/>
        <n v="648"/>
        <n v="3320"/>
        <n v="1801"/>
        <n v="1014"/>
        <n v="4733"/>
        <n v="5180"/>
        <n v="1670"/>
        <n v="3106"/>
        <n v="931"/>
        <n v="654"/>
        <n v="88"/>
        <n v="3337"/>
        <n v="1037"/>
        <n v="813"/>
        <n v="1021"/>
        <n v="799"/>
        <n v="745"/>
        <n v="358"/>
        <n v="5201"/>
        <n v="376"/>
        <n v="1694"/>
        <n v="3121"/>
        <n v="936"/>
        <n v="3366"/>
        <n v="1052"/>
        <n v="1808"/>
        <n v="71"/>
        <n v="816"/>
        <n v="1029"/>
        <n v="800"/>
        <n v="5212"/>
        <n v="379"/>
        <n v="1708"/>
        <n v="3142"/>
        <n v="667"/>
        <n v="120"/>
        <n v="3397"/>
        <n v="1825"/>
        <n v="1033"/>
        <n v="802"/>
        <n v="761"/>
        <n v="360"/>
        <n v="380"/>
        <n v="1714"/>
        <n v="3161"/>
        <n v="3400"/>
        <n v="1830"/>
        <n v="382"/>
        <n v="1722"/>
        <n v="3169"/>
        <n v="674"/>
        <n v="121"/>
      </sharedItems>
    </cacheField>
    <cacheField name="ncumul_hosp" numFmtId="0">
      <sharedItems containsString="0" containsBlank="1" containsNumber="1" containsInteger="1" minValue="0" maxValue="424"/>
    </cacheField>
    <cacheField name="ncumul_ICU" numFmtId="0">
      <sharedItems containsString="0" containsBlank="1" containsNumber="1" containsInteger="1" minValue="0" maxValue="76"/>
    </cacheField>
    <cacheField name="ncumul_vent" numFmtId="0">
      <sharedItems containsString="0" containsBlank="1" containsNumber="1" containsInteger="1" minValue="0" maxValue="73"/>
    </cacheField>
    <cacheField name="ncumul_released" numFmtId="0">
      <sharedItems containsString="0" containsBlank="1" containsNumber="1" containsInteger="1" minValue="0" maxValue="800" count="221">
        <m/>
        <n v="0"/>
        <n v="1"/>
        <n v="2"/>
        <n v="3"/>
        <n v="4"/>
        <n v="5"/>
        <n v="13"/>
        <n v="25"/>
        <n v="16"/>
        <n v="36"/>
        <n v="44"/>
        <n v="18"/>
        <n v="46"/>
        <n v="21"/>
        <n v="57"/>
        <n v="73"/>
        <n v="35"/>
        <n v="78"/>
        <n v="40"/>
        <n v="103"/>
        <n v="10"/>
        <n v="12"/>
        <n v="105"/>
        <n v="122"/>
        <n v="128"/>
        <n v="65"/>
        <n v="144"/>
        <n v="20"/>
        <n v="155"/>
        <n v="76"/>
        <n v="153"/>
        <n v="32"/>
        <n v="191"/>
        <n v="100"/>
        <n v="175"/>
        <n v="33"/>
        <n v="211"/>
        <n v="115"/>
        <n v="193"/>
        <n v="228"/>
        <n v="158"/>
        <n v="216"/>
        <n v="9"/>
        <n v="29"/>
        <n v="263"/>
        <n v="242"/>
        <n v="241"/>
        <n v="48"/>
        <n v="11"/>
        <n v="202"/>
        <n v="39"/>
        <n v="292"/>
        <n v="249"/>
        <n v="260"/>
        <n v="229"/>
        <n v="323"/>
        <n v="70"/>
        <n v="262"/>
        <n v="283"/>
        <n v="49"/>
        <n v="41"/>
        <n v="350"/>
        <n v="88"/>
        <n v="266"/>
        <n v="284"/>
        <n v="50"/>
        <n v="75"/>
        <n v="287"/>
        <n v="397"/>
        <n v="26"/>
        <n v="91"/>
        <n v="298"/>
        <n v="305"/>
        <n v="62"/>
        <n v="92"/>
        <n v="314"/>
        <n v="434"/>
        <n v="95"/>
        <n v="369"/>
        <n v="55"/>
        <n v="327"/>
        <n v="93"/>
        <n v="340"/>
        <n v="460"/>
        <n v="412"/>
        <n v="56"/>
        <n v="345"/>
        <n v="52"/>
        <n v="481"/>
        <n v="34"/>
        <n v="452"/>
        <n v="374"/>
        <n v="79"/>
        <n v="54"/>
        <n v="508"/>
        <n v="42"/>
        <n v="170"/>
        <n v="123"/>
        <n v="461"/>
        <n v="442"/>
        <n v="89"/>
        <n v="107"/>
        <n v="420"/>
        <n v="61"/>
        <n v="535"/>
        <n v="220"/>
        <n v="130"/>
        <n v="485"/>
        <n v="84"/>
        <n v="113"/>
        <n v="447"/>
        <n v="69"/>
        <n v="572"/>
        <n v="45"/>
        <n v="250"/>
        <n v="136"/>
        <n v="502"/>
        <n v="448"/>
        <n v="118"/>
        <n v="466"/>
        <n v="593"/>
        <n v="527"/>
        <n v="463"/>
        <n v="102"/>
        <n v="493"/>
        <n v="612"/>
        <n v="148"/>
        <n v="300"/>
        <n v="554"/>
        <n v="97"/>
        <n v="479"/>
        <n v="109"/>
        <n v="119"/>
        <n v="511"/>
        <n v="80"/>
        <n v="629"/>
        <n v="157"/>
        <n v="570"/>
        <n v="490"/>
        <n v="653"/>
        <n v="597"/>
        <n v="98"/>
        <n v="120"/>
        <n v="524"/>
        <n v="663"/>
        <n v="400"/>
        <n v="165"/>
        <n v="610"/>
        <n v="548"/>
        <n v="682"/>
        <n v="450"/>
        <n v="623"/>
        <n v="520"/>
        <n v="138"/>
        <n v="154"/>
        <n v="568"/>
        <n v="94"/>
        <n v="711"/>
        <n v="500"/>
        <n v="178"/>
        <n v="632"/>
        <n v="106"/>
        <n v="532"/>
        <n v="161"/>
        <n v="580"/>
        <n v="96"/>
        <n v="720"/>
        <n v="66"/>
        <n v="540"/>
        <n v="184"/>
        <n v="636"/>
        <n v="553"/>
        <n v="150"/>
        <n v="176"/>
        <n v="606"/>
        <n v="99"/>
        <n v="753"/>
        <n v="185"/>
        <n v="558"/>
        <n v="180"/>
        <n v="616"/>
        <n v="764"/>
        <n v="204"/>
        <n v="664"/>
        <n v="561"/>
        <n v="159"/>
        <n v="770"/>
        <n v="640"/>
        <n v="206"/>
        <n v="679"/>
        <n v="581"/>
        <n v="639"/>
        <n v="781"/>
        <n v="192"/>
        <n v="680"/>
        <n v="210"/>
        <n v="683"/>
        <n v="116"/>
        <n v="589"/>
        <n v="162"/>
        <n v="661"/>
        <n v="131"/>
        <n v="786"/>
        <n v="194"/>
        <n v="710"/>
        <n v="692"/>
        <n v="592"/>
        <n v="676"/>
        <n v="133"/>
        <n v="793"/>
        <n v="198"/>
        <n v="750"/>
        <n v="698"/>
        <n v="800"/>
        <n v="600"/>
        <n v="780"/>
        <n v="218"/>
        <n v="215"/>
        <n v="724"/>
        <n v="704"/>
      </sharedItems>
    </cacheField>
    <cacheField name="ncumul_deceased" numFmtId="0">
      <sharedItems containsString="0" containsBlank="1" containsNumber="1" containsInteger="1" minValue="0" maxValue="355" count="170">
        <n v="0"/>
        <m/>
        <n v="1"/>
        <n v="2"/>
        <n v="3"/>
        <n v="4"/>
        <n v="6"/>
        <n v="5"/>
        <n v="8"/>
        <n v="7"/>
        <n v="10"/>
        <n v="9"/>
        <n v="14"/>
        <n v="12"/>
        <n v="15"/>
        <n v="13"/>
        <n v="19"/>
        <n v="22"/>
        <n v="28"/>
        <n v="24"/>
        <n v="11"/>
        <n v="37"/>
        <n v="16"/>
        <n v="48"/>
        <n v="17"/>
        <n v="32"/>
        <n v="53"/>
        <n v="40"/>
        <n v="60"/>
        <n v="26"/>
        <n v="57"/>
        <n v="67"/>
        <n v="33"/>
        <n v="61"/>
        <n v="76"/>
        <n v="21"/>
        <n v="41"/>
        <n v="72"/>
        <n v="87"/>
        <n v="25"/>
        <n v="49"/>
        <n v="18"/>
        <n v="81"/>
        <n v="93"/>
        <n v="31"/>
        <n v="58"/>
        <n v="20"/>
        <n v="105"/>
        <n v="35"/>
        <n v="66"/>
        <n v="23"/>
        <n v="120"/>
        <n v="27"/>
        <n v="75"/>
        <n v="116"/>
        <n v="132"/>
        <n v="36"/>
        <n v="83"/>
        <n v="135"/>
        <n v="141"/>
        <n v="39"/>
        <n v="47"/>
        <n v="90"/>
        <n v="30"/>
        <n v="153"/>
        <n v="155"/>
        <n v="51"/>
        <n v="103"/>
        <n v="164"/>
        <n v="165"/>
        <n v="110"/>
        <n v="176"/>
        <n v="177"/>
        <n v="121"/>
        <n v="34"/>
        <n v="192"/>
        <n v="189"/>
        <n v="55"/>
        <n v="44"/>
        <n v="204"/>
        <n v="198"/>
        <n v="68"/>
        <n v="45"/>
        <n v="145"/>
        <n v="216"/>
        <n v="211"/>
        <n v="65"/>
        <n v="71"/>
        <n v="46"/>
        <n v="154"/>
        <n v="42"/>
        <n v="230"/>
        <n v="38"/>
        <n v="219"/>
        <n v="77"/>
        <n v="237"/>
        <n v="227"/>
        <n v="172"/>
        <n v="243"/>
        <n v="229"/>
        <n v="85"/>
        <n v="54"/>
        <n v="178"/>
        <n v="251"/>
        <n v="244"/>
        <n v="79"/>
        <n v="91"/>
        <n v="181"/>
        <n v="257"/>
        <n v="186"/>
        <n v="267"/>
        <n v="258"/>
        <n v="94"/>
        <n v="63"/>
        <n v="190"/>
        <n v="284"/>
        <n v="263"/>
        <n v="196"/>
        <n v="56"/>
        <n v="297"/>
        <n v="269"/>
        <n v="95"/>
        <n v="202"/>
        <n v="59"/>
        <n v="302"/>
        <n v="270"/>
        <n v="99"/>
        <n v="69"/>
        <n v="206"/>
        <n v="310"/>
        <n v="277"/>
        <n v="104"/>
        <n v="208"/>
        <n v="315"/>
        <n v="281"/>
        <n v="107"/>
        <n v="210"/>
        <n v="62"/>
        <n v="326"/>
        <n v="73"/>
        <n v="288"/>
        <n v="74"/>
        <n v="214"/>
        <n v="43"/>
        <n v="29"/>
        <n v="334"/>
        <n v="291"/>
        <n v="109"/>
        <n v="114"/>
        <n v="64"/>
        <n v="338"/>
        <n v="295"/>
        <n v="117"/>
        <n v="222"/>
        <n v="347"/>
        <n v="298"/>
        <n v="113"/>
        <n v="349"/>
        <n v="82"/>
        <n v="299"/>
        <n v="126"/>
        <n v="354"/>
        <n v="304"/>
        <n v="115"/>
        <n v="128"/>
        <n v="355"/>
        <n v="306"/>
        <n v="129"/>
        <n v="78"/>
        <n v="311"/>
      </sharedItems>
    </cacheField>
    <cacheField name="source" numFmtId="0">
      <sharedItems containsBlank="1" longText="1"/>
    </cacheField>
    <cacheField name="Monate" numFmtId="0" databaseField="0">
      <fieldGroup base="0">
        <rangePr groupBy="months" startDate="2020-02-25T00:00:00" endDate="2020-04-28T00:00:00"/>
        <groupItems count="14">
          <s v="&lt;25.02.2020"/>
          <s v="Jan"/>
          <s v="Feb"/>
          <s v="Mär"/>
          <s v="Apr"/>
          <s v="Mai"/>
          <s v="Jun"/>
          <s v="Jul"/>
          <s v="Aug"/>
          <s v="Sep"/>
          <s v="Okt"/>
          <s v="Nov"/>
          <s v="Dez"/>
          <s v="&gt;28.04.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06">
  <r>
    <x v="0"/>
    <m/>
    <x v="0"/>
    <n v="72"/>
    <x v="0"/>
    <n v="0"/>
    <n v="0"/>
    <n v="0"/>
    <x v="0"/>
    <x v="0"/>
    <s v="https://www.ge.ch/document/covid-19-situation-epidemiologique-geneve/telecharger"/>
  </r>
  <r>
    <x v="0"/>
    <m/>
    <x v="1"/>
    <m/>
    <x v="1"/>
    <m/>
    <m/>
    <m/>
    <x v="0"/>
    <x v="1"/>
    <s v="https://www.srf.ch/news/schweiz/tessiner-patient-erster-coronavirus-fall-in-der-schweiz"/>
  </r>
  <r>
    <x v="1"/>
    <m/>
    <x v="0"/>
    <n v="178"/>
    <x v="1"/>
    <n v="1"/>
    <n v="0"/>
    <n v="0"/>
    <x v="0"/>
    <x v="0"/>
    <s v="https://www.ge.ch/document/covid-19-situation-epidemiologique-geneve/telecharger"/>
  </r>
  <r>
    <x v="1"/>
    <m/>
    <x v="1"/>
    <m/>
    <x v="2"/>
    <m/>
    <m/>
    <m/>
    <x v="0"/>
    <x v="1"/>
    <s v=""/>
  </r>
  <r>
    <x v="2"/>
    <m/>
    <x v="2"/>
    <n v="3"/>
    <x v="2"/>
    <m/>
    <m/>
    <m/>
    <x v="0"/>
    <x v="1"/>
    <s v="https://www.regierung.li/media/attachments/83-verdachtsfaelle-negativ-getestet.pdf?t=637202562374055719"/>
  </r>
  <r>
    <x v="2"/>
    <m/>
    <x v="0"/>
    <n v="326"/>
    <x v="1"/>
    <n v="1"/>
    <n v="0"/>
    <n v="0"/>
    <x v="0"/>
    <x v="0"/>
    <s v="https://www.ge.ch/document/covid-19-situation-epidemiologique-geneve/telecharger"/>
  </r>
  <r>
    <x v="2"/>
    <m/>
    <x v="3"/>
    <m/>
    <x v="1"/>
    <n v="1"/>
    <n v="0"/>
    <m/>
    <x v="0"/>
    <x v="0"/>
    <s v="https://www.jura.ch/Htdocs/Files/v/34255.xlsx/Departements/CHA/SIC/Carrousel/Coronavirus/Cornavirus/Chiffres/donnees_26_04.xlsx?download=1"/>
  </r>
  <r>
    <x v="2"/>
    <m/>
    <x v="1"/>
    <m/>
    <x v="2"/>
    <m/>
    <m/>
    <m/>
    <x v="0"/>
    <x v="1"/>
    <s v=""/>
  </r>
  <r>
    <x v="2"/>
    <d v="1899-12-30T14:30:00"/>
    <x v="4"/>
    <m/>
    <x v="3"/>
    <m/>
    <m/>
    <m/>
    <x v="0"/>
    <x v="1"/>
    <s v="https://gd.zh.ch/internet/gesundheitsdirektion/de/themen/coronavirus.html"/>
  </r>
  <r>
    <x v="2"/>
    <d v="1899-12-30T19:17:00"/>
    <x v="5"/>
    <m/>
    <x v="1"/>
    <m/>
    <m/>
    <m/>
    <x v="0"/>
    <x v="1"/>
    <s v="https://www.coronavirus.bs.ch/nm/2020-coronavirus-erster-positiver-fall-in-basel-stadt-zweiter-positiv-getesteter-ausserkantonaler-fall-gd.html"/>
  </r>
  <r>
    <x v="3"/>
    <m/>
    <x v="6"/>
    <m/>
    <x v="1"/>
    <m/>
    <m/>
    <m/>
    <x v="0"/>
    <x v="1"/>
    <s v="https://www.be.ch/portal/de/index/mediencenter/medienmitteilungen/suche.archiv.meldungNeu.html/portal/de/meldungen/mm/2020/02/20200229_0936_corona.html"/>
  </r>
  <r>
    <x v="3"/>
    <m/>
    <x v="7"/>
    <m/>
    <x v="1"/>
    <m/>
    <m/>
    <m/>
    <x v="0"/>
    <x v="1"/>
    <s v="https://www.baselland.ch/politik-und-behorden/direktionen/volkswirtschafts-und-gesundheitsdirektion/medienmitteilungen/neuer-coronavirus-covid-19-erster-bestaetigter-fall-aus-dem-kanton-basel-landschaft"/>
  </r>
  <r>
    <x v="3"/>
    <m/>
    <x v="0"/>
    <n v="534"/>
    <x v="4"/>
    <n v="2"/>
    <n v="0"/>
    <n v="0"/>
    <x v="0"/>
    <x v="0"/>
    <s v="https://www.ge.ch/document/covid-19-situation-epidemiologique-geneve/telecharger"/>
  </r>
  <r>
    <x v="3"/>
    <m/>
    <x v="3"/>
    <m/>
    <x v="1"/>
    <n v="1"/>
    <n v="0"/>
    <m/>
    <x v="0"/>
    <x v="0"/>
    <s v="https://www.jura.ch/Htdocs/Files/v/34255.xlsx/Departements/CHA/SIC/Carrousel/Coronavirus/Cornavirus/Chiffres/donnees_26_04.xlsx?download=1"/>
  </r>
  <r>
    <x v="3"/>
    <m/>
    <x v="1"/>
    <m/>
    <x v="2"/>
    <m/>
    <m/>
    <m/>
    <x v="0"/>
    <x v="1"/>
    <s v=""/>
  </r>
  <r>
    <x v="3"/>
    <m/>
    <x v="8"/>
    <m/>
    <x v="2"/>
    <n v="4"/>
    <m/>
    <m/>
    <x v="0"/>
    <x v="1"/>
    <s v="https://www.vd.ch/toutes-les-actualites/hotline-et-informations-sur-le-coronavirus/"/>
  </r>
  <r>
    <x v="3"/>
    <m/>
    <x v="9"/>
    <m/>
    <x v="1"/>
    <n v="5"/>
    <n v="0"/>
    <n v="0"/>
    <x v="0"/>
    <x v="0"/>
    <s v="https://www.vs.ch/documents/6756452/7008787/2020%2004%2023%20Sit%20Epid%20-%20%C3%89tat%20Stand"/>
  </r>
  <r>
    <x v="3"/>
    <d v="1899-12-30T10:15:00"/>
    <x v="5"/>
    <m/>
    <x v="1"/>
    <m/>
    <m/>
    <m/>
    <x v="0"/>
    <x v="1"/>
    <s v="https://twitter.com/BR_Sprecher/status/1233316679863631873?s=20"/>
  </r>
  <r>
    <x v="3"/>
    <d v="1899-12-30T14:30:00"/>
    <x v="4"/>
    <m/>
    <x v="3"/>
    <m/>
    <m/>
    <m/>
    <x v="0"/>
    <x v="1"/>
    <s v="https://gd.zh.ch/internet/gesundheitsdirektion/de/themen/coronavirus.html"/>
  </r>
  <r>
    <x v="3"/>
    <d v="1899-12-30T15:00:00"/>
    <x v="10"/>
    <m/>
    <x v="1"/>
    <m/>
    <m/>
    <m/>
    <x v="0"/>
    <x v="1"/>
    <s v="https://www.ag.ch/media/kanton_aargau/themen_1/coronavirus_1/20200228_KFS_20200106_Coronavirus_Lagebulletin_AG_Unterschrieben.pdf"/>
  </r>
  <r>
    <x v="4"/>
    <m/>
    <x v="7"/>
    <m/>
    <x v="3"/>
    <n v="1"/>
    <m/>
    <m/>
    <x v="0"/>
    <x v="1"/>
    <s v="https://www.baselland.ch/politik-und-behorden/direktionen/volkswirtschafts-und-gesundheitsdirektion/medienmitteilungen/weiterer-bestaetigter-fall-aus-dem-kanton-basel-landschaft"/>
  </r>
  <r>
    <x v="4"/>
    <m/>
    <x v="0"/>
    <n v="674"/>
    <x v="5"/>
    <n v="3"/>
    <n v="0"/>
    <n v="0"/>
    <x v="0"/>
    <x v="0"/>
    <s v="https://www.ge.ch/document/covid-19-situation-epidemiologique-geneve/telecharger"/>
  </r>
  <r>
    <x v="4"/>
    <m/>
    <x v="3"/>
    <m/>
    <x v="1"/>
    <n v="1"/>
    <n v="0"/>
    <m/>
    <x v="0"/>
    <x v="0"/>
    <s v="https://www.jura.ch/Htdocs/Files/v/34255.xlsx/Departements/CHA/SIC/Carrousel/Coronavirus/Cornavirus/Chiffres/donnees_26_04.xlsx?download=1"/>
  </r>
  <r>
    <x v="4"/>
    <m/>
    <x v="1"/>
    <m/>
    <x v="2"/>
    <m/>
    <m/>
    <m/>
    <x v="0"/>
    <x v="1"/>
    <s v=""/>
  </r>
  <r>
    <x v="4"/>
    <m/>
    <x v="8"/>
    <m/>
    <x v="2"/>
    <n v="4"/>
    <m/>
    <m/>
    <x v="0"/>
    <x v="1"/>
    <s v="https://www.vd.ch/toutes-les-actualites/hotline-et-informations-sur-le-coronavirus/"/>
  </r>
  <r>
    <x v="4"/>
    <m/>
    <x v="9"/>
    <m/>
    <x v="1"/>
    <n v="5"/>
    <n v="0"/>
    <n v="0"/>
    <x v="0"/>
    <x v="0"/>
    <s v="https://www.vs.ch/documents/6756452/7008787/2020%2004%2023%20Sit%20Epid%20-%20%C3%89tat%20Stand"/>
  </r>
  <r>
    <x v="4"/>
    <d v="1899-12-30T08:00:00"/>
    <x v="11"/>
    <m/>
    <x v="0"/>
    <n v="0"/>
    <n v="0"/>
    <m/>
    <x v="0"/>
    <x v="0"/>
    <s v="https://www.zg.ch/behoerden/gesundheitsdirektion/statistikfachstelle/themen/gesundheit/corona"/>
  </r>
  <r>
    <x v="4"/>
    <d v="1899-12-30T14:30:00"/>
    <x v="4"/>
    <m/>
    <x v="5"/>
    <m/>
    <m/>
    <m/>
    <x v="0"/>
    <x v="1"/>
    <s v="https://gd.zh.ch/internet/gesundheitsdirektion/de/themen/coronavirus.html"/>
  </r>
  <r>
    <x v="4"/>
    <d v="1899-12-30T15:23:00"/>
    <x v="5"/>
    <m/>
    <x v="1"/>
    <m/>
    <m/>
    <m/>
    <x v="0"/>
    <x v="1"/>
    <s v="https://twitter.com/BAG_OFSP_UFSP/status/1233759578241863681?s=20"/>
  </r>
  <r>
    <x v="5"/>
    <m/>
    <x v="6"/>
    <m/>
    <x v="3"/>
    <m/>
    <m/>
    <m/>
    <x v="0"/>
    <x v="1"/>
    <s v="https://www.be.ch/portal/de/index/mediencenter/medienmitteilungen/suche.meldungNeu.html/portal/de/meldungen/mm/2020/03/20200302_1522_zweiter_bestaetigtercorona-fallinbiel"/>
  </r>
  <r>
    <x v="5"/>
    <m/>
    <x v="7"/>
    <m/>
    <x v="3"/>
    <n v="1"/>
    <m/>
    <m/>
    <x v="0"/>
    <x v="1"/>
    <s v=""/>
  </r>
  <r>
    <x v="5"/>
    <m/>
    <x v="12"/>
    <n v="30"/>
    <x v="1"/>
    <m/>
    <m/>
    <m/>
    <x v="0"/>
    <x v="1"/>
    <s v="https://www.fr.ch/sites/default/files/2020-03/200301_commd_dsas_covid_cas_fr.pdf"/>
  </r>
  <r>
    <x v="5"/>
    <m/>
    <x v="0"/>
    <n v="783"/>
    <x v="6"/>
    <n v="3"/>
    <n v="0"/>
    <n v="0"/>
    <x v="0"/>
    <x v="0"/>
    <s v="https://www.ge.ch/document/covid-19-situation-epidemiologique-geneve/telecharger"/>
  </r>
  <r>
    <x v="5"/>
    <m/>
    <x v="3"/>
    <m/>
    <x v="1"/>
    <n v="1"/>
    <n v="0"/>
    <m/>
    <x v="0"/>
    <x v="0"/>
    <s v="https://www.jura.ch/Htdocs/Files/v/34255.xlsx/Departements/CHA/SIC/Carrousel/Coronavirus/Cornavirus/Chiffres/donnees_26_04.xlsx?download=1"/>
  </r>
  <r>
    <x v="5"/>
    <m/>
    <x v="13"/>
    <m/>
    <x v="1"/>
    <m/>
    <m/>
    <m/>
    <x v="0"/>
    <x v="1"/>
    <s v="https://www.ne.ch/autorites/DFS/SCSP/medecin-cantonal/maladies-vaccinations/Documents/Covid-19-Statistiques/COVID19_PublicationInternet.xlsx"/>
  </r>
  <r>
    <x v="5"/>
    <m/>
    <x v="1"/>
    <m/>
    <x v="2"/>
    <m/>
    <m/>
    <m/>
    <x v="0"/>
    <x v="1"/>
    <s v=""/>
  </r>
  <r>
    <x v="5"/>
    <m/>
    <x v="8"/>
    <m/>
    <x v="2"/>
    <n v="4"/>
    <m/>
    <m/>
    <x v="0"/>
    <x v="1"/>
    <s v="https://www.vd.ch/toutes-les-actualites/hotline-et-informations-sur-le-coronavirus/"/>
  </r>
  <r>
    <x v="5"/>
    <m/>
    <x v="9"/>
    <m/>
    <x v="3"/>
    <n v="6"/>
    <n v="0"/>
    <n v="0"/>
    <x v="0"/>
    <x v="0"/>
    <s v="https://www.vs.ch/documents/6756452/7008787/2020%2004%2023%20Sit%20Epid%20-%20%C3%89tat%20Stand"/>
  </r>
  <r>
    <x v="5"/>
    <d v="1899-12-30T08:00:00"/>
    <x v="11"/>
    <m/>
    <x v="0"/>
    <n v="0"/>
    <n v="0"/>
    <m/>
    <x v="1"/>
    <x v="0"/>
    <s v="https://www.zg.ch/behoerden/gesundheitsdirektion/statistikfachstelle/themen/gesundheit/corona"/>
  </r>
  <r>
    <x v="5"/>
    <d v="1899-12-30T14:30:00"/>
    <x v="4"/>
    <m/>
    <x v="7"/>
    <m/>
    <m/>
    <m/>
    <x v="0"/>
    <x v="1"/>
    <s v="https://gd.zh.ch/internet/gesundheitsdirektion/de/themen/coronavirus.html"/>
  </r>
  <r>
    <x v="5"/>
    <d v="1899-12-30T17:29:00"/>
    <x v="5"/>
    <m/>
    <x v="1"/>
    <m/>
    <m/>
    <m/>
    <x v="0"/>
    <x v="1"/>
    <s v="https://www.coronavirus.bs.ch/nm/2020-coronavirus-anzahl-der-getesteten-faelle-und-zwischenstand-kita-riehen-gd.html"/>
  </r>
  <r>
    <x v="6"/>
    <m/>
    <x v="6"/>
    <m/>
    <x v="4"/>
    <m/>
    <m/>
    <m/>
    <x v="0"/>
    <x v="1"/>
    <s v="https://www.be.ch/portal/de/index/mediencenter/medienmitteilungen/suche.meldungNeu.html/portal/de/meldungen/mm/2020/03/20200303_1333_mann_in_spital_interlakenpositivgetestet"/>
  </r>
  <r>
    <x v="6"/>
    <m/>
    <x v="7"/>
    <m/>
    <x v="3"/>
    <n v="1"/>
    <m/>
    <m/>
    <x v="0"/>
    <x v="1"/>
    <s v=""/>
  </r>
  <r>
    <x v="6"/>
    <m/>
    <x v="12"/>
    <m/>
    <x v="3"/>
    <m/>
    <m/>
    <m/>
    <x v="0"/>
    <x v="1"/>
    <s v="https://www.fr.ch/sites/default/files/2020-03/200302_CommD_DSAS_covid_cas%20FR.pdf"/>
  </r>
  <r>
    <x v="6"/>
    <m/>
    <x v="0"/>
    <n v="871"/>
    <x v="6"/>
    <n v="3"/>
    <n v="0"/>
    <n v="0"/>
    <x v="0"/>
    <x v="0"/>
    <s v="https://www.ge.ch/document/covid-19-situation-epidemiologique-geneve/telecharger"/>
  </r>
  <r>
    <x v="6"/>
    <m/>
    <x v="3"/>
    <m/>
    <x v="1"/>
    <n v="1"/>
    <n v="0"/>
    <m/>
    <x v="0"/>
    <x v="0"/>
    <s v="https://www.jura.ch/Htdocs/Files/v/34255.xlsx/Departements/CHA/SIC/Carrousel/Coronavirus/Cornavirus/Chiffres/donnees_26_04.xlsx?download=1"/>
  </r>
  <r>
    <x v="6"/>
    <m/>
    <x v="13"/>
    <m/>
    <x v="1"/>
    <n v="1"/>
    <m/>
    <m/>
    <x v="0"/>
    <x v="1"/>
    <s v="https://www.ne.ch/autorites/DFS/SCSP/medecin-cantonal/maladies-vaccinations/Documents/Covid-19-Statistiques/COVID19_PublicationInternet.xlsx"/>
  </r>
  <r>
    <x v="6"/>
    <m/>
    <x v="14"/>
    <m/>
    <x v="0"/>
    <m/>
    <m/>
    <m/>
    <x v="0"/>
    <x v="1"/>
    <s v="https://www.sg.ch/news/sgch_allgemein/2020/03/zwei-personen-in-quarantaene---kein-bestaetigter-fall.html"/>
  </r>
  <r>
    <x v="6"/>
    <m/>
    <x v="1"/>
    <m/>
    <x v="3"/>
    <m/>
    <m/>
    <m/>
    <x v="0"/>
    <x v="1"/>
    <s v="https://www4.ti.ch/area-media/comunicati/dettaglio-comunicato/?NEWS_ID=187352&amp;tx_tichareamedia_comunicazioni%5Baction%5D=show&amp;tx_tichareamedia_comunicazioni%5Bcontroller%5D=Comunicazioni&amp;cHash=ea65dbcabb28d4711459f3b613bbc1b7"/>
  </r>
  <r>
    <x v="6"/>
    <m/>
    <x v="8"/>
    <m/>
    <x v="2"/>
    <n v="6"/>
    <m/>
    <m/>
    <x v="0"/>
    <x v="1"/>
    <s v="https://www.vd.ch/toutes-les-actualites/hotline-et-informations-sur-le-coronavirus/"/>
  </r>
  <r>
    <x v="6"/>
    <m/>
    <x v="9"/>
    <m/>
    <x v="8"/>
    <n v="9"/>
    <n v="0"/>
    <n v="0"/>
    <x v="0"/>
    <x v="0"/>
    <s v="https://www.vs.ch/documents/6756452/7008787/2020%2004%2023%20Sit%20Epid%20-%20%C3%89tat%20Stand"/>
  </r>
  <r>
    <x v="6"/>
    <d v="1899-12-30T08:00:00"/>
    <x v="11"/>
    <m/>
    <x v="0"/>
    <n v="0"/>
    <n v="0"/>
    <m/>
    <x v="1"/>
    <x v="0"/>
    <s v="https://www.zg.ch/behoerden/gesundheitsdirektion/statistikfachstelle/themen/gesundheit/corona"/>
  </r>
  <r>
    <x v="6"/>
    <d v="1899-12-30T14:30:00"/>
    <x v="4"/>
    <m/>
    <x v="9"/>
    <m/>
    <m/>
    <m/>
    <x v="0"/>
    <x v="1"/>
    <s v="https://gd.zh.ch/internet/gesundheitsdirektion/de/themen/coronavirus.html"/>
  </r>
  <r>
    <x v="6"/>
    <d v="1899-12-30T17:15:00"/>
    <x v="5"/>
    <n v="235"/>
    <x v="1"/>
    <m/>
    <m/>
    <m/>
    <x v="0"/>
    <x v="1"/>
    <s v="https://www.coronavirus.bs.ch/nm/2020-coronavirus-zwei-neue-positive-faelle-in-basel-stadt-gd.html"/>
  </r>
  <r>
    <x v="6"/>
    <d v="1899-12-30T18:00:00"/>
    <x v="10"/>
    <m/>
    <x v="3"/>
    <m/>
    <m/>
    <m/>
    <x v="0"/>
    <x v="1"/>
    <s v="https://www.ag.ch/media/kanton_aargau/themen_1/coronavirus_1/200302_KFS_Coronavirus_Lagebulletin_2.pdf"/>
  </r>
  <r>
    <x v="7"/>
    <m/>
    <x v="7"/>
    <m/>
    <x v="3"/>
    <n v="1"/>
    <m/>
    <m/>
    <x v="0"/>
    <x v="1"/>
    <s v=""/>
  </r>
  <r>
    <x v="7"/>
    <m/>
    <x v="2"/>
    <n v="14"/>
    <x v="2"/>
    <m/>
    <m/>
    <m/>
    <x v="0"/>
    <x v="1"/>
    <s v="https://www.regierung.li/media/attachments/90-coronavirus.pdf?t=637202562374055719"/>
  </r>
  <r>
    <x v="7"/>
    <m/>
    <x v="0"/>
    <n v="980"/>
    <x v="9"/>
    <n v="4"/>
    <n v="0"/>
    <n v="0"/>
    <x v="0"/>
    <x v="0"/>
    <s v="https://www.ge.ch/document/covid-19-situation-epidemiologique-geneve/telecharger"/>
  </r>
  <r>
    <x v="7"/>
    <m/>
    <x v="3"/>
    <m/>
    <x v="3"/>
    <n v="1"/>
    <n v="0"/>
    <m/>
    <x v="0"/>
    <x v="0"/>
    <s v="https://www.jura.ch/Htdocs/Files/v/34255.xlsx/Departements/CHA/SIC/Carrousel/Coronavirus/Cornavirus/Chiffres/donnees_26_04.xlsx?download=1"/>
  </r>
  <r>
    <x v="7"/>
    <m/>
    <x v="13"/>
    <m/>
    <x v="1"/>
    <n v="1"/>
    <m/>
    <m/>
    <x v="0"/>
    <x v="1"/>
    <s v="https://www.ne.ch/autorites/DFS/SCSP/medecin-cantonal/maladies-vaccinations/Documents/Covid-19-Statistiques/COVID19_PublicationInternet.xlsx"/>
  </r>
  <r>
    <x v="7"/>
    <m/>
    <x v="15"/>
    <n v="1"/>
    <x v="1"/>
    <m/>
    <m/>
    <m/>
    <x v="0"/>
    <x v="1"/>
    <s v="https://www.sz.ch/public/upload/assets/45351/MM_Coronavirus_4_3_2020.pdf"/>
  </r>
  <r>
    <x v="7"/>
    <m/>
    <x v="1"/>
    <m/>
    <x v="4"/>
    <m/>
    <m/>
    <m/>
    <x v="0"/>
    <x v="1"/>
    <s v="https://www4.ti.ch/area-media/comunicati/dettaglio-comunicato/?NEWS_ID=187363&amp;tx_tichareamedia_comunicazioni%5Baction%5D=show&amp;tx_tichareamedia_comunicazioni%5Bcontroller%5D=Comunicazioni&amp;cHash=b34e82602a39cad67a7f8d54150dcf70   https://www4.ti.ch/area-media/comunicati/dettaglio-comunicato/?NEWS_ID=187369&amp;tx_tichareamedia_comunicazioni%5Baction%5D=show&amp;tx_tichareamedia_comunicazioni%5Bcontroller%5D=Comunicazioni&amp;cHash=3154d18e72821fc23d7b3c5cdfe9f9a3"/>
  </r>
  <r>
    <x v="7"/>
    <m/>
    <x v="8"/>
    <m/>
    <x v="2"/>
    <n v="8"/>
    <m/>
    <m/>
    <x v="0"/>
    <x v="1"/>
    <s v="https://www.vd.ch/toutes-les-actualites/hotline-et-informations-sur-le-coronavirus/"/>
  </r>
  <r>
    <x v="7"/>
    <m/>
    <x v="9"/>
    <m/>
    <x v="8"/>
    <n v="11"/>
    <n v="0"/>
    <n v="0"/>
    <x v="0"/>
    <x v="0"/>
    <s v="https://www.vs.ch/documents/6756452/7008787/2020%2004%2023%20Sit%20Epid%20-%20%C3%89tat%20Stand"/>
  </r>
  <r>
    <x v="7"/>
    <d v="1899-12-30T08:00:00"/>
    <x v="11"/>
    <m/>
    <x v="1"/>
    <n v="0"/>
    <n v="0"/>
    <m/>
    <x v="1"/>
    <x v="0"/>
    <s v="https://www.zg.ch/behoerden/gesundheitsdirektion/statistikfachstelle/themen/gesundheit/corona"/>
  </r>
  <r>
    <x v="7"/>
    <d v="1899-12-30T14:30:00"/>
    <x v="4"/>
    <m/>
    <x v="10"/>
    <m/>
    <m/>
    <m/>
    <x v="0"/>
    <x v="1"/>
    <s v="https://gd.zh.ch/internet/gesundheitsdirektion/de/themen/coronavirus.html"/>
  </r>
  <r>
    <x v="7"/>
    <d v="1899-12-30T15:00:00"/>
    <x v="10"/>
    <m/>
    <x v="5"/>
    <m/>
    <m/>
    <m/>
    <x v="0"/>
    <x v="1"/>
    <s v="https://www.ag.ch/media/kanton_aargau/themen_1/coronavirus_1/lagebulletins/200303_KFS_Coronavirus_Lagebulletin_3.pdf"/>
  </r>
  <r>
    <x v="7"/>
    <d v="1899-12-30T17:30:00"/>
    <x v="5"/>
    <m/>
    <x v="8"/>
    <m/>
    <m/>
    <m/>
    <x v="0"/>
    <x v="1"/>
    <s v="https://twitter.com/BAG_OFSP_UFSP/status/1234880556095213569?s=20"/>
  </r>
  <r>
    <x v="8"/>
    <m/>
    <x v="6"/>
    <m/>
    <x v="5"/>
    <m/>
    <m/>
    <m/>
    <x v="0"/>
    <x v="1"/>
    <s v="https://www.be.ch/portal/de/index/mediencenter/medienmitteilungen/suche.meldungNeu.html/portal/de/meldungen/mm/2020/03/20200304_1443_corona-4-3-2020"/>
  </r>
  <r>
    <x v="8"/>
    <m/>
    <x v="7"/>
    <m/>
    <x v="3"/>
    <n v="1"/>
    <m/>
    <m/>
    <x v="0"/>
    <x v="1"/>
    <s v=""/>
  </r>
  <r>
    <x v="8"/>
    <m/>
    <x v="2"/>
    <n v="16"/>
    <x v="1"/>
    <m/>
    <m/>
    <m/>
    <x v="0"/>
    <x v="1"/>
    <s v="https://www.regierung.li/media/attachments/97-coronavirus.pdf?t=637202562374055719"/>
  </r>
  <r>
    <x v="8"/>
    <m/>
    <x v="12"/>
    <m/>
    <x v="4"/>
    <m/>
    <m/>
    <m/>
    <x v="0"/>
    <x v="1"/>
    <s v="https://www.fr.ch/sites/default/files/2020-03/200304_CommD_DSAS_covid_cas%20FR.pdf"/>
  </r>
  <r>
    <x v="8"/>
    <m/>
    <x v="0"/>
    <n v="1087"/>
    <x v="9"/>
    <n v="4"/>
    <n v="0"/>
    <n v="0"/>
    <x v="0"/>
    <x v="0"/>
    <s v="https://www.ge.ch/document/covid-19-situation-epidemiologique-geneve/telecharger"/>
  </r>
  <r>
    <x v="8"/>
    <m/>
    <x v="3"/>
    <m/>
    <x v="3"/>
    <n v="1"/>
    <n v="0"/>
    <m/>
    <x v="0"/>
    <x v="0"/>
    <s v="https://www.jura.ch/Htdocs/Files/v/34255.xlsx/Departements/CHA/SIC/Carrousel/Coronavirus/Cornavirus/Chiffres/donnees_26_04.xlsx?download=1"/>
  </r>
  <r>
    <x v="8"/>
    <m/>
    <x v="13"/>
    <m/>
    <x v="6"/>
    <n v="4"/>
    <m/>
    <m/>
    <x v="0"/>
    <x v="1"/>
    <s v="https://www.ne.ch/autorites/DFS/SCSP/medecin-cantonal/maladies-vaccinations/Documents/Covid-19-Statistiques/COVID19_PublicationInternet.xlsx"/>
  </r>
  <r>
    <x v="8"/>
    <m/>
    <x v="15"/>
    <n v="3"/>
    <x v="8"/>
    <n v="1"/>
    <m/>
    <m/>
    <x v="0"/>
    <x v="1"/>
    <s v="https://www.sz.ch/public/upload/assets/45351/MM_Coronavirus_4_3_2020.pdf"/>
  </r>
  <r>
    <x v="8"/>
    <m/>
    <x v="1"/>
    <m/>
    <x v="11"/>
    <m/>
    <m/>
    <m/>
    <x v="0"/>
    <x v="1"/>
    <s v="https://www4.ti.ch/area-media/comunicati/dettaglio-comunicato/?NEWS_ID=187371&amp;tx_tichareamedia_comunicazioni%5Baction%5D=show&amp;tx_tichareamedia_comunicazioni%5Bcontroller%5D=Comunicazioni&amp;cHash=174f2d754f3b657af79f343c92fc5c89"/>
  </r>
  <r>
    <x v="8"/>
    <m/>
    <x v="8"/>
    <m/>
    <x v="2"/>
    <n v="11"/>
    <n v="1"/>
    <m/>
    <x v="0"/>
    <x v="1"/>
    <s v="https://www.vd.ch/toutes-les-actualites/hotline-et-informations-sur-le-coronavirus/"/>
  </r>
  <r>
    <x v="8"/>
    <m/>
    <x v="9"/>
    <m/>
    <x v="4"/>
    <n v="12"/>
    <n v="0"/>
    <n v="0"/>
    <x v="0"/>
    <x v="0"/>
    <s v="https://www.vs.ch/documents/6756452/7008787/2020%2004%2023%20Sit%20Epid%20-%20%C3%89tat%20Stand"/>
  </r>
  <r>
    <x v="8"/>
    <d v="1899-12-30T06:35:00"/>
    <x v="14"/>
    <m/>
    <x v="1"/>
    <m/>
    <m/>
    <m/>
    <x v="0"/>
    <x v="1"/>
    <s v="https://www.sg.ch/news/sgch_allgemein/2020/03/erster-bestaetigter-corona-fall-im-kanton-.html"/>
  </r>
  <r>
    <x v="8"/>
    <d v="1899-12-30T08:00:00"/>
    <x v="11"/>
    <m/>
    <x v="1"/>
    <n v="0"/>
    <n v="0"/>
    <m/>
    <x v="1"/>
    <x v="0"/>
    <s v="https://www.zg.ch/behoerden/gesundheitsdirektion/statistikfachstelle/themen/gesundheit/corona"/>
  </r>
  <r>
    <x v="8"/>
    <d v="1899-12-30T14:30:00"/>
    <x v="4"/>
    <m/>
    <x v="12"/>
    <m/>
    <m/>
    <m/>
    <x v="0"/>
    <x v="1"/>
    <s v="https://gd.zh.ch/internet/gesundheitsdirektion/de/themen/coronavirus.html"/>
  </r>
  <r>
    <x v="8"/>
    <d v="1899-12-30T15:00:00"/>
    <x v="10"/>
    <m/>
    <x v="7"/>
    <m/>
    <m/>
    <m/>
    <x v="0"/>
    <x v="1"/>
    <s v="https://www.ag.ch/media/kanton_aargau/themen_1/coronavirus_1/lagebulletins/200304_KFS_Coronavirus_Lagebulletin_4.pdf"/>
  </r>
  <r>
    <x v="8"/>
    <d v="1899-12-30T17:20:00"/>
    <x v="5"/>
    <m/>
    <x v="8"/>
    <m/>
    <m/>
    <m/>
    <x v="0"/>
    <x v="1"/>
    <s v="https://twitter.com/BAG_OFSP_UFSP/status/1235240377134862336?s=20"/>
  </r>
  <r>
    <x v="8"/>
    <d v="1899-12-30T18:00:00"/>
    <x v="16"/>
    <m/>
    <x v="0"/>
    <m/>
    <m/>
    <m/>
    <x v="0"/>
    <x v="1"/>
    <s v="https://web.archive.org/web/20200304173939/https://gesundheit.lu.ch/themen/Humanmedizin/Infektionskrankheiten/Coronavirus"/>
  </r>
  <r>
    <x v="9"/>
    <m/>
    <x v="17"/>
    <m/>
    <x v="1"/>
    <m/>
    <m/>
    <m/>
    <x v="0"/>
    <x v="1"/>
    <s v="https://www.ar.ch/verwaltung/departement-gesundheit-und-soziales/news-aus-dem-departement/detail/news/coronavirusersterfallinappenzellausserrhoden/?tx_news_pi1[controller]=News&amp;tx_news_pi1[action]=detail&amp;cHash=fb1a9cf08108cdc7b82780b9239b009d"/>
  </r>
  <r>
    <x v="9"/>
    <m/>
    <x v="7"/>
    <m/>
    <x v="5"/>
    <n v="1"/>
    <m/>
    <m/>
    <x v="0"/>
    <x v="1"/>
    <s v="https://www.baselland.ch/politik-und-behorden/direktionen/volkswirtschafts-und-gesundheitsdirektion/medienmitteilungen/neuer-coronavirus-covid-19-sechs-bestaetigte-faelle-im-kanton-basel-landschaft"/>
  </r>
  <r>
    <x v="9"/>
    <m/>
    <x v="2"/>
    <n v="18"/>
    <x v="1"/>
    <m/>
    <m/>
    <m/>
    <x v="0"/>
    <x v="1"/>
    <s v="https://www.regierung.li/media/attachments/100-coronavirus-18-verdachtsfaelle-0305.pdf?t=637202562374055719"/>
  </r>
  <r>
    <x v="9"/>
    <m/>
    <x v="12"/>
    <m/>
    <x v="5"/>
    <m/>
    <m/>
    <m/>
    <x v="0"/>
    <x v="1"/>
    <s v="https://www.fr.ch/de/covid19/gesundheit/covid-19/coronavirus-entwicklungen-der-situation"/>
  </r>
  <r>
    <x v="9"/>
    <m/>
    <x v="0"/>
    <n v="1152"/>
    <x v="13"/>
    <n v="5"/>
    <n v="0"/>
    <n v="0"/>
    <x v="0"/>
    <x v="0"/>
    <s v="https://www.ge.ch/document/covid-19-situation-epidemiologique-geneve/telecharger"/>
  </r>
  <r>
    <x v="9"/>
    <m/>
    <x v="3"/>
    <m/>
    <x v="4"/>
    <n v="2"/>
    <n v="0"/>
    <m/>
    <x v="0"/>
    <x v="0"/>
    <s v="https://www.jura.ch/Htdocs/Files/v/34255.xlsx/Departements/CHA/SIC/Carrousel/Coronavirus/Cornavirus/Chiffres/donnees_26_04.xlsx?download=1"/>
  </r>
  <r>
    <x v="9"/>
    <m/>
    <x v="13"/>
    <m/>
    <x v="14"/>
    <n v="4"/>
    <m/>
    <m/>
    <x v="0"/>
    <x v="1"/>
    <s v="https://www.ne.ch/autorites/DFS/SCSP/medecin-cantonal/maladies-vaccinations/Documents/Covid-19-Statistiques/COVID19_PublicationInternet.xlsx"/>
  </r>
  <r>
    <x v="9"/>
    <m/>
    <x v="1"/>
    <m/>
    <x v="15"/>
    <m/>
    <m/>
    <m/>
    <x v="0"/>
    <x v="1"/>
    <s v="https://www4.ti.ch/area-media/comunicati/dettaglio-comunicato/?NEWS_ID=187385&amp;tx_tichareamedia_comunicazioni%5Baction%5D=show&amp;tx_tichareamedia_comunicazioni%5Bcontroller%5D=Comunicazioni&amp;cHash=a9ddddfae2c7446e5b856451e178a61a"/>
  </r>
  <r>
    <x v="9"/>
    <m/>
    <x v="8"/>
    <m/>
    <x v="2"/>
    <n v="14"/>
    <n v="1"/>
    <m/>
    <x v="0"/>
    <x v="1"/>
    <s v="https://www.vd.ch/toutes-les-actualites/hotline-et-informations-sur-le-coronavirus/"/>
  </r>
  <r>
    <x v="9"/>
    <m/>
    <x v="9"/>
    <m/>
    <x v="11"/>
    <n v="10"/>
    <n v="0"/>
    <n v="0"/>
    <x v="0"/>
    <x v="0"/>
    <s v="https://www.vs.ch/documents/6756452/7008787/2020%2004%2023%20Sit%20Epid%20-%20%C3%89tat%20Stand"/>
  </r>
  <r>
    <x v="9"/>
    <d v="1899-12-30T08:00:00"/>
    <x v="11"/>
    <m/>
    <x v="3"/>
    <n v="0"/>
    <n v="0"/>
    <m/>
    <x v="1"/>
    <x v="0"/>
    <s v="https://www.zg.ch/behoerden/gesundheitsdirektion/statistikfachstelle/themen/gesundheit/corona"/>
  </r>
  <r>
    <x v="9"/>
    <d v="1899-12-30T14:30:00"/>
    <x v="4"/>
    <m/>
    <x v="16"/>
    <m/>
    <m/>
    <m/>
    <x v="0"/>
    <x v="1"/>
    <s v="https://gd.zh.ch/internet/gesundheitsdirektion/de/themen/coronavirus.html"/>
  </r>
  <r>
    <x v="9"/>
    <d v="1899-12-30T15:00:00"/>
    <x v="10"/>
    <m/>
    <x v="14"/>
    <m/>
    <m/>
    <m/>
    <x v="0"/>
    <x v="1"/>
    <s v="https://www.ag.ch/media/kanton_aargau/themen_1/coronavirus_1/lagebulletins/200305_KFS_Coronavirus_Lagebulletin_5.pdf"/>
  </r>
  <r>
    <x v="9"/>
    <d v="1899-12-30T17:15:00"/>
    <x v="5"/>
    <m/>
    <x v="6"/>
    <n v="1"/>
    <m/>
    <m/>
    <x v="0"/>
    <x v="1"/>
    <s v="https://www.coronavirus.bs.ch/nm/2020-coronavirus-fuenf-neue-positive-faelle-in-basel-stadt-gd.html"/>
  </r>
  <r>
    <x v="10"/>
    <m/>
    <x v="6"/>
    <m/>
    <x v="17"/>
    <m/>
    <m/>
    <m/>
    <x v="0"/>
    <x v="1"/>
    <s v="https://www.be.ch/portal/de/index/mediencenter/medienmitteilungen/suche.meldungNeu.html/portal/de/meldungen/mm/2020/03/20200306_1343_corona6-3"/>
  </r>
  <r>
    <x v="10"/>
    <m/>
    <x v="7"/>
    <m/>
    <x v="5"/>
    <n v="4"/>
    <n v="2"/>
    <m/>
    <x v="0"/>
    <x v="1"/>
    <s v=""/>
  </r>
  <r>
    <x v="10"/>
    <m/>
    <x v="2"/>
    <n v="22"/>
    <x v="1"/>
    <m/>
    <m/>
    <m/>
    <x v="0"/>
    <x v="1"/>
    <s v="https://www.regierung.li/media/attachments/104-coronavirus-vorsicht.pdf?t=637202562374055719"/>
  </r>
  <r>
    <x v="10"/>
    <m/>
    <x v="0"/>
    <n v="1248"/>
    <x v="18"/>
    <n v="7"/>
    <n v="0"/>
    <n v="0"/>
    <x v="0"/>
    <x v="0"/>
    <s v="https://www.ge.ch/document/covid-19-situation-epidemiologique-geneve/telecharger"/>
  </r>
  <r>
    <x v="10"/>
    <m/>
    <x v="3"/>
    <m/>
    <x v="4"/>
    <n v="5"/>
    <n v="0"/>
    <m/>
    <x v="0"/>
    <x v="0"/>
    <s v="https://www.jura.ch/Htdocs/Files/v/34255.xlsx/Departements/CHA/SIC/Carrousel/Coronavirus/Cornavirus/Chiffres/donnees_26_04.xlsx?download=1"/>
  </r>
  <r>
    <x v="10"/>
    <m/>
    <x v="13"/>
    <m/>
    <x v="19"/>
    <n v="2"/>
    <m/>
    <m/>
    <x v="0"/>
    <x v="1"/>
    <s v="https://www.ne.ch/autorites/DFS/SCSP/medecin-cantonal/maladies-vaccinations/Documents/Covid-19-Statistiques/COVID19_PublicationInternet.xlsx"/>
  </r>
  <r>
    <x v="10"/>
    <m/>
    <x v="15"/>
    <n v="6"/>
    <x v="5"/>
    <m/>
    <m/>
    <m/>
    <x v="0"/>
    <x v="1"/>
    <s v="https://www.sz.ch/public/upload/assets/45417/MM_Coronavirus_6_3_2020.pdf"/>
  </r>
  <r>
    <x v="10"/>
    <m/>
    <x v="1"/>
    <m/>
    <x v="2"/>
    <m/>
    <m/>
    <m/>
    <x v="0"/>
    <x v="1"/>
    <s v=""/>
  </r>
  <r>
    <x v="10"/>
    <m/>
    <x v="8"/>
    <m/>
    <x v="20"/>
    <n v="15"/>
    <n v="2"/>
    <m/>
    <x v="0"/>
    <x v="2"/>
    <s v="https://www.vd.ch/toutes-les-actualites/hotline-et-informations-sur-le-coronavirus/"/>
  </r>
  <r>
    <x v="10"/>
    <m/>
    <x v="9"/>
    <m/>
    <x v="5"/>
    <n v="11"/>
    <n v="0"/>
    <n v="0"/>
    <x v="0"/>
    <x v="0"/>
    <s v="https://www.vs.ch/documents/6756452/7008787/2020%2004%2023%20Sit%20Epid%20-%20%C3%89tat%20Stand"/>
  </r>
  <r>
    <x v="10"/>
    <d v="1899-12-30T08:00:00"/>
    <x v="11"/>
    <m/>
    <x v="8"/>
    <n v="0"/>
    <n v="0"/>
    <m/>
    <x v="1"/>
    <x v="0"/>
    <s v="https://www.zg.ch/behoerden/gesundheitsdirektion/statistikfachstelle/themen/gesundheit/corona"/>
  </r>
  <r>
    <x v="10"/>
    <d v="1899-12-30T12:00:00"/>
    <x v="18"/>
    <m/>
    <x v="1"/>
    <m/>
    <m/>
    <m/>
    <x v="0"/>
    <x v="1"/>
    <s v="https://so.ch/startseite/aktuell/news/erster-laborbestaetigter-covid-19-fall-im-kanton-solothurn/?tx_news_pi1%5Bcontroller%5D=News&amp;tx_news_pi1%5Baction%5D=detail&amp;cHash=3074bbdc8f0fcdcb9f1e11a21fc05e73"/>
  </r>
  <r>
    <x v="10"/>
    <d v="1899-12-30T14:00:00"/>
    <x v="5"/>
    <m/>
    <x v="13"/>
    <n v="1"/>
    <m/>
    <m/>
    <x v="0"/>
    <x v="1"/>
    <s v="https://twitter.com/BAG_OFSP_UFSP/status/1235934884167852035?s=20"/>
  </r>
  <r>
    <x v="10"/>
    <d v="1899-12-30T14:30:00"/>
    <x v="4"/>
    <m/>
    <x v="21"/>
    <m/>
    <m/>
    <m/>
    <x v="0"/>
    <x v="1"/>
    <s v="https://gd.zh.ch/internet/gesundheitsdirektion/de/themen/coronavirus.html"/>
  </r>
  <r>
    <x v="10"/>
    <d v="1899-12-30T15:00:00"/>
    <x v="10"/>
    <m/>
    <x v="22"/>
    <m/>
    <m/>
    <m/>
    <x v="2"/>
    <x v="1"/>
    <s v="https://www.ag.ch/media/kanton_aargau/themen_1/coronavirus_1/lagebulletins/200305_KFS_Coronavirus_Lagebulletin_6.pdf"/>
  </r>
  <r>
    <x v="10"/>
    <d v="1899-12-30T15:38:00"/>
    <x v="14"/>
    <m/>
    <x v="3"/>
    <m/>
    <m/>
    <m/>
    <x v="0"/>
    <x v="1"/>
    <s v="https://www.sg.ch/news/sgch_allgemein/2020/03/zweiter-bestaetigter-fall-einer-corona-patientin.html"/>
  </r>
  <r>
    <x v="11"/>
    <m/>
    <x v="7"/>
    <m/>
    <x v="13"/>
    <n v="4"/>
    <n v="2"/>
    <m/>
    <x v="0"/>
    <x v="1"/>
    <s v="https://www.baselland.ch/politik-und-behorden/direktionen/volkswirtschafts-und-gesundheitsdirektion/medienmitteilungen/update-15-bestaetigte-faelle-in-basel-landschaft"/>
  </r>
  <r>
    <x v="11"/>
    <m/>
    <x v="0"/>
    <n v="1323"/>
    <x v="21"/>
    <n v="7"/>
    <n v="0"/>
    <n v="0"/>
    <x v="0"/>
    <x v="0"/>
    <s v="https://www.ge.ch/document/covid-19-situation-epidemiologique-geneve/telecharger"/>
  </r>
  <r>
    <x v="11"/>
    <m/>
    <x v="3"/>
    <m/>
    <x v="11"/>
    <n v="5"/>
    <n v="0"/>
    <m/>
    <x v="0"/>
    <x v="0"/>
    <s v="https://www.jura.ch/Htdocs/Files/v/34255.xlsx/Departements/CHA/SIC/Carrousel/Coronavirus/Cornavirus/Chiffres/donnees_26_04.xlsx?download=1"/>
  </r>
  <r>
    <x v="11"/>
    <m/>
    <x v="13"/>
    <m/>
    <x v="15"/>
    <n v="2"/>
    <m/>
    <m/>
    <x v="0"/>
    <x v="1"/>
    <s v="https://www.ne.ch/autorites/DFS/SCSP/medecin-cantonal/maladies-vaccinations/Documents/Covid-19-Statistiques/COVID19_PublicationInternet.xlsx"/>
  </r>
  <r>
    <x v="11"/>
    <m/>
    <x v="1"/>
    <m/>
    <x v="23"/>
    <m/>
    <m/>
    <m/>
    <x v="0"/>
    <x v="1"/>
    <s v="https://www4.ti.ch/area-media/comunicati/dettaglio-comunicato/?NEWS_ID=187406&amp;tx_tichareamedia_comunicazioni%5Baction%5D=show&amp;tx_tichareamedia_comunicazioni%5Bcontroller%5D=Comunicazioni&amp;cHash=e553d0b42db2ead87a7d05e499fac4db"/>
  </r>
  <r>
    <x v="11"/>
    <m/>
    <x v="8"/>
    <m/>
    <x v="21"/>
    <n v="16"/>
    <n v="4"/>
    <m/>
    <x v="0"/>
    <x v="2"/>
    <s v="https://www.vd.ch/toutes-les-actualites/hotline-et-informations-sur-le-coronavirus/"/>
  </r>
  <r>
    <x v="11"/>
    <m/>
    <x v="9"/>
    <m/>
    <x v="7"/>
    <n v="11"/>
    <n v="0"/>
    <n v="0"/>
    <x v="0"/>
    <x v="0"/>
    <s v="https://www.vs.ch/documents/6756452/7008787/2020%2004%2023%20Sit%20Epid%20-%20%C3%89tat%20Stand"/>
  </r>
  <r>
    <x v="11"/>
    <d v="1899-12-30T08:00:00"/>
    <x v="11"/>
    <m/>
    <x v="8"/>
    <n v="0"/>
    <n v="0"/>
    <m/>
    <x v="1"/>
    <x v="0"/>
    <s v="https://www.zg.ch/behoerden/gesundheitsdirektion/statistikfachstelle/themen/gesundheit/corona"/>
  </r>
  <r>
    <x v="11"/>
    <d v="1899-12-30T12:00:00"/>
    <x v="5"/>
    <m/>
    <x v="24"/>
    <n v="1"/>
    <m/>
    <m/>
    <x v="0"/>
    <x v="1"/>
    <s v="https://twitter.com/BAG_OFSP_UFSP/status/1236249864473894914?s=20"/>
  </r>
  <r>
    <x v="11"/>
    <d v="1899-12-30T14:30:00"/>
    <x v="4"/>
    <m/>
    <x v="25"/>
    <m/>
    <m/>
    <m/>
    <x v="0"/>
    <x v="1"/>
    <s v="https://gd.zh.ch/internet/gesundheitsdirektion/de/themen/coronavirus.html"/>
  </r>
  <r>
    <x v="12"/>
    <m/>
    <x v="7"/>
    <m/>
    <x v="18"/>
    <n v="4"/>
    <n v="2"/>
    <m/>
    <x v="0"/>
    <x v="2"/>
    <s v="https://www.baselland.ch/politik-und-behorden/direktionen/volkswirtschafts-und-gesundheitsdirektion/medienmitteilungen/patient-im-kantonsspital-baselland-stirbt-an-den-folgen-einer-coronavirus-infektion"/>
  </r>
  <r>
    <x v="12"/>
    <m/>
    <x v="12"/>
    <m/>
    <x v="6"/>
    <m/>
    <m/>
    <m/>
    <x v="0"/>
    <x v="1"/>
    <s v="https://www.fr.ch/de/covid19/gesundheit/covid-19/coronavirus-entwicklungen-der-situation"/>
  </r>
  <r>
    <x v="12"/>
    <m/>
    <x v="0"/>
    <n v="1391"/>
    <x v="26"/>
    <n v="9"/>
    <n v="0"/>
    <n v="0"/>
    <x v="0"/>
    <x v="0"/>
    <s v="https://www.ge.ch/document/covid-19-situation-epidemiologique-geneve/telecharger"/>
  </r>
  <r>
    <x v="12"/>
    <m/>
    <x v="3"/>
    <m/>
    <x v="11"/>
    <n v="5"/>
    <n v="0"/>
    <m/>
    <x v="0"/>
    <x v="0"/>
    <s v="https://www.jura.ch/Htdocs/Files/v/34255.xlsx/Departements/CHA/SIC/Carrousel/Coronavirus/Cornavirus/Chiffres/donnees_26_04.xlsx?download=1"/>
  </r>
  <r>
    <x v="12"/>
    <m/>
    <x v="13"/>
    <m/>
    <x v="16"/>
    <n v="3"/>
    <m/>
    <m/>
    <x v="0"/>
    <x v="1"/>
    <s v="https://www.ne.ch/autorites/DFS/SCSP/medecin-cantonal/maladies-vaccinations/Documents/Covid-19-Statistiques/COVID19_PublicationInternet.xlsx"/>
  </r>
  <r>
    <x v="12"/>
    <m/>
    <x v="1"/>
    <m/>
    <x v="27"/>
    <m/>
    <m/>
    <m/>
    <x v="0"/>
    <x v="1"/>
    <s v="https://www4.ti.ch/area-media/comunicati/dettaglio-comunicato/?NEWS_ID=187407&amp;tx_tichareamedia_comunicazioni%5Baction%5D=show&amp;tx_tichareamedia_comunicazioni%5Bcontroller%5D=Comunicazioni&amp;cHash=8d1ff4bf2a674892913340827de952ea"/>
  </r>
  <r>
    <x v="12"/>
    <m/>
    <x v="8"/>
    <m/>
    <x v="28"/>
    <n v="22"/>
    <n v="3"/>
    <m/>
    <x v="0"/>
    <x v="2"/>
    <s v="https://www.vd.ch/toutes-les-actualites/hotline-et-informations-sur-le-coronavirus/"/>
  </r>
  <r>
    <x v="12"/>
    <m/>
    <x v="9"/>
    <m/>
    <x v="22"/>
    <n v="15"/>
    <n v="1"/>
    <n v="1"/>
    <x v="0"/>
    <x v="0"/>
    <s v="https://www.vs.ch/documents/6756452/7008787/2020%2004%2023%20Sit%20Epid%20-%20%C3%89tat%20Stand"/>
  </r>
  <r>
    <x v="12"/>
    <d v="1899-12-30T08:00:00"/>
    <x v="11"/>
    <m/>
    <x v="8"/>
    <n v="0"/>
    <n v="0"/>
    <m/>
    <x v="1"/>
    <x v="0"/>
    <s v="https://www.zg.ch/behoerden/gesundheitsdirektion/statistikfachstelle/themen/gesundheit/corona"/>
  </r>
  <r>
    <x v="12"/>
    <d v="1899-12-30T12:00:00"/>
    <x v="5"/>
    <m/>
    <x v="16"/>
    <n v="1"/>
    <m/>
    <m/>
    <x v="0"/>
    <x v="1"/>
    <s v="https://twitter.com/BAG_OFSP_UFSP/status/1236609191831384064?s=20"/>
  </r>
  <r>
    <x v="12"/>
    <d v="1899-12-30T14:30:00"/>
    <x v="4"/>
    <m/>
    <x v="29"/>
    <m/>
    <m/>
    <m/>
    <x v="0"/>
    <x v="1"/>
    <s v="https://gd.zh.ch/internet/gesundheitsdirektion/de/themen/coronavirus.html"/>
  </r>
  <r>
    <x v="13"/>
    <m/>
    <x v="17"/>
    <m/>
    <x v="3"/>
    <m/>
    <m/>
    <m/>
    <x v="0"/>
    <x v="1"/>
    <s v="https://www.ar.ch/schnellzugriff/medienmitteilungen-der-kantonalen-verwaltung/detail/news/zweiter-coronafall-in-appenzell-ausserrhoden/?tx_news_pi1[controller]=News&amp;tx_news_pi1[action]=detail&amp;cHash=de7ec38198b5e60b6dce8fccc7735501"/>
  </r>
  <r>
    <x v="13"/>
    <m/>
    <x v="6"/>
    <m/>
    <x v="30"/>
    <m/>
    <m/>
    <m/>
    <x v="0"/>
    <x v="1"/>
    <s v="https://www.be.ch/portal/de/index/mediencenter/medienmitteilungen/suche.meldungNeu.html/portal/de/meldungen/mm/2020/03/20200309_1545_corona-9-3"/>
  </r>
  <r>
    <x v="13"/>
    <m/>
    <x v="7"/>
    <m/>
    <x v="31"/>
    <n v="4"/>
    <n v="4"/>
    <m/>
    <x v="2"/>
    <x v="2"/>
    <s v="https://www.baselland.ch/politik-und-behorden/direktionen/volkswirtschafts-und-gesundheitsdirektion/medienmitteilungen/update-xx-bestaetigte-faelle-in-basel-landschaft"/>
  </r>
  <r>
    <x v="13"/>
    <m/>
    <x v="2"/>
    <n v="24"/>
    <x v="1"/>
    <m/>
    <m/>
    <m/>
    <x v="0"/>
    <x v="1"/>
    <s v="https://www.regierung.li/media/attachments/106-coronavirus-anpassung-massnahmen.pdf?t=637202562374055719"/>
  </r>
  <r>
    <x v="13"/>
    <m/>
    <x v="12"/>
    <m/>
    <x v="9"/>
    <m/>
    <m/>
    <m/>
    <x v="0"/>
    <x v="1"/>
    <s v="https://www.fr.ch/de/covid19/gesundheit/covid-19/coronavirus-entwicklungen-der-situation"/>
  </r>
  <r>
    <x v="13"/>
    <m/>
    <x v="0"/>
    <n v="1496"/>
    <x v="32"/>
    <n v="13"/>
    <n v="3"/>
    <n v="1"/>
    <x v="0"/>
    <x v="0"/>
    <s v="https://www.ge.ch/document/covid-19-situation-epidemiologique-geneve/telecharger"/>
  </r>
  <r>
    <x v="13"/>
    <m/>
    <x v="3"/>
    <m/>
    <x v="7"/>
    <n v="5"/>
    <n v="0"/>
    <m/>
    <x v="0"/>
    <x v="0"/>
    <s v="https://www.jura.ch/Htdocs/Files/v/34255.xlsx/Departements/CHA/SIC/Carrousel/Coronavirus/Cornavirus/Chiffres/donnees_26_04.xlsx?download=1"/>
  </r>
  <r>
    <x v="13"/>
    <m/>
    <x v="13"/>
    <m/>
    <x v="33"/>
    <n v="4"/>
    <m/>
    <m/>
    <x v="0"/>
    <x v="1"/>
    <s v="https://www.ne.ch/autorites/DFS/SCSP/medecin-cantonal/maladies-vaccinations/Documents/Covid-19-Statistiques/COVID19_PublicationInternet.xlsx"/>
  </r>
  <r>
    <x v="13"/>
    <m/>
    <x v="1"/>
    <m/>
    <x v="34"/>
    <m/>
    <m/>
    <m/>
    <x v="0"/>
    <x v="1"/>
    <s v="https://www4.ti.ch/area-media/comunicati/dettaglio-comunicato/?NEWS_ID=187417&amp;tx_tichareamedia_comunicazioni%5Baction%5D=show&amp;tx_tichareamedia_comunicazioni%5Bcontroller%5D=Comunicazioni&amp;cHash=20e9b76118246e98781581881b459523"/>
  </r>
  <r>
    <x v="13"/>
    <m/>
    <x v="8"/>
    <m/>
    <x v="35"/>
    <n v="29"/>
    <n v="5"/>
    <m/>
    <x v="0"/>
    <x v="2"/>
    <s v="https://www.vd.ch/toutes-les-actualites/hotline-et-informations-sur-le-coronavirus/"/>
  </r>
  <r>
    <x v="13"/>
    <m/>
    <x v="9"/>
    <m/>
    <x v="17"/>
    <n v="16"/>
    <n v="1"/>
    <n v="1"/>
    <x v="0"/>
    <x v="0"/>
    <s v="https://www.vs.ch/documents/6756452/7008787/2020%2004%2023%20Sit%20Epid%20-%20%C3%89tat%20Stand"/>
  </r>
  <r>
    <x v="13"/>
    <d v="1899-12-30T08:00:00"/>
    <x v="11"/>
    <m/>
    <x v="36"/>
    <n v="0"/>
    <n v="0"/>
    <m/>
    <x v="1"/>
    <x v="0"/>
    <s v="https://www.zg.ch/behoerden/gesundheitsdirektion/statistikfachstelle/themen/gesundheit/corona"/>
  </r>
  <r>
    <x v="13"/>
    <d v="1899-12-30T12:00:00"/>
    <x v="5"/>
    <m/>
    <x v="37"/>
    <n v="1"/>
    <m/>
    <m/>
    <x v="0"/>
    <x v="1"/>
    <s v="https://twitter.com/BAG_OFSP_UFSP/status/1236973685602426881?s=20"/>
  </r>
  <r>
    <x v="13"/>
    <d v="1899-12-30T14:30:00"/>
    <x v="4"/>
    <m/>
    <x v="38"/>
    <m/>
    <m/>
    <m/>
    <x v="0"/>
    <x v="1"/>
    <s v="https://gd.zh.ch/internet/gesundheitsdirektion/de/themen/coronavirus.html"/>
  </r>
  <r>
    <x v="13"/>
    <d v="1899-12-30T15:00:00"/>
    <x v="10"/>
    <m/>
    <x v="10"/>
    <m/>
    <m/>
    <m/>
    <x v="3"/>
    <x v="1"/>
    <s v="https://www.ag.ch/media/kanton_aargau/themen_1/coronavirus_1/lagebulletins/200309_KFS_Coronavirus_Lagebulletin_7.pdf"/>
  </r>
  <r>
    <x v="14"/>
    <m/>
    <x v="7"/>
    <m/>
    <x v="39"/>
    <n v="5"/>
    <n v="1"/>
    <m/>
    <x v="3"/>
    <x v="2"/>
    <s v="https://www.baselland.ch/politik-und-behorden/direktionen/volkswirtschafts-und-gesundheitsdirektion/medienmitteilungen/update"/>
  </r>
  <r>
    <x v="14"/>
    <m/>
    <x v="2"/>
    <n v="37"/>
    <x v="1"/>
    <m/>
    <m/>
    <m/>
    <x v="0"/>
    <x v="1"/>
    <s v="https://www.regierung.li/media/attachments/110-corona-0310.pdf?t=637202562374055719"/>
  </r>
  <r>
    <x v="14"/>
    <m/>
    <x v="0"/>
    <n v="1697"/>
    <x v="40"/>
    <n v="18"/>
    <n v="4"/>
    <n v="1"/>
    <x v="0"/>
    <x v="2"/>
    <s v="https://www.ge.ch/document/covid-19-situation-epidemiologique-geneve/telecharger"/>
  </r>
  <r>
    <x v="14"/>
    <m/>
    <x v="19"/>
    <m/>
    <x v="1"/>
    <n v="0"/>
    <m/>
    <m/>
    <x v="0"/>
    <x v="0"/>
    <s v="https://www.gl.ch/public/upload/assets/27574/COVID-19_Fallzahlen_Kanton_Glarus.xlsx"/>
  </r>
  <r>
    <x v="14"/>
    <m/>
    <x v="3"/>
    <m/>
    <x v="7"/>
    <n v="5"/>
    <n v="0"/>
    <m/>
    <x v="0"/>
    <x v="0"/>
    <s v="https://www.jura.ch/Htdocs/Files/v/34255.xlsx/Departements/CHA/SIC/Carrousel/Coronavirus/Cornavirus/Chiffres/donnees_26_04.xlsx?download=1"/>
  </r>
  <r>
    <x v="14"/>
    <m/>
    <x v="13"/>
    <m/>
    <x v="41"/>
    <n v="4"/>
    <m/>
    <m/>
    <x v="0"/>
    <x v="1"/>
    <s v="https://www.ne.ch/autorites/DFS/SCSP/medecin-cantonal/maladies-vaccinations/Documents/Covid-19-Statistiques/COVID19_PublicationInternet.xlsx"/>
  </r>
  <r>
    <x v="14"/>
    <m/>
    <x v="1"/>
    <m/>
    <x v="2"/>
    <m/>
    <m/>
    <m/>
    <x v="0"/>
    <x v="2"/>
    <s v="https://www4.ti.ch/area-media/comunicati/dettaglio-comunicato/?NEWS_ID=187422&amp;tx_tichareamedia_comunicazioni%5Baction%5D=show&amp;tx_tichareamedia_comunicazioni%5Bcontroller%5D=Comunicazioni&amp;cHash=24aa247e65de88fdd1551a61fcc407d9"/>
  </r>
  <r>
    <x v="14"/>
    <m/>
    <x v="8"/>
    <m/>
    <x v="42"/>
    <n v="48"/>
    <n v="8"/>
    <m/>
    <x v="0"/>
    <x v="2"/>
    <s v="https://www.vd.ch/toutes-les-actualites/hotline-et-informations-sur-le-coronavirus/point-de-situation-statistique-dans-le-canton-de-vaud/"/>
  </r>
  <r>
    <x v="14"/>
    <m/>
    <x v="9"/>
    <m/>
    <x v="39"/>
    <n v="19"/>
    <n v="1"/>
    <n v="1"/>
    <x v="4"/>
    <x v="0"/>
    <s v="https://www.vs.ch/documents/6756452/7008787/2020%2004%2023%20Sit%20Epid%20-%20%C3%89tat%20Stand"/>
  </r>
  <r>
    <x v="14"/>
    <d v="1899-12-30T08:00:00"/>
    <x v="11"/>
    <m/>
    <x v="36"/>
    <n v="0"/>
    <n v="0"/>
    <m/>
    <x v="1"/>
    <x v="0"/>
    <s v="https://www.zg.ch/behoerden/gesundheitsdirektion/statistikfachstelle/themen/gesundheit/corona"/>
  </r>
  <r>
    <x v="14"/>
    <d v="1899-12-30T12:00:00"/>
    <x v="5"/>
    <m/>
    <x v="43"/>
    <n v="1"/>
    <m/>
    <m/>
    <x v="0"/>
    <x v="1"/>
    <s v="https://twitter.com/BAG_OFSP_UFSP/status/1237336196772175873?s=20"/>
  </r>
  <r>
    <x v="14"/>
    <d v="1899-12-30T14:30:00"/>
    <x v="4"/>
    <m/>
    <x v="44"/>
    <m/>
    <m/>
    <m/>
    <x v="0"/>
    <x v="1"/>
    <s v="https://gd.zh.ch/internet/gesundheitsdirektion/de/themen/coronavirus.html"/>
  </r>
  <r>
    <x v="14"/>
    <d v="1899-12-30T15:00:00"/>
    <x v="10"/>
    <m/>
    <x v="17"/>
    <m/>
    <m/>
    <m/>
    <x v="3"/>
    <x v="1"/>
    <s v="https://www.ag.ch/media/kanton_aargau/themen_1/coronavirus_1/lagebulletins/200310_KFS_Coronavirus_Lagebulletin_8.pdf"/>
  </r>
  <r>
    <x v="15"/>
    <m/>
    <x v="7"/>
    <m/>
    <x v="45"/>
    <n v="3"/>
    <n v="1"/>
    <m/>
    <x v="3"/>
    <x v="3"/>
    <s v="https://www.baselland.ch/politik-und-behorden/direktionen/volkswirtschafts-und-gesundheitsdirektion/medienmitteilungen/update-26-bestaetigte-faelle-in-basel-landschaft-1"/>
  </r>
  <r>
    <x v="15"/>
    <m/>
    <x v="2"/>
    <n v="50"/>
    <x v="8"/>
    <m/>
    <m/>
    <m/>
    <x v="2"/>
    <x v="1"/>
    <s v="https://www.regierung.li/media/attachments/112-drei-personen-infiziert.pdf?t=637202562374055719"/>
  </r>
  <r>
    <x v="15"/>
    <m/>
    <x v="12"/>
    <m/>
    <x v="12"/>
    <m/>
    <m/>
    <m/>
    <x v="0"/>
    <x v="0"/>
    <s v="https://www.fr.ch/sites/default/files/2020-04/statistiques_situation_FR_2704.xlsx"/>
  </r>
  <r>
    <x v="15"/>
    <m/>
    <x v="0"/>
    <n v="1937"/>
    <x v="46"/>
    <n v="20"/>
    <n v="6"/>
    <n v="4"/>
    <x v="0"/>
    <x v="2"/>
    <s v="https://www.ge.ch/document/covid-19-situation-epidemiologique-geneve/telecharger"/>
  </r>
  <r>
    <x v="15"/>
    <m/>
    <x v="19"/>
    <m/>
    <x v="1"/>
    <n v="0"/>
    <m/>
    <m/>
    <x v="0"/>
    <x v="0"/>
    <s v="https://www.gl.ch/public/upload/assets/27574/COVID-19_Fallzahlen_Kanton_Glarus.xlsx"/>
  </r>
  <r>
    <x v="15"/>
    <m/>
    <x v="3"/>
    <m/>
    <x v="7"/>
    <n v="6"/>
    <n v="0"/>
    <m/>
    <x v="0"/>
    <x v="0"/>
    <s v="https://www.jura.ch/Htdocs/Files/v/34255.xlsx/Departements/CHA/SIC/Carrousel/Coronavirus/Cornavirus/Chiffres/donnees_26_04.xlsx?download=1"/>
  </r>
  <r>
    <x v="15"/>
    <m/>
    <x v="13"/>
    <m/>
    <x v="47"/>
    <n v="6"/>
    <m/>
    <m/>
    <x v="0"/>
    <x v="1"/>
    <s v="https://www.ne.ch/autorites/DFS/SCSP/medecin-cantonal/maladies-vaccinations/Documents/Covid-19-Statistiques/COVID19_PublicationInternet.xlsx"/>
  </r>
  <r>
    <x v="15"/>
    <m/>
    <x v="20"/>
    <m/>
    <x v="4"/>
    <n v="2"/>
    <m/>
    <m/>
    <x v="0"/>
    <x v="1"/>
    <s v="http://www.nw.ch/coronastatistik"/>
  </r>
  <r>
    <x v="15"/>
    <m/>
    <x v="21"/>
    <m/>
    <x v="1"/>
    <m/>
    <m/>
    <m/>
    <x v="0"/>
    <x v="0"/>
    <s v="https://sh.ch/CMS/get/file/b9efa343-2987-4ab2-a060-9c16eacb0326"/>
  </r>
  <r>
    <x v="15"/>
    <m/>
    <x v="1"/>
    <m/>
    <x v="2"/>
    <m/>
    <m/>
    <m/>
    <x v="0"/>
    <x v="1"/>
    <s v=""/>
  </r>
  <r>
    <x v="15"/>
    <m/>
    <x v="8"/>
    <m/>
    <x v="48"/>
    <n v="51"/>
    <n v="7"/>
    <m/>
    <x v="0"/>
    <x v="2"/>
    <s v="https://www.vd.ch/toutes-les-actualites/hotline-et-informations-sur-le-coronavirus/point-de-situation-statistique-dans-le-canton-de-vaud/"/>
  </r>
  <r>
    <x v="15"/>
    <m/>
    <x v="9"/>
    <m/>
    <x v="21"/>
    <n v="20"/>
    <n v="1"/>
    <n v="1"/>
    <x v="0"/>
    <x v="0"/>
    <s v="https://www.vs.ch/documents/6756452/7008787/2020%2004%2023%20Sit%20Epid%20-%20%C3%89tat%20Stand"/>
  </r>
  <r>
    <x v="15"/>
    <d v="1899-12-30T08:00:00"/>
    <x v="11"/>
    <m/>
    <x v="9"/>
    <n v="0"/>
    <n v="0"/>
    <m/>
    <x v="1"/>
    <x v="0"/>
    <s v="https://www.zg.ch/behoerden/gesundheitsdirektion/statistikfachstelle/themen/gesundheit/corona"/>
  </r>
  <r>
    <x v="15"/>
    <d v="1899-12-30T12:00:00"/>
    <x v="5"/>
    <m/>
    <x v="49"/>
    <n v="13"/>
    <n v="2"/>
    <m/>
    <x v="5"/>
    <x v="1"/>
    <s v="https://www.coronavirus.bs.ch/nm/2020-coronavirus-ende-der-quarantaenemassnahmen-im-fall-kita-riehen-gd.html"/>
  </r>
  <r>
    <x v="15"/>
    <d v="1899-12-30T14:30:00"/>
    <x v="4"/>
    <m/>
    <x v="50"/>
    <m/>
    <m/>
    <m/>
    <x v="0"/>
    <x v="1"/>
    <s v="https://gd.zh.ch/internet/gesundheitsdirektion/de/themen/coronavirus.html"/>
  </r>
  <r>
    <x v="15"/>
    <d v="1899-12-30T15:00:00"/>
    <x v="10"/>
    <m/>
    <x v="15"/>
    <m/>
    <m/>
    <m/>
    <x v="3"/>
    <x v="1"/>
    <s v="https://www.ag.ch/media/kanton_aargau/themen_1/coronavirus_1/lagebulletins/200311_KFS_Coronavirus_Lagebulletin_9.pdf"/>
  </r>
  <r>
    <x v="16"/>
    <m/>
    <x v="17"/>
    <m/>
    <x v="11"/>
    <m/>
    <m/>
    <m/>
    <x v="0"/>
    <x v="1"/>
    <s v="https://www.ar.ch/schnellzugriff/medienmitteilungen-der-kantonalen-verwaltung/detail/news/coronavirus-drei-neue-faelle-in-appenzell-ausserrhoden/?tx_news_pi1[controller]=News&amp;tx_news_pi1[action]=detail&amp;cHash=272411484066c8fb971dcc838aa96ef9"/>
  </r>
  <r>
    <x v="16"/>
    <m/>
    <x v="7"/>
    <m/>
    <x v="45"/>
    <n v="9"/>
    <n v="3"/>
    <m/>
    <x v="3"/>
    <x v="3"/>
    <s v=""/>
  </r>
  <r>
    <x v="16"/>
    <m/>
    <x v="2"/>
    <n v="57"/>
    <x v="8"/>
    <m/>
    <m/>
    <m/>
    <x v="2"/>
    <x v="1"/>
    <s v="https://www.regierung.li/media/attachments/114-hallenbaeder-geschlossen-0312.pdf?t=637202562374055719"/>
  </r>
  <r>
    <x v="16"/>
    <m/>
    <x v="12"/>
    <m/>
    <x v="39"/>
    <m/>
    <m/>
    <m/>
    <x v="0"/>
    <x v="0"/>
    <s v="https://www.fr.ch/sites/default/files/2020-04/statistiques_situation_FR_2704.xlsx"/>
  </r>
  <r>
    <x v="16"/>
    <m/>
    <x v="0"/>
    <n v="2290"/>
    <x v="51"/>
    <n v="23"/>
    <n v="6"/>
    <n v="4"/>
    <x v="0"/>
    <x v="3"/>
    <s v="https://www.ge.ch/document/covid-19-situation-epidemiologique-geneve/telecharger"/>
  </r>
  <r>
    <x v="16"/>
    <m/>
    <x v="19"/>
    <m/>
    <x v="8"/>
    <n v="0"/>
    <m/>
    <m/>
    <x v="0"/>
    <x v="0"/>
    <s v="https://www.gl.ch/public/upload/assets/27574/COVID-19_Fallzahlen_Kanton_Glarus.xlsx"/>
  </r>
  <r>
    <x v="16"/>
    <m/>
    <x v="3"/>
    <m/>
    <x v="22"/>
    <n v="6"/>
    <n v="0"/>
    <m/>
    <x v="0"/>
    <x v="0"/>
    <s v="https://www.jura.ch/Htdocs/Files/v/34255.xlsx/Departements/CHA/SIC/Carrousel/Coronavirus/Cornavirus/Chiffres/donnees_26_04.xlsx?download=1"/>
  </r>
  <r>
    <x v="16"/>
    <m/>
    <x v="13"/>
    <m/>
    <x v="52"/>
    <n v="6"/>
    <m/>
    <m/>
    <x v="0"/>
    <x v="1"/>
    <s v="https://www.ne.ch/autorites/DFS/SCSP/medecin-cantonal/maladies-vaccinations/Documents/Covid-19-Statistiques/COVID19_PublicationInternet.xlsx"/>
  </r>
  <r>
    <x v="16"/>
    <m/>
    <x v="20"/>
    <m/>
    <x v="11"/>
    <n v="5"/>
    <m/>
    <m/>
    <x v="0"/>
    <x v="1"/>
    <s v="http://www.nw.ch/coronastatistik"/>
  </r>
  <r>
    <x v="16"/>
    <m/>
    <x v="14"/>
    <m/>
    <x v="13"/>
    <m/>
    <m/>
    <m/>
    <x v="0"/>
    <x v="1"/>
    <s v="https://www.sg.ch/tools/informationen-coronavirus.html"/>
  </r>
  <r>
    <x v="16"/>
    <m/>
    <x v="21"/>
    <m/>
    <x v="1"/>
    <m/>
    <m/>
    <m/>
    <x v="0"/>
    <x v="0"/>
    <s v="https://sh.ch/CMS/get/file/b9efa343-2987-4ab2-a060-9c16eacb0326"/>
  </r>
  <r>
    <x v="16"/>
    <m/>
    <x v="1"/>
    <m/>
    <x v="53"/>
    <m/>
    <m/>
    <m/>
    <x v="0"/>
    <x v="1"/>
    <s v="https://www4.ti.ch/area-media/comunicati/dettaglio-comunicato/?NEWS_ID=187437&amp;tx_tichareamedia_comunicazioni%5Baction%5D=show&amp;tx_tichareamedia_comunicazioni%5Bcontroller%5D=Comunicazioni&amp;cHash=59cf6112c82abed490acd8901f5a0bb2"/>
  </r>
  <r>
    <x v="16"/>
    <m/>
    <x v="22"/>
    <m/>
    <x v="3"/>
    <m/>
    <m/>
    <m/>
    <x v="0"/>
    <x v="1"/>
    <s v=""/>
  </r>
  <r>
    <x v="16"/>
    <m/>
    <x v="8"/>
    <m/>
    <x v="54"/>
    <n v="55"/>
    <n v="6"/>
    <m/>
    <x v="0"/>
    <x v="4"/>
    <s v="https://www.vd.ch/toutes-les-actualites/hotline-et-informations-sur-le-coronavirus/point-de-situation-statistique-dans-le-canton-de-vaud/"/>
  </r>
  <r>
    <x v="16"/>
    <m/>
    <x v="9"/>
    <m/>
    <x v="55"/>
    <n v="27"/>
    <n v="1"/>
    <n v="1"/>
    <x v="0"/>
    <x v="0"/>
    <s v="https://www.vs.ch/documents/6756452/7008787/2020%2004%2023%20Sit%20Epid%20-%20%C3%89tat%20Stand"/>
  </r>
  <r>
    <x v="16"/>
    <d v="1899-12-30T08:00:00"/>
    <x v="11"/>
    <m/>
    <x v="9"/>
    <n v="0"/>
    <n v="0"/>
    <m/>
    <x v="1"/>
    <x v="0"/>
    <s v="https://www.zg.ch/behoerden/gesundheitsdirektion/statistikfachstelle/themen/gesundheit/corona"/>
  </r>
  <r>
    <x v="16"/>
    <d v="1899-12-30T12:00:00"/>
    <x v="5"/>
    <m/>
    <x v="40"/>
    <n v="13"/>
    <m/>
    <m/>
    <x v="5"/>
    <x v="2"/>
    <s v="https://twitter.com/BAG_OFSP_UFSP/status/1238073089902235648?s=20 https://www.coronavirus.bs.ch/nm/2020-coronavirus-erster-todesfall-im-kanton-basel-stadt-gd.html"/>
  </r>
  <r>
    <x v="16"/>
    <d v="1899-12-30T14:30:00"/>
    <x v="4"/>
    <m/>
    <x v="56"/>
    <m/>
    <m/>
    <m/>
    <x v="0"/>
    <x v="1"/>
    <s v="https://gd.zh.ch/internet/gesundheitsdirektion/de/themen/coronavirus.html"/>
  </r>
  <r>
    <x v="16"/>
    <d v="1899-12-30T15:00:00"/>
    <x v="10"/>
    <m/>
    <x v="33"/>
    <n v="1"/>
    <m/>
    <m/>
    <x v="4"/>
    <x v="1"/>
    <s v="https://www.ag.ch/media/kanton_aargau/themen_1/coronavirus_1/lagebulletins/200312_KFS_Coronavirus_Lagebulletin_10.pdf"/>
  </r>
  <r>
    <x v="17"/>
    <m/>
    <x v="7"/>
    <m/>
    <x v="57"/>
    <n v="12"/>
    <n v="3"/>
    <m/>
    <x v="3"/>
    <x v="3"/>
    <s v="https://www.baselland.ch/politik-und-behorden/direktionen/volkswirtschafts-und-gesundheitsdirektion/medienmitteilungen/update-26-bestaetigte-faelle-in-basel-landschaft-2"/>
  </r>
  <r>
    <x v="17"/>
    <m/>
    <x v="12"/>
    <m/>
    <x v="58"/>
    <m/>
    <m/>
    <m/>
    <x v="0"/>
    <x v="0"/>
    <s v="https://www.fr.ch/sites/default/files/2020-04/statistiques_situation_FR_2704.xlsx"/>
  </r>
  <r>
    <x v="17"/>
    <m/>
    <x v="0"/>
    <n v="2726"/>
    <x v="59"/>
    <n v="33"/>
    <n v="7"/>
    <n v="5"/>
    <x v="0"/>
    <x v="3"/>
    <s v="https://www.ge.ch/document/covid-19-situation-epidemiologique-geneve/telecharger"/>
  </r>
  <r>
    <x v="17"/>
    <m/>
    <x v="19"/>
    <m/>
    <x v="5"/>
    <n v="0"/>
    <m/>
    <m/>
    <x v="0"/>
    <x v="0"/>
    <s v="https://www.gl.ch/public/upload/assets/27574/COVID-19_Fallzahlen_Kanton_Glarus.xlsx"/>
  </r>
  <r>
    <x v="17"/>
    <m/>
    <x v="3"/>
    <m/>
    <x v="17"/>
    <n v="8"/>
    <n v="0"/>
    <m/>
    <x v="0"/>
    <x v="0"/>
    <s v="https://www.jura.ch/Htdocs/Files/v/34255.xlsx/Departements/CHA/SIC/Carrousel/Coronavirus/Cornavirus/Chiffres/donnees_26_04.xlsx?download=1"/>
  </r>
  <r>
    <x v="17"/>
    <m/>
    <x v="13"/>
    <m/>
    <x v="60"/>
    <n v="9"/>
    <m/>
    <m/>
    <x v="0"/>
    <x v="1"/>
    <s v="https://www.ne.ch/autorites/DFS/SCSP/medecin-cantonal/maladies-vaccinations/Documents/Covid-19-Statistiques/COVID19_PublicationInternet.xlsx"/>
  </r>
  <r>
    <x v="17"/>
    <m/>
    <x v="20"/>
    <m/>
    <x v="11"/>
    <n v="6"/>
    <m/>
    <m/>
    <x v="0"/>
    <x v="1"/>
    <s v="http://www.nw.ch/coronastatistik"/>
  </r>
  <r>
    <x v="17"/>
    <m/>
    <x v="21"/>
    <m/>
    <x v="1"/>
    <m/>
    <m/>
    <m/>
    <x v="0"/>
    <x v="0"/>
    <s v="https://sh.ch/CMS/get/file/b9efa343-2987-4ab2-a060-9c16eacb0326"/>
  </r>
  <r>
    <x v="17"/>
    <m/>
    <x v="1"/>
    <m/>
    <x v="61"/>
    <n v="65"/>
    <n v="13"/>
    <m/>
    <x v="0"/>
    <x v="1"/>
    <s v="https://www.youtube.com/watch?v=_x_yQ6uwGAQ"/>
  </r>
  <r>
    <x v="17"/>
    <m/>
    <x v="8"/>
    <m/>
    <x v="62"/>
    <n v="61"/>
    <n v="7"/>
    <m/>
    <x v="0"/>
    <x v="4"/>
    <s v="https://www.vd.ch/toutes-les-actualites/hotline-et-informations-sur-le-coronavirus/point-de-situation-statistique-dans-le-canton-de-vaud/"/>
  </r>
  <r>
    <x v="17"/>
    <m/>
    <x v="9"/>
    <m/>
    <x v="63"/>
    <n v="29"/>
    <n v="1"/>
    <n v="1"/>
    <x v="0"/>
    <x v="2"/>
    <s v="https://www.vs.ch/documents/6756452/7008787/2020%2004%2023%20Sit%20Epid%20-%20%C3%89tat%20Stand"/>
  </r>
  <r>
    <x v="17"/>
    <d v="1899-12-30T08:00:00"/>
    <x v="11"/>
    <m/>
    <x v="9"/>
    <n v="0"/>
    <n v="0"/>
    <m/>
    <x v="1"/>
    <x v="0"/>
    <s v="https://www.zg.ch/behoerden/gesundheitsdirektion/statistikfachstelle/themen/gesundheit/corona"/>
  </r>
  <r>
    <x v="17"/>
    <d v="1899-12-30T12:00:00"/>
    <x v="23"/>
    <n v="6"/>
    <x v="1"/>
    <m/>
    <m/>
    <m/>
    <x v="0"/>
    <x v="1"/>
    <s v="https://www.ow.ch/de/aktuelles/aktuellesinformationen/amtsmitteilungen/welcome.php?action=showinfo&amp;info_id=63566&amp;ls=0&amp;sq=&amp;kategorie_id=&amp;date_from=&amp;date_to="/>
  </r>
  <r>
    <x v="17"/>
    <d v="1899-12-30T12:00:00"/>
    <x v="15"/>
    <n v="10"/>
    <x v="14"/>
    <m/>
    <m/>
    <m/>
    <x v="0"/>
    <x v="1"/>
    <s v="https://www.sz.ch/public/upload/assets/45585/MM_Coronavirus_13_03_2020.pdf"/>
  </r>
  <r>
    <x v="17"/>
    <d v="1899-12-30T12:30:00"/>
    <x v="5"/>
    <m/>
    <x v="64"/>
    <n v="13"/>
    <m/>
    <m/>
    <x v="5"/>
    <x v="2"/>
    <s v="https://twitter.com/BAG_OFSP_UFSP/status/1238430659762364417?s=20"/>
  </r>
  <r>
    <x v="17"/>
    <d v="1899-12-30T13:00:00"/>
    <x v="10"/>
    <m/>
    <x v="65"/>
    <m/>
    <m/>
    <m/>
    <x v="4"/>
    <x v="1"/>
    <s v="https://www.ag.ch/media/kanton_aargau/themen_1/coronavirus_1/lagebulletins/200313_KFS_Coronavirus_Lagebulletin_11.pdf"/>
  </r>
  <r>
    <x v="17"/>
    <d v="1899-12-30T14:30:00"/>
    <x v="4"/>
    <m/>
    <x v="66"/>
    <m/>
    <m/>
    <m/>
    <x v="0"/>
    <x v="1"/>
    <s v="https://gd.zh.ch/internet/gesundheitsdirektion/de/themen/coronavirus.html"/>
  </r>
  <r>
    <x v="18"/>
    <m/>
    <x v="24"/>
    <m/>
    <x v="3"/>
    <m/>
    <m/>
    <m/>
    <x v="0"/>
    <x v="1"/>
    <s v="https://www.ai.ch/themen/gesundheit-alter-und-soziales/gesundheitsfoerderung-und-praevention/aktuelles/erste-bestaetigte-coronavirus-faelle-auch-in-innerrhoden"/>
  </r>
  <r>
    <x v="18"/>
    <m/>
    <x v="7"/>
    <m/>
    <x v="32"/>
    <n v="8"/>
    <n v="2"/>
    <m/>
    <x v="3"/>
    <x v="3"/>
    <s v="https://www.baselland.ch/politik-und-behorden/direktionen/volkswirtschafts-und-gesundheitsdirektion/medienmitteilungen/update-47-bestaetigte-faelle-in-basel-landschaft"/>
  </r>
  <r>
    <x v="18"/>
    <m/>
    <x v="2"/>
    <n v="99"/>
    <x v="8"/>
    <m/>
    <m/>
    <m/>
    <x v="2"/>
    <x v="1"/>
    <s v="https://www.regierung.li/media/attachments/118-corona-rueckkehrer-skiferien-0314.pdf?t=637202562374055719"/>
  </r>
  <r>
    <x v="18"/>
    <m/>
    <x v="12"/>
    <m/>
    <x v="67"/>
    <m/>
    <m/>
    <m/>
    <x v="0"/>
    <x v="0"/>
    <s v="https://www.fr.ch/sites/default/files/2020-04/statistiques_situation_FR_2704.xlsx"/>
  </r>
  <r>
    <x v="18"/>
    <m/>
    <x v="0"/>
    <n v="3311"/>
    <x v="68"/>
    <n v="43"/>
    <n v="8"/>
    <n v="5"/>
    <x v="0"/>
    <x v="3"/>
    <s v="https://www.ge.ch/document/covid-19-situation-epidemiologique-geneve/telecharger"/>
  </r>
  <r>
    <x v="18"/>
    <m/>
    <x v="19"/>
    <m/>
    <x v="6"/>
    <n v="0"/>
    <m/>
    <m/>
    <x v="0"/>
    <x v="0"/>
    <s v="https://www.gl.ch/public/upload/assets/27574/COVID-19_Fallzahlen_Kanton_Glarus.xlsx"/>
  </r>
  <r>
    <x v="18"/>
    <m/>
    <x v="3"/>
    <m/>
    <x v="15"/>
    <n v="8"/>
    <n v="0"/>
    <m/>
    <x v="0"/>
    <x v="0"/>
    <s v="https://www.jura.ch/Htdocs/Files/v/34255.xlsx/Departements/CHA/SIC/Carrousel/Coronavirus/Cornavirus/Chiffres/donnees_26_04.xlsx?download=1"/>
  </r>
  <r>
    <x v="18"/>
    <m/>
    <x v="13"/>
    <m/>
    <x v="34"/>
    <n v="10"/>
    <m/>
    <m/>
    <x v="0"/>
    <x v="1"/>
    <s v="https://www.ne.ch/autorites/DFS/SCSP/medecin-cantonal/maladies-vaccinations/Documents/Covid-19-Statistiques/COVID19_PublicationInternet.xlsx"/>
  </r>
  <r>
    <x v="18"/>
    <m/>
    <x v="20"/>
    <m/>
    <x v="11"/>
    <n v="6"/>
    <m/>
    <m/>
    <x v="0"/>
    <x v="1"/>
    <s v="http://www.nw.ch/coronastatistik"/>
  </r>
  <r>
    <x v="18"/>
    <m/>
    <x v="21"/>
    <m/>
    <x v="1"/>
    <m/>
    <m/>
    <m/>
    <x v="0"/>
    <x v="0"/>
    <s v="https://sh.ch/CMS/get/file/b9efa343-2987-4ab2-a060-9c16eacb0326"/>
  </r>
  <r>
    <x v="18"/>
    <m/>
    <x v="1"/>
    <m/>
    <x v="69"/>
    <m/>
    <m/>
    <m/>
    <x v="0"/>
    <x v="4"/>
    <s v="https://www4.ti.ch/area-media/comunicati/dettaglio-comunicato/?NEWS_ID=187466&amp;tx_tichareamedia_comunicazioni%5Baction%5D=show&amp;tx_tichareamedia_comunicazioni%5Bcontroller%5D=Comunicazioni&amp;cHash=1b10e6e8117296766155edcf9c317a4c"/>
  </r>
  <r>
    <x v="18"/>
    <m/>
    <x v="8"/>
    <m/>
    <x v="70"/>
    <n v="75"/>
    <n v="10"/>
    <m/>
    <x v="0"/>
    <x v="5"/>
    <s v="https://www.vd.ch/toutes-les-actualites/hotline-et-informations-sur-le-coronavirus/point-de-situation-statistique-dans-le-canton-de-vaud/"/>
  </r>
  <r>
    <x v="18"/>
    <m/>
    <x v="9"/>
    <m/>
    <x v="71"/>
    <n v="33"/>
    <n v="1"/>
    <n v="1"/>
    <x v="0"/>
    <x v="2"/>
    <s v="https://www.vs.ch/documents/6756452/7008787/2020%2004%2023%20Sit%20Epid%20-%20%C3%89tat%20Stand"/>
  </r>
  <r>
    <x v="18"/>
    <d v="1899-12-30T03:03:00"/>
    <x v="15"/>
    <n v="10"/>
    <x v="22"/>
    <m/>
    <m/>
    <m/>
    <x v="0"/>
    <x v="1"/>
    <s v="https://www.bote.ch/nachrichten/schwyz/schwyz_bdu/coronavirus-einsatz-fuer-spitalbataillon-5"/>
  </r>
  <r>
    <x v="18"/>
    <d v="1899-12-30T08:00:00"/>
    <x v="11"/>
    <m/>
    <x v="19"/>
    <n v="0"/>
    <n v="0"/>
    <m/>
    <x v="1"/>
    <x v="0"/>
    <s v="https://www.zg.ch/behoerden/gesundheitsdirektion/statistikfachstelle/themen/gesundheit/corona"/>
  </r>
  <r>
    <x v="18"/>
    <d v="1899-12-30T11:27:00"/>
    <x v="5"/>
    <m/>
    <x v="72"/>
    <n v="13"/>
    <m/>
    <m/>
    <x v="5"/>
    <x v="2"/>
    <s v="https://twitter.com/BAG_OFSP_UFSP/status/1238773726423941127?s=20"/>
  </r>
  <r>
    <x v="18"/>
    <d v="1899-12-30T14:30:00"/>
    <x v="4"/>
    <m/>
    <x v="73"/>
    <m/>
    <m/>
    <m/>
    <x v="0"/>
    <x v="1"/>
    <s v="https://gd.zh.ch/internet/gesundheitsdirektion/de/themen/coronavirus.html"/>
  </r>
  <r>
    <x v="19"/>
    <m/>
    <x v="7"/>
    <m/>
    <x v="74"/>
    <n v="12"/>
    <n v="2"/>
    <m/>
    <x v="6"/>
    <x v="3"/>
    <s v="https://www.baselland.ch/politik-und-behorden/direktionen/volkswirtschafts-und-gesundheitsdirektion/medienmitteilungen/update-54-bestaetigte-faelle-in-basel-landschaft"/>
  </r>
  <r>
    <x v="19"/>
    <m/>
    <x v="2"/>
    <m/>
    <x v="7"/>
    <m/>
    <m/>
    <m/>
    <x v="2"/>
    <x v="1"/>
    <s v="https://www.regierung.li/media/attachments/119-corona-massnahmen-verschaerft-0315.pdf?t=637202562374055719"/>
  </r>
  <r>
    <x v="19"/>
    <m/>
    <x v="12"/>
    <m/>
    <x v="28"/>
    <m/>
    <m/>
    <m/>
    <x v="0"/>
    <x v="0"/>
    <s v="https://www.fr.ch/sites/default/files/2020-04/statistiques_situation_FR_2704.xlsx"/>
  </r>
  <r>
    <x v="19"/>
    <m/>
    <x v="0"/>
    <n v="3714"/>
    <x v="75"/>
    <n v="46"/>
    <n v="12"/>
    <n v="8"/>
    <x v="0"/>
    <x v="5"/>
    <s v="https://www.ge.ch/document/covid-19-situation-epidemiologique-geneve/telecharger"/>
  </r>
  <r>
    <x v="19"/>
    <m/>
    <x v="19"/>
    <m/>
    <x v="36"/>
    <n v="0"/>
    <m/>
    <m/>
    <x v="0"/>
    <x v="0"/>
    <s v="https://www.gl.ch/public/upload/assets/27574/COVID-19_Fallzahlen_Kanton_Glarus.xlsx"/>
  </r>
  <r>
    <x v="19"/>
    <m/>
    <x v="3"/>
    <m/>
    <x v="18"/>
    <n v="9"/>
    <n v="0"/>
    <m/>
    <x v="0"/>
    <x v="0"/>
    <s v="https://www.jura.ch/Htdocs/Files/v/34255.xlsx/Departements/CHA/SIC/Carrousel/Coronavirus/Cornavirus/Chiffres/donnees_26_04.xlsx?download=1"/>
  </r>
  <r>
    <x v="19"/>
    <m/>
    <x v="13"/>
    <m/>
    <x v="76"/>
    <n v="9"/>
    <m/>
    <m/>
    <x v="0"/>
    <x v="1"/>
    <s v="https://www.ne.ch/autorites/DFS/SCSP/medecin-cantonal/maladies-vaccinations/Documents/Covid-19-Statistiques/COVID19_PublicationInternet.xlsx"/>
  </r>
  <r>
    <x v="19"/>
    <m/>
    <x v="20"/>
    <m/>
    <x v="6"/>
    <n v="6"/>
    <m/>
    <m/>
    <x v="0"/>
    <x v="1"/>
    <s v="http://www.nw.ch/coronastatistik"/>
  </r>
  <r>
    <x v="19"/>
    <m/>
    <x v="21"/>
    <m/>
    <x v="1"/>
    <m/>
    <m/>
    <m/>
    <x v="0"/>
    <x v="0"/>
    <s v="https://sh.ch/CMS/get/file/b9efa343-2987-4ab2-a060-9c16eacb0326"/>
  </r>
  <r>
    <x v="19"/>
    <m/>
    <x v="15"/>
    <m/>
    <x v="19"/>
    <m/>
    <m/>
    <m/>
    <x v="0"/>
    <x v="1"/>
    <s v="https://www.sz.ch/public/upload/assets/45590/MM_Coronavirus_15_3_2020.pdf"/>
  </r>
  <r>
    <x v="19"/>
    <m/>
    <x v="1"/>
    <m/>
    <x v="77"/>
    <m/>
    <m/>
    <m/>
    <x v="0"/>
    <x v="6"/>
    <s v="https://www4.ti.ch/area-media/comunicati/dettaglio-comunicato/?NEWS_ID=187467&amp;tx_tichareamedia_comunicazioni%5Baction%5D=show&amp;tx_tichareamedia_comunicazioni%5Bcontroller%5D=Comunicazioni&amp;cHash=af5473066754ef4d1272e156056acc07"/>
  </r>
  <r>
    <x v="19"/>
    <m/>
    <x v="8"/>
    <m/>
    <x v="78"/>
    <n v="90"/>
    <n v="10"/>
    <m/>
    <x v="0"/>
    <x v="7"/>
    <s v="https://www.vd.ch/toutes-les-actualites/hotline-et-informations-sur-le-coronavirus/point-de-situation-statistique-dans-le-canton-de-vaud/"/>
  </r>
  <r>
    <x v="19"/>
    <m/>
    <x v="9"/>
    <m/>
    <x v="79"/>
    <n v="35"/>
    <n v="1"/>
    <n v="1"/>
    <x v="0"/>
    <x v="3"/>
    <s v="https://www.vs.ch/documents/6756452/7008787/2020%2004%2023%20Sit%20Epid%20-%20%C3%89tat%20Stand"/>
  </r>
  <r>
    <x v="19"/>
    <d v="1899-12-30T08:00:00"/>
    <x v="11"/>
    <m/>
    <x v="19"/>
    <n v="0"/>
    <n v="0"/>
    <m/>
    <x v="1"/>
    <x v="0"/>
    <s v="https://www.zg.ch/behoerden/gesundheitsdirektion/statistikfachstelle/themen/gesundheit/corona"/>
  </r>
  <r>
    <x v="19"/>
    <d v="1899-12-30T14:30:00"/>
    <x v="4"/>
    <m/>
    <x v="80"/>
    <m/>
    <m/>
    <m/>
    <x v="0"/>
    <x v="2"/>
    <s v="https://gd.zh.ch/internet/gesundheitsdirektion/de/themen/coronavirus.html"/>
  </r>
  <r>
    <x v="20"/>
    <m/>
    <x v="24"/>
    <m/>
    <x v="4"/>
    <m/>
    <m/>
    <m/>
    <x v="0"/>
    <x v="1"/>
    <s v="Kantonaler Führungsstab Appenzell Innerrhoden"/>
  </r>
  <r>
    <x v="20"/>
    <m/>
    <x v="6"/>
    <m/>
    <x v="81"/>
    <m/>
    <m/>
    <m/>
    <x v="0"/>
    <x v="2"/>
    <s v="https://www.besondere-lage.sites.be.ch/besondere-lage_sites/de/index/corona/index.html"/>
  </r>
  <r>
    <x v="20"/>
    <m/>
    <x v="7"/>
    <m/>
    <x v="63"/>
    <n v="17"/>
    <n v="4"/>
    <m/>
    <x v="6"/>
    <x v="3"/>
    <s v="https://www.baselland.ch/politik-und-behorden/direktionen/volkswirtschafts-und-gesundheitsdirektion/medienmitteilungen/update-67-bestaetigte-faelle-in-basel-landschaft"/>
  </r>
  <r>
    <x v="20"/>
    <m/>
    <x v="12"/>
    <m/>
    <x v="23"/>
    <m/>
    <m/>
    <m/>
    <x v="0"/>
    <x v="0"/>
    <s v="https://www.fr.ch/sites/default/files/2020-04/statistiques_situation_FR_2704.xlsx"/>
  </r>
  <r>
    <x v="20"/>
    <m/>
    <x v="0"/>
    <n v="4165"/>
    <x v="82"/>
    <n v="66"/>
    <n v="10"/>
    <n v="9"/>
    <x v="0"/>
    <x v="5"/>
    <s v="https://www.ge.ch/document/covid-19-situation-epidemiologique-geneve/telecharger"/>
  </r>
  <r>
    <x v="20"/>
    <m/>
    <x v="19"/>
    <m/>
    <x v="36"/>
    <n v="0"/>
    <m/>
    <m/>
    <x v="0"/>
    <x v="0"/>
    <s v="https://www.gl.ch/public/upload/assets/27574/COVID-19_Fallzahlen_Kanton_Glarus.xlsx"/>
  </r>
  <r>
    <x v="20"/>
    <m/>
    <x v="3"/>
    <m/>
    <x v="83"/>
    <n v="9"/>
    <n v="0"/>
    <m/>
    <x v="0"/>
    <x v="0"/>
    <s v="https://www.jura.ch/Htdocs/Files/v/34255.xlsx/Departements/CHA/SIC/Carrousel/Coronavirus/Cornavirus/Chiffres/donnees_26_04.xlsx?download=1"/>
  </r>
  <r>
    <x v="20"/>
    <m/>
    <x v="13"/>
    <m/>
    <x v="84"/>
    <n v="13"/>
    <m/>
    <m/>
    <x v="0"/>
    <x v="1"/>
    <s v="https://www.ne.ch/autorites/DFS/SCSP/medecin-cantonal/maladies-vaccinations/Documents/Covid-19-Statistiques/COVID19_PublicationInternet.xlsx"/>
  </r>
  <r>
    <x v="20"/>
    <m/>
    <x v="20"/>
    <m/>
    <x v="36"/>
    <n v="7"/>
    <m/>
    <m/>
    <x v="0"/>
    <x v="1"/>
    <s v="http://www.nw.ch/coronastatistik"/>
  </r>
  <r>
    <x v="20"/>
    <m/>
    <x v="21"/>
    <m/>
    <x v="3"/>
    <m/>
    <m/>
    <m/>
    <x v="0"/>
    <x v="0"/>
    <s v="https://sh.ch/CMS/get/file/b9efa343-2987-4ab2-a060-9c16eacb0326"/>
  </r>
  <r>
    <x v="20"/>
    <m/>
    <x v="25"/>
    <n v="246"/>
    <x v="17"/>
    <m/>
    <m/>
    <m/>
    <x v="0"/>
    <x v="1"/>
    <s v=""/>
  </r>
  <r>
    <x v="20"/>
    <m/>
    <x v="1"/>
    <m/>
    <x v="85"/>
    <m/>
    <m/>
    <m/>
    <x v="0"/>
    <x v="8"/>
    <s v="https://www4.ti.ch/area-media/comunicati/dettaglio-comunicato/?NEWS_ID=187475&amp;tx_tichareamedia_comunicazioni%5Baction%5D=show&amp;tx_tichareamedia_comunicazioni%5Bcontroller%5D=Comunicazioni&amp;cHash=dee4a529abd4e9300e116c7ff4db5774"/>
  </r>
  <r>
    <x v="20"/>
    <m/>
    <x v="8"/>
    <m/>
    <x v="86"/>
    <n v="126"/>
    <n v="20"/>
    <m/>
    <x v="0"/>
    <x v="9"/>
    <s v="https://www.vd.ch/toutes-les-actualites/hotline-et-informations-sur-le-coronavirus/point-de-situation-statistique-dans-le-canton-de-vaud/"/>
  </r>
  <r>
    <x v="20"/>
    <m/>
    <x v="9"/>
    <m/>
    <x v="87"/>
    <n v="41"/>
    <n v="2"/>
    <n v="1"/>
    <x v="0"/>
    <x v="4"/>
    <s v="https://www.vs.ch/documents/6756452/7008787/2020%2004%2023%20Sit%20Epid%20-%20%C3%89tat%20Stand"/>
  </r>
  <r>
    <x v="20"/>
    <d v="1899-12-30T08:00:00"/>
    <x v="11"/>
    <m/>
    <x v="31"/>
    <n v="0"/>
    <n v="0"/>
    <m/>
    <x v="1"/>
    <x v="0"/>
    <s v="https://www.zg.ch/behoerden/gesundheitsdirektion/statistikfachstelle/themen/gesundheit/corona"/>
  </r>
  <r>
    <x v="20"/>
    <d v="1899-12-30T12:00:00"/>
    <x v="5"/>
    <m/>
    <x v="88"/>
    <n v="13"/>
    <m/>
    <m/>
    <x v="5"/>
    <x v="5"/>
    <s v="https://www.coronavirus.bs.ch/nm/2020-tagesbulletin-coronavirus-144-bestaetigte-faelle-im-kanton-basel-stadt-gd.html"/>
  </r>
  <r>
    <x v="20"/>
    <d v="1899-12-30T14:30:00"/>
    <x v="4"/>
    <m/>
    <x v="89"/>
    <m/>
    <m/>
    <m/>
    <x v="0"/>
    <x v="2"/>
    <s v="https://gd.zh.ch/internet/gesundheitsdirektion/de/themen/coronavirus.html"/>
  </r>
  <r>
    <x v="20"/>
    <d v="1899-12-30T15:00:00"/>
    <x v="10"/>
    <m/>
    <x v="90"/>
    <n v="2"/>
    <m/>
    <m/>
    <x v="5"/>
    <x v="1"/>
    <s v="https://www.ag.ch/media/kanton_aargau/themen_1/coronavirus_1/lagebulletins/200316_KFS_Coronavirus_Lagebulletin_12.pdf"/>
  </r>
  <r>
    <x v="21"/>
    <m/>
    <x v="24"/>
    <m/>
    <x v="11"/>
    <m/>
    <m/>
    <m/>
    <x v="0"/>
    <x v="1"/>
    <s v="Kantonaler Führungsstab Appenzell Innerrhoden"/>
  </r>
  <r>
    <x v="21"/>
    <m/>
    <x v="7"/>
    <m/>
    <x v="91"/>
    <n v="26"/>
    <n v="5"/>
    <m/>
    <x v="7"/>
    <x v="3"/>
    <s v="https://www.baselland.ch/politik-und-behorden/direktionen/volkswirtschafts-und-gesundheitsdirektion/medienmitteilungen/update-89-bestaetigte-faelle-in-basel-landschaft"/>
  </r>
  <r>
    <x v="21"/>
    <m/>
    <x v="2"/>
    <m/>
    <x v="18"/>
    <m/>
    <m/>
    <m/>
    <x v="2"/>
    <x v="1"/>
    <s v="https://www.regierung.li/media/attachments/126-corona-generelles-veranstaltungsverbot-weitere-schliessungen.pdf?t=637202562374055719"/>
  </r>
  <r>
    <x v="21"/>
    <m/>
    <x v="12"/>
    <m/>
    <x v="60"/>
    <m/>
    <m/>
    <m/>
    <x v="0"/>
    <x v="0"/>
    <s v="https://www.fr.ch/sites/default/files/2020-04/statistiques_situation_FR_2704.xlsx"/>
  </r>
  <r>
    <x v="21"/>
    <m/>
    <x v="0"/>
    <n v="4774"/>
    <x v="92"/>
    <n v="75"/>
    <n v="19"/>
    <n v="17"/>
    <x v="0"/>
    <x v="7"/>
    <s v="https://www.ge.ch/document/covid-19-situation-epidemiologique-geneve/telecharger"/>
  </r>
  <r>
    <x v="21"/>
    <m/>
    <x v="19"/>
    <m/>
    <x v="22"/>
    <n v="0"/>
    <m/>
    <m/>
    <x v="0"/>
    <x v="0"/>
    <s v="https://www.gl.ch/public/upload/assets/27574/COVID-19_Fallzahlen_Kanton_Glarus.xlsx"/>
  </r>
  <r>
    <x v="21"/>
    <m/>
    <x v="26"/>
    <m/>
    <x v="93"/>
    <n v="9"/>
    <m/>
    <m/>
    <x v="0"/>
    <x v="2"/>
    <s v="https://www.gr.ch/DE/institutionen/verwaltung/djsg/ga/coronavirus/info/Seiten/Start.aspx"/>
  </r>
  <r>
    <x v="21"/>
    <m/>
    <x v="3"/>
    <m/>
    <x v="58"/>
    <n v="11"/>
    <n v="0"/>
    <m/>
    <x v="0"/>
    <x v="0"/>
    <s v="https://www.jura.ch/Htdocs/Files/v/34255.xlsx/Departements/CHA/SIC/Carrousel/Coronavirus/Cornavirus/Chiffres/donnees_26_04.xlsx?download=1"/>
  </r>
  <r>
    <x v="21"/>
    <m/>
    <x v="13"/>
    <m/>
    <x v="51"/>
    <n v="16"/>
    <m/>
    <m/>
    <x v="0"/>
    <x v="2"/>
    <s v="https://www.ne.ch/autorites/DFS/SCSP/medecin-cantonal/maladies-vaccinations/Documents/Covid-19-Statistiques/COVID19_PublicationInternet.xlsx"/>
  </r>
  <r>
    <x v="21"/>
    <m/>
    <x v="20"/>
    <m/>
    <x v="22"/>
    <n v="6"/>
    <m/>
    <m/>
    <x v="0"/>
    <x v="1"/>
    <s v="http://www.nw.ch/coronastatistik"/>
  </r>
  <r>
    <x v="21"/>
    <m/>
    <x v="14"/>
    <m/>
    <x v="32"/>
    <m/>
    <m/>
    <m/>
    <x v="0"/>
    <x v="1"/>
    <s v="https://www.sg.ch/tools/informationen-coronavirus.html"/>
  </r>
  <r>
    <x v="21"/>
    <m/>
    <x v="21"/>
    <m/>
    <x v="3"/>
    <m/>
    <m/>
    <m/>
    <x v="0"/>
    <x v="0"/>
    <s v="https://sh.ch/CMS/get/file/b9efa343-2987-4ab2-a060-9c16eacb0326"/>
  </r>
  <r>
    <x v="21"/>
    <m/>
    <x v="25"/>
    <n v="276"/>
    <x v="20"/>
    <m/>
    <m/>
    <m/>
    <x v="0"/>
    <x v="1"/>
    <s v=""/>
  </r>
  <r>
    <x v="21"/>
    <m/>
    <x v="1"/>
    <m/>
    <x v="94"/>
    <m/>
    <m/>
    <m/>
    <x v="0"/>
    <x v="10"/>
    <s v="https://www4.ti.ch/area-media/comunicati/dettaglio-comunicato/?NEWS_ID=187486&amp;tx_tichareamedia_comunicazioni%5Baction%5D=show&amp;tx_tichareamedia_comunicazioni%5Bcontroller%5D=Comunicazioni&amp;cHash=d106aab74491da09b294ff13ffadd02f"/>
  </r>
  <r>
    <x v="21"/>
    <m/>
    <x v="8"/>
    <m/>
    <x v="95"/>
    <n v="140"/>
    <n v="24"/>
    <m/>
    <x v="0"/>
    <x v="11"/>
    <s v="https://www.vd.ch/toutes-les-actualites/hotline-et-informations-sur-le-coronavirus/point-de-situation-statistique-dans-le-canton-de-vaud/"/>
  </r>
  <r>
    <x v="21"/>
    <m/>
    <x v="9"/>
    <m/>
    <x v="96"/>
    <n v="46"/>
    <n v="2"/>
    <n v="2"/>
    <x v="0"/>
    <x v="4"/>
    <s v="https://www.vs.ch/documents/6756452/7008787/2020%2004%2023%20Sit%20Epid%20-%20%C3%89tat%20Stand"/>
  </r>
  <r>
    <x v="21"/>
    <d v="1899-12-30T08:00:00"/>
    <x v="11"/>
    <m/>
    <x v="58"/>
    <n v="0"/>
    <n v="0"/>
    <m/>
    <x v="2"/>
    <x v="0"/>
    <s v="https://www.zg.ch/behoerden/gesundheitsdirektion/statistikfachstelle/themen/gesundheit/corona"/>
  </r>
  <r>
    <x v="21"/>
    <d v="1899-12-30T12:00:00"/>
    <x v="5"/>
    <m/>
    <x v="66"/>
    <n v="30"/>
    <m/>
    <m/>
    <x v="8"/>
    <x v="5"/>
    <s v="https://www.coronavirus.bs.ch/nm/2020-tagesbulletin-coronavirus-165-bestaetigte-faelle-im-kanton-basel-stadt-gd.html"/>
  </r>
  <r>
    <x v="21"/>
    <d v="1899-12-30T14:30:00"/>
    <x v="4"/>
    <m/>
    <x v="97"/>
    <m/>
    <m/>
    <m/>
    <x v="0"/>
    <x v="2"/>
    <s v="https://gd.zh.ch/internet/gesundheitsdirektion/de/themen/coronavirus.html"/>
  </r>
  <r>
    <x v="21"/>
    <d v="1899-12-30T16:00:00"/>
    <x v="10"/>
    <m/>
    <x v="98"/>
    <n v="2"/>
    <m/>
    <m/>
    <x v="5"/>
    <x v="1"/>
    <s v="https://www.ag.ch/media/kanton_aargau/themen_1/coronavirus_1/lagebulletins/200317_KFS_Coronavirus_Lagebulletin_13.pdf"/>
  </r>
  <r>
    <x v="22"/>
    <m/>
    <x v="17"/>
    <m/>
    <x v="9"/>
    <n v="3"/>
    <m/>
    <m/>
    <x v="0"/>
    <x v="1"/>
    <s v="https://www.ar.ch/schnellzugriff/medienmitteilungen-der-kantonalen-verwaltung/detail/news/coronavirus-bevoelkerung-und-alle-spitaeler-machen-bei-der-gesundheitsversorgung-mit/?tx_news_pi1%5Bcontroller%5D=News&amp;tx_news_pi1%5Baction%5D=detail&amp;cHash=3d2a0733446b5fc7cdad0f48f61c28fd"/>
  </r>
  <r>
    <x v="22"/>
    <m/>
    <x v="6"/>
    <m/>
    <x v="99"/>
    <m/>
    <m/>
    <m/>
    <x v="0"/>
    <x v="2"/>
    <s v="https://www.besondere-lage.sites.be.ch/besondere-lage_sites/de/index/corona/index.html"/>
  </r>
  <r>
    <x v="22"/>
    <m/>
    <x v="7"/>
    <m/>
    <x v="100"/>
    <n v="27"/>
    <n v="2"/>
    <m/>
    <x v="9"/>
    <x v="3"/>
    <s v="https://www.baselland.ch/politik-und-behorden/direktionen/volkswirtschafts-und-gesundheitsdirektion/medienmitteilungen/update-116-bestaetigte-faelle-in-basel-landschaft"/>
  </r>
  <r>
    <x v="22"/>
    <m/>
    <x v="2"/>
    <m/>
    <x v="37"/>
    <m/>
    <m/>
    <m/>
    <x v="2"/>
    <x v="1"/>
    <s v="https://www.regierung.li/media/attachments/131-corona-hotline-0318.pdf?t=637202562374055719"/>
  </r>
  <r>
    <x v="22"/>
    <m/>
    <x v="12"/>
    <m/>
    <x v="101"/>
    <n v="11"/>
    <n v="5"/>
    <m/>
    <x v="0"/>
    <x v="0"/>
    <s v="https://www.fr.ch/sites/default/files/2020-04/statistiques_situation_FR_2704.xlsx"/>
  </r>
  <r>
    <x v="22"/>
    <m/>
    <x v="0"/>
    <n v="5608"/>
    <x v="102"/>
    <n v="78"/>
    <n v="20"/>
    <n v="17"/>
    <x v="0"/>
    <x v="6"/>
    <s v="https://www.ge.ch/document/covid-19-situation-epidemiologique-geneve/telecharger"/>
  </r>
  <r>
    <x v="22"/>
    <m/>
    <x v="19"/>
    <m/>
    <x v="10"/>
    <n v="0"/>
    <m/>
    <m/>
    <x v="0"/>
    <x v="0"/>
    <s v="https://www.gl.ch/public/upload/assets/27574/COVID-19_Fallzahlen_Kanton_Glarus.xlsx"/>
  </r>
  <r>
    <x v="22"/>
    <m/>
    <x v="26"/>
    <m/>
    <x v="103"/>
    <n v="13"/>
    <m/>
    <m/>
    <x v="0"/>
    <x v="2"/>
    <s v="https://www.gr.ch/DE/institutionen/verwaltung/djsg/ga/coronavirus/info/Seiten/Start.aspx"/>
  </r>
  <r>
    <x v="22"/>
    <m/>
    <x v="3"/>
    <m/>
    <x v="65"/>
    <n v="11"/>
    <n v="0"/>
    <m/>
    <x v="0"/>
    <x v="0"/>
    <s v="https://www.jura.ch/Htdocs/Files/v/34255.xlsx/Departements/CHA/SIC/Carrousel/Coronavirus/Cornavirus/Chiffres/donnees_26_04.xlsx?download=1"/>
  </r>
  <r>
    <x v="22"/>
    <m/>
    <x v="13"/>
    <m/>
    <x v="104"/>
    <n v="18"/>
    <m/>
    <m/>
    <x v="0"/>
    <x v="3"/>
    <s v="https://www.ne.ch/autorites/DFS/SCSP/medecin-cantonal/maladies-vaccinations/Documents/Covid-19-Statistiques/COVID19_PublicationInternet.xlsx"/>
  </r>
  <r>
    <x v="22"/>
    <m/>
    <x v="20"/>
    <m/>
    <x v="15"/>
    <n v="6"/>
    <m/>
    <m/>
    <x v="0"/>
    <x v="1"/>
    <s v="http://www.nw.ch/coronastatistik"/>
  </r>
  <r>
    <x v="22"/>
    <m/>
    <x v="14"/>
    <m/>
    <x v="105"/>
    <m/>
    <m/>
    <m/>
    <x v="0"/>
    <x v="1"/>
    <s v="https://www.sg.ch/tools/informationen-coronavirus.html"/>
  </r>
  <r>
    <x v="22"/>
    <m/>
    <x v="21"/>
    <m/>
    <x v="6"/>
    <m/>
    <m/>
    <m/>
    <x v="0"/>
    <x v="0"/>
    <s v="https://sh.ch/CMS/get/file/b9efa343-2987-4ab2-a060-9c16eacb0326"/>
  </r>
  <r>
    <x v="22"/>
    <m/>
    <x v="18"/>
    <m/>
    <x v="106"/>
    <m/>
    <m/>
    <m/>
    <x v="0"/>
    <x v="1"/>
    <s v="https://www.oltnertagblatt.ch/solothurn/kanton-solothurn/zivilschuetzer-kontrollieren-wer-in-die-solothurner-spitaeler-rein-will-137174885"/>
  </r>
  <r>
    <x v="22"/>
    <m/>
    <x v="25"/>
    <m/>
    <x v="65"/>
    <m/>
    <m/>
    <m/>
    <x v="0"/>
    <x v="1"/>
    <s v="https://www.tg.ch/news/fachdossier-coronavirus.html/10552"/>
  </r>
  <r>
    <x v="22"/>
    <m/>
    <x v="1"/>
    <m/>
    <x v="107"/>
    <m/>
    <m/>
    <m/>
    <x v="0"/>
    <x v="12"/>
    <s v="https://www4.ti.ch/area-media/comunicati/dettaglio-comunicato/?NEWS_ID=187493&amp;tx_tichareamedia_comunicazioni%5Baction%5D=show&amp;tx_tichareamedia_comunicazioni%5Bcontroller%5D=Comunicazioni&amp;cHash=7803bbc03dd49ef2e421dfd6b12dd239"/>
  </r>
  <r>
    <x v="22"/>
    <m/>
    <x v="22"/>
    <n v="85"/>
    <x v="11"/>
    <m/>
    <m/>
    <m/>
    <x v="0"/>
    <x v="1"/>
    <s v="https://www.ur.ch/mmdirektionen/63802"/>
  </r>
  <r>
    <x v="22"/>
    <m/>
    <x v="8"/>
    <m/>
    <x v="108"/>
    <n v="153"/>
    <n v="24"/>
    <m/>
    <x v="0"/>
    <x v="13"/>
    <s v="https://www.vd.ch/toutes-les-actualites/hotline-et-informations-sur-le-coronavirus/point-de-situation-statistique-dans-le-canton-de-vaud/"/>
  </r>
  <r>
    <x v="22"/>
    <m/>
    <x v="9"/>
    <m/>
    <x v="109"/>
    <n v="58"/>
    <n v="2"/>
    <n v="2"/>
    <x v="0"/>
    <x v="5"/>
    <s v="https://www.vs.ch/documents/6756452/7008787/2020%2004%2023%20Sit%20Epid%20-%20%C3%89tat%20Stand"/>
  </r>
  <r>
    <x v="22"/>
    <d v="1899-12-30T08:00:00"/>
    <x v="11"/>
    <m/>
    <x v="43"/>
    <n v="0"/>
    <n v="0"/>
    <m/>
    <x v="6"/>
    <x v="0"/>
    <s v="https://www.zg.ch/behoerden/gesundheitsdirektion/statistikfachstelle/themen/gesundheit/corona"/>
  </r>
  <r>
    <x v="22"/>
    <d v="1899-12-30T11:15:00"/>
    <x v="5"/>
    <m/>
    <x v="110"/>
    <n v="40"/>
    <m/>
    <m/>
    <x v="10"/>
    <x v="5"/>
    <s v="https://www.coronavirus.bs.ch/nm/2020-tagesbulletin-coronavirus-182-bestaetigte-faelle-im-kanton-basel-stadt-treffen-mit-allen-spitaelern-gd.html"/>
  </r>
  <r>
    <x v="22"/>
    <d v="1899-12-30T14:30:00"/>
    <x v="4"/>
    <m/>
    <x v="111"/>
    <m/>
    <m/>
    <m/>
    <x v="0"/>
    <x v="3"/>
    <s v="https://gd.zh.ch/internet/gesundheitsdirektion/de/themen/coronavirus.html"/>
  </r>
  <r>
    <x v="22"/>
    <d v="1899-12-30T16:00:00"/>
    <x v="10"/>
    <m/>
    <x v="93"/>
    <n v="6"/>
    <m/>
    <m/>
    <x v="5"/>
    <x v="1"/>
    <s v="https://www.ag.ch/media/kanton_aargau/themen_1/coronavirus_1/lagebulletins/200318_KFS_Coronavirus_Lagebulletin_14.pdf"/>
  </r>
  <r>
    <x v="22"/>
    <d v="1899-12-30T16:00:00"/>
    <x v="16"/>
    <m/>
    <x v="112"/>
    <m/>
    <m/>
    <m/>
    <x v="0"/>
    <x v="1"/>
    <s v="https://web.archive.org/web/20200318191404/https://gesundheit.lu.ch/themen/Humanmedizin/Infektionskrankheiten/Coronavirus"/>
  </r>
  <r>
    <x v="23"/>
    <m/>
    <x v="24"/>
    <m/>
    <x v="5"/>
    <n v="1"/>
    <m/>
    <m/>
    <x v="0"/>
    <x v="1"/>
    <s v="Kantonaler Führungsstab Appenzell Innerrhoden"/>
  </r>
  <r>
    <x v="23"/>
    <m/>
    <x v="6"/>
    <m/>
    <x v="113"/>
    <m/>
    <m/>
    <m/>
    <x v="0"/>
    <x v="2"/>
    <s v="https://www.besondere-lage.sites.be.ch/besondere-lage_sites/de/index/corona/index.html"/>
  </r>
  <r>
    <x v="23"/>
    <m/>
    <x v="7"/>
    <m/>
    <x v="114"/>
    <n v="19"/>
    <n v="2"/>
    <m/>
    <x v="9"/>
    <x v="3"/>
    <s v="https://www.baselland.ch/politik-und-behorden/direktionen/volkswirtschafts-und-gesundheitsdirektion/medienmitteilungen/update-131-bestaetigte-faelle-in-basel-landschaft"/>
  </r>
  <r>
    <x v="23"/>
    <m/>
    <x v="12"/>
    <m/>
    <x v="115"/>
    <n v="12"/>
    <n v="5"/>
    <m/>
    <x v="0"/>
    <x v="2"/>
    <s v="https://www.fr.ch/sites/default/files/2020-04/statistiques_situation_FR_2704.xlsx"/>
  </r>
  <r>
    <x v="23"/>
    <m/>
    <x v="0"/>
    <n v="6292"/>
    <x v="116"/>
    <n v="92"/>
    <n v="19"/>
    <n v="18"/>
    <x v="0"/>
    <x v="9"/>
    <s v="https://www.ge.ch/document/covid-19-situation-epidemiologique-geneve/telecharger"/>
  </r>
  <r>
    <x v="23"/>
    <m/>
    <x v="19"/>
    <m/>
    <x v="12"/>
    <n v="0"/>
    <m/>
    <m/>
    <x v="0"/>
    <x v="0"/>
    <s v="https://www.gl.ch/public/upload/assets/27574/COVID-19_Fallzahlen_Kanton_Glarus.xlsx"/>
  </r>
  <r>
    <x v="23"/>
    <m/>
    <x v="26"/>
    <m/>
    <x v="117"/>
    <n v="18"/>
    <m/>
    <m/>
    <x v="0"/>
    <x v="3"/>
    <s v="https://www.gr.ch/DE/institutionen/verwaltung/djsg/ga/coronavirus/info/Seiten/Start.aspx"/>
  </r>
  <r>
    <x v="23"/>
    <m/>
    <x v="3"/>
    <m/>
    <x v="67"/>
    <n v="12"/>
    <n v="0"/>
    <m/>
    <x v="0"/>
    <x v="0"/>
    <s v="https://www.jura.ch/Htdocs/Files/v/34255.xlsx/Departements/CHA/SIC/Carrousel/Coronavirus/Cornavirus/Chiffres/donnees_26_04.xlsx?download=1"/>
  </r>
  <r>
    <x v="23"/>
    <m/>
    <x v="13"/>
    <m/>
    <x v="118"/>
    <n v="19"/>
    <m/>
    <m/>
    <x v="0"/>
    <x v="4"/>
    <s v="https://www.ne.ch/autorites/DFS/SCSP/medecin-cantonal/maladies-vaccinations/Documents/Covid-19-Statistiques/COVID19_PublicationInternet.xlsx"/>
  </r>
  <r>
    <x v="23"/>
    <m/>
    <x v="20"/>
    <m/>
    <x v="83"/>
    <n v="5"/>
    <m/>
    <m/>
    <x v="0"/>
    <x v="1"/>
    <s v="http://www.nw.ch/coronastatistik"/>
  </r>
  <r>
    <x v="23"/>
    <m/>
    <x v="14"/>
    <m/>
    <x v="119"/>
    <m/>
    <m/>
    <m/>
    <x v="0"/>
    <x v="1"/>
    <s v="https://www.sg.ch/tools/informationen-coronavirus.html"/>
  </r>
  <r>
    <x v="23"/>
    <m/>
    <x v="21"/>
    <m/>
    <x v="22"/>
    <m/>
    <m/>
    <m/>
    <x v="0"/>
    <x v="0"/>
    <s v="https://sh.ch/CMS/get/file/b9efa343-2987-4ab2-a060-9c16eacb0326"/>
  </r>
  <r>
    <x v="23"/>
    <m/>
    <x v="25"/>
    <m/>
    <x v="67"/>
    <m/>
    <m/>
    <m/>
    <x v="0"/>
    <x v="1"/>
    <s v="https://www.tg.ch/news/fachdossier-coronavirus.html/10552"/>
  </r>
  <r>
    <x v="23"/>
    <m/>
    <x v="1"/>
    <m/>
    <x v="120"/>
    <n v="155"/>
    <n v="33"/>
    <m/>
    <x v="0"/>
    <x v="14"/>
    <s v="https://www4.ti.ch/area-media/comunicati/dettaglio-comunicato/?NEWS_ID=187499&amp;tx_tichareamedia_comunicazioni%5Baction%5D=show&amp;tx_tichareamedia_comunicazioni%5Bcontroller%5D=Comunicazioni&amp;cHash=634a783514bdcbb426c005f1ea916268 https://www.youtube.com/watch?v=34RQ7OOWYoI"/>
  </r>
  <r>
    <x v="23"/>
    <m/>
    <x v="22"/>
    <m/>
    <x v="7"/>
    <m/>
    <m/>
    <m/>
    <x v="0"/>
    <x v="1"/>
    <s v="https://www.ur.ch/mmdirektionen/63841"/>
  </r>
  <r>
    <x v="23"/>
    <m/>
    <x v="8"/>
    <m/>
    <x v="121"/>
    <n v="170"/>
    <n v="23"/>
    <m/>
    <x v="0"/>
    <x v="15"/>
    <s v="https://www.vd.ch/toutes-les-actualites/hotline-et-informations-sur-le-coronavirus/point-de-situation-statistique-dans-le-canton-de-vaud/"/>
  </r>
  <r>
    <x v="23"/>
    <m/>
    <x v="9"/>
    <m/>
    <x v="122"/>
    <n v="64"/>
    <n v="5"/>
    <n v="5"/>
    <x v="0"/>
    <x v="6"/>
    <s v="https://www.vs.ch/documents/6756452/7008787/2020%2004%2023%20Sit%20Epid%20-%20%C3%89tat%20Stand"/>
  </r>
  <r>
    <x v="23"/>
    <d v="1899-12-30T08:00:00"/>
    <x v="11"/>
    <m/>
    <x v="47"/>
    <n v="1"/>
    <n v="0"/>
    <m/>
    <x v="6"/>
    <x v="0"/>
    <s v="https://www.zg.ch/behoerden/gesundheitsdirektion/statistikfachstelle/themen/gesundheit/corona"/>
  </r>
  <r>
    <x v="23"/>
    <d v="1899-12-30T11:00:00"/>
    <x v="5"/>
    <m/>
    <x v="123"/>
    <n v="40"/>
    <m/>
    <m/>
    <x v="11"/>
    <x v="5"/>
    <s v="https://www.coronavirus.bs.ch/nm/2020-tagesbulletin-coronavirus-222-bestaetigte-faelle-basel-stadt-trifft-gemeinsam-mit-den-spitaelern-vorkehrungen-fuer-intensiv--und-beatmungskapazitaeten-gd.html"/>
  </r>
  <r>
    <x v="23"/>
    <d v="1899-12-30T14:30:00"/>
    <x v="4"/>
    <m/>
    <x v="124"/>
    <n v="60"/>
    <m/>
    <n v="12"/>
    <x v="0"/>
    <x v="4"/>
    <s v="https://gd.zh.ch/internet/gesundheitsdirektion/de/themen/coronavirus.html"/>
  </r>
  <r>
    <x v="23"/>
    <d v="1899-12-30T15:00:00"/>
    <x v="10"/>
    <m/>
    <x v="125"/>
    <n v="17"/>
    <n v="6"/>
    <n v="3"/>
    <x v="0"/>
    <x v="1"/>
    <s v="https://www.ag.ch/media/kanton_aargau/themen_1/coronavirus_1/lagebulletins/200319_KFS_Coronavirus_Lagebulletin_15.pdf"/>
  </r>
  <r>
    <x v="24"/>
    <m/>
    <x v="6"/>
    <m/>
    <x v="126"/>
    <m/>
    <m/>
    <m/>
    <x v="0"/>
    <x v="3"/>
    <s v="https://www.besondere-lage.sites.be.ch/besondere-lage_sites/de/index/corona/index.html"/>
  </r>
  <r>
    <x v="24"/>
    <m/>
    <x v="7"/>
    <m/>
    <x v="127"/>
    <n v="27"/>
    <n v="2"/>
    <m/>
    <x v="12"/>
    <x v="4"/>
    <s v="https://www.baselland.ch/politik-und-behorden/direktionen/volkswirtschafts-und-gesundheitsdirektion/medienmitteilungen/update-170-bestaetigte-faelle-in-basel-landschaft"/>
  </r>
  <r>
    <x v="24"/>
    <m/>
    <x v="2"/>
    <m/>
    <x v="47"/>
    <m/>
    <m/>
    <m/>
    <x v="2"/>
    <x v="1"/>
    <s v="https://www.regierung.li/media/attachments/136-soziale-kontakte-reduktion-corona.pdf?t=637203388043363286"/>
  </r>
  <r>
    <x v="24"/>
    <m/>
    <x v="12"/>
    <m/>
    <x v="128"/>
    <n v="20"/>
    <n v="6"/>
    <m/>
    <x v="0"/>
    <x v="2"/>
    <s v="https://www.fr.ch/sites/default/files/2020-04/statistiques_situation_FR_2704.xlsx"/>
  </r>
  <r>
    <x v="24"/>
    <m/>
    <x v="0"/>
    <n v="6706"/>
    <x v="129"/>
    <n v="109"/>
    <n v="22"/>
    <n v="21"/>
    <x v="0"/>
    <x v="11"/>
    <s v="https://www.ge.ch/document/covid-19-situation-epidemiologique-geneve/telecharger"/>
  </r>
  <r>
    <x v="24"/>
    <m/>
    <x v="19"/>
    <m/>
    <x v="31"/>
    <n v="0"/>
    <m/>
    <m/>
    <x v="0"/>
    <x v="0"/>
    <s v="https://www.gl.ch/public/upload/assets/27574/COVID-19_Fallzahlen_Kanton_Glarus.xlsx"/>
  </r>
  <r>
    <x v="24"/>
    <m/>
    <x v="26"/>
    <m/>
    <x v="130"/>
    <n v="24"/>
    <m/>
    <m/>
    <x v="0"/>
    <x v="4"/>
    <s v="https://www.gr.ch/DE/institutionen/verwaltung/djsg/ga/coronavirus/info/Seiten/Start.aspx"/>
  </r>
  <r>
    <x v="24"/>
    <m/>
    <x v="3"/>
    <m/>
    <x v="131"/>
    <n v="14"/>
    <n v="1"/>
    <m/>
    <x v="0"/>
    <x v="0"/>
    <s v="https://www.jura.ch/Htdocs/Files/v/34255.xlsx/Departements/CHA/SIC/Carrousel/Coronavirus/Cornavirus/Chiffres/donnees_26_04.xlsx?download=1"/>
  </r>
  <r>
    <x v="24"/>
    <m/>
    <x v="13"/>
    <m/>
    <x v="132"/>
    <n v="21"/>
    <m/>
    <m/>
    <x v="0"/>
    <x v="4"/>
    <s v="https://www.ne.ch/autorites/DFS/SCSP/medecin-cantonal/maladies-vaccinations/Documents/Covid-19-Statistiques/COVID19_PublicationInternet.xlsx"/>
  </r>
  <r>
    <x v="24"/>
    <m/>
    <x v="20"/>
    <m/>
    <x v="37"/>
    <n v="5"/>
    <m/>
    <m/>
    <x v="0"/>
    <x v="1"/>
    <s v="http://www.nw.ch/coronastatistik"/>
  </r>
  <r>
    <x v="24"/>
    <m/>
    <x v="14"/>
    <m/>
    <x v="71"/>
    <m/>
    <m/>
    <m/>
    <x v="0"/>
    <x v="1"/>
    <s v="https://www.sg.ch/tools/informationen-coronavirus.html"/>
  </r>
  <r>
    <x v="24"/>
    <m/>
    <x v="21"/>
    <m/>
    <x v="17"/>
    <m/>
    <m/>
    <m/>
    <x v="0"/>
    <x v="0"/>
    <s v="https://sh.ch/CMS/get/file/b9efa343-2987-4ab2-a060-9c16eacb0326"/>
  </r>
  <r>
    <x v="24"/>
    <m/>
    <x v="25"/>
    <m/>
    <x v="49"/>
    <m/>
    <m/>
    <m/>
    <x v="0"/>
    <x v="1"/>
    <s v="https://www.tg.ch/news/fachdossier-coronavirus.html/10552"/>
  </r>
  <r>
    <x v="24"/>
    <m/>
    <x v="8"/>
    <m/>
    <x v="133"/>
    <n v="182"/>
    <n v="23"/>
    <m/>
    <x v="0"/>
    <x v="16"/>
    <s v="https://www.vd.ch/toutes-les-actualites/hotline-et-informations-sur-le-coronavirus/point-de-situation-statistique-dans-le-canton-de-vaud/"/>
  </r>
  <r>
    <x v="24"/>
    <m/>
    <x v="9"/>
    <m/>
    <x v="134"/>
    <n v="73"/>
    <n v="6"/>
    <n v="5"/>
    <x v="0"/>
    <x v="9"/>
    <s v="https://www.vs.ch/documents/6756452/7008787/2020%2004%2023%20Sit%20Epid%20-%20%C3%89tat%20Stand"/>
  </r>
  <r>
    <x v="24"/>
    <d v="1899-12-30T08:00:00"/>
    <x v="1"/>
    <m/>
    <x v="135"/>
    <n v="168"/>
    <n v="35"/>
    <m/>
    <x v="0"/>
    <x v="17"/>
    <s v="https://www4.ti.ch/dss/dsp/covid19/home/ https://www.youtube.com/watch?v=34RQ7OOWYoI"/>
  </r>
  <r>
    <x v="24"/>
    <d v="1899-12-30T08:00:00"/>
    <x v="11"/>
    <m/>
    <x v="136"/>
    <n v="1"/>
    <n v="0"/>
    <m/>
    <x v="6"/>
    <x v="0"/>
    <s v="https://www.zg.ch/behoerden/gesundheitsdirektion/statistikfachstelle/themen/gesundheit/corona"/>
  </r>
  <r>
    <x v="24"/>
    <d v="1899-12-30T09:40:00"/>
    <x v="16"/>
    <m/>
    <x v="64"/>
    <m/>
    <m/>
    <m/>
    <x v="0"/>
    <x v="1"/>
    <s v="https://gesundheit.lu.ch/themen/Humanmedizin/Infektionskrankheiten/Coronavirus"/>
  </r>
  <r>
    <x v="24"/>
    <d v="1899-12-30T10:00:00"/>
    <x v="5"/>
    <m/>
    <x v="137"/>
    <n v="45"/>
    <m/>
    <m/>
    <x v="13"/>
    <x v="5"/>
    <s v="https://www.coronavirus.bs.ch/nm/2020-tagesbulletin-coronavirus-272-bestaetigte-faelle-im-kanton-basel-stadt-gd.html"/>
  </r>
  <r>
    <x v="24"/>
    <d v="1899-12-30T12:00:00"/>
    <x v="22"/>
    <m/>
    <x v="7"/>
    <m/>
    <m/>
    <m/>
    <x v="0"/>
    <x v="1"/>
    <s v="https://www.ur.ch/themen/2920"/>
  </r>
  <r>
    <x v="24"/>
    <d v="1899-12-30T14:30:00"/>
    <x v="4"/>
    <m/>
    <x v="138"/>
    <n v="78"/>
    <m/>
    <n v="15"/>
    <x v="0"/>
    <x v="5"/>
    <s v="https://gd.zh.ch/internet/gesundheitsdirektion/de/themen/coronavirus.html"/>
  </r>
  <r>
    <x v="24"/>
    <d v="1899-12-30T15:00:00"/>
    <x v="10"/>
    <m/>
    <x v="139"/>
    <n v="25"/>
    <n v="4"/>
    <n v="2"/>
    <x v="0"/>
    <x v="2"/>
    <s v="https://www.ag.ch/media/kanton_aargau/themen_1/coronavirus_1/lagebulletins/200320_KFS_Coronavirus_Lagebulletin_16.pdf"/>
  </r>
  <r>
    <x v="24"/>
    <d v="1899-12-30T17:37:00"/>
    <x v="18"/>
    <m/>
    <x v="140"/>
    <m/>
    <m/>
    <m/>
    <x v="0"/>
    <x v="1"/>
    <s v="https://twitter.com/KantonSolothurn/status/1241041303024041989?p=p"/>
  </r>
  <r>
    <x v="25"/>
    <m/>
    <x v="17"/>
    <m/>
    <x v="2"/>
    <m/>
    <m/>
    <m/>
    <x v="0"/>
    <x v="2"/>
    <s v="https://www.ar.ch/schnellzugriff/medienmitteilungen-der-kantonalen-verwaltung/detail/news/coronavirus-erster-todesfall-in-appenzell-ausserrhoden/?tx_news_pi1%5Bcontroller%5D=News&amp;tx_news_pi1%5Baction%5D=detail&amp;cHash=a88f209df29c38474f9c5f9e1c5dd53f"/>
  </r>
  <r>
    <x v="25"/>
    <m/>
    <x v="6"/>
    <m/>
    <x v="141"/>
    <m/>
    <m/>
    <m/>
    <x v="0"/>
    <x v="4"/>
    <s v="https://www.besondere-lage.sites.be.ch/besondere-lage_sites/de/index/corona/index.html"/>
  </r>
  <r>
    <x v="25"/>
    <m/>
    <x v="7"/>
    <m/>
    <x v="113"/>
    <n v="30"/>
    <n v="4"/>
    <m/>
    <x v="14"/>
    <x v="4"/>
    <s v="https://www.baselland.ch/politik-und-behorden/direktionen/volkswirtschafts-und-gesundheitsdirektion/medienmitteilungen/update-282-bestaetigte-faelle-in-basel-landschaft"/>
  </r>
  <r>
    <x v="25"/>
    <m/>
    <x v="2"/>
    <m/>
    <x v="131"/>
    <m/>
    <m/>
    <m/>
    <x v="0"/>
    <x v="1"/>
    <s v="https://www.regierung.li/media/attachments/138-corona-starke-zunahme-0321.pdf?t=637204593432337675"/>
  </r>
  <r>
    <x v="25"/>
    <m/>
    <x v="12"/>
    <m/>
    <x v="142"/>
    <n v="28"/>
    <n v="6"/>
    <m/>
    <x v="0"/>
    <x v="3"/>
    <s v="https://www.fr.ch/sites/default/files/2020-04/statistiques_situation_FR_2704.xlsx"/>
  </r>
  <r>
    <x v="25"/>
    <m/>
    <x v="0"/>
    <n v="7069"/>
    <x v="143"/>
    <n v="145"/>
    <n v="25"/>
    <n v="24"/>
    <x v="0"/>
    <x v="11"/>
    <s v="https://www.ge.ch/document/covid-19-situation-epidemiologique-geneve/telecharger"/>
  </r>
  <r>
    <x v="25"/>
    <m/>
    <x v="19"/>
    <m/>
    <x v="83"/>
    <n v="0"/>
    <m/>
    <m/>
    <x v="0"/>
    <x v="0"/>
    <s v="https://www.gl.ch/public/upload/assets/27574/COVID-19_Fallzahlen_Kanton_Glarus.xlsx"/>
  </r>
  <r>
    <x v="25"/>
    <m/>
    <x v="26"/>
    <m/>
    <x v="61"/>
    <n v="24"/>
    <m/>
    <m/>
    <x v="0"/>
    <x v="5"/>
    <s v="https://www.gr.ch/DE/institutionen/verwaltung/djsg/ga/coronavirus/info/Seiten/Start.aspx"/>
  </r>
  <r>
    <x v="25"/>
    <m/>
    <x v="3"/>
    <m/>
    <x v="74"/>
    <n v="13"/>
    <n v="1"/>
    <m/>
    <x v="0"/>
    <x v="0"/>
    <s v="https://www.jura.ch/Htdocs/Files/v/34255.xlsx/Departements/CHA/SIC/Carrousel/Coronavirus/Cornavirus/Chiffres/donnees_26_04.xlsx?download=1"/>
  </r>
  <r>
    <x v="25"/>
    <m/>
    <x v="13"/>
    <m/>
    <x v="144"/>
    <n v="20"/>
    <m/>
    <m/>
    <x v="0"/>
    <x v="5"/>
    <s v="https://www.ne.ch/autorites/DFS/SCSP/medecin-cantonal/maladies-vaccinations/Documents/Covid-19-Statistiques/COVID19_PublicationInternet.xlsx"/>
  </r>
  <r>
    <x v="25"/>
    <m/>
    <x v="20"/>
    <m/>
    <x v="43"/>
    <n v="5"/>
    <m/>
    <m/>
    <x v="0"/>
    <x v="1"/>
    <s v="http://www.nw.ch/coronastatistik"/>
  </r>
  <r>
    <x v="25"/>
    <m/>
    <x v="21"/>
    <m/>
    <x v="37"/>
    <m/>
    <m/>
    <m/>
    <x v="0"/>
    <x v="0"/>
    <s v="https://sh.ch/CMS/get/file/b9efa343-2987-4ab2-a060-9c16eacb0326"/>
  </r>
  <r>
    <x v="25"/>
    <m/>
    <x v="25"/>
    <m/>
    <x v="145"/>
    <m/>
    <m/>
    <m/>
    <x v="0"/>
    <x v="1"/>
    <s v="https://www.tg.ch/news/fachdossier-coronavirus.html/10552"/>
  </r>
  <r>
    <x v="25"/>
    <m/>
    <x v="8"/>
    <m/>
    <x v="146"/>
    <n v="210"/>
    <n v="24"/>
    <m/>
    <x v="0"/>
    <x v="17"/>
    <s v="https://www.vd.ch/toutes-les-actualites/hotline-et-informations-sur-le-coronavirus/point-de-situation-statistique-dans-le-canton-de-vaud/"/>
  </r>
  <r>
    <x v="25"/>
    <m/>
    <x v="9"/>
    <m/>
    <x v="147"/>
    <n v="83"/>
    <n v="8"/>
    <n v="6"/>
    <x v="0"/>
    <x v="10"/>
    <s v="https://www.vs.ch/documents/6756452/7008787/2020%2004%2023%20Sit%20Epid%20-%20%C3%89tat%20Stand"/>
  </r>
  <r>
    <x v="25"/>
    <d v="1899-12-30T08:00:00"/>
    <x v="1"/>
    <m/>
    <x v="148"/>
    <n v="184"/>
    <n v="40"/>
    <n v="37"/>
    <x v="0"/>
    <x v="18"/>
    <s v="https://www4.ti.ch/dss/dsp/covid19/home/ https://www.youtube.com/watch?v=7g2sALU9bQM"/>
  </r>
  <r>
    <x v="25"/>
    <d v="1899-12-30T08:00:00"/>
    <x v="22"/>
    <m/>
    <x v="22"/>
    <m/>
    <m/>
    <m/>
    <x v="0"/>
    <x v="1"/>
    <s v="https://www.ur.ch/themen/2920"/>
  </r>
  <r>
    <x v="25"/>
    <d v="1899-12-30T08:00:00"/>
    <x v="11"/>
    <m/>
    <x v="55"/>
    <n v="3"/>
    <n v="0"/>
    <m/>
    <x v="6"/>
    <x v="0"/>
    <s v="https://www.zg.ch/behoerden/gesundheitsdirektion/statistikfachstelle/themen/gesundheit/corona"/>
  </r>
  <r>
    <x v="25"/>
    <d v="1899-12-30T10:00:00"/>
    <x v="5"/>
    <m/>
    <x v="149"/>
    <n v="46"/>
    <m/>
    <m/>
    <x v="15"/>
    <x v="7"/>
    <s v="https://www.coronavirus.bs.ch/nm/2020-tagesbulletin-coronavirus-299-bestaetigte-faelle-im-kanton-basel-stadt-gd.html"/>
  </r>
  <r>
    <x v="25"/>
    <d v="1899-12-30T11:00:00"/>
    <x v="16"/>
    <m/>
    <x v="150"/>
    <m/>
    <m/>
    <m/>
    <x v="0"/>
    <x v="2"/>
    <s v="https://gesundheit.lu.ch/themen/Humanmedizin/Infektionskrankheiten/Coronavirus;https://newsletter.lu.ch/inxmail/html_mail.jsp?params=7UGt4J1Fx6OIONHlV9upAAuOzkQ6ZmQA%2FxRrLjJkeDWZdweUdKfwhAE94i2Apium%2F6rIvcF2Z5MaTtV52A77W2jrwVmrkZ8UhFPVmHC4iuI%3D"/>
  </r>
  <r>
    <x v="25"/>
    <d v="1899-12-30T14:30:00"/>
    <x v="4"/>
    <m/>
    <x v="138"/>
    <n v="83"/>
    <m/>
    <n v="23"/>
    <x v="0"/>
    <x v="7"/>
    <s v="https://gd.zh.ch/internet/gesundheitsdirektion/de/themen/coronavirus.html"/>
  </r>
  <r>
    <x v="26"/>
    <m/>
    <x v="7"/>
    <m/>
    <x v="151"/>
    <n v="40"/>
    <n v="7"/>
    <m/>
    <x v="14"/>
    <x v="4"/>
    <s v="https://www.baselland.ch/politik-und-behorden/direktionen/volkswirtschafts-und-gesundheitsdirektion/medienmitteilungen/update-289-bestaetigte-faelle-in-basel-landschaft"/>
  </r>
  <r>
    <x v="26"/>
    <m/>
    <x v="2"/>
    <m/>
    <x v="52"/>
    <m/>
    <m/>
    <m/>
    <x v="0"/>
    <x v="1"/>
    <s v="https://www.regierung.li/media/attachments/139-46-faelle-0322.pdf?t=637204971345932209"/>
  </r>
  <r>
    <x v="26"/>
    <m/>
    <x v="12"/>
    <m/>
    <x v="48"/>
    <n v="32"/>
    <n v="8"/>
    <m/>
    <x v="0"/>
    <x v="4"/>
    <s v="https://www.fr.ch/sites/default/files/2020-04/statistiques_situation_FR_2704.xlsx"/>
  </r>
  <r>
    <x v="26"/>
    <m/>
    <x v="0"/>
    <n v="7305"/>
    <x v="152"/>
    <n v="179"/>
    <n v="36"/>
    <n v="36"/>
    <x v="0"/>
    <x v="10"/>
    <s v="https://www.ge.ch/document/covid-19-situation-epidemiologique-geneve/telecharger"/>
  </r>
  <r>
    <x v="26"/>
    <m/>
    <x v="19"/>
    <m/>
    <x v="58"/>
    <n v="0"/>
    <m/>
    <m/>
    <x v="0"/>
    <x v="0"/>
    <s v="https://www.gl.ch/public/upload/assets/27574/COVID-19_Fallzahlen_Kanton_Glarus.xlsx"/>
  </r>
  <r>
    <x v="26"/>
    <m/>
    <x v="26"/>
    <m/>
    <x v="153"/>
    <n v="27"/>
    <m/>
    <m/>
    <x v="0"/>
    <x v="5"/>
    <s v="https://www.gr.ch/DE/institutionen/verwaltung/djsg/ga/coronavirus/info/Seiten/Start.aspx"/>
  </r>
  <r>
    <x v="26"/>
    <m/>
    <x v="3"/>
    <m/>
    <x v="105"/>
    <n v="18"/>
    <n v="2"/>
    <m/>
    <x v="0"/>
    <x v="0"/>
    <s v="https://www.jura.ch/Htdocs/Files/v/34255.xlsx/Departements/CHA/SIC/Carrousel/Coronavirus/Cornavirus/Chiffres/donnees_26_04.xlsx?download=1"/>
  </r>
  <r>
    <x v="26"/>
    <m/>
    <x v="13"/>
    <m/>
    <x v="154"/>
    <n v="28"/>
    <m/>
    <m/>
    <x v="0"/>
    <x v="5"/>
    <s v="https://www.ne.ch/autorites/DFS/SCSP/medecin-cantonal/maladies-vaccinations/Documents/Covid-19-Statistiques/COVID19_PublicationInternet.xlsx"/>
  </r>
  <r>
    <x v="26"/>
    <m/>
    <x v="20"/>
    <m/>
    <x v="67"/>
    <n v="5"/>
    <m/>
    <m/>
    <x v="0"/>
    <x v="1"/>
    <s v="http://www.nw.ch/coronastatistik"/>
  </r>
  <r>
    <x v="26"/>
    <m/>
    <x v="21"/>
    <m/>
    <x v="21"/>
    <m/>
    <m/>
    <m/>
    <x v="0"/>
    <x v="0"/>
    <s v="https://sh.ch/CMS/get/file/b9efa343-2987-4ab2-a060-9c16eacb0326"/>
  </r>
  <r>
    <x v="26"/>
    <m/>
    <x v="25"/>
    <m/>
    <x v="155"/>
    <m/>
    <m/>
    <m/>
    <x v="0"/>
    <x v="1"/>
    <s v="https://www.tg.ch/news/fachdossier-coronavirus.html/10552"/>
  </r>
  <r>
    <x v="26"/>
    <m/>
    <x v="8"/>
    <m/>
    <x v="156"/>
    <n v="230"/>
    <n v="30"/>
    <m/>
    <x v="0"/>
    <x v="19"/>
    <s v="https://www.vd.ch/toutes-les-actualites/hotline-et-informations-sur-le-coronavirus/point-de-situation-statistique-dans-le-canton-de-vaud/"/>
  </r>
  <r>
    <x v="26"/>
    <m/>
    <x v="9"/>
    <m/>
    <x v="157"/>
    <n v="92"/>
    <n v="11"/>
    <n v="7"/>
    <x v="0"/>
    <x v="20"/>
    <s v="https://www.vs.ch/documents/6756452/7008787/2020%2004%2023%20Sit%20Epid%20-%20%C3%89tat%20Stand"/>
  </r>
  <r>
    <x v="26"/>
    <d v="1899-12-30T08:00:00"/>
    <x v="1"/>
    <m/>
    <x v="158"/>
    <n v="246"/>
    <n v="46"/>
    <n v="43"/>
    <x v="0"/>
    <x v="21"/>
    <s v="https://web.archive.org/web/20200322153528/https://www4.ti.ch/dss/dsp/covid19/home/"/>
  </r>
  <r>
    <x v="26"/>
    <d v="1899-12-30T08:00:00"/>
    <x v="11"/>
    <m/>
    <x v="55"/>
    <n v="3"/>
    <n v="0"/>
    <m/>
    <x v="6"/>
    <x v="0"/>
    <s v="https://www.zg.ch/behoerden/gesundheitsdirektion/statistikfachstelle/themen/gesundheit/corona"/>
  </r>
  <r>
    <x v="26"/>
    <d v="1899-12-30T10:30:00"/>
    <x v="5"/>
    <m/>
    <x v="159"/>
    <n v="50"/>
    <m/>
    <m/>
    <x v="16"/>
    <x v="7"/>
    <s v="https://www.coronavirus.bs.ch/nm/2020-tagesbulletin-coronavirus-358-bestaetigte-faelle-im-kanton-basel-stadt-gd.html"/>
  </r>
  <r>
    <x v="26"/>
    <d v="1899-12-30T11:00:00"/>
    <x v="16"/>
    <m/>
    <x v="160"/>
    <m/>
    <m/>
    <m/>
    <x v="0"/>
    <x v="2"/>
    <s v="https://gesundheit.lu.ch/themen/Humanmedizin/Infektionskrankheiten/Coronavirus"/>
  </r>
  <r>
    <x v="26"/>
    <d v="1899-12-30T12:00:00"/>
    <x v="10"/>
    <m/>
    <x v="161"/>
    <m/>
    <m/>
    <m/>
    <x v="0"/>
    <x v="2"/>
    <s v="https://www.ag.ch/de/aktuelles/medienportal/medienmitteilung/medienmitteilungen/mediendetails_139237.jsp"/>
  </r>
  <r>
    <x v="26"/>
    <d v="1899-12-30T14:30:00"/>
    <x v="4"/>
    <m/>
    <x v="138"/>
    <n v="110"/>
    <m/>
    <n v="22"/>
    <x v="0"/>
    <x v="6"/>
    <s v="https://gd.zh.ch/internet/gesundheitsdirektion/de/themen/coronavirus.html"/>
  </r>
  <r>
    <x v="27"/>
    <m/>
    <x v="6"/>
    <m/>
    <x v="162"/>
    <m/>
    <m/>
    <m/>
    <x v="0"/>
    <x v="7"/>
    <s v="https://www.besondere-lage.sites.be.ch/besondere-lage_sites/de/index/corona/index.html"/>
  </r>
  <r>
    <x v="27"/>
    <m/>
    <x v="7"/>
    <m/>
    <x v="163"/>
    <n v="51"/>
    <n v="10"/>
    <m/>
    <x v="17"/>
    <x v="4"/>
    <s v="https://www.baselland.ch/politik-und-behorden/direktionen/volkswirtschafts-und-gesundheitsdirektion/medienmitteilungen/update-289-bestaetigte-faelle-in-basel-landschaft-1"/>
  </r>
  <r>
    <x v="27"/>
    <m/>
    <x v="12"/>
    <m/>
    <x v="130"/>
    <n v="35"/>
    <n v="7"/>
    <m/>
    <x v="0"/>
    <x v="5"/>
    <s v="https://www.fr.ch/sites/default/files/2020-04/statistiques_situation_FR_2704.xlsx"/>
  </r>
  <r>
    <x v="27"/>
    <m/>
    <x v="0"/>
    <n v="7683"/>
    <x v="164"/>
    <n v="214"/>
    <n v="43"/>
    <n v="41"/>
    <x v="0"/>
    <x v="22"/>
    <s v="https://www.ge.ch/document/covid-19-situation-epidemiologique-geneve/telecharger"/>
  </r>
  <r>
    <x v="27"/>
    <m/>
    <x v="19"/>
    <m/>
    <x v="41"/>
    <n v="3"/>
    <m/>
    <m/>
    <x v="0"/>
    <x v="0"/>
    <s v="https://www.gl.ch/public/upload/assets/27574/COVID-19_Fallzahlen_Kanton_Glarus.xlsx"/>
  </r>
  <r>
    <x v="27"/>
    <m/>
    <x v="26"/>
    <m/>
    <x v="165"/>
    <n v="29"/>
    <m/>
    <m/>
    <x v="0"/>
    <x v="7"/>
    <s v="https://www.gr.ch/DE/institutionen/verwaltung/djsg/ga/coronavirus/info/Seiten/Start.aspx"/>
  </r>
  <r>
    <x v="27"/>
    <m/>
    <x v="3"/>
    <m/>
    <x v="166"/>
    <n v="18"/>
    <n v="3"/>
    <m/>
    <x v="0"/>
    <x v="0"/>
    <s v="https://www.jura.ch/Htdocs/Files/v/34255.xlsx/Departements/CHA/SIC/Carrousel/Coronavirus/Cornavirus/Chiffres/donnees_26_04.xlsx?download=1"/>
  </r>
  <r>
    <x v="27"/>
    <m/>
    <x v="13"/>
    <m/>
    <x v="167"/>
    <n v="33"/>
    <n v="11"/>
    <n v="6"/>
    <x v="0"/>
    <x v="7"/>
    <s v="https://www.ne.ch/autorites/DFS/SCSP/medecin-cantonal/maladies-vaccinations/Documents/Covid-19-Statistiques/COVID19_PublicationInternet.xlsx"/>
  </r>
  <r>
    <x v="27"/>
    <m/>
    <x v="20"/>
    <m/>
    <x v="168"/>
    <n v="5"/>
    <m/>
    <m/>
    <x v="0"/>
    <x v="1"/>
    <s v="http://www.nw.ch/coronastatistik"/>
  </r>
  <r>
    <x v="27"/>
    <m/>
    <x v="23"/>
    <m/>
    <x v="83"/>
    <m/>
    <m/>
    <m/>
    <x v="0"/>
    <x v="1"/>
    <s v="https://www.ow.ch/de/verwaltung/dienstleistungen/?dienst_id=5962"/>
  </r>
  <r>
    <x v="27"/>
    <m/>
    <x v="14"/>
    <m/>
    <x v="169"/>
    <m/>
    <m/>
    <m/>
    <x v="0"/>
    <x v="2"/>
    <s v="https://www.sg.ch/tools/informationen-coronavirus.html"/>
  </r>
  <r>
    <x v="27"/>
    <m/>
    <x v="21"/>
    <m/>
    <x v="65"/>
    <m/>
    <m/>
    <m/>
    <x v="0"/>
    <x v="0"/>
    <s v="https://sh.ch/CMS/get/file/b9efa343-2987-4ab2-a060-9c16eacb0326"/>
  </r>
  <r>
    <x v="27"/>
    <m/>
    <x v="25"/>
    <m/>
    <x v="170"/>
    <m/>
    <m/>
    <m/>
    <x v="0"/>
    <x v="1"/>
    <s v="https://www.tg.ch/news/fachdossier-coronavirus.html/10552"/>
  </r>
  <r>
    <x v="27"/>
    <m/>
    <x v="22"/>
    <m/>
    <x v="39"/>
    <n v="1"/>
    <m/>
    <m/>
    <x v="2"/>
    <x v="1"/>
    <s v="https://www.ur.ch/themen/2920"/>
  </r>
  <r>
    <x v="27"/>
    <m/>
    <x v="8"/>
    <m/>
    <x v="171"/>
    <n v="248"/>
    <n v="39"/>
    <m/>
    <x v="0"/>
    <x v="18"/>
    <s v="https://www.vd.ch/toutes-les-actualites/hotline-et-informations-sur-le-coronavirus/point-de-situation-statistique-dans-le-canton-de-vaud/"/>
  </r>
  <r>
    <x v="27"/>
    <m/>
    <x v="9"/>
    <m/>
    <x v="172"/>
    <n v="104"/>
    <n v="12"/>
    <n v="9"/>
    <x v="0"/>
    <x v="15"/>
    <s v="https://www.vs.ch/documents/6756452/7008787/2020%2004%2023%20Sit%20Epid%20-%20%C3%89tat%20Stand"/>
  </r>
  <r>
    <x v="27"/>
    <d v="1899-12-30T08:00:00"/>
    <x v="1"/>
    <m/>
    <x v="173"/>
    <n v="261"/>
    <n v="45"/>
    <n v="43"/>
    <x v="0"/>
    <x v="23"/>
    <s v="https://www4.ti.ch/area-media/comunicati/dettaglio-comunicato/?NEWS_ID=187510&amp;tx_tichareamedia_comunicazioni%5Baction%5D=show&amp;tx_tichareamedia_comunicazioni%5Bcontroller%5D=Comunicazioni&amp;cHash=0120f665ab49651b9d66c876ef272a91"/>
  </r>
  <r>
    <x v="27"/>
    <d v="1899-12-30T08:00:00"/>
    <x v="11"/>
    <m/>
    <x v="55"/>
    <n v="3"/>
    <n v="0"/>
    <m/>
    <x v="6"/>
    <x v="0"/>
    <s v="https://www.zg.ch/behoerden/gesundheitsdirektion/statistikfachstelle/themen/gesundheit/corona"/>
  </r>
  <r>
    <x v="27"/>
    <d v="1899-12-30T10:00:00"/>
    <x v="17"/>
    <m/>
    <x v="21"/>
    <n v="7"/>
    <m/>
    <m/>
    <x v="0"/>
    <x v="2"/>
    <s v="https://www.ar.ch/verwaltung/departement-gesundheit-und-soziales/amt-fuer-gesundheit/informationsseite-coronavirus/"/>
  </r>
  <r>
    <x v="27"/>
    <d v="1899-12-30T10:00:00"/>
    <x v="5"/>
    <m/>
    <x v="75"/>
    <n v="56"/>
    <m/>
    <m/>
    <x v="18"/>
    <x v="7"/>
    <s v="https://www.coronavirus.bs.ch/nm/2020-tagesbulletin-coronavirus-376-bestaetigte-faelle-im-kanton-basel-stadt-gd.html"/>
  </r>
  <r>
    <x v="27"/>
    <d v="1899-12-30T11:00:00"/>
    <x v="16"/>
    <m/>
    <x v="174"/>
    <m/>
    <m/>
    <m/>
    <x v="0"/>
    <x v="2"/>
    <s v="https://gesundheit.lu.ch/themen/Humanmedizin/Infektionskrankheiten/Coronavirus"/>
  </r>
  <r>
    <x v="27"/>
    <d v="1899-12-30T12:00:00"/>
    <x v="18"/>
    <m/>
    <x v="175"/>
    <m/>
    <m/>
    <m/>
    <x v="0"/>
    <x v="2"/>
    <s v="https://corona.so.ch/"/>
  </r>
  <r>
    <x v="27"/>
    <d v="1899-12-30T14:30:00"/>
    <x v="4"/>
    <m/>
    <x v="176"/>
    <n v="127"/>
    <m/>
    <n v="27"/>
    <x v="0"/>
    <x v="6"/>
    <s v="https://gd.zh.ch/internet/gesundheitsdirektion/de/themen/coronavirus.html"/>
  </r>
  <r>
    <x v="27"/>
    <d v="1899-12-30T15:00:00"/>
    <x v="10"/>
    <m/>
    <x v="177"/>
    <n v="10"/>
    <n v="3"/>
    <n v="2"/>
    <x v="0"/>
    <x v="2"/>
    <s v="https://www.ag.ch/media/kanton_aargau/themen_1/coronavirus_1/lagebulletins/200323_KFS_Coronavirus_Lagebulletin_17.pdf"/>
  </r>
  <r>
    <x v="27"/>
    <d v="1899-12-30T18:00:00"/>
    <x v="2"/>
    <m/>
    <x v="35"/>
    <m/>
    <m/>
    <m/>
    <x v="0"/>
    <x v="1"/>
    <s v="https://www.regierung.li/media/attachments/140-corona-regierung-0323.pdf?t=637205847493377066"/>
  </r>
  <r>
    <x v="28"/>
    <m/>
    <x v="6"/>
    <m/>
    <x v="178"/>
    <m/>
    <m/>
    <m/>
    <x v="0"/>
    <x v="6"/>
    <s v="https://www.besondere-lage.sites.be.ch/besondere-lage_sites/de/index/corona/index.html"/>
  </r>
  <r>
    <x v="28"/>
    <m/>
    <x v="7"/>
    <m/>
    <x v="179"/>
    <n v="66"/>
    <n v="11"/>
    <m/>
    <x v="19"/>
    <x v="5"/>
    <s v="https://www.baselland.ch/politik-und-behorden/direktionen/volkswirtschafts-und-gesundheitsdirektion/amt-fur-gesundheit/medizinische-dienste/kantonsarztlicher-dienst/aktuelles/covid-19-faelle-kanton-basel-landschaft"/>
  </r>
  <r>
    <x v="28"/>
    <m/>
    <x v="2"/>
    <m/>
    <x v="35"/>
    <m/>
    <m/>
    <m/>
    <x v="0"/>
    <x v="1"/>
    <s v="https://www.regierung.li/media/attachments/143-coronavirus-praesenz-fernunterricht.pdf?t=637207680400073990"/>
  </r>
  <r>
    <x v="28"/>
    <m/>
    <x v="12"/>
    <m/>
    <x v="180"/>
    <n v="35"/>
    <n v="7"/>
    <m/>
    <x v="0"/>
    <x v="7"/>
    <s v="https://www.fr.ch/sites/default/files/2020-04/statistiques_situation_FR_2704.xlsx"/>
  </r>
  <r>
    <x v="28"/>
    <m/>
    <x v="0"/>
    <n v="8028"/>
    <x v="181"/>
    <n v="238"/>
    <n v="41"/>
    <n v="41"/>
    <x v="20"/>
    <x v="24"/>
    <s v="https://www.ge.ch/document/covid-19-situation-epidemiologique-geneve/telecharger"/>
  </r>
  <r>
    <x v="28"/>
    <m/>
    <x v="19"/>
    <m/>
    <x v="43"/>
    <n v="3"/>
    <m/>
    <m/>
    <x v="0"/>
    <x v="0"/>
    <s v="https://www.gl.ch/public/upload/assets/27574/COVID-19_Fallzahlen_Kanton_Glarus.xlsx"/>
  </r>
  <r>
    <x v="28"/>
    <m/>
    <x v="26"/>
    <m/>
    <x v="182"/>
    <n v="43"/>
    <m/>
    <m/>
    <x v="0"/>
    <x v="6"/>
    <s v="https://www.gr.ch/DE/institutionen/verwaltung/djsg/ga/coronavirus/info/Seiten/Start.aspx"/>
  </r>
  <r>
    <x v="28"/>
    <m/>
    <x v="3"/>
    <m/>
    <x v="183"/>
    <n v="22"/>
    <n v="4"/>
    <m/>
    <x v="0"/>
    <x v="0"/>
    <s v="https://www.jura.ch/Htdocs/Files/v/34255.xlsx/Departements/CHA/SIC/Carrousel/Coronavirus/Cornavirus/Chiffres/donnees_26_04.xlsx?download=1"/>
  </r>
  <r>
    <x v="28"/>
    <m/>
    <x v="13"/>
    <m/>
    <x v="69"/>
    <n v="32"/>
    <n v="8"/>
    <n v="6"/>
    <x v="0"/>
    <x v="6"/>
    <s v="https://www.ne.ch/autorites/DFS/SCSP/medecin-cantonal/maladies-vaccinations/Documents/Covid-19-Statistiques/COVID19_PublicationInternet.xlsx"/>
  </r>
  <r>
    <x v="28"/>
    <m/>
    <x v="20"/>
    <m/>
    <x v="57"/>
    <n v="4"/>
    <m/>
    <m/>
    <x v="0"/>
    <x v="1"/>
    <s v="http://www.nw.ch/coronastatistik"/>
  </r>
  <r>
    <x v="28"/>
    <m/>
    <x v="23"/>
    <m/>
    <x v="83"/>
    <m/>
    <m/>
    <m/>
    <x v="0"/>
    <x v="1"/>
    <s v="https://www.ow.ch/de/verwaltung/dienstleistungen/?dienst_id=5962"/>
  </r>
  <r>
    <x v="28"/>
    <m/>
    <x v="21"/>
    <m/>
    <x v="30"/>
    <m/>
    <m/>
    <m/>
    <x v="0"/>
    <x v="0"/>
    <s v="https://sh.ch/CMS/get/file/b9efa343-2987-4ab2-a060-9c16eacb0326"/>
  </r>
  <r>
    <x v="28"/>
    <m/>
    <x v="15"/>
    <m/>
    <x v="184"/>
    <m/>
    <m/>
    <m/>
    <x v="21"/>
    <x v="0"/>
    <s v="https://www.sz.ch/behoerden/information-medien/medienmitteilungen/coronavirus.html/72-416-412-1379-6948"/>
  </r>
  <r>
    <x v="28"/>
    <m/>
    <x v="25"/>
    <m/>
    <x v="185"/>
    <m/>
    <m/>
    <m/>
    <x v="0"/>
    <x v="2"/>
    <s v="https://www.tg.ch/news/fachdossier-coronavirus.html/10552 &amp; https://www.tg.ch/news/news-detailseite.html/485/news/44925"/>
  </r>
  <r>
    <x v="28"/>
    <m/>
    <x v="8"/>
    <m/>
    <x v="186"/>
    <n v="284"/>
    <n v="40"/>
    <m/>
    <x v="0"/>
    <x v="25"/>
    <s v="https://www.vd.ch/toutes-les-actualites/hotline-et-informations-sur-le-coronavirus/point-de-situation-statistique-dans-le-canton-de-vaud/"/>
  </r>
  <r>
    <x v="28"/>
    <d v="1899-12-30T00:00:00"/>
    <x v="18"/>
    <m/>
    <x v="187"/>
    <m/>
    <m/>
    <m/>
    <x v="0"/>
    <x v="2"/>
    <s v="https://corona.so.ch/"/>
  </r>
  <r>
    <x v="28"/>
    <d v="1899-12-30T08:00:00"/>
    <x v="1"/>
    <m/>
    <x v="188"/>
    <n v="285"/>
    <n v="50"/>
    <n v="48"/>
    <x v="0"/>
    <x v="26"/>
    <s v="https://www4.ti.ch/area-media/comunicati/dettaglio-comunicato/?NEWS_ID=187520&amp;tx_tichareamedia_comunicazioni%5Baction%5D=show&amp;tx_tichareamedia_comunicazioni%5Bcontroller%5D=Comunicazioni&amp;cHash=4d581f57e92de04937175bab9e5b0f14"/>
  </r>
  <r>
    <x v="28"/>
    <d v="1899-12-30T08:00:00"/>
    <x v="11"/>
    <m/>
    <x v="189"/>
    <n v="6"/>
    <n v="0"/>
    <m/>
    <x v="22"/>
    <x v="0"/>
    <s v="https://www.zg.ch/behoerden/gesundheitsdirektion/statistikfachstelle/themen/gesundheit/corona"/>
  </r>
  <r>
    <x v="28"/>
    <d v="1899-12-30T09:00:00"/>
    <x v="5"/>
    <m/>
    <x v="190"/>
    <n v="58"/>
    <m/>
    <m/>
    <x v="23"/>
    <x v="7"/>
    <s v="https://www.coronavirus.bs.ch/nm/2020-tagesbulletin-coronavirus-414-bestaetigte-faelle-im-kanton-basel-stadt-gd.html"/>
  </r>
  <r>
    <x v="28"/>
    <d v="1899-12-30T10:00:00"/>
    <x v="17"/>
    <m/>
    <x v="43"/>
    <n v="6"/>
    <m/>
    <m/>
    <x v="0"/>
    <x v="3"/>
    <s v="https://www.ar.ch/verwaltung/departement-gesundheit-und-soziales/amt-fuer-gesundheit/informationsseite-coronavirus/"/>
  </r>
  <r>
    <x v="28"/>
    <d v="1899-12-30T11:00:00"/>
    <x v="16"/>
    <m/>
    <x v="191"/>
    <m/>
    <m/>
    <m/>
    <x v="0"/>
    <x v="3"/>
    <s v="https://gesundheit.lu.ch/themen/Humanmedizin/Infektionskrankheiten/Coronavirus"/>
  </r>
  <r>
    <x v="28"/>
    <d v="1899-12-30T12:00:00"/>
    <x v="22"/>
    <m/>
    <x v="83"/>
    <n v="1"/>
    <m/>
    <m/>
    <x v="2"/>
    <x v="1"/>
    <s v="https://www.ur.ch/themen/2920"/>
  </r>
  <r>
    <x v="28"/>
    <d v="1899-12-30T14:30:00"/>
    <x v="4"/>
    <m/>
    <x v="192"/>
    <n v="138"/>
    <m/>
    <n v="26"/>
    <x v="0"/>
    <x v="8"/>
    <s v="https://gd.zh.ch/internet/gesundheitsdirektion/de/themen/coronavirus.html"/>
  </r>
  <r>
    <x v="28"/>
    <d v="1899-12-30T15:00:00"/>
    <x v="10"/>
    <m/>
    <x v="193"/>
    <n v="24"/>
    <n v="2"/>
    <n v="2"/>
    <x v="0"/>
    <x v="3"/>
    <s v="https://www.ag.ch/media/kanton_aargau/themen_1/coronavirus_1/lagebulletins/200324_KFS_Coronavirus_Lagebulletin_18.pdf"/>
  </r>
  <r>
    <x v="28"/>
    <d v="1899-12-30T16:00:00"/>
    <x v="9"/>
    <m/>
    <x v="194"/>
    <n v="117"/>
    <n v="13"/>
    <n v="12"/>
    <x v="0"/>
    <x v="12"/>
    <s v="https://www.vs.ch/documents/6756452/7008787/2020%2004%2023%20Sit%20Epid%20-%20%C3%89tat%20Stand"/>
  </r>
  <r>
    <x v="28"/>
    <d v="1899-12-30T17:00:00"/>
    <x v="24"/>
    <m/>
    <x v="6"/>
    <m/>
    <m/>
    <m/>
    <x v="0"/>
    <x v="1"/>
    <s v="https://www.ai.ch/themen/gesundheit-alter-und-soziales/gesundheitsfoerderung-und-praevention/uebertragbare-krankheiten/coronavirus"/>
  </r>
  <r>
    <x v="29"/>
    <m/>
    <x v="6"/>
    <m/>
    <x v="195"/>
    <m/>
    <m/>
    <m/>
    <x v="0"/>
    <x v="6"/>
    <s v="https://www.besondere-lage.sites.be.ch/besondere-lage_sites/de/index/corona/index.html"/>
  </r>
  <r>
    <x v="29"/>
    <m/>
    <x v="7"/>
    <m/>
    <x v="196"/>
    <n v="68"/>
    <n v="8"/>
    <m/>
    <x v="13"/>
    <x v="7"/>
    <s v="https://www.baselland.ch/politik-und-behorden/direktionen/volkswirtschafts-und-gesundheitsdirektion/amt-fur-gesundheit/medizinische-dienste/kantonsarztlicher-dienst/aktuelles/covid-19-faelle-kanton-basel-landschaft"/>
  </r>
  <r>
    <x v="29"/>
    <m/>
    <x v="2"/>
    <m/>
    <x v="55"/>
    <m/>
    <m/>
    <m/>
    <x v="0"/>
    <x v="1"/>
    <s v="https://www.regierung.li/media/attachments/145-drive-trouhg-anlage-corona.pdf?t=637207634421649200"/>
  </r>
  <r>
    <x v="29"/>
    <m/>
    <x v="12"/>
    <m/>
    <x v="197"/>
    <n v="39"/>
    <n v="7"/>
    <m/>
    <x v="0"/>
    <x v="6"/>
    <s v="https://www.fr.ch/sites/default/files/2020-04/statistiques_situation_FR_2704.xlsx"/>
  </r>
  <r>
    <x v="29"/>
    <m/>
    <x v="0"/>
    <n v="8433"/>
    <x v="198"/>
    <n v="258"/>
    <n v="50"/>
    <n v="48"/>
    <x v="24"/>
    <x v="19"/>
    <s v="https://www.ge.ch/document/covid-19-situation-epidemiologique-geneve/telecharger"/>
  </r>
  <r>
    <x v="29"/>
    <m/>
    <x v="19"/>
    <m/>
    <x v="28"/>
    <n v="2"/>
    <m/>
    <m/>
    <x v="0"/>
    <x v="0"/>
    <s v="https://www.gl.ch/public/upload/assets/27574/COVID-19_Fallzahlen_Kanton_Glarus.xlsx"/>
  </r>
  <r>
    <x v="29"/>
    <m/>
    <x v="26"/>
    <m/>
    <x v="199"/>
    <n v="45"/>
    <m/>
    <m/>
    <x v="0"/>
    <x v="8"/>
    <s v="https://www.gr.ch/DE/institutionen/verwaltung/djsg/ga/coronavirus/info/Seiten/Start.aspx"/>
  </r>
  <r>
    <x v="29"/>
    <m/>
    <x v="3"/>
    <m/>
    <x v="64"/>
    <n v="23"/>
    <n v="4"/>
    <m/>
    <x v="0"/>
    <x v="0"/>
    <s v="https://www.jura.ch/Htdocs/Files/v/34255.xlsx/Departements/CHA/SIC/Carrousel/Coronavirus/Cornavirus/Chiffres/donnees_26_04.xlsx?download=1"/>
  </r>
  <r>
    <x v="29"/>
    <m/>
    <x v="13"/>
    <m/>
    <x v="200"/>
    <n v="41"/>
    <n v="10"/>
    <n v="7"/>
    <x v="0"/>
    <x v="11"/>
    <s v="https://www.ne.ch/autorites/DFS/SCSP/medecin-cantonal/maladies-vaccinations/Documents/Covid-19-Statistiques/COVID19_PublicationInternet.xlsx"/>
  </r>
  <r>
    <x v="29"/>
    <m/>
    <x v="20"/>
    <m/>
    <x v="131"/>
    <n v="3"/>
    <m/>
    <m/>
    <x v="0"/>
    <x v="1"/>
    <s v="http://www.nw.ch/coronastatistik"/>
  </r>
  <r>
    <x v="29"/>
    <m/>
    <x v="23"/>
    <m/>
    <x v="33"/>
    <m/>
    <m/>
    <m/>
    <x v="0"/>
    <x v="1"/>
    <s v="https://www.ow.ch/de/verwaltung/dienstleistungen/?dienst_id=5962"/>
  </r>
  <r>
    <x v="29"/>
    <m/>
    <x v="14"/>
    <m/>
    <x v="169"/>
    <m/>
    <m/>
    <m/>
    <x v="0"/>
    <x v="2"/>
    <s v="https://www.sg.ch/tools/informationen-coronavirus.html"/>
  </r>
  <r>
    <x v="29"/>
    <m/>
    <x v="21"/>
    <m/>
    <x v="25"/>
    <n v="10"/>
    <n v="1"/>
    <m/>
    <x v="0"/>
    <x v="0"/>
    <s v="https://sh.ch/CMS/get/file/b9efa343-2987-4ab2-a060-9c16eacb0326"/>
  </r>
  <r>
    <x v="29"/>
    <m/>
    <x v="15"/>
    <m/>
    <x v="2"/>
    <m/>
    <m/>
    <m/>
    <x v="21"/>
    <x v="0"/>
    <s v="https://www.sz.ch/behoerden/information-medien/medienmitteilungen/coronavirus.html/72-416-412-1379-6948"/>
  </r>
  <r>
    <x v="29"/>
    <m/>
    <x v="25"/>
    <m/>
    <x v="201"/>
    <m/>
    <m/>
    <m/>
    <x v="0"/>
    <x v="2"/>
    <s v="https://www.tg.ch/news/fachdossier-coronavirus.html/10552"/>
  </r>
  <r>
    <x v="29"/>
    <m/>
    <x v="8"/>
    <m/>
    <x v="202"/>
    <n v="314"/>
    <n v="51"/>
    <m/>
    <x v="0"/>
    <x v="27"/>
    <s v="https://www.vd.ch/toutes-les-actualites/hotline-et-informations-sur-le-coronavirus/point-de-situation-statistique-dans-le-canton-de-vaud/"/>
  </r>
  <r>
    <x v="29"/>
    <d v="1899-12-30T00:00:00"/>
    <x v="18"/>
    <m/>
    <x v="42"/>
    <m/>
    <m/>
    <m/>
    <x v="0"/>
    <x v="2"/>
    <s v="https://corona.so.ch/"/>
  </r>
  <r>
    <x v="29"/>
    <d v="1899-12-30T08:00:00"/>
    <x v="17"/>
    <m/>
    <x v="30"/>
    <m/>
    <m/>
    <m/>
    <x v="0"/>
    <x v="3"/>
    <s v="https://www.ar.ch/verwaltung/departement-gesundheit-und-soziales/amt-fuer-gesundheit/informationsseite-coronavirus/"/>
  </r>
  <r>
    <x v="29"/>
    <d v="1899-12-30T08:00:00"/>
    <x v="1"/>
    <m/>
    <x v="203"/>
    <n v="306"/>
    <n v="57"/>
    <n v="55"/>
    <x v="0"/>
    <x v="28"/>
    <s v="https://www4.ti.ch/area-media/comunicati/dettaglio-comunicato/?NEWS_ID=187523&amp;tx_tichareamedia_comunicazioni%5Baction%5D=show&amp;tx_tichareamedia_comunicazioni%5Bcontroller%5D=Comunicazioni&amp;cHash=982795a2c13394282accc3a8506c9ba0"/>
  </r>
  <r>
    <x v="29"/>
    <d v="1899-12-30T08:00:00"/>
    <x v="11"/>
    <m/>
    <x v="204"/>
    <n v="9"/>
    <n v="1"/>
    <m/>
    <x v="12"/>
    <x v="0"/>
    <s v="https://www.zg.ch/behoerden/gesundheitsdirektion/statistikfachstelle/themen/gesundheit/corona"/>
  </r>
  <r>
    <x v="29"/>
    <d v="1899-12-30T10:00:00"/>
    <x v="5"/>
    <m/>
    <x v="205"/>
    <n v="58"/>
    <m/>
    <m/>
    <x v="25"/>
    <x v="8"/>
    <s v="https://www.coronavirus.bs.ch/nm/2020-tagesbulletin-coronavirus-466-bestaetigte-faelle-im-kanton-basel-stadt-gd.html"/>
  </r>
  <r>
    <x v="29"/>
    <d v="1899-12-30T11:00:00"/>
    <x v="16"/>
    <m/>
    <x v="169"/>
    <m/>
    <m/>
    <m/>
    <x v="0"/>
    <x v="3"/>
    <s v="https://gesundheit.lu.ch/themen/Humanmedizin/Infektionskrankheiten/Coronavirus"/>
  </r>
  <r>
    <x v="29"/>
    <d v="1899-12-30T14:30:00"/>
    <x v="4"/>
    <m/>
    <x v="206"/>
    <n v="146"/>
    <m/>
    <n v="28"/>
    <x v="0"/>
    <x v="10"/>
    <s v="https://gd.zh.ch/internet/gesundheitsdirektion/de/themen/coronavirus.html"/>
  </r>
  <r>
    <x v="29"/>
    <d v="1899-12-30T15:00:00"/>
    <x v="10"/>
    <m/>
    <x v="207"/>
    <n v="16"/>
    <n v="5"/>
    <n v="5"/>
    <x v="0"/>
    <x v="3"/>
    <s v="https://www.ag.ch/media/kanton_aargau/themen_1/coronavirus_1/lagebulletins/200325_KFS_Coronavirus_Lagebulletin_19.pdf"/>
  </r>
  <r>
    <x v="29"/>
    <d v="1899-12-30T15:00:00"/>
    <x v="9"/>
    <m/>
    <x v="208"/>
    <n v="118"/>
    <n v="15"/>
    <n v="14"/>
    <x v="0"/>
    <x v="14"/>
    <s v="https://www.vs.ch/documents/6756452/7008787/2020%2004%2023%20Sit%20Epid%20-%20%C3%89tat%20Stand"/>
  </r>
  <r>
    <x v="29"/>
    <d v="1899-12-30T17:00:00"/>
    <x v="24"/>
    <m/>
    <x v="14"/>
    <m/>
    <m/>
    <m/>
    <x v="0"/>
    <x v="1"/>
    <s v="https://www.ai.ch/themen/gesundheit-alter-und-soziales/gesundheitsfoerderung-und-praevention/uebertragbare-krankheiten/coronavirus"/>
  </r>
  <r>
    <x v="30"/>
    <m/>
    <x v="6"/>
    <m/>
    <x v="209"/>
    <m/>
    <m/>
    <m/>
    <x v="0"/>
    <x v="9"/>
    <s v="https://www.besondere-lage.sites.be.ch/besondere-lage_sites/de/index/corona/index.html"/>
  </r>
  <r>
    <x v="30"/>
    <m/>
    <x v="7"/>
    <m/>
    <x v="94"/>
    <n v="68"/>
    <n v="9"/>
    <m/>
    <x v="26"/>
    <x v="7"/>
    <s v="https://www.baselland.ch/politik-und-behorden/direktionen/volkswirtschafts-und-gesundheitsdirektion/amt-fur-gesundheit/medizinische-dienste/kantonsarztlicher-dienst/aktuelles/covid-19-faelle-kanton-basel-landschaft"/>
  </r>
  <r>
    <x v="30"/>
    <m/>
    <x v="2"/>
    <n v="900"/>
    <x v="145"/>
    <m/>
    <m/>
    <m/>
    <x v="0"/>
    <x v="1"/>
    <s v="https://www.regierung.li/media/attachments/151-900-personen-getestet.pdf?t=637208497707275503"/>
  </r>
  <r>
    <x v="30"/>
    <m/>
    <x v="12"/>
    <m/>
    <x v="210"/>
    <n v="44"/>
    <n v="5"/>
    <m/>
    <x v="0"/>
    <x v="20"/>
    <s v="https://www.fr.ch/sites/default/files/2020-04/statistiques_situation_FR_2704.xlsx"/>
  </r>
  <r>
    <x v="30"/>
    <m/>
    <x v="0"/>
    <n v="8941"/>
    <x v="211"/>
    <n v="272"/>
    <n v="52"/>
    <n v="48"/>
    <x v="27"/>
    <x v="29"/>
    <s v="https://www.ge.ch/document/covid-19-situation-epidemiologique-geneve/telecharger"/>
  </r>
  <r>
    <x v="30"/>
    <m/>
    <x v="19"/>
    <m/>
    <x v="106"/>
    <n v="2"/>
    <m/>
    <m/>
    <x v="0"/>
    <x v="0"/>
    <s v="https://www.gl.ch/public/upload/assets/27574/COVID-19_Fallzahlen_Kanton_Glarus.xlsx"/>
  </r>
  <r>
    <x v="30"/>
    <m/>
    <x v="26"/>
    <m/>
    <x v="212"/>
    <n v="52"/>
    <m/>
    <m/>
    <x v="0"/>
    <x v="8"/>
    <s v="https://www.gr.ch/DE/institutionen/verwaltung/djsg/ga/coronavirus/info/Seiten/Start.aspx"/>
  </r>
  <r>
    <x v="30"/>
    <m/>
    <x v="3"/>
    <m/>
    <x v="72"/>
    <n v="22"/>
    <n v="4"/>
    <m/>
    <x v="0"/>
    <x v="0"/>
    <s v="https://www.jura.ch/Htdocs/Files/v/34255.xlsx/Departements/CHA/SIC/Carrousel/Coronavirus/Cornavirus/Chiffres/donnees_26_04.xlsx?download=1"/>
  </r>
  <r>
    <x v="30"/>
    <m/>
    <x v="13"/>
    <m/>
    <x v="213"/>
    <n v="42"/>
    <n v="9"/>
    <n v="7"/>
    <x v="0"/>
    <x v="13"/>
    <s v="https://www.ne.ch/autorites/DFS/SCSP/medecin-cantonal/maladies-vaccinations/Documents/Covid-19-Statistiques/COVID19_PublicationInternet.xlsx"/>
  </r>
  <r>
    <x v="30"/>
    <m/>
    <x v="20"/>
    <m/>
    <x v="136"/>
    <n v="2"/>
    <m/>
    <m/>
    <x v="0"/>
    <x v="1"/>
    <s v="http://www.nw.ch/coronastatistik"/>
  </r>
  <r>
    <x v="30"/>
    <m/>
    <x v="23"/>
    <m/>
    <x v="21"/>
    <m/>
    <m/>
    <m/>
    <x v="0"/>
    <x v="1"/>
    <s v="https://www.ow.ch/de/verwaltung/dienstleistungen/?dienst_id=5962"/>
  </r>
  <r>
    <x v="30"/>
    <m/>
    <x v="14"/>
    <m/>
    <x v="179"/>
    <m/>
    <m/>
    <m/>
    <x v="0"/>
    <x v="3"/>
    <s v="https://www.sg.ch/tools/informationen-coronavirus.html"/>
  </r>
  <r>
    <x v="30"/>
    <m/>
    <x v="21"/>
    <m/>
    <x v="67"/>
    <n v="6"/>
    <n v="1"/>
    <m/>
    <x v="0"/>
    <x v="0"/>
    <s v="https://sh.ch/CMS/get/file/b9efa343-2987-4ab2-a060-9c16eacb0326"/>
  </r>
  <r>
    <x v="30"/>
    <m/>
    <x v="15"/>
    <m/>
    <x v="214"/>
    <m/>
    <m/>
    <m/>
    <x v="28"/>
    <x v="0"/>
    <s v="https://www.sz.ch/behoerden/information-medien/medienmitteilungen/coronavirus.html/72-416-412-1379-6948"/>
  </r>
  <r>
    <x v="30"/>
    <m/>
    <x v="25"/>
    <m/>
    <x v="215"/>
    <m/>
    <m/>
    <m/>
    <x v="0"/>
    <x v="2"/>
    <s v="https://www.tg.ch/news/fachdossier-coronavirus.html/10552"/>
  </r>
  <r>
    <x v="30"/>
    <m/>
    <x v="22"/>
    <m/>
    <x v="26"/>
    <n v="4"/>
    <m/>
    <m/>
    <x v="3"/>
    <x v="1"/>
    <s v="https://www.ur.ch/themen/2920"/>
  </r>
  <r>
    <x v="30"/>
    <m/>
    <x v="8"/>
    <m/>
    <x v="216"/>
    <n v="325"/>
    <n v="55"/>
    <m/>
    <x v="0"/>
    <x v="30"/>
    <s v="https://www.vd.ch/toutes-les-actualites/hotline-et-informations-sur-le-coronavirus/point-de-situation-statistique-dans-le-canton-de-vaud/"/>
  </r>
  <r>
    <x v="30"/>
    <d v="1899-12-30T00:00:00"/>
    <x v="18"/>
    <m/>
    <x v="56"/>
    <m/>
    <m/>
    <m/>
    <x v="0"/>
    <x v="2"/>
    <s v="https://corona.so.ch/"/>
  </r>
  <r>
    <x v="30"/>
    <d v="1899-12-30T08:00:00"/>
    <x v="1"/>
    <m/>
    <x v="217"/>
    <n v="358"/>
    <n v="60"/>
    <n v="56"/>
    <x v="0"/>
    <x v="31"/>
    <s v="https://www4.ti.ch/area-media/comunicati/dettaglio-comunicato/?NEWS_ID=187529&amp;tx_tichareamedia_comunicazioni%5Baction%5D=show&amp;tx_tichareamedia_comunicazioni%5Bcontroller%5D=Comunicazioni&amp;cHash=8ce8f2f412a3bb9022fb4a28c9ad7fa4"/>
  </r>
  <r>
    <x v="30"/>
    <d v="1899-12-30T08:00:00"/>
    <x v="11"/>
    <m/>
    <x v="185"/>
    <n v="10"/>
    <n v="1"/>
    <m/>
    <x v="12"/>
    <x v="0"/>
    <s v="https://www.zg.ch/behoerden/gesundheitsdirektion/statistikfachstelle/themen/gesundheit/corona"/>
  </r>
  <r>
    <x v="30"/>
    <d v="1899-12-30T10:30:00"/>
    <x v="5"/>
    <m/>
    <x v="218"/>
    <n v="74"/>
    <n v="8"/>
    <m/>
    <x v="29"/>
    <x v="13"/>
    <s v="https://www.coronavirus.bs.ch/nm/2020-tagesbulletin-coronavirus-505-bestaetigte-faelle-im-kanton-basel-stadt-gd.html"/>
  </r>
  <r>
    <x v="30"/>
    <d v="1899-12-30T11:00:00"/>
    <x v="16"/>
    <m/>
    <x v="219"/>
    <m/>
    <m/>
    <m/>
    <x v="0"/>
    <x v="4"/>
    <s v="https://gesundheit.lu.ch/themen/Humanmedizin/Infektionskrankheiten/Coronavirus"/>
  </r>
  <r>
    <x v="30"/>
    <d v="1899-12-30T14:30:00"/>
    <x v="4"/>
    <m/>
    <x v="220"/>
    <n v="156"/>
    <m/>
    <n v="35"/>
    <x v="0"/>
    <x v="15"/>
    <s v="https://gd.zh.ch/internet/gesundheitsdirektion/de/themen/coronavirus.html"/>
  </r>
  <r>
    <x v="30"/>
    <d v="1899-12-30T15:00:00"/>
    <x v="10"/>
    <m/>
    <x v="122"/>
    <n v="38"/>
    <n v="10"/>
    <n v="9"/>
    <x v="0"/>
    <x v="3"/>
    <s v="https://www.ag.ch/media/kanton_aargau/themen_1/coronavirus_1/lagebulletins/200326_KFS_Coronavirus_Lagebulletin_20.pdf"/>
  </r>
  <r>
    <x v="30"/>
    <d v="1899-12-30T15:00:00"/>
    <x v="9"/>
    <m/>
    <x v="221"/>
    <n v="128"/>
    <n v="19"/>
    <n v="17"/>
    <x v="0"/>
    <x v="24"/>
    <s v="https://www.vs.ch/documents/6756452/7008787/2020%2004%2023%20Sit%20Epid%20-%20%C3%89tat%20Stand"/>
  </r>
  <r>
    <x v="30"/>
    <d v="1899-12-30T16:00:00"/>
    <x v="17"/>
    <m/>
    <x v="57"/>
    <m/>
    <m/>
    <m/>
    <x v="0"/>
    <x v="3"/>
    <s v="https://www.ar.ch/verwaltung/departement-gesundheit-und-soziales/amt-fuer-gesundheit/informationsseite-coronavirus/"/>
  </r>
  <r>
    <x v="30"/>
    <d v="1899-12-30T18:00:00"/>
    <x v="24"/>
    <m/>
    <x v="9"/>
    <m/>
    <m/>
    <m/>
    <x v="0"/>
    <x v="1"/>
    <s v="https://www.ai.ch/themen/gesundheit-alter-und-soziales/gesundheitsfoerderung-und-praevention/uebertragbare-krankheiten/coronavirus"/>
  </r>
  <r>
    <x v="31"/>
    <m/>
    <x v="6"/>
    <m/>
    <x v="222"/>
    <m/>
    <m/>
    <m/>
    <x v="0"/>
    <x v="8"/>
    <s v="https://www.besondere-lage.sites.be.ch/besondere-lage_sites/de/index/corona/index.html"/>
  </r>
  <r>
    <x v="31"/>
    <m/>
    <x v="7"/>
    <m/>
    <x v="223"/>
    <n v="79"/>
    <n v="11"/>
    <m/>
    <x v="30"/>
    <x v="7"/>
    <s v="https://www.baselland.ch/politik-und-behorden/direktionen/volkswirtschafts-und-gesundheitsdirektion/amt-fur-gesundheit/medizinische-dienste/kantonsarztlicher-dienst/aktuelles/covid-19-faelle-kanton-basel-landschaft"/>
  </r>
  <r>
    <x v="31"/>
    <m/>
    <x v="2"/>
    <m/>
    <x v="224"/>
    <m/>
    <m/>
    <m/>
    <x v="0"/>
    <x v="1"/>
    <s v="https://www.regierung.li/media/attachments/152-regierung-bedankt-sich.pdf?t=637209361840426241"/>
  </r>
  <r>
    <x v="31"/>
    <m/>
    <x v="12"/>
    <m/>
    <x v="225"/>
    <n v="50"/>
    <n v="8"/>
    <m/>
    <x v="0"/>
    <x v="12"/>
    <s v="https://www.fr.ch/sites/default/files/2020-04/statistiques_situation_FR_2704.xlsx"/>
  </r>
  <r>
    <x v="31"/>
    <m/>
    <x v="0"/>
    <n v="9432"/>
    <x v="226"/>
    <n v="313"/>
    <n v="54"/>
    <n v="54"/>
    <x v="31"/>
    <x v="32"/>
    <s v="https://www.ge.ch/document/covid-19-situation-epidemiologique-geneve/telecharger"/>
  </r>
  <r>
    <x v="31"/>
    <m/>
    <x v="19"/>
    <m/>
    <x v="32"/>
    <n v="3"/>
    <m/>
    <m/>
    <x v="0"/>
    <x v="0"/>
    <s v="https://www.gl.ch/public/upload/assets/27574/COVID-19_Fallzahlen_Kanton_Glarus.xlsx"/>
  </r>
  <r>
    <x v="31"/>
    <m/>
    <x v="26"/>
    <m/>
    <x v="227"/>
    <n v="58"/>
    <m/>
    <m/>
    <x v="0"/>
    <x v="11"/>
    <s v="https://www.gr.ch/DE/institutionen/verwaltung/djsg/ga/coronavirus/info/Seiten/Start.aspx"/>
  </r>
  <r>
    <x v="31"/>
    <m/>
    <x v="3"/>
    <m/>
    <x v="51"/>
    <n v="25"/>
    <n v="6"/>
    <m/>
    <x v="0"/>
    <x v="0"/>
    <s v="https://www.jura.ch/Htdocs/Files/v/34255.xlsx/Departements/CHA/SIC/Carrousel/Coronavirus/Cornavirus/Chiffres/donnees_26_04.xlsx?download=1"/>
  </r>
  <r>
    <x v="31"/>
    <m/>
    <x v="13"/>
    <m/>
    <x v="228"/>
    <n v="45"/>
    <n v="9"/>
    <n v="7"/>
    <x v="0"/>
    <x v="15"/>
    <s v="https://www.ne.ch/autorites/DFS/SCSP/medecin-cantonal/maladies-vaccinations/Documents/Covid-19-Statistiques/COVID19_PublicationInternet.xlsx"/>
  </r>
  <r>
    <x v="31"/>
    <m/>
    <x v="20"/>
    <m/>
    <x v="74"/>
    <n v="3"/>
    <m/>
    <m/>
    <x v="0"/>
    <x v="1"/>
    <s v="http://www.nw.ch/coronastatistik"/>
  </r>
  <r>
    <x v="31"/>
    <m/>
    <x v="23"/>
    <m/>
    <x v="47"/>
    <m/>
    <m/>
    <m/>
    <x v="0"/>
    <x v="1"/>
    <s v="https://www.ow.ch/de/verwaltung/dienstleistungen/?dienst_id=5962"/>
  </r>
  <r>
    <x v="31"/>
    <m/>
    <x v="21"/>
    <m/>
    <x v="47"/>
    <n v="10"/>
    <n v="1"/>
    <m/>
    <x v="0"/>
    <x v="0"/>
    <s v="https://sh.ch/CMS/get/file/b9efa343-2987-4ab2-a060-9c16eacb0326"/>
  </r>
  <r>
    <x v="31"/>
    <m/>
    <x v="15"/>
    <m/>
    <x v="229"/>
    <m/>
    <m/>
    <m/>
    <x v="32"/>
    <x v="2"/>
    <s v="https://www.sz.ch/behoerden/information-medien/medienmitteilungen/coronavirus.html/72-416-412-1379-6948"/>
  </r>
  <r>
    <x v="31"/>
    <m/>
    <x v="25"/>
    <m/>
    <x v="230"/>
    <m/>
    <m/>
    <m/>
    <x v="0"/>
    <x v="3"/>
    <s v="https://www.tg.ch/news/fachdossier-coronavirus.html/10552 &amp; email der Staatskanzlei des Kanton Thurgau"/>
  </r>
  <r>
    <x v="31"/>
    <m/>
    <x v="22"/>
    <m/>
    <x v="28"/>
    <n v="7"/>
    <m/>
    <m/>
    <x v="4"/>
    <x v="1"/>
    <s v="https://www.ur.ch/themen/2920"/>
  </r>
  <r>
    <x v="31"/>
    <m/>
    <x v="8"/>
    <m/>
    <x v="231"/>
    <n v="360"/>
    <n v="59"/>
    <m/>
    <x v="0"/>
    <x v="33"/>
    <s v="https://www.vd.ch/toutes-les-actualites/hotline-et-informations-sur-le-coronavirus/point-de-situation-statistique-dans-le-canton-de-vaud/"/>
  </r>
  <r>
    <x v="31"/>
    <d v="1899-12-30T00:00:00"/>
    <x v="18"/>
    <m/>
    <x v="232"/>
    <m/>
    <m/>
    <m/>
    <x v="0"/>
    <x v="2"/>
    <s v="https://corona.so.ch/"/>
  </r>
  <r>
    <x v="31"/>
    <d v="1899-12-30T08:00:00"/>
    <x v="1"/>
    <m/>
    <x v="233"/>
    <n v="386"/>
    <n v="61"/>
    <n v="51"/>
    <x v="0"/>
    <x v="34"/>
    <s v="https://www4.ti.ch/area-media/comunicati/dettaglio-comunicato/?NEWS_ID=187533&amp;tx_tichareamedia_comunicazioni%5Baction%5D=show&amp;tx_tichareamedia_comunicazioni%5Bcontroller%5D=Comunicazioni&amp;cHash=0f01b9fd5e63dbb0f6f5cec02aa32b40"/>
  </r>
  <r>
    <x v="31"/>
    <d v="1899-12-30T08:00:00"/>
    <x v="11"/>
    <m/>
    <x v="234"/>
    <n v="12"/>
    <n v="5"/>
    <m/>
    <x v="12"/>
    <x v="0"/>
    <s v="https://www.zg.ch/behoerden/gesundheitsdirektion/statistikfachstelle/themen/gesundheit/corona"/>
  </r>
  <r>
    <x v="31"/>
    <d v="1899-12-30T10:00:00"/>
    <x v="5"/>
    <m/>
    <x v="235"/>
    <n v="76"/>
    <n v="8"/>
    <m/>
    <x v="33"/>
    <x v="15"/>
    <s v="https://www.coronavirus.bs.ch/nm/2020-tagesbulletin-coronavirus-534-bestaetigte-faelle-im-kanton-basel-stadt-gd.html"/>
  </r>
  <r>
    <x v="31"/>
    <d v="1899-12-30T11:00:00"/>
    <x v="16"/>
    <m/>
    <x v="236"/>
    <m/>
    <m/>
    <m/>
    <x v="0"/>
    <x v="4"/>
    <s v="https://gesundheit.lu.ch/themen/Humanmedizin/Infektionskrankheiten/Coronavirus"/>
  </r>
  <r>
    <x v="31"/>
    <d v="1899-12-30T13:00:00"/>
    <x v="17"/>
    <m/>
    <x v="131"/>
    <m/>
    <m/>
    <m/>
    <x v="0"/>
    <x v="3"/>
    <s v="https://www.ar.ch/verwaltung/departement-gesundheit-und-soziales/amt-fuer-gesundheit/informationsseite-coronavirus/"/>
  </r>
  <r>
    <x v="31"/>
    <d v="1899-12-30T14:30:00"/>
    <x v="4"/>
    <m/>
    <x v="237"/>
    <n v="171"/>
    <m/>
    <n v="38"/>
    <x v="0"/>
    <x v="14"/>
    <s v="https://gd.zh.ch/internet/gesundheitsdirektion/de/themen/coronavirus.html"/>
  </r>
  <r>
    <x v="31"/>
    <d v="1899-12-30T15:00:00"/>
    <x v="10"/>
    <m/>
    <x v="238"/>
    <n v="50"/>
    <n v="12"/>
    <n v="10"/>
    <x v="0"/>
    <x v="4"/>
    <s v="https://www.ag.ch/media/kanton_aargau/themen_1/coronavirus_1/lagebulletins/200327_KFS_Coronavirus_Lagebulletin_21.pdf"/>
  </r>
  <r>
    <x v="31"/>
    <d v="1899-12-30T15:00:00"/>
    <x v="9"/>
    <m/>
    <x v="239"/>
    <n v="138"/>
    <n v="20"/>
    <n v="16"/>
    <x v="0"/>
    <x v="35"/>
    <s v="https://www.vs.ch/documents/6756452/7008787/2020%2004%2023%20Sit%20Epid%20-%20%C3%89tat%20Stand"/>
  </r>
  <r>
    <x v="31"/>
    <d v="1899-12-30T18:00:00"/>
    <x v="24"/>
    <m/>
    <x v="22"/>
    <m/>
    <m/>
    <m/>
    <x v="0"/>
    <x v="1"/>
    <s v="https://www.ai.ch/themen/gesundheit-alter-und-soziales/gesundheitsfoerderung-und-praevention/uebertragbare-krankheiten/coronavirus"/>
  </r>
  <r>
    <x v="32"/>
    <m/>
    <x v="6"/>
    <m/>
    <x v="240"/>
    <m/>
    <m/>
    <m/>
    <x v="0"/>
    <x v="11"/>
    <s v="https://www.besondere-lage.sites.be.ch/besondere-lage_sites/de/index/corona/index.html"/>
  </r>
  <r>
    <x v="32"/>
    <m/>
    <x v="7"/>
    <m/>
    <x v="241"/>
    <n v="75"/>
    <n v="14"/>
    <n v="13"/>
    <x v="34"/>
    <x v="6"/>
    <s v="https://www.baselland.ch/politik-und-behorden/direktionen/volkswirtschafts-und-gesundheitsdirektion/amt-fur-gesundheit/medizinische-dienste/kantonsarztlicher-dienst/aktuelles/covid-19-faelle-kanton-basel-landschaft"/>
  </r>
  <r>
    <x v="32"/>
    <m/>
    <x v="2"/>
    <m/>
    <x v="105"/>
    <m/>
    <m/>
    <m/>
    <x v="0"/>
    <x v="1"/>
    <s v="https://www.regierung.li/de/mitteilungen/223346/?typ=news"/>
  </r>
  <r>
    <x v="32"/>
    <m/>
    <x v="12"/>
    <m/>
    <x v="242"/>
    <n v="67"/>
    <n v="12"/>
    <m/>
    <x v="0"/>
    <x v="14"/>
    <s v="https://www.fr.ch/sites/default/files/2020-04/statistiques_situation_FR_2704.xlsx"/>
  </r>
  <r>
    <x v="32"/>
    <m/>
    <x v="0"/>
    <n v="10025"/>
    <x v="243"/>
    <n v="339"/>
    <n v="59"/>
    <n v="54"/>
    <x v="35"/>
    <x v="36"/>
    <s v="https://www.ge.ch/document/covid-19-situation-epidemiologique-geneve/telecharger"/>
  </r>
  <r>
    <x v="32"/>
    <m/>
    <x v="19"/>
    <m/>
    <x v="32"/>
    <n v="3"/>
    <m/>
    <m/>
    <x v="0"/>
    <x v="2"/>
    <s v="https://www.gl.ch/public/upload/assets/27574/COVID-19_Fallzahlen_Kanton_Glarus.xlsx"/>
  </r>
  <r>
    <x v="32"/>
    <m/>
    <x v="26"/>
    <m/>
    <x v="244"/>
    <n v="63"/>
    <m/>
    <m/>
    <x v="0"/>
    <x v="13"/>
    <s v="https://www.gr.ch/DE/institutionen/verwaltung/djsg/ga/coronavirus/info/Seiten/Start.aspx"/>
  </r>
  <r>
    <x v="32"/>
    <m/>
    <x v="3"/>
    <m/>
    <x v="229"/>
    <n v="27"/>
    <n v="5"/>
    <m/>
    <x v="0"/>
    <x v="0"/>
    <s v="https://www.jura.ch/Htdocs/Files/v/34255.xlsx/Departements/CHA/SIC/Carrousel/Coronavirus/Cornavirus/Chiffres/donnees_26_04.xlsx?download=1"/>
  </r>
  <r>
    <x v="32"/>
    <m/>
    <x v="13"/>
    <m/>
    <x v="245"/>
    <n v="50"/>
    <n v="11"/>
    <n v="8"/>
    <x v="0"/>
    <x v="14"/>
    <s v="https://www.ne.ch/autorites/DFS/SCSP/medecin-cantonal/maladies-vaccinations/Documents/Covid-19-Statistiques/COVID19_PublicationInternet.xlsx"/>
  </r>
  <r>
    <x v="32"/>
    <m/>
    <x v="20"/>
    <m/>
    <x v="246"/>
    <n v="4"/>
    <m/>
    <m/>
    <x v="0"/>
    <x v="1"/>
    <s v="http://www.nw.ch/coronastatistik"/>
  </r>
  <r>
    <x v="32"/>
    <m/>
    <x v="14"/>
    <m/>
    <x v="247"/>
    <m/>
    <m/>
    <m/>
    <x v="0"/>
    <x v="7"/>
    <s v="https://www.sg.ch/tools/informationen-coronavirus.html"/>
  </r>
  <r>
    <x v="32"/>
    <m/>
    <x v="21"/>
    <m/>
    <x v="28"/>
    <n v="14"/>
    <n v="1"/>
    <m/>
    <x v="0"/>
    <x v="0"/>
    <s v="https://sh.ch/CMS/get/file/b9efa343-2987-4ab2-a060-9c16eacb0326"/>
  </r>
  <r>
    <x v="32"/>
    <m/>
    <x v="15"/>
    <m/>
    <x v="248"/>
    <m/>
    <m/>
    <m/>
    <x v="36"/>
    <x v="2"/>
    <s v="https://www.sz.ch/behoerden/information-medien/medienmitteilungen/coronavirus.html/72-416-412-1379-6948"/>
  </r>
  <r>
    <x v="32"/>
    <m/>
    <x v="25"/>
    <m/>
    <x v="114"/>
    <m/>
    <m/>
    <m/>
    <x v="0"/>
    <x v="3"/>
    <s v="https://www.tg.ch/news/fachdossier-coronavirus.html/10552"/>
  </r>
  <r>
    <x v="32"/>
    <m/>
    <x v="22"/>
    <m/>
    <x v="136"/>
    <n v="7"/>
    <m/>
    <m/>
    <x v="4"/>
    <x v="1"/>
    <s v="https://www.ur.ch/themen/2920"/>
  </r>
  <r>
    <x v="32"/>
    <m/>
    <x v="8"/>
    <m/>
    <x v="249"/>
    <n v="369"/>
    <n v="61"/>
    <m/>
    <x v="0"/>
    <x v="37"/>
    <s v="https://www.vd.ch/toutes-les-actualites/hotline-et-informations-sur-le-coronavirus/point-de-situation-statistique-dans-le-canton-de-vaud/"/>
  </r>
  <r>
    <x v="32"/>
    <d v="1899-12-30T00:00:00"/>
    <x v="18"/>
    <m/>
    <x v="250"/>
    <m/>
    <m/>
    <m/>
    <x v="0"/>
    <x v="2"/>
    <s v="https://corona.so.ch/"/>
  </r>
  <r>
    <x v="32"/>
    <d v="1899-12-30T08:00:00"/>
    <x v="17"/>
    <m/>
    <x v="23"/>
    <m/>
    <m/>
    <m/>
    <x v="0"/>
    <x v="3"/>
    <s v="https://www.ar.ch/verwaltung/departement-gesundheit-und-soziales/amt-fuer-gesundheit/informationsseite-coronavirus/"/>
  </r>
  <r>
    <x v="32"/>
    <d v="1899-12-30T08:00:00"/>
    <x v="1"/>
    <m/>
    <x v="251"/>
    <n v="385"/>
    <n v="69"/>
    <n v="60"/>
    <x v="0"/>
    <x v="38"/>
    <s v="https://www4.ti.ch/area-media/comunicati/dettaglio-comunicato/?NEWS_ID=187538&amp;tx_tichareamedia_comunicazioni%5Baction%5D=show&amp;tx_tichareamedia_comunicazioni%5Bcontroller%5D=Comunicazioni&amp;cHash=736a7f1a780ed9bdb1d8e45f8a0326ff"/>
  </r>
  <r>
    <x v="32"/>
    <d v="1899-12-30T08:00:00"/>
    <x v="11"/>
    <m/>
    <x v="93"/>
    <n v="12"/>
    <n v="5"/>
    <m/>
    <x v="14"/>
    <x v="2"/>
    <s v="https://www.zg.ch/behoerden/gesundheitsdirektion/statistikfachstelle/themen/gesundheit/corona"/>
  </r>
  <r>
    <x v="32"/>
    <d v="1899-12-30T10:00:00"/>
    <x v="5"/>
    <m/>
    <x v="111"/>
    <n v="79"/>
    <n v="11"/>
    <m/>
    <x v="37"/>
    <x v="15"/>
    <s v="https://www.coronavirus.bs.ch/nm/2020-tagesbulletin-coronavirus-573-bestaetigte-faelle-im-kanton-basel-stadt-gd.html"/>
  </r>
  <r>
    <x v="32"/>
    <d v="1899-12-30T11:00:00"/>
    <x v="16"/>
    <m/>
    <x v="252"/>
    <m/>
    <m/>
    <m/>
    <x v="0"/>
    <x v="5"/>
    <s v="https://gesundheit.lu.ch/themen/Humanmedizin/Infektionskrankheiten/Coronavirus"/>
  </r>
  <r>
    <x v="32"/>
    <d v="1899-12-30T14:30:00"/>
    <x v="4"/>
    <m/>
    <x v="253"/>
    <n v="187"/>
    <m/>
    <n v="42"/>
    <x v="0"/>
    <x v="16"/>
    <s v="https://gd.zh.ch/internet/gesundheitsdirektion/de/themen/coronavirus.html"/>
  </r>
  <r>
    <x v="32"/>
    <d v="1899-12-30T15:00:00"/>
    <x v="9"/>
    <m/>
    <x v="254"/>
    <n v="143"/>
    <n v="21"/>
    <n v="19"/>
    <x v="0"/>
    <x v="39"/>
    <s v="https://www.vs.ch/documents/6756452/7008787/2020%2004%2023%20Sit%20Epid%20-%20%C3%89tat%20Stand"/>
  </r>
  <r>
    <x v="32"/>
    <d v="1899-12-30T18:00:00"/>
    <x v="24"/>
    <m/>
    <x v="19"/>
    <m/>
    <m/>
    <m/>
    <x v="0"/>
    <x v="1"/>
    <s v="https://www.ai.ch/themen/gesundheit-alter-und-soziales/gesundheitsfoerderung-und-praevention/uebertragbare-krankheiten/coronavirus"/>
  </r>
  <r>
    <x v="33"/>
    <m/>
    <x v="6"/>
    <m/>
    <x v="255"/>
    <m/>
    <m/>
    <m/>
    <x v="0"/>
    <x v="10"/>
    <s v="https://www.besondere-lage.sites.be.ch/besondere-lage_sites/de/index/corona/index.html"/>
  </r>
  <r>
    <x v="33"/>
    <m/>
    <x v="7"/>
    <m/>
    <x v="107"/>
    <n v="99"/>
    <n v="15"/>
    <n v="14"/>
    <x v="38"/>
    <x v="6"/>
    <s v="https://www.baselland.ch/politik-und-behorden/direktionen/volkswirtschafts-und-gesundheitsdirektion/amt-fur-gesundheit/medizinische-dienste/kantonsarztlicher-dienst/aktuelles/covid-19-faelle-kanton-basel-landschaft"/>
  </r>
  <r>
    <x v="33"/>
    <m/>
    <x v="2"/>
    <m/>
    <x v="256"/>
    <m/>
    <m/>
    <m/>
    <x v="0"/>
    <x v="1"/>
    <s v="https://www.regierung.li/de/mitteilungen/223347/?typ=news"/>
  </r>
  <r>
    <x v="33"/>
    <m/>
    <x v="12"/>
    <m/>
    <x v="257"/>
    <n v="76"/>
    <n v="13"/>
    <m/>
    <x v="0"/>
    <x v="14"/>
    <s v="https://www.fr.ch/sites/default/files/2020-04/statistiques_situation_FR_2704.xlsx"/>
  </r>
  <r>
    <x v="33"/>
    <m/>
    <x v="0"/>
    <n v="10334"/>
    <x v="258"/>
    <n v="365"/>
    <n v="59"/>
    <n v="55"/>
    <x v="39"/>
    <x v="40"/>
    <s v="https://www.ge.ch/document/covid-19-situation-epidemiologique-geneve/telecharger"/>
  </r>
  <r>
    <x v="33"/>
    <m/>
    <x v="19"/>
    <m/>
    <x v="38"/>
    <n v="2"/>
    <m/>
    <m/>
    <x v="0"/>
    <x v="2"/>
    <s v="https://www.gl.ch/public/upload/assets/27574/COVID-19_Fallzahlen_Kanton_Glarus.xlsx"/>
  </r>
  <r>
    <x v="33"/>
    <m/>
    <x v="26"/>
    <m/>
    <x v="259"/>
    <n v="63"/>
    <m/>
    <m/>
    <x v="0"/>
    <x v="14"/>
    <s v="https://www.gr.ch/DE/institutionen/verwaltung/djsg/ga/coronavirus/info/Seiten/Start.aspx"/>
  </r>
  <r>
    <x v="33"/>
    <m/>
    <x v="3"/>
    <m/>
    <x v="260"/>
    <n v="28"/>
    <n v="5"/>
    <m/>
    <x v="0"/>
    <x v="0"/>
    <s v="https://www.jura.ch/Htdocs/Files/v/34255.xlsx/Departements/CHA/SIC/Carrousel/Coronavirus/Cornavirus/Chiffres/donnees_26_04.xlsx?download=1"/>
  </r>
  <r>
    <x v="33"/>
    <m/>
    <x v="13"/>
    <m/>
    <x v="261"/>
    <n v="60"/>
    <n v="16"/>
    <n v="6"/>
    <x v="0"/>
    <x v="41"/>
    <s v="https://www.ne.ch/autorites/DFS/SCSP/medecin-cantonal/maladies-vaccinations/Documents/Covid-19-Statistiques/COVID19_PublicationInternet.xlsx"/>
  </r>
  <r>
    <x v="33"/>
    <m/>
    <x v="20"/>
    <m/>
    <x v="60"/>
    <n v="4"/>
    <m/>
    <m/>
    <x v="0"/>
    <x v="1"/>
    <s v="http://www.nw.ch/coronastatistik"/>
  </r>
  <r>
    <x v="33"/>
    <m/>
    <x v="14"/>
    <m/>
    <x v="262"/>
    <m/>
    <m/>
    <m/>
    <x v="0"/>
    <x v="7"/>
    <s v="https://www.sg.ch/tools/informationen-coronavirus.html"/>
  </r>
  <r>
    <x v="33"/>
    <m/>
    <x v="21"/>
    <m/>
    <x v="29"/>
    <n v="15"/>
    <n v="1"/>
    <m/>
    <x v="0"/>
    <x v="0"/>
    <s v="https://sh.ch/CMS/get/file/b9efa343-2987-4ab2-a060-9c16eacb0326"/>
  </r>
  <r>
    <x v="33"/>
    <m/>
    <x v="15"/>
    <m/>
    <x v="103"/>
    <m/>
    <m/>
    <m/>
    <x v="36"/>
    <x v="3"/>
    <s v="https://www.sz.ch/behoerden/information-medien/medienmitteilungen/coronavirus.html/72-416-412-1379-6948"/>
  </r>
  <r>
    <x v="33"/>
    <m/>
    <x v="25"/>
    <m/>
    <x v="263"/>
    <m/>
    <m/>
    <m/>
    <x v="0"/>
    <x v="3"/>
    <s v="https://www.tg.ch/news/fachdossier-coronavirus.html/10552"/>
  </r>
  <r>
    <x v="33"/>
    <m/>
    <x v="22"/>
    <m/>
    <x v="38"/>
    <n v="7"/>
    <m/>
    <m/>
    <x v="4"/>
    <x v="1"/>
    <s v="https://www.ur.ch/themen/2920"/>
  </r>
  <r>
    <x v="33"/>
    <m/>
    <x v="8"/>
    <m/>
    <x v="264"/>
    <n v="371"/>
    <n v="62"/>
    <m/>
    <x v="0"/>
    <x v="42"/>
    <s v="https://www.vd.ch/toutes-les-actualites/hotline-et-informations-sur-le-coronavirus/point-de-situation-statistique-dans-le-canton-de-vaud/"/>
  </r>
  <r>
    <x v="33"/>
    <d v="1899-12-30T00:00:00"/>
    <x v="18"/>
    <m/>
    <x v="265"/>
    <m/>
    <m/>
    <m/>
    <x v="0"/>
    <x v="3"/>
    <s v="https://corona.so.ch/"/>
  </r>
  <r>
    <x v="33"/>
    <d v="1899-12-30T08:00:00"/>
    <x v="17"/>
    <m/>
    <x v="136"/>
    <m/>
    <m/>
    <m/>
    <x v="0"/>
    <x v="3"/>
    <s v="https://www.ar.ch/verwaltung/departement-gesundheit-und-soziales/amt-fuer-gesundheit/informationsseite-coronavirus/"/>
  </r>
  <r>
    <x v="33"/>
    <d v="1899-12-30T08:00:00"/>
    <x v="1"/>
    <m/>
    <x v="266"/>
    <n v="402"/>
    <n v="69"/>
    <n v="59"/>
    <x v="0"/>
    <x v="43"/>
    <s v="https://www4.ti.ch/area-media/comunicati/dettaglio-comunicato/?NEWS_ID=187540&amp;tx_tichareamedia_comunicazioni%5Baction%5D=show&amp;tx_tichareamedia_comunicazioni%5Bcontroller%5D=Comunicazioni&amp;cHash=ae32268e60ac2b59add1b9d55de51cbf"/>
  </r>
  <r>
    <x v="33"/>
    <d v="1899-12-30T08:00:00"/>
    <x v="11"/>
    <m/>
    <x v="93"/>
    <n v="12"/>
    <n v="5"/>
    <m/>
    <x v="14"/>
    <x v="2"/>
    <s v="https://www.zg.ch/behoerden/gesundheitsdirektion/statistikfachstelle/themen/gesundheit/corona"/>
  </r>
  <r>
    <x v="33"/>
    <d v="1899-12-30T10:00:00"/>
    <x v="5"/>
    <m/>
    <x v="267"/>
    <n v="87"/>
    <n v="12"/>
    <m/>
    <x v="40"/>
    <x v="14"/>
    <s v="https://www.coronavirus.bs.ch/nm/2020-tagesbulletin-coronavirus-609-bestaetigte-faelle-im-kanton-basel-stadt-gd.html"/>
  </r>
  <r>
    <x v="33"/>
    <d v="1899-12-30T11:00:00"/>
    <x v="16"/>
    <m/>
    <x v="247"/>
    <m/>
    <m/>
    <m/>
    <x v="0"/>
    <x v="7"/>
    <s v="https://gesundheit.lu.ch/themen/Humanmedizin/Infektionskrankheiten/Coronavirus"/>
  </r>
  <r>
    <x v="33"/>
    <d v="1899-12-30T14:30:00"/>
    <x v="4"/>
    <m/>
    <x v="268"/>
    <n v="194"/>
    <m/>
    <n v="46"/>
    <x v="0"/>
    <x v="17"/>
    <s v="https://gd.zh.ch/internet/gesundheitsdirektion/de/themen/coronavirus.html"/>
  </r>
  <r>
    <x v="33"/>
    <d v="1899-12-30T15:00:00"/>
    <x v="9"/>
    <m/>
    <x v="269"/>
    <n v="153"/>
    <n v="22"/>
    <n v="21"/>
    <x v="0"/>
    <x v="44"/>
    <s v="https://www.vs.ch/documents/6756452/7008787/2020%2004%2023%20Sit%20Epid%20-%20%C3%89tat%20Stand"/>
  </r>
  <r>
    <x v="34"/>
    <m/>
    <x v="7"/>
    <m/>
    <x v="270"/>
    <n v="86"/>
    <n v="17"/>
    <n v="16"/>
    <x v="41"/>
    <x v="9"/>
    <s v="https://www.baselland.ch/politik-und-behorden/direktionen/volkswirtschafts-und-gesundheitsdirektion/amt-fur-gesundheit/medizinische-dienste/kantonsarztlicher-dienst/aktuelles/covid-19-faelle-kanton-basel-landschaft"/>
  </r>
  <r>
    <x v="34"/>
    <m/>
    <x v="2"/>
    <m/>
    <x v="271"/>
    <m/>
    <m/>
    <m/>
    <x v="0"/>
    <x v="1"/>
    <s v="https://www.regierung.li/de/mitteilungen/223349/?typ=newss"/>
  </r>
  <r>
    <x v="34"/>
    <m/>
    <x v="12"/>
    <m/>
    <x v="70"/>
    <n v="77"/>
    <n v="16"/>
    <m/>
    <x v="0"/>
    <x v="24"/>
    <s v="https://www.fr.ch/sites/default/files/2020-04/statistiques_situation_FR_2704.xlsx"/>
  </r>
  <r>
    <x v="34"/>
    <m/>
    <x v="0"/>
    <n v="11004"/>
    <x v="272"/>
    <n v="382"/>
    <n v="57"/>
    <n v="54"/>
    <x v="42"/>
    <x v="45"/>
    <s v="https://www.ge.ch/document/covid-19-situation-epidemiologique-geneve/telecharger"/>
  </r>
  <r>
    <x v="34"/>
    <m/>
    <x v="19"/>
    <m/>
    <x v="35"/>
    <n v="3"/>
    <m/>
    <m/>
    <x v="0"/>
    <x v="3"/>
    <s v="https://www.gl.ch/public/upload/assets/27574/COVID-19_Fallzahlen_Kanton_Glarus.xlsx"/>
  </r>
  <r>
    <x v="34"/>
    <m/>
    <x v="26"/>
    <m/>
    <x v="157"/>
    <n v="58"/>
    <m/>
    <m/>
    <x v="0"/>
    <x v="16"/>
    <s v="https://www.gr.ch/DE/institutionen/verwaltung/djsg/ga/coronavirus/info/Seiten/Start.aspx"/>
  </r>
  <r>
    <x v="34"/>
    <m/>
    <x v="3"/>
    <m/>
    <x v="103"/>
    <n v="28"/>
    <n v="5"/>
    <m/>
    <x v="0"/>
    <x v="0"/>
    <s v="https://www.jura.ch/Htdocs/Files/v/34255.xlsx/Departements/CHA/SIC/Carrousel/Coronavirus/Cornavirus/Chiffres/donnees_26_04.xlsx?download=1"/>
  </r>
  <r>
    <x v="34"/>
    <m/>
    <x v="13"/>
    <m/>
    <x v="273"/>
    <n v="57"/>
    <n v="12"/>
    <n v="6"/>
    <x v="0"/>
    <x v="46"/>
    <s v="https://www.ne.ch/autorites/DFS/SCSP/medecin-cantonal/maladies-vaccinations/Documents/Covid-19-Statistiques/COVID19_PublicationInternet.xlsx"/>
  </r>
  <r>
    <x v="34"/>
    <m/>
    <x v="20"/>
    <m/>
    <x v="44"/>
    <n v="8"/>
    <m/>
    <m/>
    <x v="0"/>
    <x v="1"/>
    <s v="http://www.nw.ch/coronastatistik"/>
  </r>
  <r>
    <x v="34"/>
    <m/>
    <x v="23"/>
    <m/>
    <x v="52"/>
    <m/>
    <m/>
    <m/>
    <x v="0"/>
    <x v="1"/>
    <s v="https://www.ow.ch/de/verwaltung/dienstleistungen/?dienst_id=5962"/>
  </r>
  <r>
    <x v="34"/>
    <m/>
    <x v="14"/>
    <m/>
    <x v="274"/>
    <m/>
    <m/>
    <m/>
    <x v="0"/>
    <x v="7"/>
    <s v="https://www.sg.ch/tools/informationen-coronavirus.html"/>
  </r>
  <r>
    <x v="34"/>
    <m/>
    <x v="21"/>
    <m/>
    <x v="57"/>
    <n v="19"/>
    <n v="3"/>
    <m/>
    <x v="0"/>
    <x v="0"/>
    <s v="https://sh.ch/CMS/get/file/b9efa343-2987-4ab2-a060-9c16eacb0326"/>
  </r>
  <r>
    <x v="34"/>
    <m/>
    <x v="15"/>
    <m/>
    <x v="275"/>
    <m/>
    <m/>
    <m/>
    <x v="36"/>
    <x v="3"/>
    <s v="https://www.sz.ch/behoerden/information-medien/medienmitteilungen/coronavirus.html/72-416-412-1379-6948"/>
  </r>
  <r>
    <x v="34"/>
    <m/>
    <x v="25"/>
    <m/>
    <x v="276"/>
    <m/>
    <m/>
    <m/>
    <x v="0"/>
    <x v="3"/>
    <s v="https://www.tg.ch/news/fachdossier-coronavirus.html/10552"/>
  </r>
  <r>
    <x v="34"/>
    <m/>
    <x v="22"/>
    <m/>
    <x v="55"/>
    <n v="7"/>
    <m/>
    <m/>
    <x v="43"/>
    <x v="1"/>
    <s v="https://www.ur.ch/themen/2920"/>
  </r>
  <r>
    <x v="34"/>
    <m/>
    <x v="8"/>
    <m/>
    <x v="277"/>
    <n v="374"/>
    <n v="65"/>
    <m/>
    <x v="0"/>
    <x v="43"/>
    <s v="https://www.vd.ch/toutes-les-actualites/hotline-et-informations-sur-le-coronavirus/point-de-situation-statistique-dans-le-canton-de-vaud/"/>
  </r>
  <r>
    <x v="34"/>
    <d v="1899-12-30T07:00:00"/>
    <x v="6"/>
    <m/>
    <x v="278"/>
    <n v="112"/>
    <n v="21"/>
    <n v="17"/>
    <x v="0"/>
    <x v="15"/>
    <s v="https://www.besondere-lage.sites.be.ch/besondere-lage_sites/de/index/corona/index.html"/>
  </r>
  <r>
    <x v="34"/>
    <d v="1899-12-30T08:00:00"/>
    <x v="1"/>
    <m/>
    <x v="279"/>
    <n v="415"/>
    <n v="75"/>
    <n v="61"/>
    <x v="0"/>
    <x v="47"/>
    <s v="https://www4.ti.ch/area-media/comunicati/dettaglio-comunicato/?NEWS_ID=187546&amp;tx_tichareamedia_comunicazioni%5Baction%5D=show&amp;tx_tichareamedia_comunicazioni%5Bcontroller%5D=Comunicazioni&amp;cHash=1465eace9ac68357130a7327d0c9b8f9"/>
  </r>
  <r>
    <x v="34"/>
    <d v="1899-12-30T08:00:00"/>
    <x v="11"/>
    <m/>
    <x v="280"/>
    <n v="13"/>
    <n v="5"/>
    <m/>
    <x v="44"/>
    <x v="2"/>
    <s v="https://www.zg.ch/behoerden/gesundheitsdirektion/statistikfachstelle/themen/gesundheit/corona"/>
  </r>
  <r>
    <x v="34"/>
    <d v="1899-12-30T10:00:00"/>
    <x v="5"/>
    <m/>
    <x v="281"/>
    <n v="90"/>
    <n v="12"/>
    <m/>
    <x v="45"/>
    <x v="14"/>
    <s v="https://www.coronavirus.bs.ch/nm/2020-tagesbulletin-coronavirus-621-bestaetigte-faelle-im-kanton-basel-stadt-gd.html"/>
  </r>
  <r>
    <x v="34"/>
    <d v="1899-12-30T11:00:00"/>
    <x v="16"/>
    <m/>
    <x v="282"/>
    <m/>
    <m/>
    <m/>
    <x v="0"/>
    <x v="6"/>
    <s v="https://gesundheit.lu.ch/themen/Humanmedizin/Infektionskrankheiten/Coronavirus"/>
  </r>
  <r>
    <x v="34"/>
    <d v="1899-12-30T12:00:00"/>
    <x v="24"/>
    <m/>
    <x v="10"/>
    <m/>
    <m/>
    <m/>
    <x v="0"/>
    <x v="1"/>
    <s v="https://www.ai.ch/themen/gesundheit-alter-und-soziales/gesundheitsfoerderung-und-praevention/uebertragbare-krankheiten/coronavirus"/>
  </r>
  <r>
    <x v="34"/>
    <d v="1899-12-30T14:30:00"/>
    <x v="4"/>
    <m/>
    <x v="283"/>
    <n v="197"/>
    <m/>
    <n v="46"/>
    <x v="0"/>
    <x v="19"/>
    <s v="https://gd.zh.ch/internet/gesundheitsdirektion/de/themen/coronavirus.html"/>
  </r>
  <r>
    <x v="34"/>
    <d v="1899-12-30T15:00:00"/>
    <x v="10"/>
    <m/>
    <x v="284"/>
    <n v="94"/>
    <n v="25"/>
    <n v="23"/>
    <x v="0"/>
    <x v="8"/>
    <s v="https://www.ag.ch/media/kanton_aargau/themen_1/coronavirus_1/lagebulletins/200330_KFS_Coronavirus_Lagebulletin_22.pdf"/>
  </r>
  <r>
    <x v="34"/>
    <d v="1899-12-30T15:00:00"/>
    <x v="9"/>
    <m/>
    <x v="285"/>
    <n v="153"/>
    <n v="25"/>
    <n v="23"/>
    <x v="0"/>
    <x v="48"/>
    <s v="https://www.vs.ch/documents/6756452/7008787/2020%2004%2023%20Sit%20Epid%20-%20%C3%89tat%20Stand"/>
  </r>
  <r>
    <x v="34"/>
    <d v="1899-12-30T18:00:00"/>
    <x v="17"/>
    <m/>
    <x v="38"/>
    <m/>
    <m/>
    <m/>
    <x v="0"/>
    <x v="3"/>
    <s v="https://www.ar.ch/verwaltung/departement-gesundheit-und-soziales/amt-fuer-gesundheit/informationsseite-coronavirus/"/>
  </r>
  <r>
    <x v="35"/>
    <m/>
    <x v="7"/>
    <m/>
    <x v="286"/>
    <n v="88"/>
    <n v="18"/>
    <n v="16"/>
    <x v="46"/>
    <x v="10"/>
    <s v="https://www.baselland.ch/politik-und-behorden/direktionen/volkswirtschafts-und-gesundheitsdirektion/amt-fur-gesundheit/medizinische-dienste/kantonsarztlicher-dienst/aktuelles/covid-19-faelle-kanton-basel-landschaft"/>
  </r>
  <r>
    <x v="35"/>
    <m/>
    <x v="2"/>
    <m/>
    <x v="34"/>
    <m/>
    <m/>
    <m/>
    <x v="0"/>
    <x v="1"/>
    <s v="https://www.regierung.li/media/attachments/160-coronavirus-68-personen-positiv.pdf?t=637212737830081294"/>
  </r>
  <r>
    <x v="35"/>
    <m/>
    <x v="12"/>
    <m/>
    <x v="287"/>
    <n v="77"/>
    <n v="20"/>
    <m/>
    <x v="0"/>
    <x v="46"/>
    <s v="https://www.fr.ch/sites/default/files/2020-04/statistiques_situation_FR_2704.xlsx"/>
  </r>
  <r>
    <x v="35"/>
    <m/>
    <x v="0"/>
    <n v="11768"/>
    <x v="288"/>
    <n v="405"/>
    <n v="64"/>
    <n v="49"/>
    <x v="47"/>
    <x v="49"/>
    <s v="https://www.ge.ch/document/covid-19-situation-epidemiologique-geneve/telecharger"/>
  </r>
  <r>
    <x v="35"/>
    <m/>
    <x v="19"/>
    <m/>
    <x v="55"/>
    <n v="5"/>
    <m/>
    <m/>
    <x v="0"/>
    <x v="3"/>
    <s v="https://www.gl.ch/public/upload/assets/27574/COVID-19_Fallzahlen_Kanton_Glarus.xlsx"/>
  </r>
  <r>
    <x v="35"/>
    <m/>
    <x v="26"/>
    <m/>
    <x v="289"/>
    <n v="58"/>
    <m/>
    <m/>
    <x v="0"/>
    <x v="50"/>
    <s v="https://www.gr.ch/DE/institutionen/verwaltung/djsg/ga/coronavirus/info/Seiten/Start.aspx"/>
  </r>
  <r>
    <x v="35"/>
    <m/>
    <x v="3"/>
    <m/>
    <x v="290"/>
    <n v="29"/>
    <n v="5"/>
    <m/>
    <x v="0"/>
    <x v="0"/>
    <s v="https://www.jura.ch/Htdocs/Files/v/34255.xlsx/Departements/CHA/SIC/Carrousel/Coronavirus/Cornavirus/Chiffres/donnees_26_04.xlsx?download=1"/>
  </r>
  <r>
    <x v="35"/>
    <m/>
    <x v="13"/>
    <m/>
    <x v="291"/>
    <n v="59"/>
    <n v="14"/>
    <n v="8"/>
    <x v="0"/>
    <x v="17"/>
    <s v="https://www.ne.ch/autorites/DFS/SCSP/medecin-cantonal/maladies-vaccinations/Documents/Covid-19-Statistiques/COVID19_PublicationInternet.xlsx"/>
  </r>
  <r>
    <x v="35"/>
    <m/>
    <x v="20"/>
    <m/>
    <x v="292"/>
    <n v="7"/>
    <n v="1"/>
    <m/>
    <x v="0"/>
    <x v="1"/>
    <s v="http://www.nw.ch/coronastatistik"/>
  </r>
  <r>
    <x v="35"/>
    <m/>
    <x v="23"/>
    <m/>
    <x v="52"/>
    <m/>
    <m/>
    <m/>
    <x v="0"/>
    <x v="1"/>
    <s v="https://www.ow.ch/de/verwaltung/dienstleistungen/?dienst_id=5962"/>
  </r>
  <r>
    <x v="35"/>
    <m/>
    <x v="14"/>
    <m/>
    <x v="293"/>
    <m/>
    <m/>
    <m/>
    <x v="0"/>
    <x v="9"/>
    <s v="https://www.sg.ch/tools/informationen-coronavirus.html"/>
  </r>
  <r>
    <x v="35"/>
    <m/>
    <x v="21"/>
    <m/>
    <x v="131"/>
    <n v="18"/>
    <n v="3"/>
    <m/>
    <x v="0"/>
    <x v="2"/>
    <s v="https://sh.ch/CMS/get/file/b9efa343-2987-4ab2-a060-9c16eacb0326"/>
  </r>
  <r>
    <x v="35"/>
    <m/>
    <x v="15"/>
    <m/>
    <x v="290"/>
    <m/>
    <m/>
    <m/>
    <x v="48"/>
    <x v="5"/>
    <s v="https://www.sz.ch/behoerden/information-medien/medienmitteilungen/coronavirus.html/72-416-412-1379-6948"/>
  </r>
  <r>
    <x v="35"/>
    <m/>
    <x v="25"/>
    <m/>
    <x v="294"/>
    <m/>
    <m/>
    <m/>
    <x v="0"/>
    <x v="4"/>
    <s v="https://www.tg.ch/news/fachdossier-coronavirus.html/10552"/>
  </r>
  <r>
    <x v="35"/>
    <m/>
    <x v="22"/>
    <m/>
    <x v="295"/>
    <n v="9"/>
    <m/>
    <m/>
    <x v="49"/>
    <x v="1"/>
    <s v="https://www.ur.ch/themen/2920"/>
  </r>
  <r>
    <x v="35"/>
    <m/>
    <x v="8"/>
    <m/>
    <x v="296"/>
    <n v="382"/>
    <n v="68"/>
    <m/>
    <x v="0"/>
    <x v="47"/>
    <s v="https://www.vd.ch/toutes-les-actualites/hotline-et-informations-sur-le-coronavirus/point-de-situation-statistique-dans-le-canton-de-vaud/"/>
  </r>
  <r>
    <x v="35"/>
    <d v="1899-12-30T00:00:00"/>
    <x v="18"/>
    <m/>
    <x v="297"/>
    <m/>
    <m/>
    <m/>
    <x v="0"/>
    <x v="3"/>
    <s v="https://corona.so.ch/index.php?id=27979"/>
  </r>
  <r>
    <x v="35"/>
    <d v="1899-12-30T08:00:00"/>
    <x v="6"/>
    <m/>
    <x v="298"/>
    <n v="111"/>
    <n v="23"/>
    <n v="18"/>
    <x v="0"/>
    <x v="22"/>
    <s v="https://www.besondere-lage.sites.be.ch/besondere-lage_sites/de/index/corona/index.html"/>
  </r>
  <r>
    <x v="35"/>
    <d v="1899-12-30T08:00:00"/>
    <x v="1"/>
    <m/>
    <x v="299"/>
    <n v="401"/>
    <n v="74"/>
    <n v="67"/>
    <x v="50"/>
    <x v="51"/>
    <s v="https://www4.ti.ch/area-media/comunicati/dettaglio-comunicato/?NEWS_ID=187550&amp;tx_tichareamedia_comunicazioni%5Baction%5D=show&amp;tx_tichareamedia_comunicazioni%5Bcontroller%5D=Comunicazioni&amp;cHash=007dc1182450e5b85ee4f533dfdcd6e3"/>
  </r>
  <r>
    <x v="35"/>
    <d v="1899-12-30T08:00:00"/>
    <x v="11"/>
    <m/>
    <x v="51"/>
    <n v="14"/>
    <n v="6"/>
    <m/>
    <x v="51"/>
    <x v="2"/>
    <s v="https://www.zg.ch/behoerden/gesundheitsdirektion/statistikfachstelle/themen/gesundheit/corona"/>
  </r>
  <r>
    <x v="35"/>
    <d v="1899-12-30T10:00:00"/>
    <x v="5"/>
    <m/>
    <x v="300"/>
    <n v="105"/>
    <n v="15"/>
    <m/>
    <x v="52"/>
    <x v="22"/>
    <s v="https://www.coronavirus.bs.ch/nm/2020-tagesbulletin-coronavirus-628-bestaetigte-faelle-im-kanton-basel-stadt-gd.html https://www.coronavirus.bs.ch/nm/2020-tagesbulletin-coronavirus-691-bestaetigte-faelle-im-kanton-basel-stadt-gd.html"/>
  </r>
  <r>
    <x v="35"/>
    <d v="1899-12-30T11:00:00"/>
    <x v="16"/>
    <m/>
    <x v="301"/>
    <m/>
    <m/>
    <m/>
    <x v="0"/>
    <x v="9"/>
    <s v="https://gesundheit.lu.ch/themen/Humanmedizin/Infektionskrankheiten/Coronavirus"/>
  </r>
  <r>
    <x v="35"/>
    <d v="1899-12-30T12:00:00"/>
    <x v="24"/>
    <m/>
    <x v="10"/>
    <m/>
    <m/>
    <m/>
    <x v="0"/>
    <x v="1"/>
    <s v="https://www.ai.ch/themen/gesundheit-alter-und-soziales/gesundheitsfoerderung-und-praevention/uebertragbare-krankheiten/coronavirus"/>
  </r>
  <r>
    <x v="35"/>
    <d v="1899-12-30T14:30:00"/>
    <x v="4"/>
    <m/>
    <x v="302"/>
    <n v="196"/>
    <m/>
    <n v="50"/>
    <x v="0"/>
    <x v="52"/>
    <s v="https://gd.zh.ch/internet/gesundheitsdirektion/de/themen/coronavirus.html"/>
  </r>
  <r>
    <x v="35"/>
    <d v="1899-12-30T15:00:00"/>
    <x v="10"/>
    <m/>
    <x v="303"/>
    <n v="85"/>
    <n v="25"/>
    <n v="25"/>
    <x v="0"/>
    <x v="20"/>
    <s v="https://www.ag.ch/media/kanton_aargau/themen_1/coronavirus_1/lagebulletins/200331_KFS_Coronavirus_Lagebulletin_23.pdf"/>
  </r>
  <r>
    <x v="35"/>
    <d v="1899-12-30T15:00:00"/>
    <x v="9"/>
    <m/>
    <x v="304"/>
    <n v="152"/>
    <n v="24"/>
    <n v="23"/>
    <x v="0"/>
    <x v="21"/>
    <s v="https://www.vs.ch/documents/6756452/7008787/2020%2004%2023%20Sit%20Epid%20-%20%C3%89tat%20Stand"/>
  </r>
  <r>
    <x v="35"/>
    <d v="1899-12-30T16:00:00"/>
    <x v="17"/>
    <m/>
    <x v="27"/>
    <m/>
    <m/>
    <m/>
    <x v="0"/>
    <x v="3"/>
    <s v="https://www.ar.ch/verwaltung/departement-gesundheit-und-soziales/amt-fuer-gesundheit/informationsseite-coronavirus/"/>
  </r>
  <r>
    <x v="36"/>
    <m/>
    <x v="7"/>
    <m/>
    <x v="92"/>
    <n v="86"/>
    <n v="17"/>
    <n v="17"/>
    <x v="53"/>
    <x v="20"/>
    <s v="https://www.baselland.ch/politik-und-behorden/direktionen/volkswirtschafts-und-gesundheitsdirektion/amt-fur-gesundheit/medizinische-dienste/kantonsarztlicher-dienst/aktuelles/covid-19-faelle-kanton-basel-landschaft"/>
  </r>
  <r>
    <x v="36"/>
    <m/>
    <x v="2"/>
    <m/>
    <x v="189"/>
    <m/>
    <m/>
    <m/>
    <x v="0"/>
    <x v="1"/>
    <s v="https://www.regierung.li/media/attachments/164-corona-schweizer-sanitaetssoldaten-0401.pdf?t=637213766824962451"/>
  </r>
  <r>
    <x v="36"/>
    <m/>
    <x v="12"/>
    <m/>
    <x v="305"/>
    <n v="81"/>
    <n v="23"/>
    <m/>
    <x v="0"/>
    <x v="50"/>
    <s v="https://www.fr.ch/sites/default/files/2020-04/statistiques_situation_FR_2704.xlsx"/>
  </r>
  <r>
    <x v="36"/>
    <m/>
    <x v="0"/>
    <n v="12429"/>
    <x v="306"/>
    <n v="406"/>
    <n v="64"/>
    <n v="58"/>
    <x v="54"/>
    <x v="53"/>
    <s v="https://www.ge.ch/document/covid-19-situation-epidemiologique-geneve/telecharger"/>
  </r>
  <r>
    <x v="36"/>
    <m/>
    <x v="19"/>
    <m/>
    <x v="145"/>
    <n v="5"/>
    <m/>
    <m/>
    <x v="0"/>
    <x v="3"/>
    <s v="https://www.gl.ch/public/upload/assets/27574/COVID-19_Fallzahlen_Kanton_Glarus.xlsx"/>
  </r>
  <r>
    <x v="36"/>
    <m/>
    <x v="26"/>
    <m/>
    <x v="307"/>
    <n v="59"/>
    <m/>
    <m/>
    <x v="0"/>
    <x v="29"/>
    <s v="https://www.gr.ch/DE/institutionen/verwaltung/djsg/ga/coronavirus/info/Seiten/Start.aspx"/>
  </r>
  <r>
    <x v="36"/>
    <m/>
    <x v="3"/>
    <m/>
    <x v="128"/>
    <n v="29"/>
    <n v="5"/>
    <m/>
    <x v="0"/>
    <x v="0"/>
    <s v="https://www.jura.ch/Htdocs/Files/v/34255.xlsx/Departements/CHA/SIC/Carrousel/Coronavirus/Cornavirus/Chiffres/donnees_26_04.xlsx?download=1"/>
  </r>
  <r>
    <x v="36"/>
    <m/>
    <x v="13"/>
    <m/>
    <x v="308"/>
    <n v="66"/>
    <n v="14"/>
    <n v="8"/>
    <x v="0"/>
    <x v="19"/>
    <s v="https://www.ne.ch/autorites/DFS/SCSP/medecin-cantonal/maladies-vaccinations/Documents/Covid-19-Statistiques/COVID19_PublicationInternet.xlsx"/>
  </r>
  <r>
    <x v="36"/>
    <m/>
    <x v="20"/>
    <m/>
    <x v="292"/>
    <n v="9"/>
    <n v="2"/>
    <m/>
    <x v="0"/>
    <x v="1"/>
    <s v="http://www.nw.ch/coronastatistik"/>
  </r>
  <r>
    <x v="36"/>
    <m/>
    <x v="23"/>
    <m/>
    <x v="136"/>
    <m/>
    <m/>
    <m/>
    <x v="0"/>
    <x v="1"/>
    <s v="https://www.ow.ch/de/verwaltung/dienstleistungen/?dienst_id=5962"/>
  </r>
  <r>
    <x v="36"/>
    <m/>
    <x v="14"/>
    <m/>
    <x v="293"/>
    <m/>
    <m/>
    <m/>
    <x v="0"/>
    <x v="9"/>
    <s v="https://www.sg.ch/tools/informationen-coronavirus.html"/>
  </r>
  <r>
    <x v="36"/>
    <m/>
    <x v="21"/>
    <m/>
    <x v="131"/>
    <n v="10"/>
    <n v="3"/>
    <m/>
    <x v="0"/>
    <x v="2"/>
    <s v="https://sh.ch/CMS/get/file/b9efa343-2987-4ab2-a060-9c16eacb0326"/>
  </r>
  <r>
    <x v="36"/>
    <m/>
    <x v="15"/>
    <m/>
    <x v="104"/>
    <m/>
    <m/>
    <m/>
    <x v="26"/>
    <x v="5"/>
    <s v="https://www.sz.ch/behoerden/information-medien/medienmitteilungen/coronavirus.html/72-416-412-1379-6948"/>
  </r>
  <r>
    <x v="36"/>
    <m/>
    <x v="25"/>
    <m/>
    <x v="309"/>
    <m/>
    <m/>
    <m/>
    <x v="0"/>
    <x v="5"/>
    <s v="https://www.tg.ch/news/fachdossier-coronavirus.html/10552"/>
  </r>
  <r>
    <x v="36"/>
    <m/>
    <x v="22"/>
    <m/>
    <x v="60"/>
    <n v="10"/>
    <m/>
    <m/>
    <x v="7"/>
    <x v="2"/>
    <s v="https://www.ur.ch/themen/2920"/>
  </r>
  <r>
    <x v="36"/>
    <m/>
    <x v="8"/>
    <m/>
    <x v="310"/>
    <n v="388"/>
    <n v="71"/>
    <m/>
    <x v="0"/>
    <x v="54"/>
    <s v="https://www.vd.ch/toutes-les-actualites/hotline-et-informations-sur-le-coronavirus/point-de-situation-statistique-dans-le-canton-de-vaud/"/>
  </r>
  <r>
    <x v="36"/>
    <d v="1899-12-30T00:00:00"/>
    <x v="18"/>
    <m/>
    <x v="154"/>
    <m/>
    <m/>
    <m/>
    <x v="0"/>
    <x v="4"/>
    <s v="https://corona.so.ch/index.php?id=27979"/>
  </r>
  <r>
    <x v="36"/>
    <d v="1899-12-30T08:00:00"/>
    <x v="6"/>
    <m/>
    <x v="311"/>
    <n v="115"/>
    <n v="26"/>
    <n v="21"/>
    <x v="0"/>
    <x v="46"/>
    <s v="https://www.besondere-lage.sites.be.ch/besondere-lage_sites/de/index/corona/index.html"/>
  </r>
  <r>
    <x v="36"/>
    <d v="1899-12-30T08:00:00"/>
    <x v="1"/>
    <m/>
    <x v="312"/>
    <n v="396"/>
    <n v="76"/>
    <n v="72"/>
    <x v="55"/>
    <x v="55"/>
    <s v="https://www4.ti.ch/area-media/comunicati/dettaglio-comunicato/?NEWS_ID=187555&amp;tx_tichareamedia_comunicazioni%5Baction%5D=show&amp;tx_tichareamedia_comunicazioni%5Bcontroller%5D=Comunicazioni&amp;cHash=843d72993004667ab731d64142591372"/>
  </r>
  <r>
    <x v="36"/>
    <d v="1899-12-30T08:00:00"/>
    <x v="11"/>
    <m/>
    <x v="313"/>
    <n v="13"/>
    <n v="5"/>
    <m/>
    <x v="19"/>
    <x v="2"/>
    <s v="https://www.zg.ch/behoerden/gesundheitsdirektion/statistikfachstelle/themen/gesundheit/corona"/>
  </r>
  <r>
    <x v="36"/>
    <d v="1899-12-30T10:00:00"/>
    <x v="5"/>
    <m/>
    <x v="314"/>
    <n v="108"/>
    <n v="16"/>
    <m/>
    <x v="56"/>
    <x v="41"/>
    <s v="https://www.coronavirus.bs.ch/nm/2020-tagesbulletin-coronavirus-691-bestaetigte-faelle-im-kanton-basel-stadt-gd.html"/>
  </r>
  <r>
    <x v="36"/>
    <d v="1899-12-30T11:00:00"/>
    <x v="16"/>
    <m/>
    <x v="315"/>
    <n v="57"/>
    <n v="12"/>
    <m/>
    <x v="0"/>
    <x v="9"/>
    <s v="https://gesundheit.lu.ch/themen/Humanmedizin/Infektionskrankheiten/Coronavirus"/>
  </r>
  <r>
    <x v="36"/>
    <d v="1899-12-30T14:30:00"/>
    <x v="4"/>
    <m/>
    <x v="316"/>
    <n v="203"/>
    <m/>
    <n v="54"/>
    <x v="0"/>
    <x v="56"/>
    <s v="https://gd.zh.ch/internet/gesundheitsdirektion/de/themen/coronavirus.html"/>
  </r>
  <r>
    <x v="36"/>
    <d v="1899-12-30T15:00:00"/>
    <x v="10"/>
    <m/>
    <x v="317"/>
    <n v="94"/>
    <n v="27"/>
    <n v="27"/>
    <x v="0"/>
    <x v="20"/>
    <s v="https://www.ag.ch/media/kanton_aargau/themen_1/coronavirus_1/lagebulletins/200401_KFS_Coronavirus_Lagebulletin_24.pdf"/>
  </r>
  <r>
    <x v="36"/>
    <d v="1899-12-30T15:00:00"/>
    <x v="9"/>
    <m/>
    <x v="318"/>
    <n v="147"/>
    <n v="26"/>
    <n v="25"/>
    <x v="57"/>
    <x v="27"/>
    <s v="https://www.vs.ch/documents/6756452/7008787/2020%2004%2023%20Sit%20Epid%20-%20%C3%89tat%20Stand"/>
  </r>
  <r>
    <x v="36"/>
    <d v="1899-12-30T17:00:00"/>
    <x v="17"/>
    <m/>
    <x v="105"/>
    <m/>
    <m/>
    <m/>
    <x v="0"/>
    <x v="4"/>
    <s v="https://www.ar.ch/verwaltung/departement-gesundheit-und-soziales/amt-fuer-gesundheit/informationsseite-coronavirus/"/>
  </r>
  <r>
    <x v="37"/>
    <m/>
    <x v="7"/>
    <m/>
    <x v="319"/>
    <n v="81"/>
    <n v="18"/>
    <n v="18"/>
    <x v="58"/>
    <x v="13"/>
    <s v="https://www.baselland.ch/politik-und-behorden/direktionen/volkswirtschafts-und-gesundheitsdirektion/amt-fur-gesundheit/medizinische-dienste/kantonsarztlicher-dienst/aktuelles/covid-19-faelle-kanton-basel-landschaft"/>
  </r>
  <r>
    <x v="37"/>
    <m/>
    <x v="2"/>
    <m/>
    <x v="155"/>
    <m/>
    <m/>
    <m/>
    <x v="0"/>
    <x v="1"/>
    <s v="https://www.regierung.li/media/attachments/166-massnahmen-weiter-einhalten-0402.pdf?t=637214501732587547"/>
  </r>
  <r>
    <x v="37"/>
    <m/>
    <x v="12"/>
    <m/>
    <x v="320"/>
    <n v="80"/>
    <n v="23"/>
    <m/>
    <x v="13"/>
    <x v="29"/>
    <s v="https://www.fr.ch/sites/default/files/2020-04/statistiques_situation_FR_2704.xlsx"/>
  </r>
  <r>
    <x v="37"/>
    <m/>
    <x v="0"/>
    <n v="13380"/>
    <x v="321"/>
    <n v="424"/>
    <n v="62"/>
    <n v="54"/>
    <x v="59"/>
    <x v="57"/>
    <s v="https://www.ge.ch/document/covid-19-situation-epidemiologique-geneve/telecharger"/>
  </r>
  <r>
    <x v="37"/>
    <m/>
    <x v="19"/>
    <m/>
    <x v="27"/>
    <n v="5"/>
    <m/>
    <m/>
    <x v="0"/>
    <x v="3"/>
    <s v="https://www.gl.ch/public/upload/assets/27574/COVID-19_Fallzahlen_Kanton_Glarus.xlsx"/>
  </r>
  <r>
    <x v="37"/>
    <m/>
    <x v="26"/>
    <m/>
    <x v="322"/>
    <n v="60"/>
    <m/>
    <m/>
    <x v="0"/>
    <x v="18"/>
    <s v="https://www.gr.ch/DE/institutionen/verwaltung/djsg/ga/coronavirus/info/Seiten/Start.aspx"/>
  </r>
  <r>
    <x v="37"/>
    <m/>
    <x v="3"/>
    <m/>
    <x v="323"/>
    <n v="29"/>
    <n v="3"/>
    <m/>
    <x v="0"/>
    <x v="0"/>
    <s v="https://www.jura.ch/Htdocs/Files/v/34255.xlsx/Departements/CHA/SIC/Carrousel/Coronavirus/Cornavirus/Chiffres/donnees_26_04.xlsx?download=1"/>
  </r>
  <r>
    <x v="37"/>
    <m/>
    <x v="13"/>
    <m/>
    <x v="97"/>
    <n v="61"/>
    <n v="12"/>
    <n v="10"/>
    <x v="0"/>
    <x v="52"/>
    <s v="https://www.ne.ch/autorites/DFS/SCSP/medecin-cantonal/maladies-vaccinations/Documents/Covid-19-Statistiques/COVID19_PublicationInternet.xlsx"/>
  </r>
  <r>
    <x v="37"/>
    <m/>
    <x v="20"/>
    <m/>
    <x v="63"/>
    <n v="9"/>
    <n v="2"/>
    <m/>
    <x v="0"/>
    <x v="1"/>
    <s v="http://www.nw.ch/coronastatistik"/>
  </r>
  <r>
    <x v="37"/>
    <m/>
    <x v="23"/>
    <m/>
    <x v="35"/>
    <m/>
    <m/>
    <m/>
    <x v="0"/>
    <x v="1"/>
    <s v="https://www.ow.ch/de/verwaltung/dienstleistungen/?dienst_id=5962"/>
  </r>
  <r>
    <x v="37"/>
    <m/>
    <x v="14"/>
    <m/>
    <x v="324"/>
    <n v="64"/>
    <n v="11"/>
    <m/>
    <x v="60"/>
    <x v="8"/>
    <s v="https://www.sg.ch/tools/informationen-coronavirus.html"/>
  </r>
  <r>
    <x v="37"/>
    <m/>
    <x v="21"/>
    <m/>
    <x v="32"/>
    <n v="18"/>
    <n v="3"/>
    <m/>
    <x v="0"/>
    <x v="2"/>
    <s v="https://sh.ch/CMS/get/file/b9efa343-2987-4ab2-a060-9c16eacb0326"/>
  </r>
  <r>
    <x v="37"/>
    <m/>
    <x v="15"/>
    <m/>
    <x v="325"/>
    <m/>
    <m/>
    <m/>
    <x v="26"/>
    <x v="5"/>
    <s v="https://www.sz.ch/behoerden/information-medien/medienmitteilungen/coronavirus.html/72-416-412-1379-6948"/>
  </r>
  <r>
    <x v="37"/>
    <m/>
    <x v="25"/>
    <m/>
    <x v="326"/>
    <m/>
    <m/>
    <m/>
    <x v="0"/>
    <x v="5"/>
    <s v="https://www.tg.ch/news/fachdossier-coronavirus.html/10552"/>
  </r>
  <r>
    <x v="37"/>
    <m/>
    <x v="8"/>
    <m/>
    <x v="327"/>
    <n v="379"/>
    <n v="72"/>
    <m/>
    <x v="0"/>
    <x v="58"/>
    <s v="https://www.vd.ch/toutes-les-actualites/hotline-et-informations-sur-le-coronavirus/point-de-situation-statistique-dans-le-canton-de-vaud/"/>
  </r>
  <r>
    <x v="37"/>
    <d v="1899-12-30T00:00:00"/>
    <x v="18"/>
    <m/>
    <x v="328"/>
    <n v="14"/>
    <m/>
    <m/>
    <x v="0"/>
    <x v="4"/>
    <s v="https://corona.so.ch/index.php?id=27979"/>
  </r>
  <r>
    <x v="37"/>
    <d v="1899-12-30T08:00:00"/>
    <x v="6"/>
    <m/>
    <x v="329"/>
    <n v="104"/>
    <n v="24"/>
    <n v="20"/>
    <x v="0"/>
    <x v="50"/>
    <s v="https://www.besondere-lage.sites.be.ch/besondere-lage_sites/de/index/corona/index.html"/>
  </r>
  <r>
    <x v="37"/>
    <d v="1899-12-30T08:00:00"/>
    <x v="1"/>
    <m/>
    <x v="330"/>
    <n v="374"/>
    <n v="75"/>
    <n v="73"/>
    <x v="45"/>
    <x v="59"/>
    <s v="https://www4.ti.ch/area-media/comunicati/dettaglio-comunicato/?NEWS_ID=187564&amp;tx_tichareamedia_comunicazioni%5Baction%5D=show&amp;tx_tichareamedia_comunicazioni%5Bcontroller%5D=Comunicazioni&amp;cHash=6abbcb9cd18b83f8ce260e2748b9a326"/>
  </r>
  <r>
    <x v="37"/>
    <d v="1899-12-30T08:00:00"/>
    <x v="11"/>
    <m/>
    <x v="160"/>
    <n v="14"/>
    <n v="5"/>
    <m/>
    <x v="61"/>
    <x v="2"/>
    <s v="https://www.zg.ch/behoerden/gesundheitsdirektion/statistikfachstelle/themen/gesundheit/corona"/>
  </r>
  <r>
    <x v="37"/>
    <d v="1899-12-30T10:00:00"/>
    <x v="5"/>
    <m/>
    <x v="331"/>
    <n v="119"/>
    <n v="17"/>
    <m/>
    <x v="62"/>
    <x v="16"/>
    <s v="https://www.gd.bs.ch//nm/2020-tagesbulletin-coronavirus-718-bestaetigte-faelle-im-kanton-basel-stadt-gd.html"/>
  </r>
  <r>
    <x v="37"/>
    <d v="1899-12-30T11:00:00"/>
    <x v="16"/>
    <m/>
    <x v="94"/>
    <n v="66"/>
    <n v="11"/>
    <m/>
    <x v="0"/>
    <x v="9"/>
    <s v="https://gesundheit.lu.ch/themen/Humanmedizin/Infektionskrankheiten/Coronavirus"/>
  </r>
  <r>
    <x v="37"/>
    <d v="1899-12-30T12:00:00"/>
    <x v="17"/>
    <m/>
    <x v="271"/>
    <m/>
    <m/>
    <m/>
    <x v="0"/>
    <x v="4"/>
    <s v="https://www.ar.ch/verwaltung/departement-gesundheit-und-soziales/amt-fuer-gesundheit/informationsseite-coronavirus/"/>
  </r>
  <r>
    <x v="37"/>
    <d v="1899-12-30T14:00:00"/>
    <x v="22"/>
    <m/>
    <x v="224"/>
    <n v="4"/>
    <m/>
    <m/>
    <x v="7"/>
    <x v="2"/>
    <s v="https://www.ur.ch/themen/2920"/>
  </r>
  <r>
    <x v="37"/>
    <d v="1899-12-30T14:30:00"/>
    <x v="4"/>
    <m/>
    <x v="332"/>
    <n v="200"/>
    <m/>
    <n v="53"/>
    <x v="0"/>
    <x v="60"/>
    <s v="https://gd.zh.ch/internet/gesundheitsdirektion/de/themen/coronavirus.html"/>
  </r>
  <r>
    <x v="37"/>
    <d v="1899-12-30T15:00:00"/>
    <x v="10"/>
    <m/>
    <x v="307"/>
    <n v="94"/>
    <n v="27"/>
    <n v="27"/>
    <x v="0"/>
    <x v="13"/>
    <s v="https://www.ag.ch/media/kanton_aargau/themen_1/coronavirus_1/lagebulletins/200402_KFS_Coronavirus_Lagebulletin_25.pdf"/>
  </r>
  <r>
    <x v="37"/>
    <d v="1899-12-30T15:00:00"/>
    <x v="9"/>
    <m/>
    <x v="333"/>
    <n v="147"/>
    <n v="28"/>
    <n v="24"/>
    <x v="63"/>
    <x v="61"/>
    <s v="https://www.vs.ch/documents/6756452/7008787/2020%2004%2023%20Sit%20Epid%20-%20%C3%89tat%20Stand"/>
  </r>
  <r>
    <x v="37"/>
    <d v="1899-12-30T17:00:00"/>
    <x v="24"/>
    <m/>
    <x v="31"/>
    <m/>
    <m/>
    <m/>
    <x v="0"/>
    <x v="1"/>
    <s v="https://www.ai.ch/themen/gesundheit-alter-und-soziales/gesundheitsfoerderung-und-praevention/uebertragbare-krankheiten/coronavirus"/>
  </r>
  <r>
    <x v="38"/>
    <m/>
    <x v="7"/>
    <m/>
    <x v="334"/>
    <n v="82"/>
    <n v="18"/>
    <n v="18"/>
    <x v="64"/>
    <x v="12"/>
    <s v="https://www.baselland.ch/politik-und-behorden/direktionen/volkswirtschafts-und-gesundheitsdirektion/amt-fur-gesundheit/medizinische-dienste/kantonsarztlicher-dienst/aktuelles/covid-19-faelle-kanton-basel-landschaft"/>
  </r>
  <r>
    <x v="38"/>
    <m/>
    <x v="2"/>
    <m/>
    <x v="63"/>
    <m/>
    <m/>
    <m/>
    <x v="0"/>
    <x v="1"/>
    <s v="https://www.regierung.li/media/attachments/166-massnahmen-weiter-einhalten-0402.pdf?t=637214501732587547"/>
  </r>
  <r>
    <x v="38"/>
    <m/>
    <x v="12"/>
    <m/>
    <x v="92"/>
    <n v="77"/>
    <n v="21"/>
    <m/>
    <x v="13"/>
    <x v="44"/>
    <s v="https://www.fr.ch/sites/default/files/2020-04/statistiques_situation_FR_2704.xlsx"/>
  </r>
  <r>
    <x v="38"/>
    <m/>
    <x v="0"/>
    <n v="14214"/>
    <x v="335"/>
    <n v="424"/>
    <n v="65"/>
    <n v="58"/>
    <x v="65"/>
    <x v="62"/>
    <s v="https://www.ge.ch/document/covid-19-situation-epidemiologique-geneve/telecharger"/>
  </r>
  <r>
    <x v="38"/>
    <m/>
    <x v="19"/>
    <m/>
    <x v="60"/>
    <n v="5"/>
    <m/>
    <m/>
    <x v="0"/>
    <x v="3"/>
    <s v="https://www.gl.ch/public/upload/assets/27574/COVID-19_Fallzahlen_Kanton_Glarus.xlsx"/>
  </r>
  <r>
    <x v="38"/>
    <m/>
    <x v="26"/>
    <m/>
    <x v="336"/>
    <n v="51"/>
    <m/>
    <m/>
    <x v="0"/>
    <x v="63"/>
    <s v="https://www.gr.ch/DE/institutionen/verwaltung/djsg/ga/coronavirus/info/Seiten/Start.aspx"/>
  </r>
  <r>
    <x v="38"/>
    <m/>
    <x v="3"/>
    <m/>
    <x v="323"/>
    <n v="28"/>
    <n v="3"/>
    <m/>
    <x v="0"/>
    <x v="0"/>
    <s v="https://www.jura.ch/Htdocs/Files/v/34255.xlsx/Departements/CHA/SIC/Carrousel/Coronavirus/Cornavirus/Chiffres/donnees_26_04.xlsx?download=1"/>
  </r>
  <r>
    <x v="38"/>
    <m/>
    <x v="13"/>
    <m/>
    <x v="337"/>
    <n v="61"/>
    <n v="11"/>
    <n v="9"/>
    <x v="0"/>
    <x v="18"/>
    <s v="https://www.ne.ch/autorites/DFS/SCSP/medecin-cantonal/maladies-vaccinations/Documents/Covid-19-Statistiques/COVID19_PublicationInternet.xlsx"/>
  </r>
  <r>
    <x v="38"/>
    <m/>
    <x v="20"/>
    <m/>
    <x v="338"/>
    <n v="10"/>
    <n v="2"/>
    <m/>
    <x v="0"/>
    <x v="1"/>
    <s v="http://www.nw.ch/coronastatistik"/>
  </r>
  <r>
    <x v="38"/>
    <m/>
    <x v="23"/>
    <m/>
    <x v="145"/>
    <m/>
    <m/>
    <m/>
    <x v="0"/>
    <x v="1"/>
    <s v="https://www.ow.ch/de/verwaltung/dienstleistungen/?dienst_id=5962"/>
  </r>
  <r>
    <x v="38"/>
    <m/>
    <x v="14"/>
    <m/>
    <x v="324"/>
    <n v="75"/>
    <n v="12"/>
    <m/>
    <x v="66"/>
    <x v="8"/>
    <s v="https://www.sg.ch/tools/informationen-coronavirus.html"/>
  </r>
  <r>
    <x v="38"/>
    <m/>
    <x v="21"/>
    <m/>
    <x v="32"/>
    <n v="9"/>
    <n v="3"/>
    <m/>
    <x v="0"/>
    <x v="2"/>
    <s v="https://sh.ch/CMS/get/file/b9efa343-2987-4ab2-a060-9c16eacb0326"/>
  </r>
  <r>
    <x v="38"/>
    <m/>
    <x v="15"/>
    <m/>
    <x v="339"/>
    <m/>
    <m/>
    <m/>
    <x v="67"/>
    <x v="5"/>
    <s v="https://www.sz.ch/behoerden/information-medien/medienmitteilungen/coronavirus.html/72-416-412-1379-6948"/>
  </r>
  <r>
    <x v="38"/>
    <m/>
    <x v="25"/>
    <m/>
    <x v="340"/>
    <m/>
    <m/>
    <m/>
    <x v="0"/>
    <x v="7"/>
    <s v="https://www.tg.ch/news/fachdossier-coronavirus.html/10552"/>
  </r>
  <r>
    <x v="38"/>
    <m/>
    <x v="8"/>
    <m/>
    <x v="341"/>
    <n v="370"/>
    <n v="70"/>
    <m/>
    <x v="0"/>
    <x v="64"/>
    <s v="https://www.vd.ch/toutes-les-actualites/hotline-et-informations-sur-le-coronavirus/point-de-situation-statistique-dans-le-canton-de-vaud/"/>
  </r>
  <r>
    <x v="38"/>
    <d v="1899-12-30T00:00:00"/>
    <x v="18"/>
    <m/>
    <x v="342"/>
    <n v="17"/>
    <m/>
    <m/>
    <x v="0"/>
    <x v="4"/>
    <s v="https://corona.so.ch/index.php?id=27979"/>
  </r>
  <r>
    <x v="38"/>
    <d v="1899-12-30T08:00:00"/>
    <x v="17"/>
    <m/>
    <x v="112"/>
    <m/>
    <m/>
    <m/>
    <x v="0"/>
    <x v="4"/>
    <s v="https://www.ar.ch/verwaltung/departement-gesundheit-und-soziales/amt-fuer-gesundheit/informationsseite-coronavirus/"/>
  </r>
  <r>
    <x v="38"/>
    <d v="1899-12-30T08:00:00"/>
    <x v="6"/>
    <m/>
    <x v="343"/>
    <n v="109"/>
    <n v="30"/>
    <n v="26"/>
    <x v="0"/>
    <x v="29"/>
    <s v="https://www.besondere-lage.sites.be.ch/besondere-lage_sites/de/index/corona/index.html"/>
  </r>
  <r>
    <x v="38"/>
    <d v="1899-12-30T08:00:00"/>
    <x v="1"/>
    <m/>
    <x v="344"/>
    <n v="370"/>
    <n v="75"/>
    <n v="67"/>
    <x v="68"/>
    <x v="65"/>
    <s v="https://www4.ti.ch/area-media/comunicati/dettaglio-comunicato/?NEWS_ID=187570&amp;tx_tichareamedia_comunicazioni%5Baction%5D=show&amp;tx_tichareamedia_comunicazioni%5Bcontroller%5D=Comunicazioni&amp;cHash=bf727072887350e7700586450c3cf957"/>
  </r>
  <r>
    <x v="38"/>
    <d v="1899-12-30T08:00:00"/>
    <x v="11"/>
    <m/>
    <x v="263"/>
    <n v="15"/>
    <n v="7"/>
    <m/>
    <x v="11"/>
    <x v="2"/>
    <s v="https://www.zg.ch/behoerden/gesundheitsdirektion/statistikfachstelle/themen/gesundheit/corona"/>
  </r>
  <r>
    <x v="38"/>
    <d v="1899-12-30T08:30:00"/>
    <x v="5"/>
    <m/>
    <x v="345"/>
    <n v="115"/>
    <n v="17"/>
    <m/>
    <x v="69"/>
    <x v="35"/>
    <s v="https://www.gd.bs.ch/nm/2020-tagesbulletin-coronavirus-748-bestaetigte-faelle-im-kanton-basel-stadt-gd.html https://www.coronavirus.bs.ch/nm/2020-tagesbulletin-coronavirus-771-bestaetigte-faelle-im-kanton-basel-stadt-gd.html"/>
  </r>
  <r>
    <x v="38"/>
    <d v="1899-12-30T11:00:00"/>
    <x v="24"/>
    <m/>
    <x v="31"/>
    <m/>
    <m/>
    <m/>
    <x v="0"/>
    <x v="1"/>
    <s v="https://www.ai.ch/themen/gesundheit-alter-und-soziales/gesundheitsfoerderung-und-praevention/uebertragbare-krankheiten/coronavirus"/>
  </r>
  <r>
    <x v="38"/>
    <d v="1899-12-30T11:00:00"/>
    <x v="16"/>
    <m/>
    <x v="346"/>
    <n v="49"/>
    <n v="12"/>
    <m/>
    <x v="0"/>
    <x v="9"/>
    <s v="https://gesundheit.lu.ch/themen/Humanmedizin/Infektionskrankheiten/Coronavirus"/>
  </r>
  <r>
    <x v="38"/>
    <d v="1899-12-30T14:00:00"/>
    <x v="22"/>
    <m/>
    <x v="256"/>
    <n v="6"/>
    <m/>
    <m/>
    <x v="70"/>
    <x v="2"/>
    <s v="https://www.ur.ch/themen/2920"/>
  </r>
  <r>
    <x v="38"/>
    <d v="1899-12-30T14:30:00"/>
    <x v="4"/>
    <m/>
    <x v="347"/>
    <n v="207"/>
    <m/>
    <n v="57"/>
    <x v="0"/>
    <x v="36"/>
    <s v="https://gd.zh.ch/internet/gesundheitsdirektion/de/themen/coronavirus.html"/>
  </r>
  <r>
    <x v="38"/>
    <d v="1899-12-30T15:00:00"/>
    <x v="10"/>
    <m/>
    <x v="348"/>
    <n v="100"/>
    <n v="27"/>
    <n v="26"/>
    <x v="0"/>
    <x v="13"/>
    <s v="https://www.ag.ch/media/kanton_aargau/themen_1/coronavirus_1/lagebulletins/200403_KFS_Coronavirus_Lagebulletin_26.pdf"/>
  </r>
  <r>
    <x v="38"/>
    <d v="1899-12-30T15:00:00"/>
    <x v="9"/>
    <m/>
    <x v="349"/>
    <n v="147"/>
    <n v="26"/>
    <n v="23"/>
    <x v="71"/>
    <x v="66"/>
    <s v="https://www.vs.ch/documents/6756452/7008787/2020%2004%2023%20Sit%20Epid%20-%20%C3%89tat%20Stand"/>
  </r>
  <r>
    <x v="39"/>
    <m/>
    <x v="7"/>
    <m/>
    <x v="350"/>
    <n v="73"/>
    <n v="19"/>
    <n v="17"/>
    <x v="72"/>
    <x v="16"/>
    <s v="https://www.baselland.ch/politik-und-behorden/direktionen/volkswirtschafts-und-gesundheitsdirektion/amt-fur-gesundheit/medizinische-dienste/kantonsarztlicher-dienst/aktuelles/covid-19-faelle-kanton-basel-landschaft"/>
  </r>
  <r>
    <x v="39"/>
    <m/>
    <x v="2"/>
    <m/>
    <x v="351"/>
    <m/>
    <m/>
    <m/>
    <x v="0"/>
    <x v="2"/>
    <s v="https://www.regierung.li/media/attachments/168-corona-person-verstorben-0404.pdf?t=637216219078826521"/>
  </r>
  <r>
    <x v="39"/>
    <m/>
    <x v="12"/>
    <m/>
    <x v="120"/>
    <n v="89"/>
    <n v="21"/>
    <m/>
    <x v="60"/>
    <x v="21"/>
    <s v="https://www.fr.ch/sites/default/files/2020-04/statistiques_situation_FR_2704.xlsx"/>
  </r>
  <r>
    <x v="39"/>
    <m/>
    <x v="0"/>
    <n v="14808"/>
    <x v="352"/>
    <n v="421"/>
    <n v="61"/>
    <n v="51"/>
    <x v="73"/>
    <x v="67"/>
    <s v="https://www.ge.ch/document/covid-19-situation-epidemiologique-geneve/telecharger"/>
  </r>
  <r>
    <x v="39"/>
    <m/>
    <x v="19"/>
    <m/>
    <x v="105"/>
    <n v="5"/>
    <m/>
    <m/>
    <x v="0"/>
    <x v="3"/>
    <s v="https://www.gl.ch/public/upload/assets/27574/COVID-19_Fallzahlen_Kanton_Glarus.xlsx"/>
  </r>
  <r>
    <x v="39"/>
    <m/>
    <x v="26"/>
    <m/>
    <x v="353"/>
    <n v="52"/>
    <m/>
    <m/>
    <x v="0"/>
    <x v="63"/>
    <s v="https://www.gr.ch/DE/institutionen/verwaltung/djsg/ga/coronavirus/info/Seiten/Start.aspx"/>
  </r>
  <r>
    <x v="39"/>
    <m/>
    <x v="3"/>
    <m/>
    <x v="294"/>
    <n v="27"/>
    <n v="3"/>
    <m/>
    <x v="0"/>
    <x v="0"/>
    <s v="https://www.jura.ch/Htdocs/Files/v/34255.xlsx/Departements/CHA/SIC/Carrousel/Coronavirus/Cornavirus/Chiffres/donnees_26_04.xlsx?download=1"/>
  </r>
  <r>
    <x v="39"/>
    <m/>
    <x v="13"/>
    <m/>
    <x v="354"/>
    <n v="59"/>
    <n v="10"/>
    <n v="9"/>
    <x v="0"/>
    <x v="63"/>
    <s v="https://www.ne.ch/autorites/DFS/SCSP/medecin-cantonal/maladies-vaccinations/Documents/Covid-19-Statistiques/COVID19_PublicationInternet.xlsx"/>
  </r>
  <r>
    <x v="39"/>
    <m/>
    <x v="20"/>
    <m/>
    <x v="204"/>
    <n v="10"/>
    <n v="2"/>
    <m/>
    <x v="0"/>
    <x v="1"/>
    <s v="http://www.nw.ch/coronastatistik"/>
  </r>
  <r>
    <x v="39"/>
    <m/>
    <x v="14"/>
    <m/>
    <x v="355"/>
    <n v="79"/>
    <n v="13"/>
    <m/>
    <x v="74"/>
    <x v="11"/>
    <s v="https://www.sg.ch/tools/informationen-coronavirus.html"/>
  </r>
  <r>
    <x v="39"/>
    <m/>
    <x v="21"/>
    <m/>
    <x v="32"/>
    <n v="12"/>
    <n v="3"/>
    <m/>
    <x v="0"/>
    <x v="2"/>
    <s v="https://sh.ch/CMS/get/file/b9efa343-2987-4ab2-a060-9c16eacb0326"/>
  </r>
  <r>
    <x v="39"/>
    <m/>
    <x v="15"/>
    <m/>
    <x v="139"/>
    <m/>
    <m/>
    <m/>
    <x v="75"/>
    <x v="7"/>
    <s v="https://www.sz.ch/behoerden/information-medien/medienmitteilungen/coronavirus.html/72-416-412-1379-6948"/>
  </r>
  <r>
    <x v="39"/>
    <m/>
    <x v="25"/>
    <m/>
    <x v="356"/>
    <m/>
    <m/>
    <m/>
    <x v="0"/>
    <x v="7"/>
    <s v="https://www.tg.ch/news/fachdossier-coronavirus.html/10552"/>
  </r>
  <r>
    <x v="39"/>
    <m/>
    <x v="8"/>
    <m/>
    <x v="357"/>
    <n v="370"/>
    <n v="70"/>
    <m/>
    <x v="0"/>
    <x v="68"/>
    <s v="https://www.vd.ch/toutes-les-actualites/hotline-et-informations-sur-le-coronavirus/point-de-situation-statistique-dans-le-canton-de-vaud/"/>
  </r>
  <r>
    <x v="39"/>
    <d v="1899-12-30T00:00:00"/>
    <x v="18"/>
    <m/>
    <x v="358"/>
    <m/>
    <m/>
    <m/>
    <x v="0"/>
    <x v="4"/>
    <s v="https://corona.so.ch/index.php?id=27979"/>
  </r>
  <r>
    <x v="39"/>
    <d v="1899-12-30T08:00:00"/>
    <x v="6"/>
    <m/>
    <x v="359"/>
    <n v="113"/>
    <n v="35"/>
    <n v="28"/>
    <x v="0"/>
    <x v="18"/>
    <s v="https://www.besondere-lage.sites.be.ch/besondere-lage_sites/de/index/corona/index.html"/>
  </r>
  <r>
    <x v="39"/>
    <d v="1899-12-30T08:00:00"/>
    <x v="1"/>
    <m/>
    <x v="360"/>
    <n v="363"/>
    <n v="72"/>
    <n v="67"/>
    <x v="76"/>
    <x v="69"/>
    <s v="https://www4.ti.ch/area-media/comunicati/dettaglio-comunicato/?NEWS_ID=187575&amp;tx_tichareamedia_comunicazioni%5Baction%5D=show&amp;tx_tichareamedia_comunicazioni%5Bcontroller%5D=Comunicazioni&amp;cHash=4b3f64139a9dd36b9fd30a1ace23654a"/>
  </r>
  <r>
    <x v="39"/>
    <d v="1899-12-30T08:00:00"/>
    <x v="11"/>
    <m/>
    <x v="104"/>
    <n v="14"/>
    <n v="7"/>
    <m/>
    <x v="13"/>
    <x v="3"/>
    <s v="https://www.zg.ch/behoerden/gesundheitsdirektion/statistikfachstelle/themen/gesundheit/corona"/>
  </r>
  <r>
    <x v="39"/>
    <d v="1899-12-30T10:15:00"/>
    <x v="5"/>
    <m/>
    <x v="240"/>
    <n v="112"/>
    <n v="16"/>
    <m/>
    <x v="77"/>
    <x v="19"/>
    <s v="https://www.gd.bs.ch//nm/2020-tagesbulletin-coronavirus-771-bestaetigte-faelle-im-kanton-basel-stadt-gd.html"/>
  </r>
  <r>
    <x v="39"/>
    <d v="1899-12-30T11:00:00"/>
    <x v="24"/>
    <m/>
    <x v="24"/>
    <m/>
    <m/>
    <m/>
    <x v="0"/>
    <x v="1"/>
    <s v="https://www.ai.ch/themen/gesundheit-alter-und-soziales/gesundheitsfoerderung-und-praevention/uebertragbare-krankheiten/coronavirus"/>
  </r>
  <r>
    <x v="39"/>
    <d v="1899-12-30T11:00:00"/>
    <x v="16"/>
    <m/>
    <x v="361"/>
    <n v="49"/>
    <n v="12"/>
    <m/>
    <x v="0"/>
    <x v="9"/>
    <s v="https://gesundheit.lu.ch/themen/Humanmedizin/Infektionskrankheiten/Coronavirus"/>
  </r>
  <r>
    <x v="39"/>
    <d v="1899-12-30T13:00:00"/>
    <x v="17"/>
    <m/>
    <x v="140"/>
    <m/>
    <m/>
    <m/>
    <x v="0"/>
    <x v="4"/>
    <s v="https://www.ar.ch/verwaltung/departement-gesundheit-und-soziales/amt-fuer-gesundheit/informationsseite-coronavirus/"/>
  </r>
  <r>
    <x v="39"/>
    <d v="1899-12-30T14:30:00"/>
    <x v="4"/>
    <m/>
    <x v="362"/>
    <n v="194"/>
    <m/>
    <n v="59"/>
    <x v="0"/>
    <x v="40"/>
    <s v="https://gd.zh.ch/internet/gesundheitsdirektion/de/themen/coronavirus.html"/>
  </r>
  <r>
    <x v="39"/>
    <d v="1899-12-30T15:00:00"/>
    <x v="9"/>
    <m/>
    <x v="363"/>
    <n v="150"/>
    <n v="28"/>
    <n v="23"/>
    <x v="78"/>
    <x v="26"/>
    <s v="https://www.vs.ch/documents/6756452/7008787/2020%2004%2023%20Sit%20Epid%20-%20%C3%89tat%20Stand"/>
  </r>
  <r>
    <x v="39"/>
    <d v="1899-12-30T17:00:00"/>
    <x v="22"/>
    <m/>
    <x v="140"/>
    <n v="6"/>
    <m/>
    <m/>
    <x v="70"/>
    <x v="2"/>
    <s v="https://www.ur.ch/themen/2920"/>
  </r>
  <r>
    <x v="40"/>
    <m/>
    <x v="7"/>
    <m/>
    <x v="364"/>
    <n v="73"/>
    <n v="19"/>
    <n v="17"/>
    <x v="79"/>
    <x v="16"/>
    <s v="https://www.baselland.ch/politik-und-behorden/direktionen/volkswirtschafts-und-gesundheitsdirektion/amt-fur-gesundheit/medizinische-dienste/kantonsarztlicher-dienst/aktuelles/covid-19-faelle-kanton-basel-landschaft"/>
  </r>
  <r>
    <x v="40"/>
    <m/>
    <x v="2"/>
    <m/>
    <x v="351"/>
    <m/>
    <m/>
    <m/>
    <x v="0"/>
    <x v="2"/>
    <s v="https://www.regierung.li/de/mitteilungen/223366/?typ=news"/>
  </r>
  <r>
    <x v="40"/>
    <m/>
    <x v="12"/>
    <m/>
    <x v="365"/>
    <n v="87"/>
    <n v="20"/>
    <m/>
    <x v="80"/>
    <x v="27"/>
    <s v="https://www.fr.ch/sites/default/files/2020-04/statistiques_situation_FR_2704.xlsx"/>
  </r>
  <r>
    <x v="40"/>
    <m/>
    <x v="0"/>
    <n v="15112"/>
    <x v="366"/>
    <n v="424"/>
    <n v="56"/>
    <n v="50"/>
    <x v="81"/>
    <x v="70"/>
    <s v="https://www.ge.ch/document/covid-19-situation-epidemiologique-geneve/telecharger"/>
  </r>
  <r>
    <x v="40"/>
    <m/>
    <x v="19"/>
    <m/>
    <x v="44"/>
    <n v="5"/>
    <m/>
    <m/>
    <x v="0"/>
    <x v="3"/>
    <s v="https://www.gl.ch/public/upload/assets/27574/COVID-19_Fallzahlen_Kanton_Glarus.xlsx"/>
  </r>
  <r>
    <x v="40"/>
    <m/>
    <x v="26"/>
    <m/>
    <x v="367"/>
    <n v="49"/>
    <m/>
    <m/>
    <x v="0"/>
    <x v="32"/>
    <s v="https://www.gr.ch/DE/institutionen/verwaltung/djsg/ga/coronavirus/info/Seiten/Start.aspx"/>
  </r>
  <r>
    <x v="40"/>
    <m/>
    <x v="3"/>
    <m/>
    <x v="368"/>
    <n v="29"/>
    <n v="4"/>
    <m/>
    <x v="0"/>
    <x v="0"/>
    <s v="https://www.jura.ch/Htdocs/Files/v/34255.xlsx/Departements/CHA/SIC/Carrousel/Coronavirus/Cornavirus/Chiffres/donnees_26_04.xlsx?download=1"/>
  </r>
  <r>
    <x v="40"/>
    <m/>
    <x v="13"/>
    <m/>
    <x v="369"/>
    <n v="58"/>
    <n v="12"/>
    <n v="8"/>
    <x v="0"/>
    <x v="63"/>
    <s v="https://www.ne.ch/autorites/DFS/SCSP/medecin-cantonal/maladies-vaccinations/Documents/Covid-19-Statistiques/COVID19_PublicationInternet.xlsx"/>
  </r>
  <r>
    <x v="40"/>
    <m/>
    <x v="20"/>
    <m/>
    <x v="204"/>
    <n v="9"/>
    <n v="2"/>
    <m/>
    <x v="0"/>
    <x v="1"/>
    <s v="http://www.nw.ch/coronastatistik"/>
  </r>
  <r>
    <x v="40"/>
    <m/>
    <x v="14"/>
    <m/>
    <x v="370"/>
    <n v="70"/>
    <n v="13"/>
    <m/>
    <x v="57"/>
    <x v="11"/>
    <s v="https://www.sg.ch/tools/informationen-coronavirus.html"/>
  </r>
  <r>
    <x v="40"/>
    <m/>
    <x v="21"/>
    <m/>
    <x v="49"/>
    <n v="12"/>
    <n v="3"/>
    <m/>
    <x v="0"/>
    <x v="2"/>
    <s v="https://sh.ch/CMS/get/file/b9efa343-2987-4ab2-a060-9c16eacb0326"/>
  </r>
  <r>
    <x v="40"/>
    <m/>
    <x v="15"/>
    <m/>
    <x v="371"/>
    <m/>
    <m/>
    <m/>
    <x v="82"/>
    <x v="7"/>
    <s v="https://www.sz.ch/behoerden/information-medien/medienmitteilungen/coronavirus.html/72-416-412-1379-6948"/>
  </r>
  <r>
    <x v="40"/>
    <m/>
    <x v="25"/>
    <m/>
    <x v="372"/>
    <m/>
    <m/>
    <m/>
    <x v="0"/>
    <x v="9"/>
    <s v="https://www.tg.ch/news/fachdossier-coronavirus.html/10552"/>
  </r>
  <r>
    <x v="40"/>
    <m/>
    <x v="8"/>
    <m/>
    <x v="373"/>
    <n v="381"/>
    <n v="69"/>
    <m/>
    <x v="0"/>
    <x v="71"/>
    <s v="https://www.vd.ch/toutes-les-actualites/hotline-et-informations-sur-le-coronavirus/point-de-situation-statistique-dans-le-canton-de-vaud/"/>
  </r>
  <r>
    <x v="40"/>
    <d v="1899-12-30T00:00:00"/>
    <x v="18"/>
    <m/>
    <x v="61"/>
    <n v="16"/>
    <m/>
    <m/>
    <x v="0"/>
    <x v="4"/>
    <s v="https://corona.so.ch/index.php?id=27979"/>
  </r>
  <r>
    <x v="40"/>
    <d v="1899-12-30T08:00:00"/>
    <x v="6"/>
    <m/>
    <x v="374"/>
    <n v="110"/>
    <n v="30"/>
    <n v="25"/>
    <x v="0"/>
    <x v="18"/>
    <s v="https://www.besondere-lage.sites.be.ch/besondere-lage_sites/de/index/corona/index.html"/>
  </r>
  <r>
    <x v="40"/>
    <d v="1899-12-30T08:00:00"/>
    <x v="1"/>
    <m/>
    <x v="375"/>
    <n v="362"/>
    <n v="74"/>
    <n v="61"/>
    <x v="83"/>
    <x v="72"/>
    <s v="https://www4.ti.ch/area-media/comunicati/dettaglio-comunicato/?NEWS_ID=187576&amp;tx_tichareamedia_comunicazioni%5Baction%5D=show&amp;tx_tichareamedia_comunicazioni%5Bcontroller%5D=Comunicazioni&amp;cHash=7486178287491dbfa00376059224e150"/>
  </r>
  <r>
    <x v="40"/>
    <d v="1899-12-30T08:00:00"/>
    <x v="11"/>
    <m/>
    <x v="104"/>
    <n v="14"/>
    <n v="7"/>
    <m/>
    <x v="13"/>
    <x v="3"/>
    <s v="https://www.zg.ch/behoerden/gesundheitsdirektion/statistikfachstelle/themen/gesundheit/corona"/>
  </r>
  <r>
    <x v="40"/>
    <d v="1899-12-30T10:15:00"/>
    <x v="5"/>
    <m/>
    <x v="376"/>
    <n v="106"/>
    <n v="15"/>
    <m/>
    <x v="84"/>
    <x v="29"/>
    <s v="https://www.gd.bs.ch//nm/2020-tagesbulletin-coronavirus-794-bestaetigte-faelle-im-kanton-basel-stadt-gd.html"/>
  </r>
  <r>
    <x v="40"/>
    <d v="1899-12-30T11:00:00"/>
    <x v="16"/>
    <m/>
    <x v="377"/>
    <n v="49"/>
    <n v="12"/>
    <m/>
    <x v="0"/>
    <x v="11"/>
    <s v="https://gesundheit.lu.ch/themen/Humanmedizin/Infektionskrankheiten/Coronavirus"/>
  </r>
  <r>
    <x v="40"/>
    <d v="1899-12-30T13:00:00"/>
    <x v="17"/>
    <m/>
    <x v="98"/>
    <m/>
    <m/>
    <m/>
    <x v="0"/>
    <x v="4"/>
    <s v="https://www.ar.ch/verwaltung/departement-gesundheit-und-soziales/amt-fuer-gesundheit/informationsseite-coronavirus/"/>
  </r>
  <r>
    <x v="40"/>
    <d v="1899-12-30T14:30:00"/>
    <x v="4"/>
    <m/>
    <x v="378"/>
    <n v="194"/>
    <m/>
    <n v="59"/>
    <x v="0"/>
    <x v="26"/>
    <s v="https://gd.zh.ch/internet/gesundheitsdirektion/de/themen/coronavirus.html"/>
  </r>
  <r>
    <x v="40"/>
    <d v="1899-12-30T15:00:00"/>
    <x v="9"/>
    <m/>
    <x v="379"/>
    <n v="147"/>
    <n v="26"/>
    <n v="23"/>
    <x v="0"/>
    <x v="30"/>
    <s v="https://www.vs.ch/documents/6756452/7008787/2020%2004%2023%20Sit%20Epid%20-%20%C3%89tat%20Stand"/>
  </r>
  <r>
    <x v="40"/>
    <d v="1899-12-30T17:00:00"/>
    <x v="22"/>
    <m/>
    <x v="98"/>
    <n v="5"/>
    <m/>
    <m/>
    <x v="70"/>
    <x v="3"/>
    <s v="https://www.ur.ch/themen/2920"/>
  </r>
  <r>
    <x v="41"/>
    <m/>
    <x v="7"/>
    <m/>
    <x v="380"/>
    <n v="67"/>
    <n v="17"/>
    <n v="17"/>
    <x v="85"/>
    <x v="16"/>
    <s v="https://www.baselland.ch/politik-und-behorden/direktionen/volkswirtschafts-und-gesundheitsdirektion/amt-fur-gesundheit/medizinische-dienste/kantonsarztlicher-dienst/aktuelles/covid-19-faelle-kanton-basel-landschaft"/>
  </r>
  <r>
    <x v="41"/>
    <m/>
    <x v="12"/>
    <m/>
    <x v="381"/>
    <n v="87"/>
    <n v="19"/>
    <m/>
    <x v="86"/>
    <x v="36"/>
    <s v="https://www.fr.ch/sites/default/files/2020-04/statistiques_situation_FR_2704.xlsx"/>
  </r>
  <r>
    <x v="41"/>
    <m/>
    <x v="0"/>
    <n v="15763"/>
    <x v="382"/>
    <n v="418"/>
    <n v="56"/>
    <n v="50"/>
    <x v="87"/>
    <x v="73"/>
    <s v="https://www.ge.ch/document/covid-19-situation-epidemiologique-geneve/telecharger"/>
  </r>
  <r>
    <x v="41"/>
    <m/>
    <x v="19"/>
    <m/>
    <x v="44"/>
    <n v="2"/>
    <m/>
    <m/>
    <x v="0"/>
    <x v="3"/>
    <s v="https://www.gl.ch/public/upload/assets/27574/COVID-19_Fallzahlen_Kanton_Glarus.xlsx"/>
  </r>
  <r>
    <x v="41"/>
    <m/>
    <x v="26"/>
    <m/>
    <x v="383"/>
    <n v="52"/>
    <m/>
    <m/>
    <x v="0"/>
    <x v="74"/>
    <s v="https://www.gr.ch/DE/institutionen/verwaltung/djsg/ga/coronavirus/info/Seiten/Start.aspx"/>
  </r>
  <r>
    <x v="41"/>
    <m/>
    <x v="3"/>
    <m/>
    <x v="66"/>
    <n v="27"/>
    <n v="4"/>
    <m/>
    <x v="0"/>
    <x v="0"/>
    <s v="https://www.jura.ch/Htdocs/Files/v/34255.xlsx/Departements/CHA/SIC/Carrousel/Coronavirus/Cornavirus/Chiffres/donnees_26_04.xlsx?download=1"/>
  </r>
  <r>
    <x v="41"/>
    <m/>
    <x v="13"/>
    <m/>
    <x v="384"/>
    <n v="59"/>
    <n v="10"/>
    <n v="8"/>
    <x v="0"/>
    <x v="74"/>
    <s v="https://www.ne.ch/autorites/DFS/SCSP/medecin-cantonal/maladies-vaccinations/Documents/Covid-19-Statistiques/COVID19_PublicationInternet.xlsx"/>
  </r>
  <r>
    <x v="41"/>
    <m/>
    <x v="20"/>
    <m/>
    <x v="101"/>
    <n v="11"/>
    <n v="2"/>
    <m/>
    <x v="0"/>
    <x v="1"/>
    <s v="http://www.nw.ch/coronastatistik"/>
  </r>
  <r>
    <x v="41"/>
    <m/>
    <x v="14"/>
    <m/>
    <x v="178"/>
    <n v="70"/>
    <n v="12"/>
    <m/>
    <x v="67"/>
    <x v="20"/>
    <s v="https://www.sg.ch/tools/informationen-coronavirus.html"/>
  </r>
  <r>
    <x v="41"/>
    <m/>
    <x v="21"/>
    <m/>
    <x v="38"/>
    <n v="15"/>
    <n v="3"/>
    <m/>
    <x v="0"/>
    <x v="2"/>
    <s v="https://sh.ch/CMS/get/file/b9efa343-2987-4ab2-a060-9c16eacb0326"/>
  </r>
  <r>
    <x v="41"/>
    <m/>
    <x v="15"/>
    <m/>
    <x v="59"/>
    <m/>
    <m/>
    <m/>
    <x v="82"/>
    <x v="6"/>
    <s v="https://www.sz.ch/behoerden/information-medien/medienmitteilungen/coronavirus.html/72-416-412-1379-6948"/>
  </r>
  <r>
    <x v="41"/>
    <m/>
    <x v="25"/>
    <m/>
    <x v="73"/>
    <n v="34"/>
    <n v="14"/>
    <m/>
    <x v="0"/>
    <x v="9"/>
    <s v="https://www.tg.ch/news/fachdossier-coronavirus.html/10552"/>
  </r>
  <r>
    <x v="41"/>
    <m/>
    <x v="8"/>
    <m/>
    <x v="385"/>
    <n v="365"/>
    <n v="67"/>
    <m/>
    <x v="0"/>
    <x v="75"/>
    <s v="https://www.vd.ch/toutes-les-actualites/hotline-et-informations-sur-le-coronavirus/point-de-situation-statistique-dans-le-canton-de-vaud/"/>
  </r>
  <r>
    <x v="41"/>
    <d v="1899-12-30T00:00:00"/>
    <x v="18"/>
    <m/>
    <x v="386"/>
    <n v="26"/>
    <m/>
    <m/>
    <x v="0"/>
    <x v="4"/>
    <s v="https://corona.so.ch/index.php?id=27979"/>
  </r>
  <r>
    <x v="41"/>
    <d v="1899-12-30T08:00:00"/>
    <x v="17"/>
    <m/>
    <x v="166"/>
    <m/>
    <m/>
    <m/>
    <x v="0"/>
    <x v="4"/>
    <s v="https://www.ar.ch/verwaltung/departement-gesundheit-und-soziales/amt-fuer-gesundheit/informationsseite-coronavirus/"/>
  </r>
  <r>
    <x v="41"/>
    <d v="1899-12-30T08:00:00"/>
    <x v="6"/>
    <m/>
    <x v="387"/>
    <n v="117"/>
    <n v="35"/>
    <n v="30"/>
    <x v="0"/>
    <x v="44"/>
    <s v="https://www.besondere-lage.sites.be.ch/besondere-lage_sites/de/index/corona/index.html"/>
  </r>
  <r>
    <x v="41"/>
    <d v="1899-12-30T08:00:00"/>
    <x v="1"/>
    <m/>
    <x v="388"/>
    <n v="357"/>
    <n v="72"/>
    <n v="62"/>
    <x v="62"/>
    <x v="76"/>
    <s v="https://www4.ti.ch/area-media/comunicati/dettaglio-comunicato/?NEWS_ID=187585&amp;cHash=71dae3c15afd6b09d15f28f43d415af1"/>
  </r>
  <r>
    <x v="41"/>
    <d v="1899-12-30T08:00:00"/>
    <x v="11"/>
    <m/>
    <x v="389"/>
    <n v="14"/>
    <n v="8"/>
    <m/>
    <x v="88"/>
    <x v="4"/>
    <s v="https://www.zg.ch/behoerden/gesundheitsdirektion/statistikfachstelle/themen/gesundheit/corona"/>
  </r>
  <r>
    <x v="41"/>
    <d v="1899-12-30T09:45:00"/>
    <x v="5"/>
    <m/>
    <x v="255"/>
    <n v="99"/>
    <n v="13"/>
    <m/>
    <x v="89"/>
    <x v="29"/>
    <s v="https://www.coronavirus.bs.ch/nm/2020-tagesbulletin-coronavirus-803-bestaetigte-faelle-im-kanton-basel-stadt-gd.html"/>
  </r>
  <r>
    <x v="41"/>
    <d v="1899-12-30T11:00:00"/>
    <x v="24"/>
    <m/>
    <x v="24"/>
    <m/>
    <m/>
    <m/>
    <x v="0"/>
    <x v="1"/>
    <s v="https://www.ai.ch/themen/gesundheit-alter-und-soziales/gesundheitsfoerderung-und-praevention/uebertragbare-krankheiten/coronavirus"/>
  </r>
  <r>
    <x v="41"/>
    <d v="1899-12-30T11:00:00"/>
    <x v="16"/>
    <m/>
    <x v="390"/>
    <n v="61"/>
    <n v="6"/>
    <m/>
    <x v="0"/>
    <x v="11"/>
    <s v="https://gesundheit.lu.ch/themen/Humanmedizin/Infektionskrankheiten/Coronavirus"/>
  </r>
  <r>
    <x v="41"/>
    <d v="1899-12-30T14:00:00"/>
    <x v="22"/>
    <m/>
    <x v="98"/>
    <n v="9"/>
    <m/>
    <m/>
    <x v="90"/>
    <x v="3"/>
    <s v="https://www.ur.ch/themen/2920"/>
  </r>
  <r>
    <x v="41"/>
    <d v="1899-12-30T14:30:00"/>
    <x v="4"/>
    <m/>
    <x v="391"/>
    <n v="198"/>
    <m/>
    <n v="58"/>
    <x v="0"/>
    <x v="77"/>
    <s v="https://gd.zh.ch/internet/gesundheitsdirektion/de/themen/coronavirus.html"/>
  </r>
  <r>
    <x v="41"/>
    <d v="1899-12-30T15:00:00"/>
    <x v="10"/>
    <m/>
    <x v="392"/>
    <n v="82"/>
    <n v="25"/>
    <n v="24"/>
    <x v="0"/>
    <x v="15"/>
    <s v="https://www.ag.ch/media/kanton_aargau/themen_1/coronavirus_1/lagebulletins/200406_KFS_Coronavirus_Lagebulletin_27.pdf"/>
  </r>
  <r>
    <x v="41"/>
    <d v="1899-12-30T15:00:00"/>
    <x v="23"/>
    <m/>
    <x v="224"/>
    <m/>
    <m/>
    <m/>
    <x v="2"/>
    <x v="0"/>
    <s v="https://www.ow.ch/de/verwaltung/dienstleistungen/?dienst_id=5962"/>
  </r>
  <r>
    <x v="41"/>
    <d v="1899-12-30T15:00:00"/>
    <x v="9"/>
    <m/>
    <x v="393"/>
    <n v="134"/>
    <n v="26"/>
    <n v="22"/>
    <x v="23"/>
    <x v="28"/>
    <s v="https://www.vs.ch/documents/6756452/7008787/2020%2004%2023%20Sit%20Epid%20-%20%C3%89tat%20Stand"/>
  </r>
  <r>
    <x v="42"/>
    <m/>
    <x v="7"/>
    <m/>
    <x v="394"/>
    <n v="66"/>
    <n v="18"/>
    <n v="17"/>
    <x v="91"/>
    <x v="16"/>
    <s v="https://www.baselland.ch/politik-und-behorden/direktionen/volkswirtschafts-und-gesundheitsdirektion/amt-fur-gesundheit/medizinische-dienste/kantonsarztlicher-dienst/aktuelles/covid-19-faelle-kanton-basel-landschaft"/>
  </r>
  <r>
    <x v="42"/>
    <m/>
    <x v="2"/>
    <m/>
    <x v="395"/>
    <m/>
    <m/>
    <m/>
    <x v="0"/>
    <x v="2"/>
    <s v="https://www.liechtenstein.li/news-detail/article/aktuelle-informationen-zum-coronavirus/"/>
  </r>
  <r>
    <x v="42"/>
    <m/>
    <x v="12"/>
    <m/>
    <x v="396"/>
    <n v="78"/>
    <n v="22"/>
    <m/>
    <x v="16"/>
    <x v="78"/>
    <s v="https://www.fr.ch/sites/default/files/2020-04/statistiques_situation_FR_2704.xlsx"/>
  </r>
  <r>
    <x v="42"/>
    <m/>
    <x v="0"/>
    <n v="16609"/>
    <x v="397"/>
    <n v="412"/>
    <n v="51"/>
    <n v="48"/>
    <x v="92"/>
    <x v="55"/>
    <s v="https://www.ge.ch/document/covid-19-situation-epidemiologique-geneve/telecharger"/>
  </r>
  <r>
    <x v="42"/>
    <m/>
    <x v="19"/>
    <m/>
    <x v="44"/>
    <n v="2"/>
    <m/>
    <m/>
    <x v="0"/>
    <x v="3"/>
    <s v="https://www.gl.ch/public/upload/assets/27574/COVID-19_Fallzahlen_Kanton_Glarus.xlsx"/>
  </r>
  <r>
    <x v="42"/>
    <m/>
    <x v="26"/>
    <m/>
    <x v="398"/>
    <n v="49"/>
    <m/>
    <m/>
    <x v="0"/>
    <x v="48"/>
    <s v="https://www.gr.ch/DE/institutionen/verwaltung/djsg/ga/coronavirus/info/Seiten/Start.aspx"/>
  </r>
  <r>
    <x v="42"/>
    <m/>
    <x v="3"/>
    <m/>
    <x v="399"/>
    <n v="28"/>
    <n v="4"/>
    <m/>
    <x v="0"/>
    <x v="0"/>
    <s v="https://www.jura.ch/Htdocs/Files/v/34255.xlsx/Departements/CHA/SIC/Carrousel/Coronavirus/Cornavirus/Chiffres/donnees_26_04.xlsx?download=1"/>
  </r>
  <r>
    <x v="42"/>
    <m/>
    <x v="13"/>
    <m/>
    <x v="400"/>
    <n v="64"/>
    <n v="10"/>
    <n v="5"/>
    <x v="0"/>
    <x v="21"/>
    <s v="https://www.ne.ch/autorites/DFS/SCSP/medecin-cantonal/maladies-vaccinations/Documents/Covid-19-Statistiques/COVID19_PublicationInternet.xlsx"/>
  </r>
  <r>
    <x v="42"/>
    <m/>
    <x v="20"/>
    <m/>
    <x v="185"/>
    <n v="9"/>
    <n v="2"/>
    <m/>
    <x v="0"/>
    <x v="1"/>
    <s v="http://www.nw.ch/coronastatistik"/>
  </r>
  <r>
    <x v="42"/>
    <m/>
    <x v="14"/>
    <m/>
    <x v="401"/>
    <n v="65"/>
    <n v="9"/>
    <m/>
    <x v="93"/>
    <x v="15"/>
    <s v="https://www.sg.ch/tools/informationen-coronavirus.html"/>
  </r>
  <r>
    <x v="42"/>
    <m/>
    <x v="15"/>
    <m/>
    <x v="402"/>
    <m/>
    <m/>
    <m/>
    <x v="23"/>
    <x v="9"/>
    <s v="https://www.sz.ch/behoerden/information-medien/medienmitteilungen/coronavirus.html/72-416-412-1379-6948"/>
  </r>
  <r>
    <x v="42"/>
    <m/>
    <x v="25"/>
    <m/>
    <x v="403"/>
    <n v="33"/>
    <n v="13"/>
    <m/>
    <x v="0"/>
    <x v="8"/>
    <s v="https://www.tg.ch/news/fachdossier-coronavirus.html/10552"/>
  </r>
  <r>
    <x v="42"/>
    <m/>
    <x v="8"/>
    <m/>
    <x v="404"/>
    <n v="338"/>
    <n v="66"/>
    <m/>
    <x v="0"/>
    <x v="79"/>
    <s v="https://www.vd.ch/toutes-les-actualites/hotline-et-informations-sur-le-coronavirus/point-de-situation-statistique-dans-le-canton-de-vaud/"/>
  </r>
  <r>
    <x v="42"/>
    <d v="1899-12-30T00:00:00"/>
    <x v="18"/>
    <m/>
    <x v="405"/>
    <n v="29"/>
    <m/>
    <m/>
    <x v="0"/>
    <x v="4"/>
    <s v="https://corona.so.ch/index.php?id=27979"/>
  </r>
  <r>
    <x v="42"/>
    <d v="1899-12-30T08:00:00"/>
    <x v="17"/>
    <m/>
    <x v="166"/>
    <m/>
    <m/>
    <m/>
    <x v="0"/>
    <x v="4"/>
    <s v="https://www.ar.ch/verwaltung/departement-gesundheit-und-soziales/amt-fuer-gesundheit/informationsseite-coronavirus/"/>
  </r>
  <r>
    <x v="42"/>
    <d v="1899-12-30T08:00:00"/>
    <x v="6"/>
    <m/>
    <x v="406"/>
    <n v="122"/>
    <n v="34"/>
    <n v="26"/>
    <x v="0"/>
    <x v="32"/>
    <s v="https://www.besondere-lage.sites.be.ch/besondere-lage_sites/de/index/corona/index.html"/>
  </r>
  <r>
    <x v="42"/>
    <d v="1899-12-30T08:00:00"/>
    <x v="1"/>
    <m/>
    <x v="407"/>
    <n v="357"/>
    <n v="72"/>
    <n v="62"/>
    <x v="62"/>
    <x v="80"/>
    <s v="https://www4.ti.ch/area-media/comunicati/dettaglio-comunicato/?NEWS_ID=187585&amp;tx_tichareamedia_comunicazioni%5Baction%5D=show&amp;tx_tichareamedia_comunicazioni%5Bcontroller%5D=Comunicazioni&amp;cHash=4bf78e02dc8ee0d240e06c4603f5605c"/>
  </r>
  <r>
    <x v="42"/>
    <d v="1899-12-30T08:00:00"/>
    <x v="11"/>
    <m/>
    <x v="232"/>
    <n v="15"/>
    <n v="8"/>
    <m/>
    <x v="94"/>
    <x v="4"/>
    <s v="https://www.zg.ch/behoerden/gesundheitsdirektion/statistikfachstelle/themen/gesundheit/corona"/>
  </r>
  <r>
    <x v="42"/>
    <d v="1899-12-30T09:30:00"/>
    <x v="5"/>
    <m/>
    <x v="408"/>
    <n v="101"/>
    <n v="13"/>
    <m/>
    <x v="95"/>
    <x v="18"/>
    <s v="https://www.gd.bs.ch//nm/2020-tagesbulletin-coronavirus-813-bestaetigte-faelle-im-kanton-basel-stadt-gd.html"/>
  </r>
  <r>
    <x v="42"/>
    <d v="1899-12-30T09:30:00"/>
    <x v="21"/>
    <m/>
    <x v="38"/>
    <n v="14"/>
    <n v="3"/>
    <m/>
    <x v="0"/>
    <x v="2"/>
    <s v="https://sh.ch/CMS/get/file/b9efa343-2987-4ab2-a060-9c16eacb0326"/>
  </r>
  <r>
    <x v="42"/>
    <d v="1899-12-30T11:00:00"/>
    <x v="24"/>
    <m/>
    <x v="24"/>
    <m/>
    <m/>
    <m/>
    <x v="0"/>
    <x v="1"/>
    <s v="https://www.ai.ch/themen/gesundheit-alter-und-soziales/gesundheitsfoerderung-und-praevention/uebertragbare-krankheiten/coronavirus"/>
  </r>
  <r>
    <x v="42"/>
    <d v="1899-12-30T11:00:00"/>
    <x v="16"/>
    <m/>
    <x v="409"/>
    <n v="57"/>
    <n v="6"/>
    <m/>
    <x v="0"/>
    <x v="11"/>
    <s v="https://gesundheit.lu.ch/themen/Humanmedizin/Infektionskrankheiten/Coronavirus"/>
  </r>
  <r>
    <x v="42"/>
    <d v="1899-12-30T14:00:00"/>
    <x v="22"/>
    <m/>
    <x v="34"/>
    <n v="7"/>
    <m/>
    <m/>
    <x v="96"/>
    <x v="3"/>
    <s v="https://www.ur.ch/themen/2920"/>
  </r>
  <r>
    <x v="42"/>
    <d v="1899-12-30T14:30:00"/>
    <x v="23"/>
    <m/>
    <x v="224"/>
    <n v="2"/>
    <m/>
    <m/>
    <x v="0"/>
    <x v="0"/>
    <s v="https://www.ow.ch/de/verwaltung/dienstleistungen/?dienst_id=5962"/>
  </r>
  <r>
    <x v="42"/>
    <d v="1899-12-30T14:30:00"/>
    <x v="4"/>
    <m/>
    <x v="410"/>
    <n v="181"/>
    <m/>
    <n v="60"/>
    <x v="0"/>
    <x v="30"/>
    <s v="https://gd.zh.ch/internet/gesundheitsdirektion/de/themen/coronavirus.html"/>
  </r>
  <r>
    <x v="42"/>
    <d v="1899-12-30T14:45:00"/>
    <x v="10"/>
    <m/>
    <x v="411"/>
    <n v="84"/>
    <n v="25"/>
    <n v="25"/>
    <x v="97"/>
    <x v="22"/>
    <s v="https://www.ag.ch/media/kanton_aargau/themen_1/coronavirus_1/lagebulletins/200407_KFS_Coronavirus_Lagebulletin_28.pdf"/>
  </r>
  <r>
    <x v="42"/>
    <d v="1899-12-30T15:00:00"/>
    <x v="9"/>
    <m/>
    <x v="412"/>
    <n v="131"/>
    <n v="25"/>
    <n v="20"/>
    <x v="98"/>
    <x v="81"/>
    <s v="https://www.vs.ch/documents/6756452/7008787/2020%2004%2023%20Sit%20Epid%20-%20%C3%89tat%20Stand"/>
  </r>
  <r>
    <x v="43"/>
    <m/>
    <x v="7"/>
    <m/>
    <x v="413"/>
    <n v="65"/>
    <n v="18"/>
    <n v="17"/>
    <x v="99"/>
    <x v="35"/>
    <s v="https://www.baselland.ch/politik-und-behorden/direktionen/volkswirtschafts-und-gesundheitsdirektion/amt-fur-gesundheit/medizinische-dienste/kantonsarztlicher-dienst/aktuelles/covid-19-faelle-kanton-basel-landschaft"/>
  </r>
  <r>
    <x v="43"/>
    <m/>
    <x v="12"/>
    <m/>
    <x v="414"/>
    <n v="80"/>
    <n v="22"/>
    <m/>
    <x v="18"/>
    <x v="82"/>
    <s v="https://www.fr.ch/sites/default/files/2020-04/statistiques_situation_FR_2704.xlsx"/>
  </r>
  <r>
    <x v="43"/>
    <m/>
    <x v="0"/>
    <n v="17421"/>
    <x v="415"/>
    <n v="402"/>
    <n v="49"/>
    <n v="47"/>
    <x v="100"/>
    <x v="83"/>
    <s v="https://www.ge.ch/document/covid-19-situation-epidemiologique-geneve/telecharger"/>
  </r>
  <r>
    <x v="43"/>
    <m/>
    <x v="19"/>
    <m/>
    <x v="271"/>
    <n v="2"/>
    <m/>
    <m/>
    <x v="0"/>
    <x v="3"/>
    <s v="https://www.gl.ch/public/upload/assets/27574/COVID-19_Fallzahlen_Kanton_Glarus.xlsx"/>
  </r>
  <r>
    <x v="43"/>
    <m/>
    <x v="26"/>
    <m/>
    <x v="416"/>
    <n v="38"/>
    <m/>
    <m/>
    <x v="0"/>
    <x v="48"/>
    <s v="https://www.gr.ch/DE/institutionen/verwaltung/djsg/ga/coronavirus/info/Seiten/Start.aspx"/>
  </r>
  <r>
    <x v="43"/>
    <m/>
    <x v="3"/>
    <m/>
    <x v="417"/>
    <n v="31"/>
    <n v="4"/>
    <m/>
    <x v="0"/>
    <x v="2"/>
    <s v="https://www.jura.ch/Htdocs/Files/v/34255.xlsx/Departements/CHA/SIC/Carrousel/Coronavirus/Cornavirus/Chiffres/donnees_26_04.xlsx?download=1"/>
  </r>
  <r>
    <x v="43"/>
    <m/>
    <x v="13"/>
    <m/>
    <x v="370"/>
    <n v="63"/>
    <n v="10"/>
    <n v="7"/>
    <x v="0"/>
    <x v="27"/>
    <s v="https://www.ne.ch/autorites/DFS/SCSP/medecin-cantonal/maladies-vaccinations/Documents/Covid-19-Statistiques/COVID19_PublicationInternet.xlsx"/>
  </r>
  <r>
    <x v="43"/>
    <m/>
    <x v="20"/>
    <m/>
    <x v="84"/>
    <n v="9"/>
    <n v="1"/>
    <m/>
    <x v="0"/>
    <x v="1"/>
    <s v="http://www.nw.ch/coronastatistik"/>
  </r>
  <r>
    <x v="43"/>
    <m/>
    <x v="14"/>
    <m/>
    <x v="418"/>
    <n v="52"/>
    <n v="12"/>
    <m/>
    <x v="101"/>
    <x v="14"/>
    <s v="https://www.sg.ch/tools/informationen-coronavirus.html"/>
  </r>
  <r>
    <x v="43"/>
    <m/>
    <x v="15"/>
    <m/>
    <x v="297"/>
    <m/>
    <m/>
    <m/>
    <x v="102"/>
    <x v="9"/>
    <s v="https://www.sz.ch/behoerden/information-medien/medienmitteilungen/coronavirus.html/72-416-412-1379-6948"/>
  </r>
  <r>
    <x v="43"/>
    <m/>
    <x v="25"/>
    <m/>
    <x v="419"/>
    <n v="30"/>
    <n v="15"/>
    <m/>
    <x v="0"/>
    <x v="8"/>
    <s v="https://www.tg.ch/news/fachdossier-coronavirus.html/10552"/>
  </r>
  <r>
    <x v="43"/>
    <m/>
    <x v="8"/>
    <m/>
    <x v="420"/>
    <n v="331"/>
    <n v="65"/>
    <m/>
    <x v="0"/>
    <x v="84"/>
    <s v="https://www.vd.ch/toutes-les-actualites/hotline-et-informations-sur-le-coronavirus/point-de-situation-statistique-dans-le-canton-de-vaud/"/>
  </r>
  <r>
    <x v="43"/>
    <d v="1899-12-30T00:00:00"/>
    <x v="18"/>
    <m/>
    <x v="54"/>
    <n v="22"/>
    <m/>
    <m/>
    <x v="0"/>
    <x v="4"/>
    <s v="https://corona.so.ch/index.php?id=27979"/>
  </r>
  <r>
    <x v="43"/>
    <d v="1899-12-30T08:00:00"/>
    <x v="17"/>
    <m/>
    <x v="189"/>
    <m/>
    <m/>
    <m/>
    <x v="0"/>
    <x v="4"/>
    <s v="https://www.ar.ch/verwaltung/departement-gesundheit-und-soziales/amt-fuer-gesundheit/informationsseite-coronavirus/"/>
  </r>
  <r>
    <x v="43"/>
    <d v="1899-12-30T08:00:00"/>
    <x v="6"/>
    <m/>
    <x v="421"/>
    <n v="127"/>
    <n v="35"/>
    <n v="27"/>
    <x v="0"/>
    <x v="21"/>
    <s v="https://www.besondere-lage.sites.be.ch/besondere-lage_sites/de/index/corona/index.html"/>
  </r>
  <r>
    <x v="43"/>
    <d v="1899-12-30T08:00:00"/>
    <x v="1"/>
    <m/>
    <x v="422"/>
    <n v="319"/>
    <n v="71"/>
    <n v="64"/>
    <x v="103"/>
    <x v="85"/>
    <s v="https://www4.ti.ch/area-media/comunicati/dettaglio-comunicato/?NEWS_ID=187593&amp;cHash=04877af9adec32de4f5ef43a5916f801"/>
  </r>
  <r>
    <x v="43"/>
    <d v="1899-12-30T08:00:00"/>
    <x v="11"/>
    <m/>
    <x v="423"/>
    <n v="12"/>
    <n v="9"/>
    <m/>
    <x v="104"/>
    <x v="4"/>
    <s v="https://www.zg.ch/behoerden/gesundheitsdirektion/statistikfachstelle/themen/gesundheit/corona"/>
  </r>
  <r>
    <x v="43"/>
    <d v="1899-12-30T09:30:00"/>
    <x v="21"/>
    <m/>
    <x v="38"/>
    <n v="15"/>
    <n v="2"/>
    <m/>
    <x v="0"/>
    <x v="2"/>
    <s v="https://sh.ch/CMS/get/file/b9efa343-2987-4ab2-a060-9c16eacb0326"/>
  </r>
  <r>
    <x v="43"/>
    <d v="1899-12-30T10:00:00"/>
    <x v="5"/>
    <m/>
    <x v="424"/>
    <n v="99"/>
    <n v="14"/>
    <m/>
    <x v="105"/>
    <x v="44"/>
    <s v="https://www.gd.bs.ch//nm/2020-tagesbulletin-coronavirus-834-bestaetigte-faelle-im-kanton-basel-stadt-gd.html"/>
  </r>
  <r>
    <x v="43"/>
    <d v="1899-12-30T11:00:00"/>
    <x v="24"/>
    <m/>
    <x v="20"/>
    <m/>
    <m/>
    <m/>
    <x v="0"/>
    <x v="1"/>
    <s v="https://www.ai.ch/themen/gesundheit-alter-und-soziales/gesundheitsfoerderung-und-praevention/uebertragbare-krankheiten/coronavirus"/>
  </r>
  <r>
    <x v="43"/>
    <d v="1899-12-30T11:00:00"/>
    <x v="16"/>
    <m/>
    <x v="425"/>
    <m/>
    <m/>
    <m/>
    <x v="0"/>
    <x v="11"/>
    <s v="https://gesundheit.lu.ch/themen/Humanmedizin/Infektionskrankheiten/Coronavirus"/>
  </r>
  <r>
    <x v="43"/>
    <d v="1899-12-30T14:00:00"/>
    <x v="22"/>
    <m/>
    <x v="189"/>
    <n v="5"/>
    <m/>
    <m/>
    <x v="96"/>
    <x v="5"/>
    <s v="https://www.ur.ch/themen/2962"/>
  </r>
  <r>
    <x v="43"/>
    <d v="1899-12-30T14:30:00"/>
    <x v="4"/>
    <m/>
    <x v="426"/>
    <n v="170"/>
    <m/>
    <n v="56"/>
    <x v="0"/>
    <x v="86"/>
    <s v="https://gd.zh.ch/internet/gesundheitsdirektion/de/themen/coronavirus.html"/>
  </r>
  <r>
    <x v="43"/>
    <d v="1899-12-30T14:45:00"/>
    <x v="10"/>
    <m/>
    <x v="427"/>
    <n v="79"/>
    <n v="23"/>
    <n v="23"/>
    <x v="106"/>
    <x v="22"/>
    <s v="https://www.ag.ch/media/kanton_aargau/themen_1/coronavirus_1/lagebulletins/200408_KFS_Coronavirus_Lagebulletin_29.pdf"/>
  </r>
  <r>
    <x v="43"/>
    <d v="1899-12-30T15:00:00"/>
    <x v="23"/>
    <m/>
    <x v="105"/>
    <n v="2"/>
    <m/>
    <m/>
    <x v="0"/>
    <x v="0"/>
    <s v="https://www.ow.ch/de/verwaltung/dienstleistungen/?dienst_id=5962"/>
  </r>
  <r>
    <x v="43"/>
    <d v="1899-12-30T15:00:00"/>
    <x v="9"/>
    <m/>
    <x v="428"/>
    <n v="124"/>
    <n v="26"/>
    <n v="20"/>
    <x v="107"/>
    <x v="87"/>
    <s v="https://www.vs.ch/documents/6756452/7008787/2020%2004%2023%20Sit%20Epid%20-%20%C3%89tat%20Stand"/>
  </r>
  <r>
    <x v="44"/>
    <m/>
    <x v="7"/>
    <m/>
    <x v="429"/>
    <n v="62"/>
    <n v="18"/>
    <n v="16"/>
    <x v="108"/>
    <x v="35"/>
    <s v="https://www.baselland.ch/politik-und-behorden/direktionen/volkswirtschafts-und-gesundheitsdirektion/amt-fur-gesundheit/medizinische-dienste/kantonsarztlicher-dienst/aktuelles/covid-19-faelle-kanton-basel-landschaft"/>
  </r>
  <r>
    <x v="44"/>
    <m/>
    <x v="12"/>
    <m/>
    <x v="102"/>
    <n v="80"/>
    <n v="20"/>
    <m/>
    <x v="109"/>
    <x v="88"/>
    <s v="https://www.fr.ch/sites/default/files/2020-04/statistiques_situation_FR_2704.xlsx"/>
  </r>
  <r>
    <x v="44"/>
    <m/>
    <x v="0"/>
    <n v="17942"/>
    <x v="430"/>
    <n v="393"/>
    <n v="47"/>
    <n v="45"/>
    <x v="0"/>
    <x v="89"/>
    <s v="https://www.ge.ch/document/covid-19-situation-epidemiologique-geneve/telecharger"/>
  </r>
  <r>
    <x v="44"/>
    <m/>
    <x v="19"/>
    <m/>
    <x v="98"/>
    <n v="2"/>
    <m/>
    <m/>
    <x v="0"/>
    <x v="3"/>
    <s v="https://www.gl.ch/public/upload/assets/27574/COVID-19_Fallzahlen_Kanton_Glarus.xlsx"/>
  </r>
  <r>
    <x v="44"/>
    <m/>
    <x v="26"/>
    <m/>
    <x v="431"/>
    <n v="39"/>
    <m/>
    <m/>
    <x v="0"/>
    <x v="56"/>
    <s v="https://www.gr.ch/DE/institutionen/verwaltung/djsg/ga/coronavirus/info/Seiten/Start.aspx"/>
  </r>
  <r>
    <x v="44"/>
    <m/>
    <x v="3"/>
    <m/>
    <x v="326"/>
    <n v="28"/>
    <n v="5"/>
    <m/>
    <x v="0"/>
    <x v="2"/>
    <s v="https://www.jura.ch/Htdocs/Files/v/34255.xlsx/Departements/CHA/SIC/Carrousel/Coronavirus/Cornavirus/Chiffres/donnees_26_04.xlsx?download=1"/>
  </r>
  <r>
    <x v="44"/>
    <m/>
    <x v="13"/>
    <m/>
    <x v="289"/>
    <n v="58"/>
    <n v="10"/>
    <n v="7"/>
    <x v="0"/>
    <x v="90"/>
    <s v="https://www.ne.ch/autorites/DFS/SCSP/medecin-cantonal/maladies-vaccinations/Documents/Covid-19-Statistiques/COVID19_PublicationInternet.xlsx"/>
  </r>
  <r>
    <x v="44"/>
    <m/>
    <x v="20"/>
    <m/>
    <x v="201"/>
    <n v="9"/>
    <n v="1"/>
    <m/>
    <x v="0"/>
    <x v="1"/>
    <s v="http://www.nw.ch/coronastatistik"/>
  </r>
  <r>
    <x v="44"/>
    <m/>
    <x v="14"/>
    <m/>
    <x v="432"/>
    <n v="52"/>
    <n v="13"/>
    <m/>
    <x v="75"/>
    <x v="22"/>
    <s v="https://www.sg.ch/tools/informationen-coronavirus.html"/>
  </r>
  <r>
    <x v="44"/>
    <m/>
    <x v="15"/>
    <m/>
    <x v="372"/>
    <m/>
    <m/>
    <m/>
    <x v="110"/>
    <x v="11"/>
    <s v="https://www.sz.ch/behoerden/information-medien/medienmitteilungen/coronavirus.html/72-416-412-1379-6948"/>
  </r>
  <r>
    <x v="44"/>
    <m/>
    <x v="25"/>
    <m/>
    <x v="180"/>
    <n v="27"/>
    <n v="12"/>
    <m/>
    <x v="0"/>
    <x v="8"/>
    <s v="https://www.tg.ch/news/fachdossier-coronavirus.html/10552"/>
  </r>
  <r>
    <x v="44"/>
    <m/>
    <x v="8"/>
    <m/>
    <x v="433"/>
    <n v="314"/>
    <n v="65"/>
    <m/>
    <x v="0"/>
    <x v="91"/>
    <s v="https://www.vd.ch/toutes-les-actualites/hotline-et-informations-sur-le-coronavirus/point-de-situation-statistique-dans-le-canton-de-vaud/"/>
  </r>
  <r>
    <x v="44"/>
    <d v="1899-12-30T00:00:00"/>
    <x v="18"/>
    <m/>
    <x v="113"/>
    <n v="23"/>
    <m/>
    <m/>
    <x v="0"/>
    <x v="7"/>
    <s v="https://corona.so.ch/index.php?id=27979"/>
  </r>
  <r>
    <x v="44"/>
    <d v="1899-12-30T08:00:00"/>
    <x v="17"/>
    <m/>
    <x v="76"/>
    <m/>
    <m/>
    <m/>
    <x v="0"/>
    <x v="4"/>
    <s v="https://www.ar.ch/verwaltung/departement-gesundheit-und-soziales/amt-fuer-gesundheit/informationsseite-coronavirus/"/>
  </r>
  <r>
    <x v="44"/>
    <d v="1899-12-30T08:00:00"/>
    <x v="6"/>
    <m/>
    <x v="434"/>
    <n v="117"/>
    <n v="36"/>
    <n v="27"/>
    <x v="0"/>
    <x v="92"/>
    <s v="https://www.besondere-lage.sites.be.ch/besondere-lage_sites/de/index/corona/index.html"/>
  </r>
  <r>
    <x v="44"/>
    <d v="1899-12-30T08:00:00"/>
    <x v="1"/>
    <m/>
    <x v="435"/>
    <n v="301"/>
    <n v="72"/>
    <n v="68"/>
    <x v="111"/>
    <x v="93"/>
    <s v="https://www4.ti.ch/area-media/comunicati/dettaglio-comunicato/?NEWS_ID=187601&amp;tx_tichareamedia_comunicazioni%5Baction%5D=show&amp;tx_tichareamedia_comunicazioni%5Bcontroller%5D=Comunicazioni&amp;cHash=a02f7a88b61d913138f4f86dbeeaa599"/>
  </r>
  <r>
    <x v="44"/>
    <d v="1899-12-30T08:00:00"/>
    <x v="11"/>
    <m/>
    <x v="339"/>
    <n v="13"/>
    <n v="9"/>
    <m/>
    <x v="112"/>
    <x v="4"/>
    <s v="https://www.zg.ch/behoerden/gesundheitsdirektion/statistikfachstelle/themen/gesundheit/corona"/>
  </r>
  <r>
    <x v="44"/>
    <d v="1899-12-30T09:30:00"/>
    <x v="21"/>
    <m/>
    <x v="90"/>
    <n v="17"/>
    <n v="2"/>
    <m/>
    <x v="0"/>
    <x v="2"/>
    <s v="https://sh.ch/CMS/get/file/b9efa343-2987-4ab2-a060-9c16eacb0326"/>
  </r>
  <r>
    <x v="44"/>
    <d v="1899-12-30T10:00:00"/>
    <x v="5"/>
    <m/>
    <x v="436"/>
    <n v="93"/>
    <n v="13"/>
    <m/>
    <x v="113"/>
    <x v="32"/>
    <s v="https://www.gd.bs.ch//nm/2020-tagesbulletin-coronavirus-846-bestaetigte-faelle-im-kanton-basel-stadt-gd.html"/>
  </r>
  <r>
    <x v="44"/>
    <d v="1899-12-30T11:00:00"/>
    <x v="24"/>
    <m/>
    <x v="16"/>
    <m/>
    <m/>
    <m/>
    <x v="0"/>
    <x v="1"/>
    <s v="https://www.ai.ch/themen/gesundheit-alter-und-soziales/gesundheitsfoerderung-und-praevention/uebertragbare-krankheiten/coronavirus"/>
  </r>
  <r>
    <x v="44"/>
    <d v="1899-12-30T13:00:00"/>
    <x v="16"/>
    <m/>
    <x v="437"/>
    <n v="62"/>
    <n v="6"/>
    <m/>
    <x v="0"/>
    <x v="11"/>
    <s v="https://gesundheit.lu.ch/themen/Humanmedizin/Infektionskrankheiten/Coronavirus"/>
  </r>
  <r>
    <x v="44"/>
    <d v="1899-12-30T14:00:00"/>
    <x v="22"/>
    <m/>
    <x v="189"/>
    <n v="4"/>
    <m/>
    <m/>
    <x v="114"/>
    <x v="5"/>
    <s v="https://www.ur.ch/themen/2962"/>
  </r>
  <r>
    <x v="44"/>
    <d v="1899-12-30T14:30:00"/>
    <x v="4"/>
    <m/>
    <x v="438"/>
    <n v="165"/>
    <m/>
    <n v="55"/>
    <x v="0"/>
    <x v="49"/>
    <s v="https://gd.zh.ch/internet/gesundheitsdirektion/de/themen/coronavirus.html"/>
  </r>
  <r>
    <x v="44"/>
    <d v="1899-12-30T14:45:00"/>
    <x v="10"/>
    <m/>
    <x v="439"/>
    <n v="87"/>
    <n v="22"/>
    <n v="21"/>
    <x v="115"/>
    <x v="24"/>
    <s v="https://www.ag.ch/media/kanton_aargau/themen_1/coronavirus_1/lagebulletins/200409_KFS_Coronavirus_Lagebulletin_30.pdf"/>
  </r>
  <r>
    <x v="44"/>
    <d v="1899-12-30T15:00:00"/>
    <x v="23"/>
    <m/>
    <x v="256"/>
    <n v="1"/>
    <m/>
    <m/>
    <x v="0"/>
    <x v="0"/>
    <s v="https://www.ow.ch/de/verwaltung/dienstleistungen/?dienst_id=5962"/>
  </r>
  <r>
    <x v="44"/>
    <d v="1899-12-30T15:00:00"/>
    <x v="9"/>
    <m/>
    <x v="440"/>
    <n v="118"/>
    <n v="24"/>
    <n v="19"/>
    <x v="116"/>
    <x v="94"/>
    <s v="https://www.vs.ch/documents/6756452/7008787/2020%2004%2023%20Sit%20Epid%20-%20%C3%89tat%20Stand"/>
  </r>
  <r>
    <x v="45"/>
    <m/>
    <x v="7"/>
    <m/>
    <x v="441"/>
    <n v="54"/>
    <n v="17"/>
    <n v="15"/>
    <x v="117"/>
    <x v="17"/>
    <s v="https://www.baselland.ch/politik-und-behorden/direktionen/volkswirtschafts-und-gesundheitsdirektion/amt-fur-gesundheit/medizinische-dienste/kantonsarztlicher-dienst/aktuelles/covid-19-faelle-kanton-basel-landschaft"/>
  </r>
  <r>
    <x v="45"/>
    <m/>
    <x v="2"/>
    <m/>
    <x v="338"/>
    <m/>
    <m/>
    <m/>
    <x v="0"/>
    <x v="2"/>
    <s v="https://www.regierung.li/media/attachments/188-corona-keine-neuen-faelle-0410.pdf?t=637222261316868970"/>
  </r>
  <r>
    <x v="45"/>
    <m/>
    <x v="12"/>
    <m/>
    <x v="442"/>
    <n v="73"/>
    <n v="19"/>
    <m/>
    <x v="63"/>
    <x v="40"/>
    <s v="https://www.fr.ch/sites/default/files/2020-04/statistiques_situation_FR_2704.xlsx"/>
  </r>
  <r>
    <x v="45"/>
    <m/>
    <x v="0"/>
    <n v="18361"/>
    <x v="443"/>
    <n v="379"/>
    <n v="47"/>
    <n v="47"/>
    <x v="118"/>
    <x v="68"/>
    <s v="https://www.ge.ch/document/covid-19-situation-epidemiologique-geneve/telecharger"/>
  </r>
  <r>
    <x v="45"/>
    <m/>
    <x v="19"/>
    <m/>
    <x v="63"/>
    <n v="2"/>
    <m/>
    <m/>
    <x v="0"/>
    <x v="3"/>
    <s v="https://www.gl.ch/public/upload/assets/27574/COVID-19_Fallzahlen_Kanton_Glarus.xlsx"/>
  </r>
  <r>
    <x v="45"/>
    <m/>
    <x v="26"/>
    <m/>
    <x v="444"/>
    <n v="35"/>
    <m/>
    <m/>
    <x v="0"/>
    <x v="56"/>
    <s v="https://www.gr.ch/DE/institutionen/verwaltung/djsg/ga/coronavirus/info/Seiten/Start.aspx"/>
  </r>
  <r>
    <x v="45"/>
    <m/>
    <x v="3"/>
    <m/>
    <x v="117"/>
    <n v="25"/>
    <n v="5"/>
    <m/>
    <x v="0"/>
    <x v="4"/>
    <s v="https://www.jura.ch/Htdocs/Files/v/34255.xlsx/Departements/CHA/SIC/Carrousel/Coronavirus/Cornavirus/Chiffres/donnees_26_04.xlsx?download=1"/>
  </r>
  <r>
    <x v="45"/>
    <m/>
    <x v="13"/>
    <m/>
    <x v="445"/>
    <n v="63"/>
    <n v="11"/>
    <n v="8"/>
    <x v="0"/>
    <x v="90"/>
    <s v="https://www.ne.ch/autorites/DFS/SCSP/medecin-cantonal/maladies-vaccinations/Documents/Covid-19-Statistiques/COVID19_PublicationInternet.xlsx"/>
  </r>
  <r>
    <x v="45"/>
    <m/>
    <x v="20"/>
    <m/>
    <x v="72"/>
    <n v="7"/>
    <n v="1"/>
    <m/>
    <x v="0"/>
    <x v="1"/>
    <s v="http://www.nw.ch/coronastatistik"/>
  </r>
  <r>
    <x v="45"/>
    <m/>
    <x v="14"/>
    <m/>
    <x v="446"/>
    <n v="60"/>
    <n v="11"/>
    <m/>
    <x v="82"/>
    <x v="24"/>
    <s v="https://www.sg.ch/tools/informationen-coronavirus.html"/>
  </r>
  <r>
    <x v="45"/>
    <m/>
    <x v="15"/>
    <m/>
    <x v="447"/>
    <m/>
    <m/>
    <m/>
    <x v="119"/>
    <x v="10"/>
    <s v="https://www.sz.ch/behoerden/information-medien/medienmitteilungen/coronavirus.html/72-416-412-1379-6948"/>
  </r>
  <r>
    <x v="45"/>
    <m/>
    <x v="25"/>
    <m/>
    <x v="405"/>
    <n v="32"/>
    <n v="13"/>
    <m/>
    <x v="0"/>
    <x v="8"/>
    <s v="https://www.tg.ch/news/fachdossier-coronavirus.html/10552"/>
  </r>
  <r>
    <x v="45"/>
    <m/>
    <x v="8"/>
    <m/>
    <x v="448"/>
    <n v="305"/>
    <n v="67"/>
    <m/>
    <x v="0"/>
    <x v="95"/>
    <s v="https://www.vd.ch/toutes-les-actualites/hotline-et-informations-sur-le-coronavirus/point-de-situation-statistique-dans-le-canton-de-vaud/"/>
  </r>
  <r>
    <x v="45"/>
    <d v="1899-12-30T00:00:00"/>
    <x v="18"/>
    <m/>
    <x v="449"/>
    <n v="22"/>
    <m/>
    <m/>
    <x v="0"/>
    <x v="7"/>
    <s v="https://corona.so.ch/index.php?id=27979"/>
  </r>
  <r>
    <x v="45"/>
    <d v="1899-12-30T08:00:00"/>
    <x v="17"/>
    <m/>
    <x v="351"/>
    <m/>
    <m/>
    <m/>
    <x v="0"/>
    <x v="4"/>
    <s v="https://www.ar.ch/verwaltung/departement-gesundheit-und-soziales/amt-fuer-gesundheit/informationsseite-coronavirus/"/>
  </r>
  <r>
    <x v="45"/>
    <d v="1899-12-30T08:00:00"/>
    <x v="6"/>
    <m/>
    <x v="450"/>
    <n v="107"/>
    <n v="33"/>
    <n v="25"/>
    <x v="0"/>
    <x v="90"/>
    <s v="https://www.besondere-lage.sites.be.ch/besondere-lage_sites/de/index/corona/index.html"/>
  </r>
  <r>
    <x v="45"/>
    <d v="1899-12-30T08:00:00"/>
    <x v="1"/>
    <m/>
    <x v="451"/>
    <n v="297"/>
    <n v="68"/>
    <n v="62"/>
    <x v="120"/>
    <x v="96"/>
    <s v="https://www4.ti.ch/area-media/comunicati/dettaglio-comunicato/?NEWS_ID=187607&amp;tx_tichareamedia_comunicazioni%5Baction%5D=show&amp;tx_tichareamedia_comunicazioni%5Bcontroller%5D=Comunicazioni&amp;cHash=e9c51debb7c11815ec53651f6c8c8d24"/>
  </r>
  <r>
    <x v="45"/>
    <d v="1899-12-30T08:00:00"/>
    <x v="11"/>
    <m/>
    <x v="139"/>
    <n v="15"/>
    <n v="9"/>
    <m/>
    <x v="30"/>
    <x v="4"/>
    <s v="https://www.zg.ch/behoerden/gesundheitsdirektion/statistikfachstelle/themen/gesundheit/corona"/>
  </r>
  <r>
    <x v="45"/>
    <d v="1899-12-30T09:30:00"/>
    <x v="21"/>
    <m/>
    <x v="55"/>
    <n v="13"/>
    <n v="2"/>
    <m/>
    <x v="0"/>
    <x v="2"/>
    <s v="https://sh.ch/CMS/get/file/b9efa343-2987-4ab2-a060-9c16eacb0326"/>
  </r>
  <r>
    <x v="45"/>
    <d v="1899-12-30T10:00:00"/>
    <x v="5"/>
    <m/>
    <x v="452"/>
    <n v="87"/>
    <n v="13"/>
    <m/>
    <x v="121"/>
    <x v="32"/>
    <s v="https://www.gd.bs.ch//nm/2020-tagesbulletin-coronavirus-859-bestaetigte-faelle-im-kanton-basel-stadt-gd.html"/>
  </r>
  <r>
    <x v="45"/>
    <d v="1899-12-30T13:00:00"/>
    <x v="16"/>
    <m/>
    <x v="78"/>
    <n v="69"/>
    <n v="6"/>
    <m/>
    <x v="0"/>
    <x v="11"/>
    <s v="https://gesundheit.lu.ch/themen/Humanmedizin/Infektionskrankheiten/Coronavirus"/>
  </r>
  <r>
    <x v="45"/>
    <d v="1899-12-30T14:30:00"/>
    <x v="4"/>
    <m/>
    <x v="453"/>
    <n v="152"/>
    <m/>
    <n v="50"/>
    <x v="0"/>
    <x v="87"/>
    <s v="https://gd.zh.ch/internet/gesundheitsdirektion/de/themen/coronavirus.html"/>
  </r>
  <r>
    <x v="45"/>
    <d v="1899-12-30T14:45:00"/>
    <x v="10"/>
    <m/>
    <x v="454"/>
    <m/>
    <m/>
    <m/>
    <x v="0"/>
    <x v="41"/>
    <s v="https://www.ag.ch/media/kanton_aargau/themen_1/coronavirus_1/lagebulletins/200411_KFS_Coronavirus_Lagebulletin_31.pdf"/>
  </r>
  <r>
    <x v="45"/>
    <d v="1899-12-30T15:00:00"/>
    <x v="9"/>
    <m/>
    <x v="455"/>
    <n v="116"/>
    <n v="24"/>
    <n v="18"/>
    <x v="116"/>
    <x v="57"/>
    <s v="https://www.vs.ch/documents/6756452/7008787/2020%2004%2023%20Sit%20Epid%20-%20%C3%89tat%20Stand"/>
  </r>
  <r>
    <x v="45"/>
    <d v="1899-12-30T16:00:00"/>
    <x v="22"/>
    <m/>
    <x v="76"/>
    <n v="4"/>
    <m/>
    <m/>
    <x v="60"/>
    <x v="5"/>
    <s v="https://www.ur.ch/themen/2962"/>
  </r>
  <r>
    <x v="46"/>
    <m/>
    <x v="7"/>
    <m/>
    <x v="456"/>
    <n v="50"/>
    <n v="16"/>
    <n v="15"/>
    <x v="122"/>
    <x v="17"/>
    <s v="https://www.baselland.ch/politik-und-behorden/direktionen/volkswirtschafts-und-gesundheitsdirektion/amt-fur-gesundheit/medizinische-dienste/kantonsarztlicher-dienst/aktuelles/covid-19-faelle-kanton-basel-landschaft"/>
  </r>
  <r>
    <x v="46"/>
    <m/>
    <x v="2"/>
    <m/>
    <x v="338"/>
    <m/>
    <m/>
    <m/>
    <x v="0"/>
    <x v="2"/>
    <s v="https://www.regierung.li/media/attachments/189-corona-keine-neuen-faelle-0411.pdf?t=637222261316868970"/>
  </r>
  <r>
    <x v="46"/>
    <m/>
    <x v="12"/>
    <m/>
    <x v="135"/>
    <n v="68"/>
    <n v="20"/>
    <m/>
    <x v="82"/>
    <x v="26"/>
    <s v="https://www.fr.ch/sites/default/files/2020-04/statistiques_situation_FR_2704.xlsx"/>
  </r>
  <r>
    <x v="46"/>
    <m/>
    <x v="0"/>
    <n v="18725"/>
    <x v="457"/>
    <n v="364"/>
    <n v="48"/>
    <n v="44"/>
    <x v="123"/>
    <x v="97"/>
    <s v="https://www.ge.ch/document/covid-19-situation-epidemiologique-geneve/telecharger"/>
  </r>
  <r>
    <x v="46"/>
    <m/>
    <x v="19"/>
    <m/>
    <x v="458"/>
    <n v="2"/>
    <m/>
    <m/>
    <x v="0"/>
    <x v="3"/>
    <s v="https://www.gl.ch/public/upload/assets/27574/COVID-19_Fallzahlen_Kanton_Glarus.xlsx"/>
  </r>
  <r>
    <x v="46"/>
    <m/>
    <x v="26"/>
    <m/>
    <x v="459"/>
    <n v="35"/>
    <m/>
    <m/>
    <x v="0"/>
    <x v="56"/>
    <s v="https://www.gr.ch/DE/institutionen/verwaltung/djsg/ga/coronavirus/info/Seiten/Start.aspx"/>
  </r>
  <r>
    <x v="46"/>
    <m/>
    <x v="3"/>
    <m/>
    <x v="460"/>
    <n v="23"/>
    <n v="5"/>
    <m/>
    <x v="0"/>
    <x v="4"/>
    <s v="https://www.jura.ch/Htdocs/Files/v/34255.xlsx/Departements/CHA/SIC/Carrousel/Coronavirus/Cornavirus/Chiffres/donnees_26_04.xlsx?download=1"/>
  </r>
  <r>
    <x v="46"/>
    <m/>
    <x v="13"/>
    <m/>
    <x v="461"/>
    <n v="64"/>
    <n v="11"/>
    <n v="9"/>
    <x v="0"/>
    <x v="78"/>
    <s v="https://www.ne.ch/autorites/DFS/SCSP/medecin-cantonal/maladies-vaccinations/Documents/Covid-19-Statistiques/COVID19_PublicationInternet.xlsx"/>
  </r>
  <r>
    <x v="46"/>
    <m/>
    <x v="20"/>
    <m/>
    <x v="462"/>
    <n v="8"/>
    <n v="2"/>
    <m/>
    <x v="0"/>
    <x v="2"/>
    <s v="http://www.nw.ch/coronastatistik"/>
  </r>
  <r>
    <x v="46"/>
    <m/>
    <x v="14"/>
    <m/>
    <x v="463"/>
    <n v="60"/>
    <n v="11"/>
    <m/>
    <x v="124"/>
    <x v="41"/>
    <s v="https://www.sg.ch/tools/informationen-coronavirus.html"/>
  </r>
  <r>
    <x v="46"/>
    <m/>
    <x v="15"/>
    <m/>
    <x v="464"/>
    <m/>
    <m/>
    <m/>
    <x v="119"/>
    <x v="10"/>
    <s v="https://www.sz.ch/behoerden/information-medien/medienmitteilungen/coronavirus.html/72-416-412-1379-6948"/>
  </r>
  <r>
    <x v="46"/>
    <m/>
    <x v="25"/>
    <m/>
    <x v="465"/>
    <n v="32"/>
    <n v="14"/>
    <m/>
    <x v="0"/>
    <x v="8"/>
    <s v="https://www.tg.ch/news/fachdossier-coronavirus.html/10552"/>
  </r>
  <r>
    <x v="46"/>
    <m/>
    <x v="8"/>
    <m/>
    <x v="466"/>
    <n v="291"/>
    <n v="67"/>
    <m/>
    <x v="0"/>
    <x v="98"/>
    <s v="https://www.vd.ch/toutes-les-actualites/hotline-et-informations-sur-le-coronavirus/point-de-situation-statistique-dans-le-canton-de-vaud/"/>
  </r>
  <r>
    <x v="46"/>
    <d v="1899-12-30T00:00:00"/>
    <x v="18"/>
    <m/>
    <x v="179"/>
    <m/>
    <m/>
    <m/>
    <x v="0"/>
    <x v="6"/>
    <s v="https://corona.so.ch/index.php?id=27979"/>
  </r>
  <r>
    <x v="46"/>
    <d v="1899-12-30T08:00:00"/>
    <x v="6"/>
    <m/>
    <x v="467"/>
    <n v="99"/>
    <n v="33"/>
    <n v="24"/>
    <x v="0"/>
    <x v="78"/>
    <s v="https://www.besondere-lage.sites.be.ch/besondere-lage_sites/de/index/corona/index.html"/>
  </r>
  <r>
    <x v="46"/>
    <d v="1899-12-30T08:00:00"/>
    <x v="1"/>
    <m/>
    <x v="468"/>
    <n v="282"/>
    <n v="68"/>
    <n v="59"/>
    <x v="125"/>
    <x v="99"/>
    <s v="https://www4.ti.ch/area-media/comunicati/dettaglio-comunicato/?NEWS_ID=187611&amp;tx_tichareamedia_comunicazioni%5Baction%5D=show&amp;tx_tichareamedia_comunicazioni%5Bcontroller%5D=Comunicazioni&amp;cHash=6f94f1f1d5cf92bdf5a1e053e6602530"/>
  </r>
  <r>
    <x v="46"/>
    <d v="1899-12-30T08:00:00"/>
    <x v="11"/>
    <m/>
    <x v="139"/>
    <n v="14"/>
    <n v="9"/>
    <m/>
    <x v="93"/>
    <x v="5"/>
    <s v="https://www.zg.ch/behoerden/gesundheitsdirektion/statistikfachstelle/themen/gesundheit/corona"/>
  </r>
  <r>
    <x v="46"/>
    <d v="1899-12-30T09:30:00"/>
    <x v="5"/>
    <m/>
    <x v="469"/>
    <m/>
    <m/>
    <m/>
    <x v="126"/>
    <x v="32"/>
    <s v="https://www.gd.bs.ch//nm/2020-tagesbulletin-coronavirus-866-bestaetigte-faelle-im-kanton-basel-stadt-gd.html"/>
  </r>
  <r>
    <x v="46"/>
    <d v="1899-12-30T09:30:00"/>
    <x v="21"/>
    <m/>
    <x v="246"/>
    <n v="13"/>
    <n v="2"/>
    <m/>
    <x v="0"/>
    <x v="2"/>
    <s v="https://sh.ch/CMS/get/file/b9efa343-2987-4ab2-a060-9c16eacb0326"/>
  </r>
  <r>
    <x v="46"/>
    <d v="1899-12-30T10:00:00"/>
    <x v="17"/>
    <m/>
    <x v="351"/>
    <m/>
    <m/>
    <m/>
    <x v="0"/>
    <x v="4"/>
    <s v="https://www.ar.ch/verwaltung/departement-gesundheit-und-soziales/amt-fuer-gesundheit/informationsseite-coronavirus/"/>
  </r>
  <r>
    <x v="46"/>
    <d v="1899-12-30T11:00:00"/>
    <x v="24"/>
    <m/>
    <x v="16"/>
    <m/>
    <m/>
    <m/>
    <x v="0"/>
    <x v="1"/>
    <s v="https://www.ai.ch/themen/gesundheit-alter-und-soziales/gesundheitsfoerderung-und-praevention/uebertragbare-krankheiten/coronavirus"/>
  </r>
  <r>
    <x v="46"/>
    <d v="1899-12-30T11:00:00"/>
    <x v="16"/>
    <m/>
    <x v="470"/>
    <m/>
    <m/>
    <m/>
    <x v="0"/>
    <x v="10"/>
    <s v="https://gesundheit.lu.ch/themen/Humanmedizin/Infektionskrankheiten/Coronavirus"/>
  </r>
  <r>
    <x v="46"/>
    <d v="1899-12-30T14:30:00"/>
    <x v="4"/>
    <m/>
    <x v="471"/>
    <n v="149"/>
    <m/>
    <n v="50"/>
    <x v="0"/>
    <x v="94"/>
    <s v="https://gd.zh.ch/internet/gesundheitsdirektion/de/themen/coronavirus.html"/>
  </r>
  <r>
    <x v="46"/>
    <d v="1899-12-30T15:00:00"/>
    <x v="9"/>
    <m/>
    <x v="472"/>
    <n v="113"/>
    <n v="20"/>
    <n v="15"/>
    <x v="127"/>
    <x v="100"/>
    <s v="https://www.vs.ch/documents/6756452/7008787/2020%2004%2023%20Sit%20Epid%20-%20%C3%89tat%20Stand"/>
  </r>
  <r>
    <x v="46"/>
    <d v="1899-12-30T16:00:00"/>
    <x v="22"/>
    <m/>
    <x v="155"/>
    <n v="8"/>
    <m/>
    <m/>
    <x v="66"/>
    <x v="5"/>
    <s v="https://www.ur.ch/themen/2962"/>
  </r>
  <r>
    <x v="46"/>
    <d v="1899-12-30T17:00:00"/>
    <x v="10"/>
    <m/>
    <x v="473"/>
    <n v="76"/>
    <n v="23"/>
    <n v="21"/>
    <x v="128"/>
    <x v="41"/>
    <s v="https://www.ag.ch/media/kanton_aargau/themen_1/coronavirus_1/lagebulletins/200411_KFS_Coronavirus_Lagebulletin_31.pdf"/>
  </r>
  <r>
    <x v="47"/>
    <m/>
    <x v="7"/>
    <m/>
    <x v="474"/>
    <n v="48"/>
    <n v="17"/>
    <n v="14"/>
    <x v="129"/>
    <x v="50"/>
    <s v="https://www.baselland.ch/politik-und-behorden/direktionen/volkswirtschafts-und-gesundheitsdirektion/amt-fur-gesundheit/medizinische-dienste/kantonsarztlicher-dienst/aktuelles/covid-19-faelle-kanton-basel-landschaft"/>
  </r>
  <r>
    <x v="47"/>
    <m/>
    <x v="2"/>
    <m/>
    <x v="204"/>
    <m/>
    <m/>
    <m/>
    <x v="0"/>
    <x v="2"/>
    <s v="https://www.regierung.li/media/attachments/190-corona-zusaetzliche-person-0412.pdf?t=637223083991919653"/>
  </r>
  <r>
    <x v="47"/>
    <m/>
    <x v="12"/>
    <m/>
    <x v="475"/>
    <n v="65"/>
    <n v="19"/>
    <m/>
    <x v="130"/>
    <x v="101"/>
    <s v="https://www.fr.ch/sites/default/files/2020-04/statistiques_situation_FR_2704.xlsx"/>
  </r>
  <r>
    <x v="47"/>
    <m/>
    <x v="0"/>
    <n v="18903"/>
    <x v="476"/>
    <n v="363"/>
    <n v="47"/>
    <n v="43"/>
    <x v="131"/>
    <x v="102"/>
    <s v="https://www.ge.ch/document/covid-19-situation-epidemiologique-geneve/telecharger"/>
  </r>
  <r>
    <x v="47"/>
    <m/>
    <x v="19"/>
    <m/>
    <x v="458"/>
    <n v="2"/>
    <m/>
    <m/>
    <x v="0"/>
    <x v="3"/>
    <s v="https://www.gl.ch/public/upload/assets/27574/COVID-19_Fallzahlen_Kanton_Glarus.xlsx"/>
  </r>
  <r>
    <x v="47"/>
    <m/>
    <x v="26"/>
    <m/>
    <x v="477"/>
    <n v="35"/>
    <m/>
    <m/>
    <x v="0"/>
    <x v="56"/>
    <s v="https://www.gr.ch/DE/institutionen/verwaltung/djsg/ga/coronavirus/info/Seiten/Start.aspx"/>
  </r>
  <r>
    <x v="47"/>
    <m/>
    <x v="3"/>
    <m/>
    <x v="460"/>
    <n v="22"/>
    <n v="5"/>
    <m/>
    <x v="0"/>
    <x v="4"/>
    <s v="https://www.jura.ch/Htdocs/Files/v/34255.xlsx/Departements/CHA/SIC/Carrousel/Coronavirus/Cornavirus/Chiffres/donnees_26_04.xlsx?download=1"/>
  </r>
  <r>
    <x v="47"/>
    <m/>
    <x v="13"/>
    <m/>
    <x v="478"/>
    <n v="67"/>
    <m/>
    <n v="10"/>
    <x v="0"/>
    <x v="40"/>
    <s v="https://www.ne.ch/autorites/DFS/SCSP/medecin-cantonal/maladies-vaccinations/Documents/Covid-19-Statistiques/COVID19_PublicationInternet.xlsx"/>
  </r>
  <r>
    <x v="47"/>
    <m/>
    <x v="20"/>
    <m/>
    <x v="187"/>
    <n v="7"/>
    <n v="2"/>
    <m/>
    <x v="0"/>
    <x v="2"/>
    <s v="http://www.nw.ch/coronastatistik"/>
  </r>
  <r>
    <x v="47"/>
    <m/>
    <x v="14"/>
    <m/>
    <x v="336"/>
    <n v="58"/>
    <n v="9"/>
    <m/>
    <x v="132"/>
    <x v="35"/>
    <s v="https://www.sg.ch/tools/informationen-coronavirus.html"/>
  </r>
  <r>
    <x v="47"/>
    <m/>
    <x v="15"/>
    <m/>
    <x v="80"/>
    <m/>
    <m/>
    <m/>
    <x v="133"/>
    <x v="20"/>
    <s v="https://www.sz.ch/behoerden/information-medien/medienmitteilungen/coronavirus.html/72-416-412-1379-6948"/>
  </r>
  <r>
    <x v="47"/>
    <m/>
    <x v="25"/>
    <m/>
    <x v="479"/>
    <n v="32"/>
    <n v="14"/>
    <m/>
    <x v="0"/>
    <x v="8"/>
    <s v="https://www.tg.ch/news/fachdossier-coronavirus.html/10552"/>
  </r>
  <r>
    <x v="47"/>
    <m/>
    <x v="8"/>
    <m/>
    <x v="480"/>
    <n v="300"/>
    <n v="66"/>
    <m/>
    <x v="0"/>
    <x v="103"/>
    <s v="https://www.vd.ch/toutes-les-actualites/hotline-et-informations-sur-le-coronavirus/point-de-situation-statistique-dans-le-canton-de-vaud/"/>
  </r>
  <r>
    <x v="47"/>
    <d v="1899-12-30T00:00:00"/>
    <x v="18"/>
    <m/>
    <x v="481"/>
    <n v="23"/>
    <m/>
    <m/>
    <x v="0"/>
    <x v="9"/>
    <s v="https://corona.so.ch/index.php?id=27979"/>
  </r>
  <r>
    <x v="47"/>
    <d v="1899-12-30T08:00:00"/>
    <x v="6"/>
    <m/>
    <x v="482"/>
    <n v="95"/>
    <n v="33"/>
    <n v="22"/>
    <x v="0"/>
    <x v="40"/>
    <s v="https://www.besondere-lage.sites.be.ch/besondere-lage_sites/de/index/corona/index.html"/>
  </r>
  <r>
    <x v="47"/>
    <d v="1899-12-30T08:00:00"/>
    <x v="1"/>
    <m/>
    <x v="483"/>
    <n v="269"/>
    <n v="63"/>
    <n v="56"/>
    <x v="134"/>
    <x v="104"/>
    <s v="https://www4.ti.ch/area-media/comunicati/dettaglio-comunicato/?NEWS_ID=187612&amp;tx_tichareamedia_comunicazioni%5Baction%5D=show&amp;tx_tichareamedia_comunicazioni%5Bcontroller%5D=Comunicazioni&amp;cHash=01ed3fadc99b1b00f0a8c4a0e41e7252"/>
  </r>
  <r>
    <x v="47"/>
    <d v="1899-12-30T08:00:00"/>
    <x v="11"/>
    <m/>
    <x v="139"/>
    <n v="13"/>
    <n v="9"/>
    <m/>
    <x v="135"/>
    <x v="7"/>
    <s v="https://www.zg.ch/behoerden/gesundheitsdirektion/statistikfachstelle/themen/gesundheit/corona"/>
  </r>
  <r>
    <x v="47"/>
    <d v="1899-12-30T09:30:00"/>
    <x v="21"/>
    <m/>
    <x v="295"/>
    <n v="16"/>
    <n v="2"/>
    <m/>
    <x v="0"/>
    <x v="2"/>
    <s v="https://sh.ch/CMS/get/file/b9efa343-2987-4ab2-a060-9c16eacb0326"/>
  </r>
  <r>
    <x v="47"/>
    <d v="1899-12-30T10:00:00"/>
    <x v="5"/>
    <m/>
    <x v="484"/>
    <n v="86"/>
    <n v="12"/>
    <m/>
    <x v="136"/>
    <x v="32"/>
    <s v="https://www.gd.bs.ch//nm/2020-tagesbulletin-coronavirus-882-bestaetigte-faelle-im-kanton-basel-stadt-gd.html"/>
  </r>
  <r>
    <x v="47"/>
    <d v="1899-12-30T11:00:00"/>
    <x v="16"/>
    <m/>
    <x v="461"/>
    <n v="60"/>
    <n v="5"/>
    <m/>
    <x v="0"/>
    <x v="10"/>
    <s v="https://gesundheit.lu.ch/themen/Humanmedizin/Infektionskrankheiten/Coronavirus"/>
  </r>
  <r>
    <x v="47"/>
    <d v="1899-12-30T14:30:00"/>
    <x v="4"/>
    <m/>
    <x v="485"/>
    <n v="153"/>
    <m/>
    <n v="49"/>
    <x v="0"/>
    <x v="105"/>
    <s v="https://gd.zh.ch/internet/gesundheitsdirektion/de/themen/coronavirus.html"/>
  </r>
  <r>
    <x v="47"/>
    <d v="1899-12-30T14:45:00"/>
    <x v="10"/>
    <m/>
    <x v="486"/>
    <m/>
    <m/>
    <m/>
    <x v="0"/>
    <x v="41"/>
    <s v="https://www.ag.ch/media/kanton_aargau/themen_1/coronavirus_1/lagebulletins/200414_KFS_Coronavirus_Lagebulletin_32.pdf"/>
  </r>
  <r>
    <x v="47"/>
    <d v="1899-12-30T15:00:00"/>
    <x v="22"/>
    <m/>
    <x v="351"/>
    <n v="5"/>
    <m/>
    <m/>
    <x v="88"/>
    <x v="5"/>
    <s v="https://www.ur.ch/themen/2962"/>
  </r>
  <r>
    <x v="47"/>
    <d v="1899-12-30T15:00:00"/>
    <x v="9"/>
    <m/>
    <x v="487"/>
    <n v="111"/>
    <n v="22"/>
    <n v="14"/>
    <x v="137"/>
    <x v="106"/>
    <s v="https://www.vs.ch/documents/6756452/7008787/2020%2004%2023%20Sit%20Epid%20-%20%C3%89tat%20Stand"/>
  </r>
  <r>
    <x v="48"/>
    <m/>
    <x v="7"/>
    <m/>
    <x v="488"/>
    <n v="48"/>
    <n v="16"/>
    <n v="12"/>
    <x v="138"/>
    <x v="19"/>
    <s v="https://www.baselland.ch/politik-und-behorden/direktionen/volkswirtschafts-und-gesundheitsdirektion/amt-fur-gesundheit/medizinische-dienste/kantonsarztlicher-dienst/aktuelles/covid-19-faelle-kanton-basel-landschaft"/>
  </r>
  <r>
    <x v="48"/>
    <m/>
    <x v="2"/>
    <m/>
    <x v="204"/>
    <m/>
    <m/>
    <m/>
    <x v="0"/>
    <x v="2"/>
    <s v="https://www.regierung.li/media/attachments/191-corona-keine-neuen-faelle-0413.pdf?t=637224053004137202"/>
  </r>
  <r>
    <x v="48"/>
    <m/>
    <x v="12"/>
    <m/>
    <x v="489"/>
    <n v="68"/>
    <n v="17"/>
    <m/>
    <x v="130"/>
    <x v="77"/>
    <s v="https://www.fr.ch/sites/default/files/2020-04/statistiques_situation_FR_2704.xlsx"/>
  </r>
  <r>
    <x v="48"/>
    <m/>
    <x v="0"/>
    <n v="19211"/>
    <x v="490"/>
    <n v="364"/>
    <n v="47"/>
    <n v="42"/>
    <x v="139"/>
    <x v="107"/>
    <s v="https://www.ge.ch/document/covid-19-situation-epidemiologique-geneve/telecharger"/>
  </r>
  <r>
    <x v="48"/>
    <m/>
    <x v="19"/>
    <m/>
    <x v="64"/>
    <n v="2"/>
    <m/>
    <m/>
    <x v="0"/>
    <x v="3"/>
    <s v="https://www.gl.ch/public/upload/assets/27574/COVID-19_Fallzahlen_Kanton_Glarus.xlsx"/>
  </r>
  <r>
    <x v="48"/>
    <m/>
    <x v="26"/>
    <m/>
    <x v="491"/>
    <n v="34"/>
    <m/>
    <m/>
    <x v="0"/>
    <x v="21"/>
    <s v="https://www.gr.ch/DE/institutionen/verwaltung/djsg/ga/coronavirus/info/Seiten/Start.aspx"/>
  </r>
  <r>
    <x v="48"/>
    <m/>
    <x v="3"/>
    <m/>
    <x v="127"/>
    <n v="24"/>
    <n v="5"/>
    <m/>
    <x v="0"/>
    <x v="4"/>
    <s v="https://www.jura.ch/Htdocs/Files/v/34255.xlsx/Departements/CHA/SIC/Carrousel/Coronavirus/Cornavirus/Chiffres/donnees_26_04.xlsx?download=1"/>
  </r>
  <r>
    <x v="48"/>
    <m/>
    <x v="13"/>
    <m/>
    <x v="307"/>
    <n v="67"/>
    <m/>
    <n v="10"/>
    <x v="0"/>
    <x v="66"/>
    <s v="https://www.ne.ch/autorites/DFS/SCSP/medecin-cantonal/maladies-vaccinations/Documents/Covid-19-Statistiques/COVID19_PublicationInternet.xlsx"/>
  </r>
  <r>
    <x v="48"/>
    <m/>
    <x v="20"/>
    <m/>
    <x v="187"/>
    <n v="7"/>
    <n v="2"/>
    <m/>
    <x v="0"/>
    <x v="2"/>
    <s v="http://www.nw.ch/coronastatistik"/>
  </r>
  <r>
    <x v="48"/>
    <m/>
    <x v="14"/>
    <m/>
    <x v="353"/>
    <n v="58"/>
    <n v="10"/>
    <m/>
    <x v="133"/>
    <x v="35"/>
    <s v="https://www.sg.ch/tools/informationen-coronavirus.html"/>
  </r>
  <r>
    <x v="48"/>
    <m/>
    <x v="15"/>
    <m/>
    <x v="80"/>
    <m/>
    <m/>
    <m/>
    <x v="25"/>
    <x v="13"/>
    <s v="https://www.sz.ch/behoerden/information-medien/medienmitteilungen/coronavirus.html/72-416-412-1379-6948"/>
  </r>
  <r>
    <x v="48"/>
    <m/>
    <x v="25"/>
    <m/>
    <x v="492"/>
    <n v="32"/>
    <n v="17"/>
    <m/>
    <x v="0"/>
    <x v="8"/>
    <s v="https://www.tg.ch/news/fachdossier-coronavirus.html/10552"/>
  </r>
  <r>
    <x v="48"/>
    <m/>
    <x v="8"/>
    <m/>
    <x v="493"/>
    <n v="300"/>
    <n v="62"/>
    <m/>
    <x v="0"/>
    <x v="108"/>
    <s v="https://www.vd.ch/toutes-les-actualites/hotline-et-informations-sur-le-coronavirus/point-de-situation-statistique-dans-le-canton-de-vaud/"/>
  </r>
  <r>
    <x v="48"/>
    <d v="1899-12-30T00:00:00"/>
    <x v="18"/>
    <m/>
    <x v="494"/>
    <n v="23"/>
    <m/>
    <m/>
    <x v="0"/>
    <x v="9"/>
    <s v="https://corona.so.ch/index.php?id=27979"/>
  </r>
  <r>
    <x v="48"/>
    <d v="1899-12-30T08:00:00"/>
    <x v="17"/>
    <m/>
    <x v="395"/>
    <m/>
    <m/>
    <m/>
    <x v="0"/>
    <x v="4"/>
    <s v="https://www.ar.ch/verwaltung/departement-gesundheit-und-soziales/amt-fuer-gesundheit/informationsseite-coronavirus/"/>
  </r>
  <r>
    <x v="48"/>
    <d v="1899-12-30T08:00:00"/>
    <x v="6"/>
    <m/>
    <x v="495"/>
    <n v="92"/>
    <n v="32"/>
    <n v="21"/>
    <x v="0"/>
    <x v="40"/>
    <s v="https://www.besondere-lage.sites.be.ch/besondere-lage_sites/de/index/corona/index.html"/>
  </r>
  <r>
    <x v="48"/>
    <d v="1899-12-30T08:00:00"/>
    <x v="1"/>
    <m/>
    <x v="496"/>
    <n v="269"/>
    <n v="63"/>
    <n v="56"/>
    <x v="134"/>
    <x v="103"/>
    <s v="https://www4.ti.ch/area-media/comunicati/dettaglio-comunicato/?NEWS_ID=187614&amp;tx_tichareamedia_comunicazioni%5Baction%5D=show&amp;tx_tichareamedia_comunicazioni%5Bcontroller%5D=Comunicazioni&amp;cHash=0464d89cb8c291fbc9c266e6b7008814"/>
  </r>
  <r>
    <x v="48"/>
    <d v="1899-12-30T08:00:00"/>
    <x v="11"/>
    <m/>
    <x v="371"/>
    <n v="13"/>
    <n v="9"/>
    <m/>
    <x v="109"/>
    <x v="7"/>
    <s v="https://www.zg.ch/behoerden/gesundheitsdirektion/statistikfachstelle/themen/gesundheit/corona"/>
  </r>
  <r>
    <x v="48"/>
    <d v="1899-12-30T09:30:00"/>
    <x v="21"/>
    <m/>
    <x v="295"/>
    <n v="16"/>
    <n v="2"/>
    <m/>
    <x v="0"/>
    <x v="2"/>
    <s v="https://sh.ch/CMS/get/file/b9efa343-2987-4ab2-a060-9c16eacb0326"/>
  </r>
  <r>
    <x v="48"/>
    <d v="1899-12-30T10:00:00"/>
    <x v="5"/>
    <m/>
    <x v="497"/>
    <m/>
    <m/>
    <m/>
    <x v="140"/>
    <x v="74"/>
    <s v="https://www.gd.bs.ch//nm/2020-tagesbulletin-coronavirus-893-bestaetigte-faelle-im-kanton-basel-stadt-gd.html"/>
  </r>
  <r>
    <x v="48"/>
    <d v="1899-12-30T11:00:00"/>
    <x v="24"/>
    <m/>
    <x v="16"/>
    <m/>
    <m/>
    <m/>
    <x v="0"/>
    <x v="1"/>
    <s v="https://www.ai.ch/themen/gesundheit-alter-und-soziales/gesundheitsfoerderung-und-praevention/uebertragbare-krankheiten/coronavirus"/>
  </r>
  <r>
    <x v="48"/>
    <d v="1899-12-30T11:00:00"/>
    <x v="16"/>
    <m/>
    <x v="498"/>
    <n v="40"/>
    <n v="5"/>
    <m/>
    <x v="0"/>
    <x v="10"/>
    <s v="https://gesundheit.lu.ch/themen/Humanmedizin/Infektionskrankheiten/Coronavirus"/>
  </r>
  <r>
    <x v="48"/>
    <d v="1899-12-30T14:00:00"/>
    <x v="22"/>
    <m/>
    <x v="395"/>
    <n v="4"/>
    <m/>
    <m/>
    <x v="88"/>
    <x v="5"/>
    <s v="https://www.ur.ch/themen/2962"/>
  </r>
  <r>
    <x v="48"/>
    <d v="1899-12-30T14:30:00"/>
    <x v="4"/>
    <m/>
    <x v="499"/>
    <n v="154"/>
    <m/>
    <n v="50"/>
    <x v="0"/>
    <x v="57"/>
    <s v="https://gd.zh.ch/internet/gesundheitsdirektion/de/themen/coronavirus.html"/>
  </r>
  <r>
    <x v="48"/>
    <d v="1899-12-30T14:45:00"/>
    <x v="10"/>
    <m/>
    <x v="500"/>
    <m/>
    <m/>
    <m/>
    <x v="0"/>
    <x v="16"/>
    <s v="https://www.ag.ch/media/kanton_aargau/themen_1/coronavirus_1/lagebulletins/200414_KFS_Coronavirus_Lagebulletin_32.pdf"/>
  </r>
  <r>
    <x v="48"/>
    <d v="1899-12-30T15:00:00"/>
    <x v="9"/>
    <m/>
    <x v="501"/>
    <n v="107"/>
    <n v="21"/>
    <n v="12"/>
    <x v="137"/>
    <x v="43"/>
    <s v="https://www.vs.ch/documents/6756452/7008787/2020%2004%2023%20Sit%20Epid%20-%20%C3%89tat%20Stand"/>
  </r>
  <r>
    <x v="49"/>
    <m/>
    <x v="7"/>
    <m/>
    <x v="502"/>
    <n v="48"/>
    <n v="14"/>
    <n v="8"/>
    <x v="141"/>
    <x v="39"/>
    <s v="https://www.baselland.ch/politik-und-behorden/direktionen/volkswirtschafts-und-gesundheitsdirektion/amt-fur-gesundheit/medizinische-dienste/kantonsarztlicher-dienst/aktuelles/covid-19-faelle-kanton-basel-landschaft"/>
  </r>
  <r>
    <x v="49"/>
    <m/>
    <x v="12"/>
    <m/>
    <x v="503"/>
    <n v="68"/>
    <n v="14"/>
    <m/>
    <x v="142"/>
    <x v="30"/>
    <s v="https://www.fr.ch/sites/default/files/2020-04/statistiques_situation_FR_2704.xlsx"/>
  </r>
  <r>
    <x v="49"/>
    <m/>
    <x v="0"/>
    <n v="19762"/>
    <x v="504"/>
    <n v="365"/>
    <n v="46"/>
    <n v="41"/>
    <x v="139"/>
    <x v="109"/>
    <s v="https://www.ge.ch/document/covid-19-situation-epidemiologique-geneve/telecharger"/>
  </r>
  <r>
    <x v="49"/>
    <m/>
    <x v="19"/>
    <m/>
    <x v="505"/>
    <n v="2"/>
    <m/>
    <m/>
    <x v="0"/>
    <x v="3"/>
    <s v="https://www.gl.ch/public/upload/assets/27574/COVID-19_Fallzahlen_Kanton_Glarus.xlsx"/>
  </r>
  <r>
    <x v="49"/>
    <m/>
    <x v="26"/>
    <m/>
    <x v="506"/>
    <n v="34"/>
    <m/>
    <m/>
    <x v="0"/>
    <x v="21"/>
    <s v="https://www.gr.ch/DE/institutionen/verwaltung/djsg/ga/coronavirus/info/Seiten/Start.aspx"/>
  </r>
  <r>
    <x v="49"/>
    <m/>
    <x v="3"/>
    <m/>
    <x v="402"/>
    <n v="21"/>
    <n v="5"/>
    <m/>
    <x v="0"/>
    <x v="4"/>
    <s v="https://www.jura.ch/Htdocs/Files/v/34255.xlsx/Departements/CHA/SIC/Carrousel/Coronavirus/Cornavirus/Chiffres/donnees_26_04.xlsx?download=1"/>
  </r>
  <r>
    <x v="49"/>
    <m/>
    <x v="13"/>
    <m/>
    <x v="507"/>
    <n v="60"/>
    <n v="11"/>
    <n v="10"/>
    <x v="0"/>
    <x v="101"/>
    <s v="https://www.ne.ch/autorites/DFS/SCSP/medecin-cantonal/maladies-vaccinations/Documents/Covid-19-Statistiques/COVID19_PublicationInternet.xlsx"/>
  </r>
  <r>
    <x v="49"/>
    <m/>
    <x v="20"/>
    <m/>
    <x v="505"/>
    <n v="7"/>
    <n v="2"/>
    <m/>
    <x v="0"/>
    <x v="2"/>
    <s v="http://www.nw.ch/coronastatistik"/>
  </r>
  <r>
    <x v="49"/>
    <m/>
    <x v="14"/>
    <m/>
    <x v="508"/>
    <n v="59"/>
    <n v="9"/>
    <m/>
    <x v="143"/>
    <x v="35"/>
    <s v="https://www.sg.ch/tools/informationen-coronavirus.html"/>
  </r>
  <r>
    <x v="49"/>
    <m/>
    <x v="15"/>
    <m/>
    <x v="61"/>
    <m/>
    <m/>
    <m/>
    <x v="25"/>
    <x v="15"/>
    <s v="https://www.sz.ch/behoerden/information-medien/medienmitteilungen/coronavirus.html/72-416-412-1379-6948"/>
  </r>
  <r>
    <x v="49"/>
    <m/>
    <x v="25"/>
    <m/>
    <x v="509"/>
    <n v="35"/>
    <n v="16"/>
    <m/>
    <x v="0"/>
    <x v="10"/>
    <s v="https://www.tg.ch/news/fachdossier-coronavirus.html/10552"/>
  </r>
  <r>
    <x v="49"/>
    <m/>
    <x v="8"/>
    <m/>
    <x v="510"/>
    <n v="285"/>
    <n v="61"/>
    <m/>
    <x v="0"/>
    <x v="110"/>
    <s v="https://www.vd.ch/toutes-les-actualites/hotline-et-informations-sur-le-coronavirus/point-de-situation-statistique-dans-le-canton-de-vaud/"/>
  </r>
  <r>
    <x v="49"/>
    <d v="1899-12-30T00:00:00"/>
    <x v="18"/>
    <m/>
    <x v="511"/>
    <n v="22"/>
    <m/>
    <m/>
    <x v="0"/>
    <x v="8"/>
    <s v="https://corona.so.ch/index.php?id=27979"/>
  </r>
  <r>
    <x v="49"/>
    <d v="1899-12-30T08:00:00"/>
    <x v="17"/>
    <m/>
    <x v="338"/>
    <m/>
    <m/>
    <m/>
    <x v="0"/>
    <x v="4"/>
    <s v="https://www.ar.ch/verwaltung/departement-gesundheit-und-soziales/amt-fuer-gesundheit/informationsseite-coronavirus/"/>
  </r>
  <r>
    <x v="49"/>
    <d v="1899-12-30T08:00:00"/>
    <x v="6"/>
    <m/>
    <x v="512"/>
    <n v="85"/>
    <n v="31"/>
    <n v="21"/>
    <x v="0"/>
    <x v="40"/>
    <s v="https://www.besondere-lage.sites.be.ch/besondere-lage_sites/de/index/corona/index.html"/>
  </r>
  <r>
    <x v="49"/>
    <d v="1899-12-30T08:00:00"/>
    <x v="1"/>
    <m/>
    <x v="513"/>
    <n v="274"/>
    <n v="63"/>
    <n v="54"/>
    <x v="144"/>
    <x v="111"/>
    <s v="https://www4.ti.ch/area-media/comunicati/dettaglio-comunicato/?NEWS_ID=187617&amp;tx_tichareamedia_comunicazioni%5Baction%5D=show&amp;tx_tichareamedia_comunicazioni%5Bcontroller%5D=Comunicazioni&amp;cHash=64be59067038bfdaf603d60bfab0aa52"/>
  </r>
  <r>
    <x v="49"/>
    <d v="1899-12-30T08:00:00"/>
    <x v="11"/>
    <m/>
    <x v="399"/>
    <n v="13"/>
    <n v="9"/>
    <m/>
    <x v="63"/>
    <x v="7"/>
    <s v="https://www.zg.ch/behoerden/gesundheitsdirektion/statistikfachstelle/themen/gesundheit/corona"/>
  </r>
  <r>
    <x v="49"/>
    <d v="1899-12-30T09:30:00"/>
    <x v="21"/>
    <m/>
    <x v="295"/>
    <n v="10"/>
    <n v="2"/>
    <m/>
    <x v="0"/>
    <x v="2"/>
    <s v="https://sh.ch/CMS/get/file/b9efa343-2987-4ab2-a060-9c16eacb0326"/>
  </r>
  <r>
    <x v="49"/>
    <d v="1899-12-30T10:00:00"/>
    <x v="5"/>
    <m/>
    <x v="514"/>
    <n v="86"/>
    <n v="9"/>
    <m/>
    <x v="145"/>
    <x v="74"/>
    <s v="https://www.gd.bs.ch//nm/2020-tagesbulletin-coronavirus-899-bestaetigte-faelle-im-kanton-basel-stadt-gd.html"/>
  </r>
  <r>
    <x v="49"/>
    <d v="1899-12-30T11:00:00"/>
    <x v="24"/>
    <m/>
    <x v="16"/>
    <m/>
    <m/>
    <m/>
    <x v="0"/>
    <x v="1"/>
    <s v="https://www.ai.ch/themen/gesundheit-alter-und-soziales/gesundheitsfoerderung-und-praevention/uebertragbare-krankheiten/coronavirus"/>
  </r>
  <r>
    <x v="49"/>
    <d v="1899-12-30T11:00:00"/>
    <x v="16"/>
    <m/>
    <x v="515"/>
    <n v="47"/>
    <n v="4"/>
    <m/>
    <x v="0"/>
    <x v="20"/>
    <s v="https://gesundheit.lu.ch/themen/Humanmedizin/Infektionskrankheiten/Coronavirus"/>
  </r>
  <r>
    <x v="49"/>
    <d v="1899-12-30T14:00:00"/>
    <x v="22"/>
    <m/>
    <x v="395"/>
    <n v="3"/>
    <m/>
    <m/>
    <x v="86"/>
    <x v="5"/>
    <s v="https://www.ur.ch/themen/2962"/>
  </r>
  <r>
    <x v="49"/>
    <d v="1899-12-30T14:30:00"/>
    <x v="4"/>
    <m/>
    <x v="516"/>
    <n v="149"/>
    <m/>
    <n v="52"/>
    <x v="0"/>
    <x v="38"/>
    <s v="https://gd.zh.ch/internet/gesundheitsdirektion/de/themen/coronavirus.html"/>
  </r>
  <r>
    <x v="49"/>
    <d v="1899-12-30T14:45:00"/>
    <x v="10"/>
    <m/>
    <x v="517"/>
    <n v="78"/>
    <n v="22"/>
    <n v="22"/>
    <x v="146"/>
    <x v="16"/>
    <s v="https://www.ag.ch/media/kanton_aargau/themen_1/coronavirus_1/lagebulletins/200414_KFS_Coronavirus_Lagebulletin_32.pdf"/>
  </r>
  <r>
    <x v="49"/>
    <d v="1899-12-30T15:00:00"/>
    <x v="9"/>
    <m/>
    <x v="518"/>
    <n v="101"/>
    <n v="20"/>
    <n v="11"/>
    <x v="147"/>
    <x v="112"/>
    <s v="https://www.vs.ch/documents/6756452/7008787/2020%2004%2023%20Sit%20Epid%20-%20%C3%89tat%20Stand"/>
  </r>
  <r>
    <x v="49"/>
    <d v="1899-12-30T15:45:00"/>
    <x v="23"/>
    <m/>
    <x v="271"/>
    <n v="0"/>
    <m/>
    <m/>
    <x v="0"/>
    <x v="0"/>
    <s v="https://www.ow.ch/de/verwaltung/dienstleistungen/?dienst_id=5962"/>
  </r>
  <r>
    <x v="50"/>
    <m/>
    <x v="7"/>
    <m/>
    <x v="519"/>
    <n v="45"/>
    <n v="9"/>
    <n v="7"/>
    <x v="148"/>
    <x v="39"/>
    <s v="https://www.baselland.ch/politik-und-behorden/direktionen/volkswirtschafts-und-gesundheitsdirektion/amt-fur-gesundheit/medizinische-dienste/kantonsarztlicher-dienst/aktuelles/covid-19-faelle-kanton-basel-landschaft"/>
  </r>
  <r>
    <x v="50"/>
    <m/>
    <x v="2"/>
    <m/>
    <x v="204"/>
    <m/>
    <m/>
    <m/>
    <x v="0"/>
    <x v="2"/>
    <s v="https://www.regierung.li/media/attachments/194-corona-neue-wege-zur-messung-0415.pdf?t=637225709239139141"/>
  </r>
  <r>
    <x v="50"/>
    <m/>
    <x v="12"/>
    <m/>
    <x v="520"/>
    <n v="61"/>
    <n v="16"/>
    <m/>
    <x v="23"/>
    <x v="113"/>
    <s v="https://www.fr.ch/sites/default/files/2020-04/statistiques_situation_FR_2704.xlsx"/>
  </r>
  <r>
    <x v="50"/>
    <m/>
    <x v="0"/>
    <n v="20228"/>
    <x v="521"/>
    <n v="352"/>
    <n v="41"/>
    <n v="37"/>
    <x v="117"/>
    <x v="114"/>
    <s v="https://www.ge.ch/document/covid-19-situation-epidemiologique-geneve/telecharger"/>
  </r>
  <r>
    <x v="50"/>
    <m/>
    <x v="19"/>
    <m/>
    <x v="505"/>
    <n v="2"/>
    <m/>
    <m/>
    <x v="0"/>
    <x v="3"/>
    <s v="https://www.gl.ch/public/upload/assets/27574/COVID-19_Fallzahlen_Kanton_Glarus.xlsx"/>
  </r>
  <r>
    <x v="50"/>
    <m/>
    <x v="26"/>
    <m/>
    <x v="522"/>
    <n v="36"/>
    <m/>
    <m/>
    <x v="0"/>
    <x v="92"/>
    <s v="https://www.gr.ch/DE/institutionen/verwaltung/djsg/ga/coronavirus/info/Seiten/Start.aspx"/>
  </r>
  <r>
    <x v="50"/>
    <m/>
    <x v="3"/>
    <m/>
    <x v="523"/>
    <n v="17"/>
    <n v="5"/>
    <m/>
    <x v="0"/>
    <x v="4"/>
    <s v="https://www.jura.ch/Htdocs/Files/v/34255.xlsx/Departements/CHA/SIC/Carrousel/Coronavirus/Cornavirus/Chiffres/donnees_26_04.xlsx?download=1"/>
  </r>
  <r>
    <x v="50"/>
    <m/>
    <x v="13"/>
    <m/>
    <x v="524"/>
    <n v="54"/>
    <n v="12"/>
    <n v="10"/>
    <x v="0"/>
    <x v="77"/>
    <s v="https://www.ne.ch/autorites/DFS/SCSP/medecin-cantonal/maladies-vaccinations/Documents/Covid-19-Statistiques/COVID19_PublicationInternet.xlsx"/>
  </r>
  <r>
    <x v="50"/>
    <m/>
    <x v="20"/>
    <m/>
    <x v="525"/>
    <n v="7"/>
    <n v="2"/>
    <m/>
    <x v="0"/>
    <x v="3"/>
    <s v="http://www.nw.ch/coronastatistik"/>
  </r>
  <r>
    <x v="50"/>
    <m/>
    <x v="14"/>
    <m/>
    <x v="526"/>
    <n v="47"/>
    <n v="9"/>
    <m/>
    <x v="98"/>
    <x v="50"/>
    <s v="https://www.sg.ch/tools/informationen-coronavirus.html"/>
  </r>
  <r>
    <x v="50"/>
    <m/>
    <x v="15"/>
    <m/>
    <x v="386"/>
    <m/>
    <m/>
    <m/>
    <x v="27"/>
    <x v="15"/>
    <s v="https://www.sz.ch/behoerden/information-medien/medienmitteilungen/coronavirus.html/72-416-412-1379-6948"/>
  </r>
  <r>
    <x v="50"/>
    <m/>
    <x v="25"/>
    <m/>
    <x v="163"/>
    <n v="28"/>
    <n v="14"/>
    <m/>
    <x v="0"/>
    <x v="20"/>
    <s v="https://www.tg.ch/news/fachdossier-coronavirus.html/10552"/>
  </r>
  <r>
    <x v="50"/>
    <m/>
    <x v="8"/>
    <m/>
    <x v="527"/>
    <n v="258"/>
    <n v="58"/>
    <m/>
    <x v="0"/>
    <x v="115"/>
    <s v="https://www.vd.ch/toutes-les-actualites/hotline-et-informations-sur-le-coronavirus/point-de-situation-statistique-dans-le-canton-de-vaud/"/>
  </r>
  <r>
    <x v="50"/>
    <d v="1899-12-30T00:00:00"/>
    <x v="18"/>
    <m/>
    <x v="528"/>
    <n v="22"/>
    <m/>
    <m/>
    <x v="0"/>
    <x v="8"/>
    <s v="https://corona.so.ch/index.php?id=27979"/>
  </r>
  <r>
    <x v="50"/>
    <d v="1899-12-30T08:00:00"/>
    <x v="17"/>
    <m/>
    <x v="338"/>
    <m/>
    <m/>
    <m/>
    <x v="0"/>
    <x v="4"/>
    <s v="https://www.ar.ch/verwaltung/departement-gesundheit-und-soziales/amt-fuer-gesundheit/informationsseite-coronavirus/"/>
  </r>
  <r>
    <x v="50"/>
    <d v="1899-12-30T08:00:00"/>
    <x v="6"/>
    <m/>
    <x v="529"/>
    <n v="82"/>
    <n v="30"/>
    <n v="18"/>
    <x v="0"/>
    <x v="26"/>
    <s v="https://www.besondere-lage.sites.be.ch/besondere-lage_sites/de/index/corona/index.html"/>
  </r>
  <r>
    <x v="50"/>
    <d v="1899-12-30T08:00:00"/>
    <x v="1"/>
    <m/>
    <x v="453"/>
    <n v="265"/>
    <n v="60"/>
    <n v="50"/>
    <x v="149"/>
    <x v="116"/>
    <s v="https://www4.ti.ch/area-media/comunicati/dettaglio-comunicato/?NEWS_ID=187624&amp;tx_tichareamedia_comunicazioni%5Baction%5D=show&amp;tx_tichareamedia_comunicazioni%5Bcontroller%5D=Comunicazioni&amp;cHash=c6ac05de202d47a4a41e41ec4d16b3b1"/>
  </r>
  <r>
    <x v="50"/>
    <d v="1899-12-30T08:00:00"/>
    <x v="11"/>
    <m/>
    <x v="399"/>
    <n v="13"/>
    <n v="9"/>
    <m/>
    <x v="75"/>
    <x v="7"/>
    <s v="https://www.zg.ch/behoerden/gesundheitsdirektion/statistikfachstelle/themen/gesundheit/corona"/>
  </r>
  <r>
    <x v="50"/>
    <d v="1899-12-30T09:30:00"/>
    <x v="21"/>
    <m/>
    <x v="60"/>
    <n v="11"/>
    <n v="2"/>
    <m/>
    <x v="0"/>
    <x v="2"/>
    <s v="https://sh.ch/CMS/get/file/b9efa343-2987-4ab2-a060-9c16eacb0326"/>
  </r>
  <r>
    <x v="50"/>
    <d v="1899-12-30T10:00:00"/>
    <x v="5"/>
    <m/>
    <x v="530"/>
    <n v="80"/>
    <n v="7"/>
    <m/>
    <x v="150"/>
    <x v="56"/>
    <s v="https://www.gd.bs.ch//nm/2020-tagesbulletin-coronavirus-909-bestaetigte-faelle-im-kanton-basel-stadt-gd.html"/>
  </r>
  <r>
    <x v="50"/>
    <d v="1899-12-30T11:00:00"/>
    <x v="24"/>
    <m/>
    <x v="16"/>
    <m/>
    <m/>
    <m/>
    <x v="0"/>
    <x v="1"/>
    <s v="https://www.ai.ch/themen/gesundheit-alter-und-soziales/gesundheitsfoerderung-und-praevention/uebertragbare-krankheiten/coronavirus"/>
  </r>
  <r>
    <x v="50"/>
    <d v="1899-12-30T11:00:00"/>
    <x v="16"/>
    <m/>
    <x v="531"/>
    <n v="46"/>
    <n v="4"/>
    <m/>
    <x v="0"/>
    <x v="13"/>
    <s v="https://gesundheit.lu.ch/themen/Humanmedizin/Infektionskrankheiten/Coronavirus"/>
  </r>
  <r>
    <x v="50"/>
    <d v="1899-12-30T14:30:00"/>
    <x v="4"/>
    <m/>
    <x v="532"/>
    <n v="136"/>
    <m/>
    <n v="50"/>
    <x v="0"/>
    <x v="106"/>
    <s v="https://gd.zh.ch/internet/gesundheitsdirektion/de/themen/coronavirus.html"/>
  </r>
  <r>
    <x v="50"/>
    <d v="1899-12-30T14:45:00"/>
    <x v="10"/>
    <m/>
    <x v="533"/>
    <n v="69"/>
    <n v="20"/>
    <n v="20"/>
    <x v="151"/>
    <x v="17"/>
    <s v="https://www.ag.ch/media/kanton_aargau/themen_1/coronavirus_1/lagebulletins/200415_KFS_Coronavirus_Lagebulletin_33.pdf"/>
  </r>
  <r>
    <x v="50"/>
    <d v="1899-12-30T15:00:00"/>
    <x v="9"/>
    <m/>
    <x v="534"/>
    <n v="94"/>
    <n v="20"/>
    <n v="12"/>
    <x v="35"/>
    <x v="112"/>
    <s v="https://www.vs.ch/documents/6756452/7008787/2020%2004%2023%20Sit%20Epid%20-%20%C3%89tat%20Stand"/>
  </r>
  <r>
    <x v="50"/>
    <d v="1899-12-30T15:25:00"/>
    <x v="23"/>
    <m/>
    <x v="271"/>
    <n v="0"/>
    <m/>
    <m/>
    <x v="0"/>
    <x v="0"/>
    <s v="https://www.ow.ch/de/verwaltung/dienstleistungen/?dienst_id=5962"/>
  </r>
  <r>
    <x v="50"/>
    <d v="1899-12-30T16:00:00"/>
    <x v="22"/>
    <m/>
    <x v="395"/>
    <n v="3"/>
    <m/>
    <m/>
    <x v="74"/>
    <x v="5"/>
    <s v="https://www.ur.ch/themen/2962"/>
  </r>
  <r>
    <x v="51"/>
    <m/>
    <x v="7"/>
    <m/>
    <x v="535"/>
    <n v="46"/>
    <n v="8"/>
    <n v="6"/>
    <x v="152"/>
    <x v="39"/>
    <s v="https://www.baselland.ch/politik-und-behorden/direktionen/volkswirtschafts-und-gesundheitsdirektion/amt-fur-gesundheit/medizinische-dienste/kantonsarztlicher-dienst/aktuelles/covid-19-faelle-kanton-basel-landschaft"/>
  </r>
  <r>
    <x v="51"/>
    <m/>
    <x v="2"/>
    <m/>
    <x v="204"/>
    <m/>
    <m/>
    <m/>
    <x v="0"/>
    <x v="2"/>
    <s v="https://www.regierung.li/media/attachments/196-corona-regierung-informiert-freitag-0416.pdf?t=637226573940474014"/>
  </r>
  <r>
    <x v="51"/>
    <m/>
    <x v="12"/>
    <m/>
    <x v="536"/>
    <n v="60"/>
    <n v="15"/>
    <m/>
    <x v="23"/>
    <x v="86"/>
    <s v="https://www.fr.ch/sites/default/files/2020-04/statistiques_situation_FR_2704.xlsx"/>
  </r>
  <r>
    <x v="51"/>
    <m/>
    <x v="0"/>
    <n v="20915"/>
    <x v="537"/>
    <n v="350"/>
    <n v="38"/>
    <n v="33"/>
    <x v="153"/>
    <x v="117"/>
    <s v="https://www.ge.ch/document/covid-19-situation-epidemiologique-geneve/telecharger"/>
  </r>
  <r>
    <x v="51"/>
    <m/>
    <x v="19"/>
    <m/>
    <x v="525"/>
    <n v="4"/>
    <m/>
    <m/>
    <x v="0"/>
    <x v="4"/>
    <s v="https://www.gl.ch/public/upload/assets/27574/COVID-19_Fallzahlen_Kanton_Glarus.xlsx"/>
  </r>
  <r>
    <x v="51"/>
    <m/>
    <x v="26"/>
    <m/>
    <x v="538"/>
    <n v="37"/>
    <m/>
    <m/>
    <x v="0"/>
    <x v="60"/>
    <s v="https://www.gr.ch/DE/institutionen/verwaltung/djsg/ga/coronavirus/info/Seiten/Start.aspx"/>
  </r>
  <r>
    <x v="51"/>
    <m/>
    <x v="3"/>
    <m/>
    <x v="132"/>
    <n v="18"/>
    <n v="5"/>
    <m/>
    <x v="0"/>
    <x v="4"/>
    <s v="https://www.jura.ch/Htdocs/Files/v/34255.xlsx/Departements/CHA/SIC/Carrousel/Coronavirus/Cornavirus/Chiffres/donnees_26_04.xlsx?download=1"/>
  </r>
  <r>
    <x v="51"/>
    <m/>
    <x v="13"/>
    <m/>
    <x v="334"/>
    <n v="52"/>
    <n v="11"/>
    <n v="9"/>
    <x v="0"/>
    <x v="118"/>
    <s v="https://www.ne.ch/autorites/DFS/SCSP/medecin-cantonal/maladies-vaccinations/Documents/Covid-19-Statistiques/COVID19_PublicationInternet.xlsx"/>
  </r>
  <r>
    <x v="51"/>
    <m/>
    <x v="20"/>
    <m/>
    <x v="525"/>
    <n v="5"/>
    <n v="2"/>
    <m/>
    <x v="0"/>
    <x v="3"/>
    <s v="http://www.nw.ch/coronastatistik"/>
  </r>
  <r>
    <x v="51"/>
    <m/>
    <x v="14"/>
    <m/>
    <x v="124"/>
    <n v="56"/>
    <n v="7"/>
    <m/>
    <x v="154"/>
    <x v="39"/>
    <s v="https://www.sg.ch/tools/informationen-coronavirus.html"/>
  </r>
  <r>
    <x v="51"/>
    <m/>
    <x v="15"/>
    <m/>
    <x v="69"/>
    <m/>
    <m/>
    <m/>
    <x v="155"/>
    <x v="12"/>
    <s v="https://www.sz.ch/behoerden/information-medien/medienmitteilungen/coronavirus.html/72-416-412-1379-6948"/>
  </r>
  <r>
    <x v="51"/>
    <m/>
    <x v="25"/>
    <m/>
    <x v="539"/>
    <n v="28"/>
    <n v="14"/>
    <m/>
    <x v="0"/>
    <x v="20"/>
    <s v="https://www.tg.ch/news/fachdossier-coronavirus.html/10552"/>
  </r>
  <r>
    <x v="51"/>
    <m/>
    <x v="8"/>
    <m/>
    <x v="540"/>
    <n v="252"/>
    <n v="57"/>
    <m/>
    <x v="0"/>
    <x v="119"/>
    <s v="https://www.vd.ch/toutes-les-actualites/hotline-et-informations-sur-le-coronavirus/point-de-situation-statistique-dans-le-canton-de-vaud/"/>
  </r>
  <r>
    <x v="51"/>
    <d v="1899-12-30T00:00:00"/>
    <x v="18"/>
    <m/>
    <x v="182"/>
    <n v="22"/>
    <m/>
    <m/>
    <x v="0"/>
    <x v="8"/>
    <s v="https://corona.so.ch/index.php?id=27979"/>
  </r>
  <r>
    <x v="51"/>
    <d v="1899-12-30T08:00:00"/>
    <x v="17"/>
    <m/>
    <x v="338"/>
    <m/>
    <m/>
    <m/>
    <x v="0"/>
    <x v="4"/>
    <s v="https://www.ar.ch/verwaltung/departement-gesundheit-und-soziales/amt-fuer-gesundheit/informationsseite-coronavirus/"/>
  </r>
  <r>
    <x v="51"/>
    <d v="1899-12-30T08:00:00"/>
    <x v="6"/>
    <m/>
    <x v="541"/>
    <n v="70"/>
    <n v="26"/>
    <n v="12"/>
    <x v="0"/>
    <x v="77"/>
    <s v="https://www.besondere-lage.sites.be.ch/besondere-lage_sites/de/index/corona/index.html"/>
  </r>
  <r>
    <x v="51"/>
    <d v="1899-12-30T08:00:00"/>
    <x v="1"/>
    <m/>
    <x v="542"/>
    <n v="249"/>
    <n v="59"/>
    <n v="49"/>
    <x v="156"/>
    <x v="120"/>
    <s v="https://www4.ti.ch/area-media/comunicati/dettaglio-comunicato/?NEWS_ID=187632&amp;tx_tichareamedia_comunicazioni%5Baction%5D=show&amp;tx_tichareamedia_comunicazioni%5Bcontroller%5D=Comunicazioni&amp;cHash=65b441f9003d32defd9e1c4f2650c177"/>
  </r>
  <r>
    <x v="51"/>
    <d v="1899-12-30T08:00:00"/>
    <x v="11"/>
    <m/>
    <x v="399"/>
    <n v="9"/>
    <n v="7"/>
    <m/>
    <x v="157"/>
    <x v="6"/>
    <s v="https://www.zg.ch/behoerden/gesundheitsdirektion/statistikfachstelle/themen/gesundheit/corona"/>
  </r>
  <r>
    <x v="51"/>
    <d v="1899-12-30T09:00:00"/>
    <x v="5"/>
    <m/>
    <x v="517"/>
    <n v="76"/>
    <n v="6"/>
    <m/>
    <x v="158"/>
    <x v="21"/>
    <s v="https://www.gd.bs.ch//nm/2020-tagesbulletin-coronavirus-917-bestaetigte-faelle-im-kanton-basel-stadt-gd.html"/>
  </r>
  <r>
    <x v="51"/>
    <d v="1899-12-30T09:30:00"/>
    <x v="21"/>
    <m/>
    <x v="224"/>
    <n v="10"/>
    <n v="2"/>
    <m/>
    <x v="0"/>
    <x v="2"/>
    <s v="https://sh.ch/CMS/get/file/b9efa343-2987-4ab2-a060-9c16eacb0326"/>
  </r>
  <r>
    <x v="51"/>
    <d v="1899-12-30T11:00:00"/>
    <x v="24"/>
    <m/>
    <x v="16"/>
    <m/>
    <m/>
    <m/>
    <x v="0"/>
    <x v="1"/>
    <s v="https://www.ai.ch/themen/gesundheit-alter-und-soziales/gesundheitsfoerderung-und-praevention/uebertragbare-krankheiten/coronavirus"/>
  </r>
  <r>
    <x v="51"/>
    <d v="1899-12-30T12:30:00"/>
    <x v="16"/>
    <m/>
    <x v="543"/>
    <n v="40"/>
    <n v="3"/>
    <m/>
    <x v="0"/>
    <x v="15"/>
    <s v="https://gesundheit.lu.ch/themen/Humanmedizin/Infektionskrankheiten/Coronavirus"/>
  </r>
  <r>
    <x v="51"/>
    <d v="1899-12-30T14:30:00"/>
    <x v="4"/>
    <m/>
    <x v="544"/>
    <n v="135"/>
    <m/>
    <n v="51"/>
    <x v="0"/>
    <x v="121"/>
    <s v="https://gd.zh.ch/internet/gesundheitsdirektion/de/themen/coronavirus.html"/>
  </r>
  <r>
    <x v="51"/>
    <d v="1899-12-30T14:45:00"/>
    <x v="10"/>
    <m/>
    <x v="545"/>
    <n v="61"/>
    <n v="20"/>
    <n v="20"/>
    <x v="159"/>
    <x v="50"/>
    <s v="https://www.ag.ch/media/kanton_aargau/themen_1/coronavirus_1/lagebulletins/200416_KFS_Coronavirus_Lagebulletin_34.pdf"/>
  </r>
  <r>
    <x v="51"/>
    <d v="1899-12-30T15:00:00"/>
    <x v="22"/>
    <m/>
    <x v="395"/>
    <n v="2"/>
    <m/>
    <m/>
    <x v="74"/>
    <x v="7"/>
    <s v="https://www.ur.ch/themen/2962"/>
  </r>
  <r>
    <x v="51"/>
    <d v="1899-12-30T15:00:00"/>
    <x v="9"/>
    <m/>
    <x v="546"/>
    <n v="90"/>
    <n v="17"/>
    <n v="12"/>
    <x v="160"/>
    <x v="121"/>
    <s v="https://www.vs.ch/documents/6756452/7008787/2020%2004%2023%20Sit%20Epid%20-%20%C3%89tat%20Stand"/>
  </r>
  <r>
    <x v="51"/>
    <d v="1899-12-30T15:30:00"/>
    <x v="23"/>
    <m/>
    <x v="112"/>
    <n v="0"/>
    <m/>
    <m/>
    <x v="0"/>
    <x v="0"/>
    <s v="https://www.ow.ch/de/verwaltung/dienstleistungen/?dienst_id=5962"/>
  </r>
  <r>
    <x v="52"/>
    <m/>
    <x v="7"/>
    <m/>
    <x v="208"/>
    <n v="40"/>
    <n v="8"/>
    <n v="5"/>
    <x v="161"/>
    <x v="39"/>
    <s v="https://www.baselland.ch/politik-und-behorden/direktionen/volkswirtschafts-und-gesundheitsdirektion/amt-fur-gesundheit/medizinische-dienste/kantonsarztlicher-dienst/aktuelles/covid-19-faelle-kanton-basel-landschaft"/>
  </r>
  <r>
    <x v="52"/>
    <m/>
    <x v="2"/>
    <m/>
    <x v="170"/>
    <m/>
    <m/>
    <m/>
    <x v="0"/>
    <x v="2"/>
    <s v="https://www.regierung.li/media/attachments/197-corona-regierung-orientiert-ueber-vorgehen-0417.pdf?t=637227446845695629"/>
  </r>
  <r>
    <x v="52"/>
    <m/>
    <x v="12"/>
    <m/>
    <x v="547"/>
    <n v="66"/>
    <n v="13"/>
    <m/>
    <x v="162"/>
    <x v="31"/>
    <s v="https://www.fr.ch/sites/default/files/2020-04/statistiques_situation_FR_2704.xlsx"/>
  </r>
  <r>
    <x v="52"/>
    <m/>
    <x v="0"/>
    <n v="21365"/>
    <x v="548"/>
    <n v="329"/>
    <n v="39"/>
    <n v="33"/>
    <x v="163"/>
    <x v="122"/>
    <s v="https://www.ge.ch/document/covid-19-situation-epidemiologique-geneve/telecharger"/>
  </r>
  <r>
    <x v="52"/>
    <m/>
    <x v="26"/>
    <m/>
    <x v="549"/>
    <n v="33"/>
    <m/>
    <m/>
    <x v="0"/>
    <x v="27"/>
    <s v="https://www.gr.ch/DE/institutionen/verwaltung/djsg/ga/coronavirus/info/Seiten/Start.aspx"/>
  </r>
  <r>
    <x v="52"/>
    <m/>
    <x v="3"/>
    <m/>
    <x v="550"/>
    <n v="18"/>
    <n v="5"/>
    <m/>
    <x v="0"/>
    <x v="4"/>
    <s v="https://www.jura.ch/Htdocs/Files/v/34255.xlsx/Departements/CHA/SIC/Carrousel/Coronavirus/Cornavirus/Chiffres/donnees_26_04.xlsx?download=1"/>
  </r>
  <r>
    <x v="52"/>
    <m/>
    <x v="13"/>
    <m/>
    <x v="551"/>
    <n v="44"/>
    <n v="10"/>
    <n v="8"/>
    <x v="0"/>
    <x v="123"/>
    <s v="https://www.ne.ch/autorites/DFS/SCSP/medecin-cantonal/maladies-vaccinations/Documents/Covid-19-Statistiques/COVID19_PublicationInternet.xlsx"/>
  </r>
  <r>
    <x v="52"/>
    <m/>
    <x v="20"/>
    <m/>
    <x v="214"/>
    <n v="4"/>
    <n v="2"/>
    <m/>
    <x v="0"/>
    <x v="4"/>
    <s v="http://www.nw.ch/coronastatistik"/>
  </r>
  <r>
    <x v="52"/>
    <m/>
    <x v="14"/>
    <m/>
    <x v="552"/>
    <n v="41"/>
    <n v="9"/>
    <m/>
    <x v="27"/>
    <x v="52"/>
    <s v="https://www.sg.ch/tools/informationen-coronavirus.html"/>
  </r>
  <r>
    <x v="52"/>
    <m/>
    <x v="15"/>
    <m/>
    <x v="193"/>
    <m/>
    <m/>
    <m/>
    <x v="164"/>
    <x v="12"/>
    <s v="https://www.sz.ch/behoerden/information-medien/medienmitteilungen/coronavirus.html/72-416-412-1379-6948"/>
  </r>
  <r>
    <x v="52"/>
    <m/>
    <x v="25"/>
    <m/>
    <x v="494"/>
    <n v="25"/>
    <n v="13"/>
    <m/>
    <x v="0"/>
    <x v="13"/>
    <s v="https://www.tg.ch/news/fachdossier-coronavirus.html/10552"/>
  </r>
  <r>
    <x v="52"/>
    <m/>
    <x v="8"/>
    <m/>
    <x v="553"/>
    <n v="236"/>
    <n v="55"/>
    <m/>
    <x v="0"/>
    <x v="124"/>
    <s v="https://www.vd.ch/toutes-les-actualites/hotline-et-informations-sur-le-coronavirus/point-de-situation-statistique-dans-le-canton-de-vaud/"/>
  </r>
  <r>
    <x v="52"/>
    <d v="1899-12-30T00:00:00"/>
    <x v="18"/>
    <m/>
    <x v="554"/>
    <n v="20"/>
    <m/>
    <m/>
    <x v="0"/>
    <x v="11"/>
    <s v="https://corona.so.ch/index.php?id=27979"/>
  </r>
  <r>
    <x v="52"/>
    <d v="1899-12-30T08:00:00"/>
    <x v="6"/>
    <m/>
    <x v="555"/>
    <n v="69"/>
    <n v="25"/>
    <n v="13"/>
    <x v="0"/>
    <x v="31"/>
    <s v="https://www.besondere-lage.sites.be.ch/besondere-lage_sites/de/index/corona/index.html"/>
  </r>
  <r>
    <x v="52"/>
    <d v="1899-12-30T08:00:00"/>
    <x v="1"/>
    <m/>
    <x v="556"/>
    <n v="254"/>
    <n v="57"/>
    <n v="44"/>
    <x v="165"/>
    <x v="125"/>
    <s v="https://www4.ti.ch/area-media/comunicati/dettaglio-comunicato/?NEWS_ID=187639&amp;tx_tichareamedia_comunicazioni%5Baction%5D=show&amp;tx_tichareamedia_comunicazioni%5Bcontroller%5D=Comunicazioni&amp;cHash=293da33bc5267650fbd8e590032cd6f3"/>
  </r>
  <r>
    <x v="52"/>
    <d v="1899-12-30T08:00:00"/>
    <x v="11"/>
    <m/>
    <x v="87"/>
    <n v="8"/>
    <n v="6"/>
    <m/>
    <x v="166"/>
    <x v="6"/>
    <s v="https://www.zg.ch/behoerden/gesundheitsdirektion/statistikfachstelle/themen/gesundheit/corona"/>
  </r>
  <r>
    <x v="52"/>
    <d v="1899-12-30T09:00:00"/>
    <x v="5"/>
    <m/>
    <x v="148"/>
    <n v="68"/>
    <n v="7"/>
    <m/>
    <x v="167"/>
    <x v="21"/>
    <s v="https://www.gd.bs.ch//nm/2020-tagesbulletin-coronavirus-923-bestaetigte-faelle-im-kanton-basel-stadt-gd.html"/>
  </r>
  <r>
    <x v="52"/>
    <d v="1899-12-30T09:30:00"/>
    <x v="21"/>
    <m/>
    <x v="224"/>
    <n v="8"/>
    <n v="2"/>
    <m/>
    <x v="0"/>
    <x v="2"/>
    <s v="https://sh.ch/CMS/get/file/b9efa343-2987-4ab2-a060-9c16eacb0326"/>
  </r>
  <r>
    <x v="52"/>
    <d v="1899-12-30T11:00:00"/>
    <x v="24"/>
    <m/>
    <x v="16"/>
    <m/>
    <m/>
    <m/>
    <x v="0"/>
    <x v="1"/>
    <s v="https://www.ai.ch/themen/gesundheit-alter-und-soziales/gesundheitsfoerderung-und-praevention/uebertragbare-krankheiten/coronavirus"/>
  </r>
  <r>
    <x v="52"/>
    <d v="1899-12-30T11:00:00"/>
    <x v="16"/>
    <m/>
    <x v="557"/>
    <n v="40"/>
    <n v="3"/>
    <m/>
    <x v="0"/>
    <x v="12"/>
    <s v="https://gesundheit.lu.ch/themen/Humanmedizin/Infektionskrankheiten/Coronavirus"/>
  </r>
  <r>
    <x v="52"/>
    <d v="1899-12-30T12:00:00"/>
    <x v="17"/>
    <m/>
    <x v="183"/>
    <m/>
    <m/>
    <m/>
    <x v="0"/>
    <x v="4"/>
    <s v="https://www.ar.ch/verwaltung/departement-gesundheit-und-soziales/amt-fuer-gesundheit/informationsseite-coronavirus/"/>
  </r>
  <r>
    <x v="52"/>
    <d v="1899-12-30T13:00:00"/>
    <x v="19"/>
    <m/>
    <x v="558"/>
    <n v="4"/>
    <m/>
    <m/>
    <x v="0"/>
    <x v="4"/>
    <s v="https://www.gl.ch/public/upload/assets/27574/COVID-19_Fallzahlen_Kanton_Glarus.xlsx"/>
  </r>
  <r>
    <x v="52"/>
    <d v="1899-12-30T14:00:00"/>
    <x v="22"/>
    <m/>
    <x v="395"/>
    <n v="2"/>
    <m/>
    <m/>
    <x v="168"/>
    <x v="7"/>
    <s v="https://www.ur.ch/themen/2962"/>
  </r>
  <r>
    <x v="52"/>
    <d v="1899-12-30T14:30:00"/>
    <x v="4"/>
    <m/>
    <x v="559"/>
    <n v="123"/>
    <m/>
    <n v="45"/>
    <x v="0"/>
    <x v="126"/>
    <s v="https://gd.zh.ch/internet/gesundheitsdirektion/de/themen/coronavirus.html"/>
  </r>
  <r>
    <x v="52"/>
    <d v="1899-12-30T14:45:00"/>
    <x v="10"/>
    <m/>
    <x v="560"/>
    <n v="58"/>
    <n v="20"/>
    <n v="20"/>
    <x v="169"/>
    <x v="19"/>
    <s v="https://www.ag.ch/media/kanton_aargau/themen_1/coronavirus_1/lagebulletins/200417_KFS_Coronavirus_Lagebulletin_35.pdf"/>
  </r>
  <r>
    <x v="52"/>
    <d v="1899-12-30T15:00:00"/>
    <x v="9"/>
    <m/>
    <x v="561"/>
    <n v="84"/>
    <n v="16"/>
    <n v="10"/>
    <x v="170"/>
    <x v="126"/>
    <s v="https://www.vs.ch/documents/6756452/7008787/2020%2004%2023%20Sit%20Epid%20-%20%C3%89tat%20Stand"/>
  </r>
  <r>
    <x v="52"/>
    <d v="1899-12-30T16:00:00"/>
    <x v="23"/>
    <m/>
    <x v="140"/>
    <n v="0"/>
    <m/>
    <m/>
    <x v="0"/>
    <x v="0"/>
    <s v="https://www.ow.ch/de/verwaltung/dienstleistungen/?dienst_id=5962"/>
  </r>
  <r>
    <x v="53"/>
    <m/>
    <x v="7"/>
    <m/>
    <x v="255"/>
    <n v="44"/>
    <n v="7"/>
    <n v="5"/>
    <x v="171"/>
    <x v="39"/>
    <s v="https://www.baselland.ch/politik-und-behorden/direktionen/volkswirtschafts-und-gesundheitsdirektion/amt-fur-gesundheit/medizinische-dienste/kantonsarztlicher-dienst/aktuelles/covid-19-faelle-kanton-basel-landschaft"/>
  </r>
  <r>
    <x v="53"/>
    <m/>
    <x v="2"/>
    <m/>
    <x v="170"/>
    <m/>
    <m/>
    <m/>
    <x v="0"/>
    <x v="2"/>
    <s v="https://www.regierung.li/media/attachments/198-corona-kein-zusaetzlicher-fall-0418.pdf?t=637228301134424983"/>
  </r>
  <r>
    <x v="53"/>
    <m/>
    <x v="12"/>
    <m/>
    <x v="562"/>
    <n v="64"/>
    <n v="11"/>
    <m/>
    <x v="132"/>
    <x v="127"/>
    <s v="https://www.fr.ch/sites/default/files/2020-04/statistiques_situation_FR_2704.xlsx"/>
  </r>
  <r>
    <x v="53"/>
    <m/>
    <x v="0"/>
    <n v="21816"/>
    <x v="563"/>
    <n v="315"/>
    <n v="34"/>
    <n v="33"/>
    <x v="172"/>
    <x v="128"/>
    <s v="https://www.ge.ch/document/covid-19-situation-epidemiologique-geneve/telecharger"/>
  </r>
  <r>
    <x v="53"/>
    <m/>
    <x v="26"/>
    <m/>
    <x v="564"/>
    <n v="29"/>
    <m/>
    <m/>
    <x v="0"/>
    <x v="27"/>
    <s v="https://www.gr.ch/DE/institutionen/verwaltung/djsg/ga/coronavirus/info/Seiten/Start.aspx"/>
  </r>
  <r>
    <x v="53"/>
    <m/>
    <x v="3"/>
    <m/>
    <x v="565"/>
    <n v="17"/>
    <n v="5"/>
    <m/>
    <x v="0"/>
    <x v="4"/>
    <s v="https://www.jura.ch/Htdocs/Files/v/34255.xlsx/Departements/CHA/SIC/Carrousel/Coronavirus/Cornavirus/Chiffres/donnees_26_04.xlsx?download=1"/>
  </r>
  <r>
    <x v="53"/>
    <m/>
    <x v="13"/>
    <m/>
    <x v="566"/>
    <n v="44"/>
    <n v="10"/>
    <n v="8"/>
    <x v="0"/>
    <x v="123"/>
    <s v="https://www.ne.ch/autorites/DFS/SCSP/medecin-cantonal/maladies-vaccinations/Documents/Covid-19-Statistiques/COVID19_PublicationInternet.xlsx"/>
  </r>
  <r>
    <x v="53"/>
    <m/>
    <x v="20"/>
    <m/>
    <x v="558"/>
    <n v="4"/>
    <n v="2"/>
    <m/>
    <x v="0"/>
    <x v="4"/>
    <s v="http://www.nw.ch/coronastatistik"/>
  </r>
  <r>
    <x v="53"/>
    <m/>
    <x v="14"/>
    <m/>
    <x v="567"/>
    <n v="44"/>
    <n v="7"/>
    <m/>
    <x v="173"/>
    <x v="52"/>
    <s v="https://www.sg.ch/tools/informationen-coronavirus.html"/>
  </r>
  <r>
    <x v="53"/>
    <m/>
    <x v="15"/>
    <m/>
    <x v="193"/>
    <m/>
    <m/>
    <m/>
    <x v="174"/>
    <x v="12"/>
    <s v="https://www.sz.ch/behoerden/information-medien/medienmitteilungen/coronavirus.html/72-416-412-1379-6948"/>
  </r>
  <r>
    <x v="53"/>
    <m/>
    <x v="25"/>
    <m/>
    <x v="568"/>
    <n v="23"/>
    <n v="12"/>
    <m/>
    <x v="0"/>
    <x v="15"/>
    <s v="https://www.tg.ch/news/fachdossier-coronavirus.html/10552"/>
  </r>
  <r>
    <x v="53"/>
    <m/>
    <x v="8"/>
    <m/>
    <x v="569"/>
    <n v="233"/>
    <n v="52"/>
    <m/>
    <x v="0"/>
    <x v="129"/>
    <s v="https://www.vd.ch/toutes-les-actualites/hotline-et-informations-sur-le-coronavirus/point-de-situation-statistique-dans-le-canton-de-vaud/"/>
  </r>
  <r>
    <x v="53"/>
    <d v="1899-12-30T00:00:00"/>
    <x v="18"/>
    <m/>
    <x v="570"/>
    <n v="19"/>
    <m/>
    <m/>
    <x v="0"/>
    <x v="10"/>
    <s v="https://corona.so.ch/index.php?id=27979"/>
  </r>
  <r>
    <x v="53"/>
    <d v="1899-12-30T08:00:00"/>
    <x v="6"/>
    <m/>
    <x v="571"/>
    <n v="71"/>
    <n v="22"/>
    <n v="12"/>
    <x v="0"/>
    <x v="127"/>
    <s v="https://www.besondere-lage.sites.be.ch/besondere-lage_sites/de/index/corona/index.html"/>
  </r>
  <r>
    <x v="53"/>
    <d v="1899-12-30T08:00:00"/>
    <x v="1"/>
    <m/>
    <x v="572"/>
    <n v="244"/>
    <n v="56"/>
    <n v="42"/>
    <x v="175"/>
    <x v="130"/>
    <s v="https://www4.ti.ch/area-media/comunicati/dettaglio-comunicato/?NEWS_ID=187644&amp;tx_tichareamedia_comunicazioni%5Baction%5D=show&amp;tx_tichareamedia_comunicazioni%5Bcontroller%5D=Comunicazioni&amp;cHash=df3ace8d6228b4587b78db3bfa080a83"/>
  </r>
  <r>
    <x v="53"/>
    <d v="1899-12-30T08:00:00"/>
    <x v="11"/>
    <m/>
    <x v="417"/>
    <n v="6"/>
    <n v="6"/>
    <m/>
    <x v="176"/>
    <x v="9"/>
    <s v="https://www.zg.ch/behoerden/gesundheitsdirektion/statistikfachstelle/themen/gesundheit/corona"/>
  </r>
  <r>
    <x v="53"/>
    <d v="1899-12-30T09:30:00"/>
    <x v="21"/>
    <m/>
    <x v="105"/>
    <n v="11"/>
    <n v="4"/>
    <m/>
    <x v="0"/>
    <x v="2"/>
    <s v="https://sh.ch/CMS/get/file/b9efa343-2987-4ab2-a060-9c16eacb0326"/>
  </r>
  <r>
    <x v="53"/>
    <d v="1899-12-30T09:45:00"/>
    <x v="5"/>
    <m/>
    <x v="573"/>
    <m/>
    <m/>
    <m/>
    <x v="177"/>
    <x v="27"/>
    <s v="https://www.gd.bs.ch//nm/2020-tagesbulletin-coronavirus-929-bestaetigte-faelle-im-kanton-basel-stadt-gd.html"/>
  </r>
  <r>
    <x v="53"/>
    <d v="1899-12-30T12:30:00"/>
    <x v="16"/>
    <m/>
    <x v="574"/>
    <n v="26"/>
    <n v="4"/>
    <m/>
    <x v="0"/>
    <x v="14"/>
    <s v="https://gesundheit.lu.ch/themen/Humanmedizin/Infektionskrankheiten/Coronavirus"/>
  </r>
  <r>
    <x v="53"/>
    <d v="1899-12-30T13:00:00"/>
    <x v="19"/>
    <m/>
    <x v="115"/>
    <n v="4"/>
    <m/>
    <m/>
    <x v="0"/>
    <x v="4"/>
    <s v="https://www.gl.ch/public/upload/assets/27574/COVID-19_Fallzahlen_Kanton_Glarus.xlsx"/>
  </r>
  <r>
    <x v="53"/>
    <d v="1899-12-30T14:30:00"/>
    <x v="4"/>
    <m/>
    <x v="575"/>
    <n v="114"/>
    <m/>
    <n v="44"/>
    <x v="0"/>
    <x v="47"/>
    <s v="https://gd.zh.ch/internet/gesundheitsdirektion/de/themen/coronavirus.html"/>
  </r>
  <r>
    <x v="53"/>
    <d v="1899-12-30T14:45:00"/>
    <x v="10"/>
    <m/>
    <x v="576"/>
    <m/>
    <m/>
    <m/>
    <x v="0"/>
    <x v="39"/>
    <s v="https://www.ag.ch/media/kanton_aargau/themen_1/coronavirus_1/lagebulletins/200420_KFS_Coronavirus_Lagebulletin_36.pdf"/>
  </r>
  <r>
    <x v="53"/>
    <d v="1899-12-30T15:00:00"/>
    <x v="22"/>
    <m/>
    <x v="395"/>
    <n v="2"/>
    <m/>
    <m/>
    <x v="112"/>
    <x v="7"/>
    <s v="https://www.ur.ch/themen/2962"/>
  </r>
  <r>
    <x v="53"/>
    <d v="1899-12-30T15:00:00"/>
    <x v="9"/>
    <m/>
    <x v="577"/>
    <n v="83"/>
    <n v="18"/>
    <n v="10"/>
    <x v="178"/>
    <x v="131"/>
    <s v="https://www.vs.ch/documents/6756452/7008787/2020%2004%2023%20Sit%20Epid%20-%20%C3%89tat%20Stand"/>
  </r>
  <r>
    <x v="54"/>
    <m/>
    <x v="7"/>
    <m/>
    <x v="578"/>
    <n v="40"/>
    <n v="7"/>
    <n v="5"/>
    <x v="140"/>
    <x v="39"/>
    <s v="https://www.baselland.ch/politik-und-behorden/direktionen/volkswirtschafts-und-gesundheitsdirektion/amt-fur-gesundheit/medizinische-dienste/kantonsarztlicher-dienst/aktuelles/covid-19-faelle-kanton-basel-landschaft"/>
  </r>
  <r>
    <x v="54"/>
    <m/>
    <x v="2"/>
    <m/>
    <x v="170"/>
    <m/>
    <m/>
    <m/>
    <x v="0"/>
    <x v="2"/>
    <s v="https://www.regierung.li/media/attachments/199-corona-keine-neuen-faelle-0419.pdf?t=637229165752237624"/>
  </r>
  <r>
    <x v="54"/>
    <m/>
    <x v="12"/>
    <m/>
    <x v="579"/>
    <n v="61"/>
    <n v="12"/>
    <m/>
    <x v="110"/>
    <x v="87"/>
    <s v="https://www.fr.ch/sites/default/files/2020-04/statistiques_situation_FR_2704.xlsx"/>
  </r>
  <r>
    <x v="54"/>
    <m/>
    <x v="0"/>
    <n v="22002"/>
    <x v="580"/>
    <n v="315"/>
    <n v="35"/>
    <n v="33"/>
    <x v="179"/>
    <x v="132"/>
    <s v="https://www.ge.ch/document/covid-19-situation-epidemiologique-geneve/telecharger"/>
  </r>
  <r>
    <x v="54"/>
    <m/>
    <x v="26"/>
    <m/>
    <x v="581"/>
    <n v="28"/>
    <m/>
    <m/>
    <x v="0"/>
    <x v="36"/>
    <s v="https://www.gr.ch/DE/institutionen/verwaltung/djsg/ga/coronavirus/info/Seiten/Start.aspx"/>
  </r>
  <r>
    <x v="54"/>
    <m/>
    <x v="3"/>
    <m/>
    <x v="565"/>
    <n v="16"/>
    <n v="5"/>
    <m/>
    <x v="0"/>
    <x v="7"/>
    <s v="https://www.jura.ch/Htdocs/Files/v/34255.xlsx/Departements/CHA/SIC/Carrousel/Coronavirus/Cornavirus/Chiffres/donnees_26_04.xlsx?download=1"/>
  </r>
  <r>
    <x v="54"/>
    <m/>
    <x v="13"/>
    <m/>
    <x v="582"/>
    <n v="43"/>
    <n v="9"/>
    <n v="4"/>
    <x v="0"/>
    <x v="28"/>
    <s v="https://www.ne.ch/autorites/DFS/SCSP/medecin-cantonal/maladies-vaccinations/Documents/Covid-19-Statistiques/COVID19_PublicationInternet.xlsx"/>
  </r>
  <r>
    <x v="54"/>
    <m/>
    <x v="20"/>
    <m/>
    <x v="558"/>
    <n v="4"/>
    <n v="2"/>
    <m/>
    <x v="0"/>
    <x v="4"/>
    <s v="http://www.nw.ch/coronastatistik"/>
  </r>
  <r>
    <x v="54"/>
    <m/>
    <x v="14"/>
    <m/>
    <x v="583"/>
    <n v="45"/>
    <n v="7"/>
    <m/>
    <x v="173"/>
    <x v="52"/>
    <s v="https://www.sg.ch/tools/informationen-coronavirus.html"/>
  </r>
  <r>
    <x v="54"/>
    <m/>
    <x v="15"/>
    <m/>
    <x v="584"/>
    <m/>
    <m/>
    <m/>
    <x v="180"/>
    <x v="14"/>
    <s v="https://www.sz.ch/behoerden/information-medien/medienmitteilungen/coronavirus.html/72-416-412-1379-6948"/>
  </r>
  <r>
    <x v="54"/>
    <m/>
    <x v="25"/>
    <m/>
    <x v="585"/>
    <n v="23"/>
    <n v="12"/>
    <m/>
    <x v="0"/>
    <x v="15"/>
    <s v="https://www.tg.ch/news/fachdossier-coronavirus.html/10552"/>
  </r>
  <r>
    <x v="54"/>
    <m/>
    <x v="8"/>
    <m/>
    <x v="586"/>
    <n v="236"/>
    <n v="52"/>
    <m/>
    <x v="0"/>
    <x v="133"/>
    <s v="https://www.vd.ch/toutes-les-actualites/hotline-et-informations-sur-le-coronavirus/point-de-situation-statistique-dans-le-canton-de-vaud/"/>
  </r>
  <r>
    <x v="54"/>
    <d v="1899-12-30T00:00:00"/>
    <x v="18"/>
    <m/>
    <x v="587"/>
    <n v="19"/>
    <m/>
    <m/>
    <x v="0"/>
    <x v="20"/>
    <s v="https://corona.so.ch/index.php?id=27979"/>
  </r>
  <r>
    <x v="54"/>
    <d v="1899-12-30T08:00:00"/>
    <x v="6"/>
    <m/>
    <x v="588"/>
    <n v="78"/>
    <n v="20"/>
    <n v="13"/>
    <x v="0"/>
    <x v="127"/>
    <s v="https://www.besondere-lage.sites.be.ch/besondere-lage_sites/de/index/corona/index.html"/>
  </r>
  <r>
    <x v="54"/>
    <d v="1899-12-30T08:00:00"/>
    <x v="1"/>
    <m/>
    <x v="589"/>
    <n v="237"/>
    <n v="54"/>
    <n v="42"/>
    <x v="181"/>
    <x v="134"/>
    <s v="https://www4.ti.ch/area-media/comunicati/dettaglio-comunicato/?NEWS_ID=187645&amp;tx_tichareamedia_comunicazioni%5Baction%5D=show&amp;tx_tichareamedia_comunicazioni%5Bcontroller%5D=Comunicazioni&amp;cHash=7c0ead3ab8e681d79f11cb3d67995946"/>
  </r>
  <r>
    <x v="54"/>
    <d v="1899-12-30T08:00:00"/>
    <x v="11"/>
    <m/>
    <x v="118"/>
    <n v="11"/>
    <n v="6"/>
    <m/>
    <x v="176"/>
    <x v="9"/>
    <s v="https://www.zg.ch/behoerden/gesundheitsdirektion/statistikfachstelle/themen/gesundheit/corona"/>
  </r>
  <r>
    <x v="54"/>
    <d v="1899-12-30T09:30:00"/>
    <x v="21"/>
    <m/>
    <x v="256"/>
    <n v="6"/>
    <n v="2"/>
    <m/>
    <x v="0"/>
    <x v="2"/>
    <s v="https://sh.ch/CMS/get/file/b9efa343-2987-4ab2-a060-9c16eacb0326"/>
  </r>
  <r>
    <x v="54"/>
    <d v="1899-12-30T10:00:00"/>
    <x v="5"/>
    <m/>
    <x v="590"/>
    <m/>
    <m/>
    <m/>
    <x v="182"/>
    <x v="27"/>
    <s v="https://www.gd.bs.ch//nm/2020-tagesbulletin-coronavirus-932-bestaetigte-faelle-im-kanton-basel-stadt-gd.html"/>
  </r>
  <r>
    <x v="54"/>
    <d v="1899-12-30T11:00:00"/>
    <x v="24"/>
    <m/>
    <x v="16"/>
    <m/>
    <m/>
    <m/>
    <x v="0"/>
    <x v="1"/>
    <s v="https://www.ai.ch/themen/gesundheit-alter-und-soziales/gesundheitsfoerderung-und-praevention/uebertragbare-krankheiten/coronavirus"/>
  </r>
  <r>
    <x v="54"/>
    <d v="1899-12-30T11:00:00"/>
    <x v="16"/>
    <m/>
    <x v="348"/>
    <n v="26"/>
    <n v="4"/>
    <m/>
    <x v="0"/>
    <x v="14"/>
    <s v="https://gesundheit.lu.ch/themen/Humanmedizin/Infektionskrankheiten/Coronavirus"/>
  </r>
  <r>
    <x v="54"/>
    <d v="1899-12-30T13:00:00"/>
    <x v="19"/>
    <m/>
    <x v="115"/>
    <n v="4"/>
    <m/>
    <m/>
    <x v="0"/>
    <x v="4"/>
    <s v="https://www.gl.ch/public/upload/assets/27574/COVID-19_Fallzahlen_Kanton_Glarus.xlsx"/>
  </r>
  <r>
    <x v="54"/>
    <d v="1899-12-30T13:00:00"/>
    <x v="22"/>
    <m/>
    <x v="395"/>
    <n v="2"/>
    <m/>
    <m/>
    <x v="112"/>
    <x v="7"/>
    <s v="https://www.ur.ch/themen/2962"/>
  </r>
  <r>
    <x v="54"/>
    <d v="1899-12-30T14:30:00"/>
    <x v="4"/>
    <m/>
    <x v="591"/>
    <n v="116"/>
    <m/>
    <n v="43"/>
    <x v="0"/>
    <x v="47"/>
    <s v="https://gd.zh.ch/internet/gesundheitsdirektion/de/themen/coronavirus.html"/>
  </r>
  <r>
    <x v="54"/>
    <d v="1899-12-30T14:45:00"/>
    <x v="10"/>
    <m/>
    <x v="329"/>
    <m/>
    <m/>
    <m/>
    <x v="0"/>
    <x v="39"/>
    <s v="https://www.ag.ch/media/kanton_aargau/themen_1/coronavirus_1/lagebulletins/200420_KFS_Coronavirus_Lagebulletin_36.pdf"/>
  </r>
  <r>
    <x v="54"/>
    <d v="1899-12-30T15:00:00"/>
    <x v="9"/>
    <m/>
    <x v="592"/>
    <n v="81"/>
    <n v="16"/>
    <n v="9"/>
    <x v="183"/>
    <x v="135"/>
    <s v="https://www.vs.ch/documents/6756452/7008787/2020%2004%2023%20Sit%20Epid%20-%20%C3%89tat%20Stand"/>
  </r>
  <r>
    <x v="55"/>
    <m/>
    <x v="7"/>
    <m/>
    <x v="593"/>
    <n v="40"/>
    <n v="6"/>
    <n v="3"/>
    <x v="184"/>
    <x v="39"/>
    <s v="https://www.baselland.ch/politik-und-behorden/direktionen/volkswirtschafts-und-gesundheitsdirektion/amt-fur-gesundheit/medizinische-dienste/kantonsarztlicher-dienst/aktuelles/covid-19-faelle-kanton-basel-landschaft"/>
  </r>
  <r>
    <x v="55"/>
    <m/>
    <x v="2"/>
    <m/>
    <x v="170"/>
    <m/>
    <m/>
    <m/>
    <x v="0"/>
    <x v="2"/>
    <s v="https://www.regierung.li/de/mitteilungen/223410/?typ=news"/>
  </r>
  <r>
    <x v="55"/>
    <m/>
    <x v="12"/>
    <m/>
    <x v="594"/>
    <n v="62"/>
    <n v="11"/>
    <m/>
    <x v="110"/>
    <x v="37"/>
    <s v="https://www.fr.ch/sites/default/files/2020-04/statistiques_situation_FR_2704.xlsx"/>
  </r>
  <r>
    <x v="55"/>
    <m/>
    <x v="0"/>
    <n v="22386"/>
    <x v="595"/>
    <n v="321"/>
    <n v="34"/>
    <n v="29"/>
    <x v="185"/>
    <x v="136"/>
    <s v="https://www.ge.ch/document/covid-19-situation-epidemiologique-geneve/telecharger"/>
  </r>
  <r>
    <x v="55"/>
    <m/>
    <x v="26"/>
    <m/>
    <x v="596"/>
    <n v="29"/>
    <m/>
    <m/>
    <x v="0"/>
    <x v="90"/>
    <s v="https://www.gr.ch/DE/institutionen/verwaltung/djsg/ga/coronavirus/info/Seiten/Start.aspx"/>
  </r>
  <r>
    <x v="55"/>
    <m/>
    <x v="3"/>
    <m/>
    <x v="597"/>
    <n v="14"/>
    <n v="4"/>
    <m/>
    <x v="0"/>
    <x v="6"/>
    <s v="https://www.jura.ch/Htdocs/Files/v/34255.xlsx/Departements/CHA/SIC/Carrousel/Coronavirus/Cornavirus/Chiffres/donnees_26_04.xlsx?download=1"/>
  </r>
  <r>
    <x v="55"/>
    <m/>
    <x v="13"/>
    <m/>
    <x v="598"/>
    <n v="44"/>
    <n v="10"/>
    <n v="5"/>
    <x v="0"/>
    <x v="137"/>
    <s v="https://www.ne.ch/autorites/DFS/SCSP/medecin-cantonal/maladies-vaccinations/Documents/Covid-19-Statistiques/COVID19_PublicationInternet.xlsx"/>
  </r>
  <r>
    <x v="55"/>
    <m/>
    <x v="20"/>
    <m/>
    <x v="558"/>
    <n v="4"/>
    <n v="2"/>
    <m/>
    <x v="0"/>
    <x v="4"/>
    <s v="http://www.nw.ch/coronastatistik"/>
  </r>
  <r>
    <x v="55"/>
    <m/>
    <x v="14"/>
    <m/>
    <x v="429"/>
    <n v="42"/>
    <n v="7"/>
    <m/>
    <x v="186"/>
    <x v="52"/>
    <s v="https://www.sg.ch/tools/informationen-coronavirus.html"/>
  </r>
  <r>
    <x v="55"/>
    <m/>
    <x v="15"/>
    <m/>
    <x v="599"/>
    <m/>
    <m/>
    <m/>
    <x v="180"/>
    <x v="14"/>
    <s v="https://www.sz.ch/behoerden/information-medien/medienmitteilungen/coronavirus.html/72-416-412-1379-6948"/>
  </r>
  <r>
    <x v="55"/>
    <m/>
    <x v="25"/>
    <m/>
    <x v="600"/>
    <n v="24"/>
    <n v="12"/>
    <m/>
    <x v="0"/>
    <x v="15"/>
    <s v="https://www.tg.ch/news/fachdossier-coronavirus.html/10552"/>
  </r>
  <r>
    <x v="55"/>
    <m/>
    <x v="8"/>
    <m/>
    <x v="601"/>
    <n v="219"/>
    <n v="49"/>
    <m/>
    <x v="0"/>
    <x v="138"/>
    <s v="https://www.vd.ch/toutes-les-actualites/hotline-et-informations-sur-le-coronavirus/point-de-situation-statistique-dans-le-canton-de-vaud/"/>
  </r>
  <r>
    <x v="55"/>
    <d v="1899-12-30T00:00:00"/>
    <x v="18"/>
    <m/>
    <x v="587"/>
    <n v="19"/>
    <m/>
    <m/>
    <x v="0"/>
    <x v="20"/>
    <s v="https://corona.so.ch/index.php?id=27979"/>
  </r>
  <r>
    <x v="55"/>
    <d v="1899-12-30T08:00:00"/>
    <x v="6"/>
    <m/>
    <x v="602"/>
    <n v="71"/>
    <n v="19"/>
    <n v="11"/>
    <x v="0"/>
    <x v="139"/>
    <s v="https://www.besondere-lage.sites.be.ch/besondere-lage_sites/de/index/corona/index.html"/>
  </r>
  <r>
    <x v="55"/>
    <d v="1899-12-30T08:00:00"/>
    <x v="1"/>
    <m/>
    <x v="603"/>
    <n v="237"/>
    <n v="54"/>
    <n v="42"/>
    <x v="181"/>
    <x v="140"/>
    <s v="https://www4.ti.ch/area-media/comunicati/dettaglio-comunicato/?NEWS_ID=187648&amp;tx_tichareamedia_comunicazioni%5Baction%5D=show&amp;tx_tichareamedia_comunicazioni%5Bcontroller%5D=Comunicazioni&amp;cHash=8c7fb45c6eada1e8d97d120f23176eb1"/>
  </r>
  <r>
    <x v="55"/>
    <d v="1899-12-30T08:00:00"/>
    <x v="11"/>
    <m/>
    <x v="118"/>
    <n v="11"/>
    <n v="5"/>
    <m/>
    <x v="176"/>
    <x v="9"/>
    <s v="https://www.zg.ch/behoerden/gesundheitsdirektion/statistikfachstelle/themen/gesundheit/corona"/>
  </r>
  <r>
    <x v="55"/>
    <d v="1899-12-30T09:30:00"/>
    <x v="5"/>
    <m/>
    <x v="604"/>
    <m/>
    <m/>
    <m/>
    <x v="187"/>
    <x v="90"/>
    <s v="https://www.gd.bs.ch//nm/2020-tagesbulletin-coronavirus-933-bestaetigte-faelle-im-kanton-basel-stadt-gd.html"/>
  </r>
  <r>
    <x v="55"/>
    <d v="1899-12-30T09:30:00"/>
    <x v="21"/>
    <m/>
    <x v="44"/>
    <n v="6"/>
    <n v="2"/>
    <m/>
    <x v="0"/>
    <x v="2"/>
    <s v="https://sh.ch/CMS/get/file/b9efa343-2987-4ab2-a060-9c16eacb0326"/>
  </r>
  <r>
    <x v="55"/>
    <d v="1899-12-30T11:00:00"/>
    <x v="24"/>
    <m/>
    <x v="16"/>
    <m/>
    <m/>
    <m/>
    <x v="0"/>
    <x v="1"/>
    <s v="https://www.ai.ch/themen/gesundheit-alter-und-soziales/gesundheitsfoerderung-und-praevention/uebertragbare-krankheiten/coronavirus"/>
  </r>
  <r>
    <x v="55"/>
    <d v="1899-12-30T11:00:00"/>
    <x v="16"/>
    <m/>
    <x v="605"/>
    <n v="33"/>
    <n v="5"/>
    <m/>
    <x v="0"/>
    <x v="14"/>
    <s v="https://gesundheit.lu.ch/themen/Humanmedizin/Infektionskrankheiten/Coronavirus"/>
  </r>
  <r>
    <x v="55"/>
    <d v="1899-12-30T13:00:00"/>
    <x v="17"/>
    <m/>
    <x v="101"/>
    <m/>
    <m/>
    <m/>
    <x v="0"/>
    <x v="4"/>
    <s v="https://www.ar.ch/verwaltung/departement-gesundheit-und-soziales/amt-fuer-gesundheit/informationsseite-coronavirus/"/>
  </r>
  <r>
    <x v="55"/>
    <d v="1899-12-30T13:00:00"/>
    <x v="19"/>
    <m/>
    <x v="51"/>
    <n v="5"/>
    <m/>
    <m/>
    <x v="0"/>
    <x v="7"/>
    <s v="https://www.gl.ch/public/upload/assets/27574/COVID-19_Fallzahlen_Kanton_Glarus.xlsx"/>
  </r>
  <r>
    <x v="55"/>
    <d v="1899-12-30T14:00:00"/>
    <x v="22"/>
    <m/>
    <x v="395"/>
    <n v="2"/>
    <m/>
    <m/>
    <x v="112"/>
    <x v="7"/>
    <s v="https://www.ur.ch/themen/2962"/>
  </r>
  <r>
    <x v="55"/>
    <d v="1899-12-30T14:30:00"/>
    <x v="4"/>
    <m/>
    <x v="606"/>
    <n v="121"/>
    <m/>
    <n v="43"/>
    <x v="0"/>
    <x v="135"/>
    <s v="https://gd.zh.ch/internet/gesundheitsdirektion/de/themen/coronavirus.html"/>
  </r>
  <r>
    <x v="55"/>
    <d v="1899-12-30T14:45:00"/>
    <x v="10"/>
    <m/>
    <x v="607"/>
    <n v="45"/>
    <n v="16"/>
    <n v="16"/>
    <x v="188"/>
    <x v="18"/>
    <s v="https://www.ag.ch/media/kanton_aargau/themen_1/coronavirus_1/lagebulletins/200420_KFS_Coronavirus_Lagebulletin_36.pdf"/>
  </r>
  <r>
    <x v="55"/>
    <d v="1899-12-30T15:00:00"/>
    <x v="23"/>
    <m/>
    <x v="98"/>
    <n v="0"/>
    <m/>
    <m/>
    <x v="0"/>
    <x v="0"/>
    <s v="https://www.ow.ch/de/verwaltung/dienstleistungen/?dienst_id=5962"/>
  </r>
  <r>
    <x v="55"/>
    <d v="1899-12-30T15:00:00"/>
    <x v="9"/>
    <m/>
    <x v="608"/>
    <n v="77"/>
    <n v="15"/>
    <n v="9"/>
    <x v="189"/>
    <x v="70"/>
    <s v="https://www.vs.ch/documents/6756452/7008787/2020%2004%2023%20Sit%20Epid%20-%20%C3%89tat%20Stand"/>
  </r>
  <r>
    <x v="56"/>
    <m/>
    <x v="7"/>
    <m/>
    <x v="609"/>
    <n v="33"/>
    <n v="3"/>
    <n v="3"/>
    <x v="190"/>
    <x v="29"/>
    <s v="https://www.baselland.ch/politik-und-behorden/direktionen/volkswirtschafts-und-gesundheitsdirektion/amt-fur-gesundheit/medizinische-dienste/kantonsarztlicher-dienst/aktuelles/covid-19-faelle-kanton-basel-landschaft"/>
  </r>
  <r>
    <x v="56"/>
    <m/>
    <x v="2"/>
    <m/>
    <x v="170"/>
    <m/>
    <m/>
    <m/>
    <x v="0"/>
    <x v="2"/>
    <s v="https://www.regierung.li/media/attachments/207-corona-keine-neuen-Faelle-0421.pdf?t=637230900737305962"/>
  </r>
  <r>
    <x v="56"/>
    <m/>
    <x v="12"/>
    <m/>
    <x v="610"/>
    <n v="60"/>
    <n v="8"/>
    <m/>
    <x v="38"/>
    <x v="141"/>
    <s v="https://www.fr.ch/sites/default/files/2020-04/statistiques_situation_FR_2704.xlsx"/>
  </r>
  <r>
    <x v="56"/>
    <m/>
    <x v="0"/>
    <n v="22774"/>
    <x v="611"/>
    <n v="304"/>
    <n v="32"/>
    <n v="29"/>
    <x v="191"/>
    <x v="142"/>
    <s v="https://www.ge.ch/document/covid-19-situation-epidemiologique-geneve/telecharger"/>
  </r>
  <r>
    <x v="56"/>
    <m/>
    <x v="26"/>
    <m/>
    <x v="612"/>
    <n v="27"/>
    <m/>
    <m/>
    <x v="0"/>
    <x v="143"/>
    <s v="https://www.gr.ch/DE/institutionen/verwaltung/djsg/ga/coronavirus/info/Seiten/Start.aspx"/>
  </r>
  <r>
    <x v="56"/>
    <m/>
    <x v="3"/>
    <m/>
    <x v="597"/>
    <n v="12"/>
    <n v="4"/>
    <m/>
    <x v="0"/>
    <x v="6"/>
    <s v="https://www.jura.ch/Htdocs/Files/v/34255.xlsx/Departements/CHA/SIC/Carrousel/Coronavirus/Cornavirus/Chiffres/donnees_26_04.xlsx?download=1"/>
  </r>
  <r>
    <x v="56"/>
    <m/>
    <x v="13"/>
    <m/>
    <x v="350"/>
    <n v="37"/>
    <n v="7"/>
    <n v="4"/>
    <x v="0"/>
    <x v="113"/>
    <s v="https://www.ne.ch/autorites/DFS/SCSP/medecin-cantonal/maladies-vaccinations/Documents/Covid-19-Statistiques/COVID19_PublicationInternet.xlsx"/>
  </r>
  <r>
    <x v="56"/>
    <m/>
    <x v="20"/>
    <m/>
    <x v="558"/>
    <n v="4"/>
    <n v="1"/>
    <m/>
    <x v="0"/>
    <x v="4"/>
    <s v="http://www.nw.ch/coronastatistik"/>
  </r>
  <r>
    <x v="56"/>
    <m/>
    <x v="14"/>
    <m/>
    <x v="222"/>
    <n v="48"/>
    <n v="8"/>
    <m/>
    <x v="186"/>
    <x v="144"/>
    <s v="https://www.sg.ch/tools/informationen-coronavirus.html"/>
  </r>
  <r>
    <x v="56"/>
    <m/>
    <x v="25"/>
    <m/>
    <x v="247"/>
    <n v="24"/>
    <n v="12"/>
    <m/>
    <x v="0"/>
    <x v="15"/>
    <s v="https://www.tg.ch/news/fachdossier-coronavirus.html/10552"/>
  </r>
  <r>
    <x v="56"/>
    <m/>
    <x v="8"/>
    <m/>
    <x v="613"/>
    <n v="207"/>
    <n v="48"/>
    <m/>
    <x v="0"/>
    <x v="145"/>
    <s v="https://www.vd.ch/toutes-les-actualites/hotline-et-informations-sur-le-coronavirus/point-de-situation-statistique-dans-le-canton-de-vaud/"/>
  </r>
  <r>
    <x v="56"/>
    <d v="1899-12-30T00:00:00"/>
    <x v="18"/>
    <m/>
    <x v="614"/>
    <n v="19"/>
    <m/>
    <m/>
    <x v="0"/>
    <x v="20"/>
    <s v="https://corona.so.ch/index.php?id=27979"/>
  </r>
  <r>
    <x v="56"/>
    <d v="1899-12-30T08:00:00"/>
    <x v="6"/>
    <m/>
    <x v="615"/>
    <n v="66"/>
    <n v="17"/>
    <n v="11"/>
    <x v="0"/>
    <x v="94"/>
    <s v="https://www.besondere-lage.sites.be.ch/besondere-lage_sites/de/index/corona/index.html"/>
  </r>
  <r>
    <x v="56"/>
    <d v="1899-12-30T08:00:00"/>
    <x v="1"/>
    <m/>
    <x v="616"/>
    <n v="236"/>
    <n v="54"/>
    <n v="36"/>
    <x v="192"/>
    <x v="146"/>
    <s v="https://www4.ti.ch/area-media/comunicati/dettaglio-comunicato/?NEWS_ID=187654&amp;tx_tichareamedia_comunicazioni%5Baction%5D=show&amp;tx_tichareamedia_comunicazioni%5Bcontroller%5D=Comunicazioni&amp;cHash=8ae7085e87cf92c2997d0e458baa17f9"/>
  </r>
  <r>
    <x v="56"/>
    <d v="1899-12-30T08:00:00"/>
    <x v="11"/>
    <m/>
    <x v="617"/>
    <n v="9"/>
    <n v="4"/>
    <m/>
    <x v="176"/>
    <x v="8"/>
    <s v="https://www.zg.ch/behoerden/gesundheitsdirektion/statistikfachstelle/themen/gesundheit/corona"/>
  </r>
  <r>
    <x v="56"/>
    <d v="1899-12-30T09:15:00"/>
    <x v="5"/>
    <m/>
    <x v="604"/>
    <n v="54"/>
    <n v="9"/>
    <m/>
    <x v="193"/>
    <x v="78"/>
    <s v="https://www.gd.bs.ch//nm/2020-tagesbulletin-coronavirus-933-bestaetigte-faelle-im-kanton-basel-stadt-gd-2.html"/>
  </r>
  <r>
    <x v="56"/>
    <d v="1899-12-30T09:30:00"/>
    <x v="21"/>
    <m/>
    <x v="44"/>
    <n v="10"/>
    <n v="2"/>
    <m/>
    <x v="0"/>
    <x v="3"/>
    <s v="https://sh.ch/CMS/get/file/b9efa343-2987-4ab2-a060-9c16eacb0326"/>
  </r>
  <r>
    <x v="56"/>
    <d v="1899-12-30T10:00:00"/>
    <x v="15"/>
    <m/>
    <x v="54"/>
    <m/>
    <m/>
    <m/>
    <x v="194"/>
    <x v="22"/>
    <s v="https://www.sz.ch/behoerden/information-medien/medienmitteilungen/coronavirus.html/72-416-412-1379-6948"/>
  </r>
  <r>
    <x v="56"/>
    <d v="1899-12-30T11:00:00"/>
    <x v="24"/>
    <m/>
    <x v="16"/>
    <m/>
    <m/>
    <m/>
    <x v="0"/>
    <x v="1"/>
    <s v="https://www.ai.ch/themen/gesundheit-alter-und-soziales/gesundheitsfoerderung-und-praevention/uebertragbare-krankheiten/coronavirus"/>
  </r>
  <r>
    <x v="56"/>
    <d v="1899-12-30T11:30:00"/>
    <x v="23"/>
    <m/>
    <x v="98"/>
    <n v="0"/>
    <m/>
    <m/>
    <x v="0"/>
    <x v="0"/>
    <s v="https://www.ow.ch/de/verwaltung/dienstleistungen/?dienst_id=5962"/>
  </r>
  <r>
    <x v="56"/>
    <d v="1899-12-30T12:00:00"/>
    <x v="16"/>
    <m/>
    <x v="618"/>
    <n v="35"/>
    <n v="5"/>
    <m/>
    <x v="0"/>
    <x v="14"/>
    <s v="https://gesundheit.lu.ch/themen/Humanmedizin/Infektionskrankheiten/Coronavirus"/>
  </r>
  <r>
    <x v="56"/>
    <d v="1899-12-30T13:00:00"/>
    <x v="17"/>
    <m/>
    <x v="101"/>
    <m/>
    <m/>
    <m/>
    <x v="0"/>
    <x v="4"/>
    <s v="https://www.ar.ch/verwaltung/departement-gesundheit-und-soziales/amt-fuer-gesundheit/informationsseite-coronavirus/"/>
  </r>
  <r>
    <x v="56"/>
    <d v="1899-12-30T13:30:00"/>
    <x v="19"/>
    <m/>
    <x v="79"/>
    <n v="3"/>
    <m/>
    <m/>
    <x v="0"/>
    <x v="6"/>
    <s v="https://www.gl.ch/public/upload/assets/27574/COVID-19_Fallzahlen_Kanton_Glarus.xlsx"/>
  </r>
  <r>
    <x v="56"/>
    <d v="1899-12-30T14:30:00"/>
    <x v="4"/>
    <m/>
    <x v="619"/>
    <n v="110"/>
    <m/>
    <n v="41"/>
    <x v="0"/>
    <x v="147"/>
    <s v="https://gd.zh.ch/internet/gesundheitsdirektion/de/themen/coronavirus.html"/>
  </r>
  <r>
    <x v="56"/>
    <d v="1899-12-30T14:45:00"/>
    <x v="10"/>
    <m/>
    <x v="620"/>
    <n v="43"/>
    <n v="18"/>
    <n v="18"/>
    <x v="195"/>
    <x v="144"/>
    <s v="https://www.ag.ch/media/kanton_aargau/themen_1/coronavirus_1/lagebulletins/200421_KFS_Coronavirus_Lagebulletin_37.pdf"/>
  </r>
  <r>
    <x v="56"/>
    <d v="1899-12-30T15:00:00"/>
    <x v="9"/>
    <m/>
    <x v="621"/>
    <n v="75"/>
    <n v="14"/>
    <n v="11"/>
    <x v="196"/>
    <x v="148"/>
    <s v="https://www.vs.ch/documents/6756452/7008787/2020%2004%2023%20Sit%20Epid%20-%20%C3%89tat%20Stand"/>
  </r>
  <r>
    <x v="56"/>
    <d v="1899-12-30T17:00:00"/>
    <x v="22"/>
    <m/>
    <x v="395"/>
    <n v="2"/>
    <m/>
    <m/>
    <x v="112"/>
    <x v="7"/>
    <s v="https://www.ur.ch/themen/2962"/>
  </r>
  <r>
    <x v="57"/>
    <m/>
    <x v="7"/>
    <m/>
    <x v="622"/>
    <n v="33"/>
    <n v="3"/>
    <n v="3"/>
    <x v="197"/>
    <x v="29"/>
    <s v="https://www.baselland.ch/politik-und-behorden/direktionen/volkswirtschafts-und-gesundheitsdirektion/amt-fur-gesundheit/medizinische-dienste/kantonsarztlicher-dienst/aktuelles/covid-19-faelle-kanton-basel-landschaft"/>
  </r>
  <r>
    <x v="57"/>
    <m/>
    <x v="2"/>
    <m/>
    <x v="170"/>
    <m/>
    <m/>
    <m/>
    <x v="0"/>
    <x v="2"/>
    <s v="https://www.regierung.li/de/mitteilungen/223419/?typ=news"/>
  </r>
  <r>
    <x v="57"/>
    <m/>
    <x v="12"/>
    <m/>
    <x v="623"/>
    <n v="57"/>
    <n v="5"/>
    <m/>
    <x v="198"/>
    <x v="34"/>
    <s v="https://www.fr.ch/sites/default/files/2020-04/statistiques_situation_FR_2704.xlsx"/>
  </r>
  <r>
    <x v="57"/>
    <m/>
    <x v="0"/>
    <n v="23144"/>
    <x v="624"/>
    <n v="288"/>
    <n v="30"/>
    <n v="27"/>
    <x v="199"/>
    <x v="93"/>
    <s v="https://www.ge.ch/document/covid-19-situation-epidemiologique-geneve/telecharger"/>
  </r>
  <r>
    <x v="57"/>
    <m/>
    <x v="26"/>
    <m/>
    <x v="625"/>
    <n v="26"/>
    <m/>
    <m/>
    <x v="0"/>
    <x v="143"/>
    <s v="https://www.gr.ch/DE/institutionen/verwaltung/djsg/ga/coronavirus/info/Seiten/Start.aspx"/>
  </r>
  <r>
    <x v="57"/>
    <m/>
    <x v="3"/>
    <m/>
    <x v="297"/>
    <n v="12"/>
    <n v="4"/>
    <m/>
    <x v="0"/>
    <x v="6"/>
    <s v="https://www.jura.ch/Htdocs/Files/v/34255.xlsx/Departements/CHA/SIC/Carrousel/Coronavirus/Cornavirus/Chiffres/donnees_26_04.xlsx?download=1"/>
  </r>
  <r>
    <x v="57"/>
    <m/>
    <x v="13"/>
    <m/>
    <x v="626"/>
    <n v="37"/>
    <n v="6"/>
    <n v="4"/>
    <x v="0"/>
    <x v="149"/>
    <s v="https://www.ne.ch/autorites/DFS/SCSP/medecin-cantonal/maladies-vaccinations/Documents/Covid-19-Statistiques/COVID19_PublicationInternet.xlsx"/>
  </r>
  <r>
    <x v="57"/>
    <m/>
    <x v="20"/>
    <m/>
    <x v="558"/>
    <n v="4"/>
    <n v="1"/>
    <m/>
    <x v="0"/>
    <x v="4"/>
    <s v="http://www.nw.ch/coronastatistik"/>
  </r>
  <r>
    <x v="57"/>
    <m/>
    <x v="14"/>
    <m/>
    <x v="627"/>
    <n v="52"/>
    <n v="6"/>
    <m/>
    <x v="200"/>
    <x v="144"/>
    <s v="https://www.sg.ch/tools/informationen-coronavirus.html"/>
  </r>
  <r>
    <x v="57"/>
    <m/>
    <x v="25"/>
    <m/>
    <x v="628"/>
    <n v="23"/>
    <n v="9"/>
    <m/>
    <x v="0"/>
    <x v="12"/>
    <s v="https://www.tg.ch/news/fachdossier-coronavirus.html/10552"/>
  </r>
  <r>
    <x v="57"/>
    <m/>
    <x v="8"/>
    <m/>
    <x v="629"/>
    <n v="194"/>
    <n v="46"/>
    <m/>
    <x v="0"/>
    <x v="150"/>
    <s v="https://www.vd.ch/toutes-les-actualites/hotline-et-informations-sur-le-coronavirus/point-de-situation-statistique-dans-le-canton-de-vaud/"/>
  </r>
  <r>
    <x v="57"/>
    <d v="1899-12-30T00:00:00"/>
    <x v="18"/>
    <m/>
    <x v="62"/>
    <n v="18"/>
    <m/>
    <m/>
    <x v="0"/>
    <x v="20"/>
    <s v="https://corona.so.ch/index.php?id=27979"/>
  </r>
  <r>
    <x v="57"/>
    <d v="1899-12-30T08:00:00"/>
    <x v="6"/>
    <m/>
    <x v="630"/>
    <n v="67"/>
    <n v="14"/>
    <n v="10"/>
    <x v="0"/>
    <x v="94"/>
    <s v="https://www.besondere-lage.sites.be.ch/besondere-lage_sites/de/index/corona/index.html"/>
  </r>
  <r>
    <x v="57"/>
    <d v="1899-12-30T08:00:00"/>
    <x v="1"/>
    <m/>
    <x v="631"/>
    <n v="213"/>
    <n v="42"/>
    <n v="32"/>
    <x v="201"/>
    <x v="151"/>
    <s v="https://www4.ti.ch/area-media/comunicati/dettaglio-comunicato/?NEWS_ID=187672&amp;cHash=73c20eed4b20c3cb714758f2678c3f15"/>
  </r>
  <r>
    <x v="57"/>
    <d v="1899-12-30T08:00:00"/>
    <x v="11"/>
    <m/>
    <x v="617"/>
    <n v="6"/>
    <n v="3"/>
    <m/>
    <x v="202"/>
    <x v="8"/>
    <s v="https://www.zg.ch/behoerden/gesundheitsdirektion/statistikfachstelle/themen/gesundheit/corona"/>
  </r>
  <r>
    <x v="57"/>
    <d v="1899-12-30T09:30:00"/>
    <x v="21"/>
    <m/>
    <x v="44"/>
    <n v="10"/>
    <n v="2"/>
    <m/>
    <x v="0"/>
    <x v="4"/>
    <s v="https://sh.ch/CMS/get/file/b9efa343-2987-4ab2-a060-9c16eacb0326"/>
  </r>
  <r>
    <x v="57"/>
    <d v="1899-12-30T09:45:00"/>
    <x v="5"/>
    <m/>
    <x v="604"/>
    <n v="49"/>
    <n v="7"/>
    <m/>
    <x v="203"/>
    <x v="82"/>
    <s v="https://www.gd.bs.ch//nm/2020-tagesbulletin-coronavirus-933-bestaetigte-faelle-im-kanton-basel-stadt-gd-3.html"/>
  </r>
  <r>
    <x v="57"/>
    <d v="1899-12-30T10:00:00"/>
    <x v="15"/>
    <m/>
    <x v="113"/>
    <m/>
    <m/>
    <m/>
    <x v="204"/>
    <x v="22"/>
    <s v="https://www.sz.ch/behoerden/information-medien/medienmitteilungen/coronavirus.html/72-416-412-1379-6948"/>
  </r>
  <r>
    <x v="57"/>
    <d v="1899-12-30T11:00:00"/>
    <x v="24"/>
    <m/>
    <x v="16"/>
    <m/>
    <m/>
    <m/>
    <x v="0"/>
    <x v="1"/>
    <s v="https://www.ai.ch/themen/gesundheit-alter-und-soziales/gesundheitsfoerderung-und-praevention/uebertragbare-krankheiten/coronavirus"/>
  </r>
  <r>
    <x v="57"/>
    <d v="1899-12-30T11:00:00"/>
    <x v="16"/>
    <m/>
    <x v="632"/>
    <m/>
    <m/>
    <m/>
    <x v="0"/>
    <x v="14"/>
    <s v="https://gesundheit.lu.ch/themen/Humanmedizin/Infektionskrankheiten/Coronavirus"/>
  </r>
  <r>
    <x v="57"/>
    <d v="1899-12-30T13:30:00"/>
    <x v="19"/>
    <m/>
    <x v="230"/>
    <n v="3"/>
    <m/>
    <m/>
    <x v="0"/>
    <x v="6"/>
    <s v="https://www.gl.ch/public/upload/assets/27574/COVID-19_Fallzahlen_Kanton_Glarus.xlsx"/>
  </r>
  <r>
    <x v="57"/>
    <d v="1899-12-30T14:30:00"/>
    <x v="4"/>
    <m/>
    <x v="633"/>
    <n v="110"/>
    <m/>
    <n v="44"/>
    <x v="0"/>
    <x v="70"/>
    <s v="https://gd.zh.ch/internet/gesundheitsdirektion/de/themen/coronavirus.html"/>
  </r>
  <r>
    <x v="57"/>
    <d v="1899-12-30T14:45:00"/>
    <x v="10"/>
    <m/>
    <x v="116"/>
    <n v="37"/>
    <n v="15"/>
    <n v="15"/>
    <x v="205"/>
    <x v="44"/>
    <s v="https://www.ag.ch/media/kanton_aargau/themen_1/coronavirus_1/lagebulletins/200422_KFS_Coronavirus_Lagebulletin_38.pdf"/>
  </r>
  <r>
    <x v="57"/>
    <d v="1899-12-30T15:00:00"/>
    <x v="22"/>
    <m/>
    <x v="395"/>
    <n v="3"/>
    <m/>
    <m/>
    <x v="112"/>
    <x v="7"/>
    <s v="https://www.ur.ch/themen/2962"/>
  </r>
  <r>
    <x v="57"/>
    <d v="1899-12-30T15:00:00"/>
    <x v="9"/>
    <m/>
    <x v="634"/>
    <n v="77"/>
    <n v="13"/>
    <n v="11"/>
    <x v="196"/>
    <x v="152"/>
    <s v="https://www.vs.ch/documents/6756452/7008787/2020%2004%2023%20Sit%20Epid%20-%20%C3%89tat%20Stand"/>
  </r>
  <r>
    <x v="57"/>
    <d v="1899-12-30T16:00:00"/>
    <x v="23"/>
    <m/>
    <x v="98"/>
    <n v="0"/>
    <m/>
    <m/>
    <x v="0"/>
    <x v="0"/>
    <s v="https://www.ow.ch/de/verwaltung/dienstleistungen/?dienst_id=5962"/>
  </r>
  <r>
    <x v="57"/>
    <d v="1899-12-30T18:00:00"/>
    <x v="17"/>
    <m/>
    <x v="185"/>
    <m/>
    <m/>
    <m/>
    <x v="0"/>
    <x v="4"/>
    <s v="https://www.ar.ch/verwaltung/departement-gesundheit-und-soziales/amt-fuer-gesundheit/informationsseite-coronavirus/"/>
  </r>
  <r>
    <x v="58"/>
    <m/>
    <x v="7"/>
    <m/>
    <x v="622"/>
    <n v="32"/>
    <n v="3"/>
    <n v="2"/>
    <x v="206"/>
    <x v="29"/>
    <s v="https://www.baselland.ch/politik-und-behorden/direktionen/volkswirtschafts-und-gesundheitsdirektion/amt-fur-gesundheit/medizinische-dienste/kantonsarztlicher-dienst/aktuelles/covid-19-faelle-kanton-basel-landschaft"/>
  </r>
  <r>
    <x v="58"/>
    <m/>
    <x v="2"/>
    <m/>
    <x v="170"/>
    <m/>
    <m/>
    <m/>
    <x v="0"/>
    <x v="2"/>
    <s v="https://www.regierung.li/de/mitteilungen/223424/?typ=news"/>
  </r>
  <r>
    <x v="58"/>
    <m/>
    <x v="12"/>
    <m/>
    <x v="635"/>
    <n v="57"/>
    <n v="5"/>
    <m/>
    <x v="119"/>
    <x v="34"/>
    <s v="https://www.fr.ch/sites/default/files/2020-04/statistiques_situation_FR_2704.xlsx"/>
  </r>
  <r>
    <x v="58"/>
    <m/>
    <x v="0"/>
    <n v="23517"/>
    <x v="636"/>
    <n v="284"/>
    <n v="29"/>
    <n v="27"/>
    <x v="207"/>
    <x v="153"/>
    <s v="https://www.ge.ch/document/covid-19-situation-epidemiologique-geneve/telecharger"/>
  </r>
  <r>
    <x v="58"/>
    <m/>
    <x v="26"/>
    <m/>
    <x v="208"/>
    <n v="26"/>
    <m/>
    <m/>
    <x v="0"/>
    <x v="143"/>
    <s v="https://www.gr.ch/DE/institutionen/verwaltung/djsg/ga/coronavirus/info/Seiten/Start.aspx"/>
  </r>
  <r>
    <x v="58"/>
    <m/>
    <x v="3"/>
    <m/>
    <x v="297"/>
    <n v="11"/>
    <n v="4"/>
    <m/>
    <x v="0"/>
    <x v="6"/>
    <s v="https://www.jura.ch/Htdocs/Files/v/34255.xlsx/Departements/CHA/SIC/Carrousel/Coronavirus/Cornavirus/Chiffres/donnees_26_04.xlsx?download=1"/>
  </r>
  <r>
    <x v="58"/>
    <m/>
    <x v="13"/>
    <m/>
    <x v="365"/>
    <n v="35"/>
    <n v="6"/>
    <n v="4"/>
    <x v="0"/>
    <x v="1"/>
    <s v="https://www.ne.ch/autorites/DFS/SCSP/medecin-cantonal/maladies-vaccinations/Documents/Covid-19-Statistiques/COVID19_PublicationInternet.xlsx"/>
  </r>
  <r>
    <x v="58"/>
    <m/>
    <x v="20"/>
    <m/>
    <x v="558"/>
    <n v="4"/>
    <n v="1"/>
    <m/>
    <x v="0"/>
    <x v="4"/>
    <s v="http://www.nw.ch/coronastatistik"/>
  </r>
  <r>
    <x v="58"/>
    <m/>
    <x v="14"/>
    <m/>
    <x v="456"/>
    <n v="37"/>
    <n v="2"/>
    <m/>
    <x v="97"/>
    <x v="44"/>
    <s v="https://www.sg.ch/tools/informationen-coronavirus.html"/>
  </r>
  <r>
    <x v="58"/>
    <m/>
    <x v="25"/>
    <m/>
    <x v="570"/>
    <n v="21"/>
    <n v="9"/>
    <m/>
    <x v="0"/>
    <x v="12"/>
    <s v="https://www.tg.ch/news/fachdossier-coronavirus.html/10552"/>
  </r>
  <r>
    <x v="58"/>
    <m/>
    <x v="8"/>
    <m/>
    <x v="637"/>
    <n v="195"/>
    <n v="44"/>
    <m/>
    <x v="0"/>
    <x v="154"/>
    <s v="https://www.vd.ch/toutes-les-actualites/hotline-et-informations-sur-le-coronavirus/point-de-situation-statistique-dans-le-canton-de-vaud/"/>
  </r>
  <r>
    <x v="58"/>
    <d v="1899-12-30T00:00:00"/>
    <x v="18"/>
    <m/>
    <x v="301"/>
    <n v="15"/>
    <m/>
    <m/>
    <x v="0"/>
    <x v="13"/>
    <s v="https://corona.so.ch/index.php?id=27979"/>
  </r>
  <r>
    <x v="58"/>
    <d v="1899-12-30T08:00:00"/>
    <x v="6"/>
    <m/>
    <x v="638"/>
    <n v="66"/>
    <n v="11"/>
    <n v="7"/>
    <x v="0"/>
    <x v="105"/>
    <s v="https://www.besondere-lage.sites.be.ch/besondere-lage_sites/de/index/corona/index.html"/>
  </r>
  <r>
    <x v="58"/>
    <d v="1899-12-30T08:00:00"/>
    <x v="1"/>
    <m/>
    <x v="639"/>
    <n v="215"/>
    <n v="41"/>
    <n v="32"/>
    <x v="208"/>
    <x v="155"/>
    <s v="https://www4.ti.ch/area-media/comunicati/dettaglio-comunicato/?NEWS_ID=187678&amp;tx_tichareamedia_comunicazioni%5Baction%5D=show&amp;tx_tichareamedia_comunicazioni%5Bcontroller%5D=Comunicazioni&amp;cHash=c546dd2da307919487d6578b8c7353cd"/>
  </r>
  <r>
    <x v="58"/>
    <d v="1899-12-30T08:00:00"/>
    <x v="11"/>
    <m/>
    <x v="59"/>
    <n v="6"/>
    <n v="3"/>
    <m/>
    <x v="209"/>
    <x v="8"/>
    <s v="https://www.zg.ch/behoerden/gesundheitsdirektion/statistikfachstelle/themen/gesundheit/corona"/>
  </r>
  <r>
    <x v="58"/>
    <d v="1899-12-30T09:00:00"/>
    <x v="5"/>
    <m/>
    <x v="640"/>
    <n v="42"/>
    <n v="7"/>
    <m/>
    <x v="210"/>
    <x v="82"/>
    <s v="https://www.gd.bs.ch//nm/2020-tagesbulletin-coronavirus-931-bestaetigte-faelle-im-kanton-basel-stadt-gd.html"/>
  </r>
  <r>
    <x v="58"/>
    <d v="1899-12-30T09:30:00"/>
    <x v="21"/>
    <m/>
    <x v="112"/>
    <n v="8"/>
    <n v="2"/>
    <m/>
    <x v="0"/>
    <x v="4"/>
    <s v="https://sh.ch/CMS/get/file/b9efa343-2987-4ab2-a060-9c16eacb0326"/>
  </r>
  <r>
    <x v="58"/>
    <d v="1899-12-30T10:00:00"/>
    <x v="15"/>
    <m/>
    <x v="113"/>
    <m/>
    <m/>
    <m/>
    <x v="211"/>
    <x v="22"/>
    <s v="https://www.sz.ch/behoerden/information-medien/medienmitteilungen/coronavirus.html/72-416-412-1379-6948"/>
  </r>
  <r>
    <x v="58"/>
    <d v="1899-12-30T11:00:00"/>
    <x v="24"/>
    <m/>
    <x v="83"/>
    <m/>
    <m/>
    <m/>
    <x v="0"/>
    <x v="1"/>
    <s v="https://www.ai.ch/themen/gesundheit-alter-und-soziales/gesundheitsfoerderung-und-praevention/uebertragbare-krankheiten/coronavirus"/>
  </r>
  <r>
    <x v="58"/>
    <d v="1899-12-30T11:00:00"/>
    <x v="16"/>
    <m/>
    <x v="641"/>
    <n v="38"/>
    <n v="7"/>
    <m/>
    <x v="0"/>
    <x v="14"/>
    <s v="https://gesundheit.lu.ch/themen/Humanmedizin/Infektionskrankheiten/Coronavirus"/>
  </r>
  <r>
    <x v="58"/>
    <d v="1899-12-30T13:00:00"/>
    <x v="23"/>
    <m/>
    <x v="34"/>
    <n v="0"/>
    <m/>
    <m/>
    <x v="0"/>
    <x v="0"/>
    <s v="https://www.ow.ch/de/verwaltung/dienstleistungen/?dienst_id=5962"/>
  </r>
  <r>
    <x v="58"/>
    <d v="1899-12-30T13:30:00"/>
    <x v="19"/>
    <m/>
    <x v="230"/>
    <n v="3"/>
    <m/>
    <m/>
    <x v="0"/>
    <x v="6"/>
    <s v="https://www.gl.ch/public/upload/assets/27574/COVID-19_Fallzahlen_Kanton_Glarus.xlsx"/>
  </r>
  <r>
    <x v="58"/>
    <d v="1899-12-30T14:00:00"/>
    <x v="17"/>
    <m/>
    <x v="642"/>
    <n v="5"/>
    <n v="2"/>
    <m/>
    <x v="0"/>
    <x v="4"/>
    <s v="https://www.ar.ch/verwaltung/departement-gesundheit-und-soziales/amt-fuer-gesundheit/informationsseite-coronavirus/"/>
  </r>
  <r>
    <x v="58"/>
    <d v="1899-12-30T14:30:00"/>
    <x v="4"/>
    <m/>
    <x v="643"/>
    <n v="96"/>
    <m/>
    <n v="44"/>
    <x v="0"/>
    <x v="156"/>
    <s v="https://gd.zh.ch/internet/gesundheitsdirektion/de/themen/coronavirus.html"/>
  </r>
  <r>
    <x v="58"/>
    <d v="1899-12-30T14:45:00"/>
    <x v="10"/>
    <m/>
    <x v="644"/>
    <n v="35"/>
    <n v="14"/>
    <n v="14"/>
    <x v="212"/>
    <x v="44"/>
    <s v="https://www.ag.ch/media/kanton_aargau/themen_1/coronavirus_1/lagebulletins/200423_KFS_Coronavirus_Lagebulletin_39.pdf"/>
  </r>
  <r>
    <x v="58"/>
    <d v="1899-12-30T15:00:00"/>
    <x v="22"/>
    <m/>
    <x v="395"/>
    <n v="4"/>
    <m/>
    <m/>
    <x v="112"/>
    <x v="7"/>
    <s v="https://www.ur.ch/themen/2962"/>
  </r>
  <r>
    <x v="58"/>
    <d v="1899-12-30T15:00:00"/>
    <x v="9"/>
    <m/>
    <x v="634"/>
    <n v="76"/>
    <n v="13"/>
    <n v="11"/>
    <x v="37"/>
    <x v="51"/>
    <s v="https://www.vs.ch/documents/6756452/7008787/2020%2004%2023%20Sit%20Epid%20-%20%C3%89tat%20Stand"/>
  </r>
  <r>
    <x v="59"/>
    <m/>
    <x v="7"/>
    <m/>
    <x v="645"/>
    <n v="24"/>
    <n v="2"/>
    <n v="1"/>
    <x v="213"/>
    <x v="63"/>
    <s v="https://www.baselland.ch/politik-und-behorden/direktionen/volkswirtschafts-und-gesundheitsdirektion/amt-fur-gesundheit/medizinische-dienste/kantonsarztlicher-dienst/aktuelles/covid-19-faelle-kanton-basel-landschaft"/>
  </r>
  <r>
    <x v="59"/>
    <m/>
    <x v="2"/>
    <m/>
    <x v="183"/>
    <m/>
    <m/>
    <m/>
    <x v="0"/>
    <x v="2"/>
    <s v="https://www.regierung.li/media/attachments/212-corona-massnahmen-und-wirtschaft.pdf?t=637233485133850178"/>
  </r>
  <r>
    <x v="59"/>
    <m/>
    <x v="12"/>
    <m/>
    <x v="646"/>
    <n v="55"/>
    <n v="8"/>
    <m/>
    <x v="133"/>
    <x v="34"/>
    <s v="https://www.fr.ch/sites/default/files/2020-04/statistiques_situation_FR_2704.xlsx"/>
  </r>
  <r>
    <x v="59"/>
    <m/>
    <x v="26"/>
    <m/>
    <x v="647"/>
    <n v="29"/>
    <m/>
    <m/>
    <x v="0"/>
    <x v="143"/>
    <s v="https://www.gr.ch/DE/institutionen/verwaltung/djsg/ga/coronavirus/info/Seiten/Start.aspx"/>
  </r>
  <r>
    <x v="59"/>
    <m/>
    <x v="3"/>
    <m/>
    <x v="297"/>
    <n v="11"/>
    <n v="4"/>
    <m/>
    <x v="0"/>
    <x v="6"/>
    <s v="https://www.jura.ch/Htdocs/Files/v/34255.xlsx/Departements/CHA/SIC/Carrousel/Coronavirus/Cornavirus/Chiffres/donnees_26_04.xlsx?download=1"/>
  </r>
  <r>
    <x v="59"/>
    <m/>
    <x v="13"/>
    <m/>
    <x v="2"/>
    <n v="36"/>
    <n v="6"/>
    <n v="4"/>
    <x v="0"/>
    <x v="1"/>
    <s v="https://www.ne.ch/autorites/DFS/SCSP/medecin-cantonal/maladies-vaccinations/Documents/Covid-19-Statistiques/COVID19_PublicationInternet.xlsx"/>
  </r>
  <r>
    <x v="59"/>
    <m/>
    <x v="20"/>
    <m/>
    <x v="558"/>
    <n v="3"/>
    <n v="0"/>
    <m/>
    <x v="0"/>
    <x v="4"/>
    <s v="http://www.nw.ch/coronastatistik"/>
  </r>
  <r>
    <x v="59"/>
    <m/>
    <x v="14"/>
    <m/>
    <x v="648"/>
    <n v="43"/>
    <n v="4"/>
    <m/>
    <x v="35"/>
    <x v="44"/>
    <s v="https://www.sg.ch/tools/informationen-coronavirus.html"/>
  </r>
  <r>
    <x v="59"/>
    <m/>
    <x v="25"/>
    <m/>
    <x v="649"/>
    <n v="21"/>
    <n v="9"/>
    <m/>
    <x v="0"/>
    <x v="12"/>
    <s v="https://www.tg.ch/news/fachdossier-coronavirus.html/10552"/>
  </r>
  <r>
    <x v="59"/>
    <m/>
    <x v="8"/>
    <m/>
    <x v="650"/>
    <n v="181"/>
    <n v="39"/>
    <m/>
    <x v="0"/>
    <x v="157"/>
    <s v="https://www.vd.ch/toutes-les-actualites/hotline-et-informations-sur-le-coronavirus/point-de-situation-statistique-dans-le-canton-de-vaud/"/>
  </r>
  <r>
    <x v="59"/>
    <d v="1899-12-30T00:00:00"/>
    <x v="18"/>
    <m/>
    <x v="651"/>
    <n v="15"/>
    <m/>
    <m/>
    <x v="0"/>
    <x v="12"/>
    <s v="https://corona.so.ch/index.php?id=27979"/>
  </r>
  <r>
    <x v="59"/>
    <d v="1899-12-30T08:00:00"/>
    <x v="6"/>
    <m/>
    <x v="652"/>
    <n v="60"/>
    <n v="11"/>
    <n v="8"/>
    <x v="0"/>
    <x v="158"/>
    <s v="https://www.besondere-lage.sites.be.ch/besondere-lage_sites/de/index/corona/index.html"/>
  </r>
  <r>
    <x v="59"/>
    <d v="1899-12-30T08:00:00"/>
    <x v="1"/>
    <m/>
    <x v="653"/>
    <n v="214"/>
    <n v="42"/>
    <n v="33"/>
    <x v="150"/>
    <x v="159"/>
    <s v="https://www4.ti.ch/area-media/comunicati/dettaglio-comunicato/?NEWS_ID=187683&amp;tx_tichareamedia_comunicazioni%5Baction%5D=show&amp;tx_tichareamedia_comunicazioni%5Bcontroller%5D=Comunicazioni&amp;cHash=96a9e3da92c22f69b3a6ed9000584d1b"/>
  </r>
  <r>
    <x v="59"/>
    <d v="1899-12-30T08:00:00"/>
    <x v="11"/>
    <m/>
    <x v="53"/>
    <n v="6"/>
    <n v="3"/>
    <m/>
    <x v="209"/>
    <x v="8"/>
    <s v="https://www.zg.ch/behoerden/gesundheitsdirektion/statistikfachstelle/themen/gesundheit/corona"/>
  </r>
  <r>
    <x v="59"/>
    <d v="1899-12-30T09:15:00"/>
    <x v="5"/>
    <m/>
    <x v="654"/>
    <n v="40"/>
    <n v="7"/>
    <m/>
    <x v="214"/>
    <x v="88"/>
    <s v="https://www.gd.bs.ch//nm/2020-tagesbulletin-coronavirus-936-bestaetigte-faelle-im-kanton-basel-stadt-gd.html"/>
  </r>
  <r>
    <x v="59"/>
    <d v="1899-12-30T09:30:00"/>
    <x v="17"/>
    <m/>
    <x v="642"/>
    <n v="4"/>
    <n v="2"/>
    <m/>
    <x v="0"/>
    <x v="4"/>
    <s v="https://www.ar.ch/verwaltung/departement-gesundheit-und-soziales/amt-fuer-gesundheit/informationsseite-coronavirus/"/>
  </r>
  <r>
    <x v="59"/>
    <d v="1899-12-30T09:30:00"/>
    <x v="21"/>
    <m/>
    <x v="292"/>
    <n v="4"/>
    <n v="1"/>
    <m/>
    <x v="0"/>
    <x v="4"/>
    <s v="https://sh.ch/CMS/get/file/b9efa343-2987-4ab2-a060-9c16eacb0326"/>
  </r>
  <r>
    <x v="59"/>
    <d v="1899-12-30T10:00:00"/>
    <x v="15"/>
    <m/>
    <x v="153"/>
    <m/>
    <m/>
    <m/>
    <x v="189"/>
    <x v="22"/>
    <s v="https://www.sz.ch/behoerden/information-medien/medienmitteilungen/coronavirus.html/72-416-412-1379-6948"/>
  </r>
  <r>
    <x v="59"/>
    <d v="1899-12-30T11:00:00"/>
    <x v="24"/>
    <m/>
    <x v="83"/>
    <m/>
    <m/>
    <m/>
    <x v="0"/>
    <x v="1"/>
    <s v="https://www.ai.ch/themen/gesundheit-alter-und-soziales/gesundheitsfoerderung-und-praevention/uebertragbare-krankheiten/coronavirus"/>
  </r>
  <r>
    <x v="59"/>
    <d v="1899-12-30T11:00:00"/>
    <x v="16"/>
    <m/>
    <x v="209"/>
    <m/>
    <m/>
    <m/>
    <x v="0"/>
    <x v="22"/>
    <s v="https://gesundheit.lu.ch/themen/Humanmedizin/Infektionskrankheiten/Coronavirus"/>
  </r>
  <r>
    <x v="59"/>
    <d v="1899-12-30T12:00:00"/>
    <x v="0"/>
    <m/>
    <x v="2"/>
    <n v="278"/>
    <n v="26"/>
    <n v="25"/>
    <x v="215"/>
    <x v="1"/>
    <s v="https://www.ge.ch/document/covid-19-situation-epidemiologique-geneve/telecharger"/>
  </r>
  <r>
    <x v="59"/>
    <d v="1899-12-30T13:00:00"/>
    <x v="19"/>
    <m/>
    <x v="230"/>
    <n v="3"/>
    <m/>
    <m/>
    <x v="0"/>
    <x v="9"/>
    <s v="https://www.gl.ch/public/upload/assets/27574/COVID-19_Fallzahlen_Kanton_Glarus.xlsx"/>
  </r>
  <r>
    <x v="59"/>
    <d v="1899-12-30T14:00:00"/>
    <x v="22"/>
    <m/>
    <x v="395"/>
    <n v="3"/>
    <m/>
    <m/>
    <x v="112"/>
    <x v="7"/>
    <s v="https://www.ur.ch/themen/2962"/>
  </r>
  <r>
    <x v="59"/>
    <d v="1899-12-30T14:30:00"/>
    <x v="4"/>
    <m/>
    <x v="655"/>
    <n v="83"/>
    <m/>
    <n v="42"/>
    <x v="0"/>
    <x v="148"/>
    <s v="https://gd.zh.ch/internet/gesundheitsdirektion/de/themen/coronavirus.html"/>
  </r>
  <r>
    <x v="59"/>
    <d v="1899-12-30T14:45:00"/>
    <x v="10"/>
    <m/>
    <x v="656"/>
    <n v="40"/>
    <n v="14"/>
    <n v="14"/>
    <x v="216"/>
    <x v="44"/>
    <s v="https://www.ag.ch/media/kanton_aargau/themen_1/coronavirus_1/lagebulletins/200424_KFS_Coronavirus_Lagebulletin_40.pdf"/>
  </r>
  <r>
    <x v="59"/>
    <d v="1899-12-30T15:00:00"/>
    <x v="9"/>
    <m/>
    <x v="657"/>
    <n v="66"/>
    <n v="13"/>
    <n v="10"/>
    <x v="217"/>
    <x v="160"/>
    <s v="https://www.vs.ch/documents/6756452/7008787/2020%2004%2024%20Sit%20Epid%20-%20%C3%89tat%20Stand"/>
  </r>
  <r>
    <x v="59"/>
    <d v="1899-12-30T17:00:00"/>
    <x v="23"/>
    <m/>
    <x v="658"/>
    <n v="0"/>
    <m/>
    <m/>
    <x v="0"/>
    <x v="0"/>
    <s v="https://www.ow.ch/de/verwaltung/dienstleistungen/?dienst_id=5962"/>
  </r>
  <r>
    <x v="60"/>
    <m/>
    <x v="7"/>
    <m/>
    <x v="659"/>
    <n v="27"/>
    <n v="1"/>
    <n v="0"/>
    <x v="205"/>
    <x v="63"/>
    <s v="https://www.baselland.ch/politik-und-behorden/direktionen/volkswirtschafts-und-gesundheitsdirektion/amt-fur-gesundheit/medizinische-dienste/kantonsarztlicher-dienst/aktuelles/covid-19-faelle-kanton-basel-landschaft"/>
  </r>
  <r>
    <x v="60"/>
    <m/>
    <x v="2"/>
    <m/>
    <x v="183"/>
    <m/>
    <m/>
    <m/>
    <x v="0"/>
    <x v="2"/>
    <s v="https://www.regierung.li/de/mitteilungen/223427/?typ=news"/>
  </r>
  <r>
    <x v="60"/>
    <m/>
    <x v="12"/>
    <m/>
    <x v="660"/>
    <n v="54"/>
    <n v="7"/>
    <m/>
    <x v="133"/>
    <x v="34"/>
    <s v="https://www.fr.ch/sites/default/files/2020-04/statistiques_situation_FR_2704.xlsx"/>
  </r>
  <r>
    <x v="60"/>
    <m/>
    <x v="26"/>
    <m/>
    <x v="661"/>
    <n v="28"/>
    <m/>
    <m/>
    <x v="0"/>
    <x v="143"/>
    <s v="https://www.gr.ch/DE/institutionen/verwaltung/djsg/ga/coronavirus/info/Seiten/Start.aspx"/>
  </r>
  <r>
    <x v="60"/>
    <m/>
    <x v="3"/>
    <m/>
    <x v="297"/>
    <n v="11"/>
    <n v="4"/>
    <m/>
    <x v="0"/>
    <x v="6"/>
    <s v="https://www.jura.ch/Htdocs/Files/v/34255.xlsx/Departements/CHA/SIC/Carrousel/Coronavirus/Cornavirus/Chiffres/donnees_26_04.xlsx?download=1"/>
  </r>
  <r>
    <x v="60"/>
    <m/>
    <x v="13"/>
    <m/>
    <x v="2"/>
    <n v="35"/>
    <n v="4"/>
    <n v="3"/>
    <x v="0"/>
    <x v="1"/>
    <s v="https://www.ne.ch/autorites/DFS/SCSP/medecin-cantonal/maladies-vaccinations/Documents/Covid-19-Statistiques/COVID19_PublicationInternet.xlsx"/>
  </r>
  <r>
    <x v="60"/>
    <m/>
    <x v="20"/>
    <m/>
    <x v="558"/>
    <n v="3"/>
    <n v="0"/>
    <m/>
    <x v="0"/>
    <x v="4"/>
    <s v="http://www.nw.ch/coronastatistik"/>
  </r>
  <r>
    <x v="60"/>
    <m/>
    <x v="14"/>
    <m/>
    <x v="506"/>
    <m/>
    <m/>
    <m/>
    <x v="0"/>
    <x v="44"/>
    <s v="https://www.sg.ch/tools/informationen-coronavirus.html"/>
  </r>
  <r>
    <x v="60"/>
    <m/>
    <x v="25"/>
    <m/>
    <x v="614"/>
    <n v="23"/>
    <n v="8"/>
    <m/>
    <x v="0"/>
    <x v="12"/>
    <s v="https://www.tg.ch/news/fachdossier-coronavirus.html/10552"/>
  </r>
  <r>
    <x v="60"/>
    <m/>
    <x v="8"/>
    <m/>
    <x v="662"/>
    <n v="185"/>
    <n v="39"/>
    <m/>
    <x v="0"/>
    <x v="161"/>
    <s v="https://www.vd.ch/toutes-les-actualites/hotline-et-informations-sur-le-coronavirus/point-de-situation-statistique-dans-le-canton-de-vaud/"/>
  </r>
  <r>
    <x v="60"/>
    <d v="1899-12-30T00:00:00"/>
    <x v="18"/>
    <m/>
    <x v="663"/>
    <n v="13"/>
    <m/>
    <m/>
    <x v="0"/>
    <x v="12"/>
    <s v="https://corona.so.ch/index.php?id=27979"/>
  </r>
  <r>
    <x v="60"/>
    <d v="1899-12-30T00:01:00"/>
    <x v="15"/>
    <m/>
    <x v="236"/>
    <m/>
    <m/>
    <m/>
    <x v="218"/>
    <x v="24"/>
    <s v="https://www.sz.ch/behoerden/information-medien/medienmitteilungen/coronavirus.html/72-416-412-1379-6948"/>
  </r>
  <r>
    <x v="60"/>
    <d v="1899-12-30T08:00:00"/>
    <x v="6"/>
    <m/>
    <x v="664"/>
    <n v="61"/>
    <n v="11"/>
    <n v="10"/>
    <x v="0"/>
    <x v="57"/>
    <s v="https://www.besondere-lage.sites.be.ch/besondere-lage_sites/de/index/corona/index.html"/>
  </r>
  <r>
    <x v="60"/>
    <d v="1899-12-30T08:00:00"/>
    <x v="1"/>
    <m/>
    <x v="665"/>
    <n v="198"/>
    <n v="40"/>
    <n v="30"/>
    <x v="213"/>
    <x v="162"/>
    <s v="https://www4.ti.ch/area-media/comunicati/dettaglio-comunicato/?NEWS_ID=187687&amp;tx_tichareamedia_comunicazioni%5Baction%5D=show&amp;tx_tichareamedia_comunicazioni%5Bcontroller%5D=Comunicazioni&amp;cHash=4113a890fda2606d774861e2b936b052"/>
  </r>
  <r>
    <x v="60"/>
    <d v="1899-12-30T08:00:00"/>
    <x v="11"/>
    <m/>
    <x v="110"/>
    <n v="6"/>
    <n v="3"/>
    <m/>
    <x v="209"/>
    <x v="8"/>
    <s v="https://www.zg.ch/behoerden/gesundheitsdirektion/statistikfachstelle/themen/gesundheit/corona"/>
  </r>
  <r>
    <x v="60"/>
    <d v="1899-12-30T09:30:00"/>
    <x v="21"/>
    <m/>
    <x v="658"/>
    <n v="6"/>
    <n v="1"/>
    <m/>
    <x v="0"/>
    <x v="7"/>
    <s v="https://sh.ch/CMS/get/file/b9efa343-2987-4ab2-a060-9c16eacb0326"/>
  </r>
  <r>
    <x v="60"/>
    <d v="1899-12-30T11:00:00"/>
    <x v="24"/>
    <m/>
    <x v="83"/>
    <m/>
    <m/>
    <m/>
    <x v="0"/>
    <x v="1"/>
    <s v="https://www.ai.ch/themen/gesundheit-alter-und-soziales/gesundheitsfoerderung-und-praevention/uebertragbare-krankheiten/coronavirus"/>
  </r>
  <r>
    <x v="60"/>
    <d v="1899-12-30T12:00:00"/>
    <x v="16"/>
    <m/>
    <x v="666"/>
    <n v="32"/>
    <n v="8"/>
    <m/>
    <x v="0"/>
    <x v="22"/>
    <s v="https://gesundheit.lu.ch/themen/Humanmedizin/Infektionskrankheiten/Coronavirus"/>
  </r>
  <r>
    <x v="60"/>
    <d v="1899-12-30T12:00:00"/>
    <x v="22"/>
    <m/>
    <x v="395"/>
    <n v="3"/>
    <m/>
    <m/>
    <x v="112"/>
    <x v="7"/>
    <s v="https://www.ur.ch/themen/2962"/>
  </r>
  <r>
    <x v="60"/>
    <d v="1899-12-30T13:00:00"/>
    <x v="19"/>
    <m/>
    <x v="667"/>
    <n v="3"/>
    <m/>
    <m/>
    <x v="0"/>
    <x v="9"/>
    <s v="https://www.gl.ch/public/upload/assets/27574/COVID-19_Fallzahlen_Kanton_Glarus.xlsx"/>
  </r>
  <r>
    <x v="60"/>
    <d v="1899-12-30T14:30:00"/>
    <x v="4"/>
    <m/>
    <x v="668"/>
    <n v="77"/>
    <m/>
    <n v="38"/>
    <x v="0"/>
    <x v="163"/>
    <s v="https://gd.zh.ch/internet/gesundheitsdirektion/de/themen/coronavirus.html"/>
  </r>
  <r>
    <x v="60"/>
    <d v="1899-12-30T15:00:00"/>
    <x v="9"/>
    <m/>
    <x v="669"/>
    <n v="67"/>
    <n v="13"/>
    <n v="10"/>
    <x v="217"/>
    <x v="164"/>
    <s v="https://www.vs.ch/documents/6756452/7008787/2020%2004%2025%20Sit%20Epid%20-%20%C3%89tat%20Stand"/>
  </r>
  <r>
    <x v="61"/>
    <m/>
    <x v="7"/>
    <m/>
    <x v="659"/>
    <n v="27"/>
    <n v="0"/>
    <n v="0"/>
    <x v="219"/>
    <x v="63"/>
    <s v="https://www.baselland.ch/politik-und-behorden/direktionen/volkswirtschafts-und-gesundheitsdirektion/amt-fur-gesundheit/medizinische-dienste/kantonsarztlicher-dienst/aktuelles/covid-19-faelle-kanton-basel-landschaft"/>
  </r>
  <r>
    <x v="61"/>
    <m/>
    <x v="2"/>
    <m/>
    <x v="183"/>
    <m/>
    <m/>
    <m/>
    <x v="0"/>
    <x v="2"/>
    <s v="https://www.regierung.li/de/mitteilungen/223428/?typ=news"/>
  </r>
  <r>
    <x v="61"/>
    <m/>
    <x v="12"/>
    <m/>
    <x v="670"/>
    <n v="54"/>
    <n v="5"/>
    <m/>
    <x v="143"/>
    <x v="94"/>
    <s v="https://www.fr.ch/sites/default/files/2020-04/statistiques_situation_FR_2704.xlsx"/>
  </r>
  <r>
    <x v="61"/>
    <m/>
    <x v="26"/>
    <m/>
    <x v="671"/>
    <n v="28"/>
    <m/>
    <m/>
    <x v="0"/>
    <x v="143"/>
    <s v="https://www.gr.ch/DE/institutionen/verwaltung/djsg/ga/coronavirus/info/Seiten/Start.aspx"/>
  </r>
  <r>
    <x v="61"/>
    <m/>
    <x v="3"/>
    <m/>
    <x v="297"/>
    <n v="11"/>
    <n v="4"/>
    <m/>
    <x v="0"/>
    <x v="6"/>
    <s v="https://www.jura.ch/Htdocs/Files/v/34255.xlsx/Departements/CHA/SIC/Carrousel/Coronavirus/Cornavirus/Chiffres/donnees_26_04.xlsx?download=1"/>
  </r>
  <r>
    <x v="61"/>
    <m/>
    <x v="13"/>
    <m/>
    <x v="2"/>
    <n v="32"/>
    <m/>
    <n v="3"/>
    <x v="0"/>
    <x v="1"/>
    <s v="https://www.ne.ch/autorites/DFS/SCSP/medecin-cantonal/maladies-vaccinations/Documents/Covid-19-Statistiques/COVID19_PublicationInternet.xlsx"/>
  </r>
  <r>
    <x v="61"/>
    <m/>
    <x v="20"/>
    <m/>
    <x v="215"/>
    <n v="3"/>
    <n v="0"/>
    <m/>
    <x v="0"/>
    <x v="4"/>
    <s v="http://www.nw.ch/coronastatistik"/>
  </r>
  <r>
    <x v="61"/>
    <m/>
    <x v="14"/>
    <m/>
    <x v="672"/>
    <n v="38"/>
    <n v="4"/>
    <m/>
    <x v="174"/>
    <x v="44"/>
    <s v="https://www.sg.ch/tools/informationen-coronavirus.html"/>
  </r>
  <r>
    <x v="61"/>
    <m/>
    <x v="25"/>
    <m/>
    <x v="673"/>
    <n v="21"/>
    <n v="8"/>
    <m/>
    <x v="0"/>
    <x v="22"/>
    <s v="https://www.tg.ch/news/fachdossier-coronavirus.html/10552"/>
  </r>
  <r>
    <x v="61"/>
    <m/>
    <x v="8"/>
    <m/>
    <x v="662"/>
    <n v="192"/>
    <n v="38"/>
    <m/>
    <x v="0"/>
    <x v="165"/>
    <s v="https://www.vd.ch/toutes-les-actualites/hotline-et-informations-sur-le-coronavirus/point-de-situation-statistique-dans-le-canton-de-vaud/"/>
  </r>
  <r>
    <x v="61"/>
    <d v="1899-12-30T00:00:00"/>
    <x v="18"/>
    <m/>
    <x v="674"/>
    <n v="12"/>
    <m/>
    <m/>
    <x v="0"/>
    <x v="14"/>
    <s v="https://corona.so.ch/index.php?id=27979"/>
  </r>
  <r>
    <x v="61"/>
    <d v="1899-12-30T00:01:00"/>
    <x v="15"/>
    <m/>
    <x v="197"/>
    <m/>
    <m/>
    <m/>
    <x v="42"/>
    <x v="41"/>
    <s v="https://www.sz.ch/behoerden/information-medien/medienmitteilungen/coronavirus.html/72-416-412-1379-6948"/>
  </r>
  <r>
    <x v="61"/>
    <d v="1899-12-30T08:00:00"/>
    <x v="6"/>
    <m/>
    <x v="675"/>
    <n v="54"/>
    <n v="9"/>
    <n v="9"/>
    <x v="0"/>
    <x v="57"/>
    <s v="https://www.besondere-lage.sites.be.ch/besondere-lage_sites/de/index/corona/index.html"/>
  </r>
  <r>
    <x v="61"/>
    <d v="1899-12-30T08:00:00"/>
    <x v="1"/>
    <m/>
    <x v="676"/>
    <n v="192"/>
    <n v="37"/>
    <n v="26"/>
    <x v="220"/>
    <x v="166"/>
    <s v="https://www4.ti.ch/area-media/comunicati/dettaglio-comunicato/?NEWS_ID=187688&amp;tx_tichareamedia_comunicazioni%5Baction%5D=show&amp;tx_tichareamedia_comunicazioni%5Bcontroller%5D=Comunicazioni&amp;cHash=88b9dbc8a11bbaf69e33668cf73a2501"/>
  </r>
  <r>
    <x v="61"/>
    <d v="1899-12-30T09:30:00"/>
    <x v="21"/>
    <m/>
    <x v="189"/>
    <n v="9"/>
    <n v="2"/>
    <m/>
    <x v="0"/>
    <x v="7"/>
    <s v="https://sh.ch/CMS/get/file/b9efa343-2987-4ab2-a060-9c16eacb0326"/>
  </r>
  <r>
    <x v="61"/>
    <d v="1899-12-30T12:00:00"/>
    <x v="16"/>
    <m/>
    <x v="364"/>
    <n v="26"/>
    <n v="7"/>
    <m/>
    <x v="0"/>
    <x v="22"/>
    <s v="https://gesundheit.lu.ch/themen/Humanmedizin/Infektionskrankheiten/Coronavirus"/>
  </r>
  <r>
    <x v="61"/>
    <d v="1899-12-30T12:00:00"/>
    <x v="22"/>
    <m/>
    <x v="204"/>
    <n v="3"/>
    <m/>
    <m/>
    <x v="112"/>
    <x v="7"/>
    <s v="https://www.ur.ch/themen/2962"/>
  </r>
  <r>
    <x v="61"/>
    <d v="1899-12-30T13:00:00"/>
    <x v="19"/>
    <m/>
    <x v="667"/>
    <n v="3"/>
    <m/>
    <m/>
    <x v="0"/>
    <x v="9"/>
    <s v="https://www.gl.ch/public/upload/assets/27574/COVID-19_Fallzahlen_Kanton_Glarus.xlsx"/>
  </r>
  <r>
    <x v="61"/>
    <d v="1899-12-30T14:30:00"/>
    <x v="4"/>
    <m/>
    <x v="677"/>
    <n v="75"/>
    <m/>
    <n v="26"/>
    <x v="0"/>
    <x v="163"/>
    <s v="https://gd.zh.ch/internet/gesundheitsdirektion/de/themen/coronavirus.html"/>
  </r>
  <r>
    <x v="61"/>
    <d v="1899-12-30T15:00:00"/>
    <x v="9"/>
    <m/>
    <x v="678"/>
    <n v="71"/>
    <n v="14"/>
    <n v="10"/>
    <x v="217"/>
    <x v="167"/>
    <s v="https://www.vs.ch/documents/6756452/7008787/2020%2004%2026%20Sit%20Epid%20-%20%C3%89tat%20Stand"/>
  </r>
  <r>
    <x v="62"/>
    <m/>
    <x v="12"/>
    <m/>
    <x v="95"/>
    <n v="55"/>
    <n v="5"/>
    <m/>
    <x v="143"/>
    <x v="168"/>
    <s v="https://www.fr.ch/sites/default/files/2020-04/statistiques_situation_FR_2704.xlsx"/>
  </r>
  <r>
    <x v="62"/>
    <m/>
    <x v="14"/>
    <m/>
    <x v="240"/>
    <n v="39"/>
    <n v="2"/>
    <m/>
    <x v="174"/>
    <x v="44"/>
    <s v="https://www.sg.ch/tools/informationen-coronavirus.html"/>
  </r>
  <r>
    <x v="62"/>
    <m/>
    <x v="25"/>
    <m/>
    <x v="673"/>
    <n v="21"/>
    <n v="8"/>
    <m/>
    <x v="0"/>
    <x v="24"/>
    <s v="https://www.tg.ch/news/fachdossier-coronavirus.html/10552"/>
  </r>
  <r>
    <x v="62"/>
    <d v="1899-12-30T00:00:00"/>
    <x v="18"/>
    <m/>
    <x v="679"/>
    <n v="13"/>
    <m/>
    <m/>
    <x v="0"/>
    <x v="14"/>
    <s v="https://corona.so.ch/index.php?id=27979"/>
  </r>
  <r>
    <x v="62"/>
    <d v="1899-12-30T08:00:00"/>
    <x v="6"/>
    <m/>
    <x v="680"/>
    <n v="54"/>
    <n v="10"/>
    <n v="9"/>
    <x v="0"/>
    <x v="57"/>
    <s v="https://www.besondere-lage.sites.be.ch/besondere-lage_sites/de/index/corona/index.html"/>
  </r>
  <r>
    <x v="62"/>
    <d v="1899-12-30T08:00:00"/>
    <x v="1"/>
    <m/>
    <x v="681"/>
    <n v="192"/>
    <n v="37"/>
    <n v="26"/>
    <x v="220"/>
    <x v="169"/>
    <s v="https://www4.ti.ch/area-media/comunicati/dettaglio-comunicato/?NEWS_ID=187688&amp;tx_tichareamedia_comunicazioni%5Baction%5D=show&amp;tx_tichareamedia_comunicazioni%5Bcontroller%5D=Comunicazioni&amp;cHash=88b9dbc8a11bbaf69e33668cf73a2501"/>
  </r>
  <r>
    <x v="62"/>
    <d v="1899-12-30T09:30:00"/>
    <x v="21"/>
    <m/>
    <x v="40"/>
    <n v="12"/>
    <n v="3"/>
    <m/>
    <x v="0"/>
    <x v="7"/>
    <s v="https://sh.ch/CMS/get/file/b9efa343-2987-4ab2-a060-9c16eacb0326"/>
  </r>
  <r>
    <x v="62"/>
    <d v="1899-12-30T10:15:00"/>
    <x v="17"/>
    <m/>
    <x v="234"/>
    <n v="2"/>
    <n v="2"/>
    <m/>
    <x v="0"/>
    <x v="4"/>
    <s v="https://www.ar.ch/verwaltung/departement-gesundheit-und-soziales/amt-fuer-gesundheit/informationsseite-coronavirus/"/>
  </r>
  <r>
    <x v="62"/>
    <d v="1899-12-30T11:00:00"/>
    <x v="24"/>
    <m/>
    <x v="83"/>
    <m/>
    <m/>
    <m/>
    <x v="0"/>
    <x v="1"/>
    <s v="https://www.ai.ch/themen/gesundheit-alter-und-soziales/gesundheitsfoerderung-und-praevention/uebertragbare-krankheiten/coronavirus"/>
  </r>
  <r>
    <x v="62"/>
    <d v="1899-12-30T11:00:00"/>
    <x v="16"/>
    <m/>
    <x v="682"/>
    <n v="26"/>
    <n v="7"/>
    <m/>
    <x v="0"/>
    <x v="22"/>
    <s v="https://gesundheit.lu.ch/themen/Humanmedizin/Infektionskrankheiten/Coronavirus"/>
  </r>
  <r>
    <x v="62"/>
    <d v="1899-12-30T13:30:00"/>
    <x v="19"/>
    <m/>
    <x v="683"/>
    <n v="3"/>
    <m/>
    <m/>
    <x v="0"/>
    <x v="9"/>
    <s v="https://www.gl.ch/public/upload/assets/27574/COVID-19_Fallzahlen_Kanton_Glarus.xlsx"/>
  </r>
  <r>
    <x v="63"/>
    <m/>
    <x v="27"/>
    <m/>
    <x v="2"/>
    <m/>
    <m/>
    <m/>
    <x v="0"/>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B321AA-59E0-4490-896F-B94EEFEE6043}" name="PivotTable1" cacheId="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3:CJ70" firstHeaderRow="1" firstDataRow="3" firstDataCol="1"/>
  <pivotFields count="12">
    <pivotField axis="axisRow"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Col" showAll="0">
      <items count="29">
        <item x="12"/>
        <item x="18"/>
        <item x="10"/>
        <item x="24"/>
        <item x="17"/>
        <item x="6"/>
        <item x="7"/>
        <item x="5"/>
        <item x="2"/>
        <item x="0"/>
        <item x="19"/>
        <item x="26"/>
        <item x="3"/>
        <item x="16"/>
        <item x="13"/>
        <item x="20"/>
        <item x="23"/>
        <item x="14"/>
        <item x="21"/>
        <item x="15"/>
        <item x="25"/>
        <item x="1"/>
        <item x="22"/>
        <item x="8"/>
        <item x="9"/>
        <item x="11"/>
        <item x="4"/>
        <item x="27"/>
        <item t="default"/>
      </items>
    </pivotField>
    <pivotField showAll="0"/>
    <pivotField dataField="1" showAll="0">
      <items count="685">
        <item x="0"/>
        <item x="1"/>
        <item x="3"/>
        <item x="8"/>
        <item x="4"/>
        <item x="11"/>
        <item x="5"/>
        <item x="7"/>
        <item x="6"/>
        <item x="14"/>
        <item x="36"/>
        <item x="9"/>
        <item x="22"/>
        <item x="19"/>
        <item x="10"/>
        <item x="13"/>
        <item x="12"/>
        <item x="17"/>
        <item x="15"/>
        <item x="18"/>
        <item x="31"/>
        <item x="24"/>
        <item x="39"/>
        <item x="20"/>
        <item x="16"/>
        <item x="83"/>
        <item x="45"/>
        <item x="33"/>
        <item x="37"/>
        <item x="58"/>
        <item x="21"/>
        <item x="41"/>
        <item x="65"/>
        <item x="43"/>
        <item x="30"/>
        <item x="25"/>
        <item x="67"/>
        <item x="47"/>
        <item x="26"/>
        <item x="168"/>
        <item x="28"/>
        <item x="29"/>
        <item x="57"/>
        <item x="106"/>
        <item x="131"/>
        <item x="23"/>
        <item x="52"/>
        <item x="32"/>
        <item x="136"/>
        <item x="49"/>
        <item x="38"/>
        <item x="35"/>
        <item x="90"/>
        <item x="55"/>
        <item x="74"/>
        <item x="246"/>
        <item x="145"/>
        <item x="295"/>
        <item x="27"/>
        <item x="60"/>
        <item x="224"/>
        <item x="105"/>
        <item x="256"/>
        <item x="44"/>
        <item x="271"/>
        <item x="112"/>
        <item x="140"/>
        <item x="98"/>
        <item x="34"/>
        <item x="166"/>
        <item x="292"/>
        <item x="658"/>
        <item x="189"/>
        <item x="40"/>
        <item x="76"/>
        <item x="155"/>
        <item x="63"/>
        <item x="351"/>
        <item x="395"/>
        <item x="338"/>
        <item x="204"/>
        <item x="170"/>
        <item x="183"/>
        <item x="46"/>
        <item x="119"/>
        <item x="101"/>
        <item x="185"/>
        <item x="642"/>
        <item x="91"/>
        <item x="458"/>
        <item x="64"/>
        <item x="84"/>
        <item x="234"/>
        <item x="175"/>
        <item x="201"/>
        <item x="184"/>
        <item x="71"/>
        <item x="72"/>
        <item x="93"/>
        <item x="50"/>
        <item x="462"/>
        <item x="187"/>
        <item x="505"/>
        <item x="525"/>
        <item x="214"/>
        <item x="558"/>
        <item x="150"/>
        <item x="215"/>
        <item x="115"/>
        <item x="280"/>
        <item x="51"/>
        <item x="79"/>
        <item x="100"/>
        <item x="230"/>
        <item x="125"/>
        <item x="229"/>
        <item x="667"/>
        <item x="683"/>
        <item x="248"/>
        <item x="81"/>
        <item x="313"/>
        <item x="260"/>
        <item x="103"/>
        <item x="42"/>
        <item x="160"/>
        <item x="114"/>
        <item x="275"/>
        <item x="263"/>
        <item x="290"/>
        <item x="56"/>
        <item x="88"/>
        <item x="128"/>
        <item x="104"/>
        <item x="276"/>
        <item x="323"/>
        <item x="389"/>
        <item x="294"/>
        <item x="325"/>
        <item x="174"/>
        <item x="232"/>
        <item x="368"/>
        <item x="423"/>
        <item x="66"/>
        <item x="339"/>
        <item x="309"/>
        <item x="142"/>
        <item x="139"/>
        <item x="371"/>
        <item x="399"/>
        <item x="87"/>
        <item x="250"/>
        <item x="417"/>
        <item x="118"/>
        <item x="617"/>
        <item x="59"/>
        <item x="326"/>
        <item x="53"/>
        <item x="110"/>
        <item x="117"/>
        <item x="460"/>
        <item x="127"/>
        <item x="402"/>
        <item x="523"/>
        <item x="132"/>
        <item x="265"/>
        <item x="550"/>
        <item x="565"/>
        <item x="99"/>
        <item x="597"/>
        <item x="297"/>
        <item x="340"/>
        <item x="144"/>
        <item x="48"/>
        <item x="191"/>
        <item x="356"/>
        <item x="372"/>
        <item x="447"/>
        <item x="154"/>
        <item x="73"/>
        <item x="123"/>
        <item x="403"/>
        <item x="96"/>
        <item x="130"/>
        <item x="328"/>
        <item x="169"/>
        <item x="161"/>
        <item x="419"/>
        <item x="342"/>
        <item x="177"/>
        <item x="167"/>
        <item x="464"/>
        <item x="358"/>
        <item x="80"/>
        <item x="219"/>
        <item x="180"/>
        <item x="61"/>
        <item x="386"/>
        <item x="405"/>
        <item x="69"/>
        <item x="193"/>
        <item x="584"/>
        <item x="137"/>
        <item x="599"/>
        <item x="465"/>
        <item x="54"/>
        <item x="200"/>
        <item x="68"/>
        <item x="113"/>
        <item x="153"/>
        <item x="479"/>
        <item x="236"/>
        <item x="151"/>
        <item x="77"/>
        <item x="492"/>
        <item x="197"/>
        <item x="449"/>
        <item x="509"/>
        <item x="149"/>
        <item x="213"/>
        <item x="165"/>
        <item x="163"/>
        <item x="179"/>
        <item x="539"/>
        <item x="210"/>
        <item x="109"/>
        <item x="481"/>
        <item x="228"/>
        <item x="252"/>
        <item x="207"/>
        <item x="494"/>
        <item x="511"/>
        <item x="89"/>
        <item x="528"/>
        <item x="85"/>
        <item x="568"/>
        <item x="585"/>
        <item x="600"/>
        <item x="245"/>
        <item x="247"/>
        <item x="628"/>
        <item x="196"/>
        <item x="182"/>
        <item x="261"/>
        <item x="122"/>
        <item x="554"/>
        <item x="282"/>
        <item x="570"/>
        <item x="587"/>
        <item x="159"/>
        <item x="649"/>
        <item x="614"/>
        <item x="673"/>
        <item x="238"/>
        <item x="262"/>
        <item x="62"/>
        <item x="225"/>
        <item x="75"/>
        <item x="301"/>
        <item x="651"/>
        <item x="126"/>
        <item x="273"/>
        <item x="663"/>
        <item x="674"/>
        <item x="679"/>
        <item x="274"/>
        <item x="199"/>
        <item x="315"/>
        <item x="291"/>
        <item x="190"/>
        <item x="293"/>
        <item x="141"/>
        <item x="308"/>
        <item x="242"/>
        <item x="94"/>
        <item x="97"/>
        <item x="212"/>
        <item x="134"/>
        <item x="257"/>
        <item x="337"/>
        <item x="346"/>
        <item x="354"/>
        <item x="82"/>
        <item x="205"/>
        <item x="369"/>
        <item x="223"/>
        <item x="361"/>
        <item x="162"/>
        <item x="227"/>
        <item x="70"/>
        <item x="377"/>
        <item x="324"/>
        <item x="284"/>
        <item x="384"/>
        <item x="287"/>
        <item x="244"/>
        <item x="390"/>
        <item x="147"/>
        <item x="303"/>
        <item x="218"/>
        <item x="241"/>
        <item x="355"/>
        <item x="409"/>
        <item x="400"/>
        <item x="107"/>
        <item x="370"/>
        <item x="259"/>
        <item x="305"/>
        <item x="425"/>
        <item x="235"/>
        <item x="178"/>
        <item x="157"/>
        <item x="270"/>
        <item x="437"/>
        <item x="289"/>
        <item x="317"/>
        <item x="320"/>
        <item x="401"/>
        <item x="78"/>
        <item x="286"/>
        <item x="445"/>
        <item x="470"/>
        <item x="111"/>
        <item x="461"/>
        <item x="418"/>
        <item x="498"/>
        <item x="478"/>
        <item x="92"/>
        <item x="515"/>
        <item x="307"/>
        <item x="531"/>
        <item x="543"/>
        <item x="507"/>
        <item x="432"/>
        <item x="267"/>
        <item x="557"/>
        <item x="319"/>
        <item x="524"/>
        <item x="281"/>
        <item x="322"/>
        <item x="574"/>
        <item x="195"/>
        <item x="334"/>
        <item x="348"/>
        <item x="172"/>
        <item x="446"/>
        <item x="605"/>
        <item x="551"/>
        <item x="120"/>
        <item x="566"/>
        <item x="582"/>
        <item x="463"/>
        <item x="618"/>
        <item x="632"/>
        <item x="336"/>
        <item x="598"/>
        <item x="300"/>
        <item x="641"/>
        <item x="350"/>
        <item x="353"/>
        <item x="209"/>
        <item x="626"/>
        <item x="508"/>
        <item x="666"/>
        <item x="367"/>
        <item x="365"/>
        <item x="364"/>
        <item x="682"/>
        <item x="526"/>
        <item x="383"/>
        <item x="124"/>
        <item x="380"/>
        <item x="552"/>
        <item x="398"/>
        <item x="314"/>
        <item x="381"/>
        <item x="394"/>
        <item x="413"/>
        <item x="416"/>
        <item x="567"/>
        <item x="583"/>
        <item x="429"/>
        <item x="138"/>
        <item x="331"/>
        <item x="222"/>
        <item x="431"/>
        <item x="441"/>
        <item x="627"/>
        <item x="392"/>
        <item x="194"/>
        <item x="396"/>
        <item x="444"/>
        <item x="456"/>
        <item x="474"/>
        <item x="459"/>
        <item x="648"/>
        <item x="477"/>
        <item x="488"/>
        <item x="491"/>
        <item x="506"/>
        <item x="345"/>
        <item x="502"/>
        <item x="414"/>
        <item x="522"/>
        <item x="411"/>
        <item x="672"/>
        <item x="538"/>
        <item x="240"/>
        <item x="519"/>
        <item x="549"/>
        <item x="564"/>
        <item x="581"/>
        <item x="535"/>
        <item x="596"/>
        <item x="102"/>
        <item x="612"/>
        <item x="427"/>
        <item x="376"/>
        <item x="625"/>
        <item x="208"/>
        <item x="442"/>
        <item x="86"/>
        <item x="255"/>
        <item x="647"/>
        <item x="661"/>
        <item x="671"/>
        <item x="578"/>
        <item x="593"/>
        <item x="408"/>
        <item x="609"/>
        <item x="622"/>
        <item x="645"/>
        <item x="659"/>
        <item x="439"/>
        <item x="278"/>
        <item x="424"/>
        <item x="135"/>
        <item x="436"/>
        <item x="475"/>
        <item x="454"/>
        <item x="452"/>
        <item x="298"/>
        <item x="489"/>
        <item x="469"/>
        <item x="221"/>
        <item x="484"/>
        <item x="473"/>
        <item x="503"/>
        <item x="497"/>
        <item x="520"/>
        <item x="514"/>
        <item x="486"/>
        <item x="530"/>
        <item x="500"/>
        <item x="536"/>
        <item x="311"/>
        <item x="517"/>
        <item x="148"/>
        <item x="573"/>
        <item x="590"/>
        <item x="604"/>
        <item x="533"/>
        <item x="547"/>
        <item x="640"/>
        <item x="654"/>
        <item x="158"/>
        <item x="545"/>
        <item x="562"/>
        <item x="560"/>
        <item x="239"/>
        <item x="579"/>
        <item x="576"/>
        <item x="594"/>
        <item x="610"/>
        <item x="329"/>
        <item x="623"/>
        <item x="607"/>
        <item x="635"/>
        <item x="620"/>
        <item x="254"/>
        <item x="646"/>
        <item x="116"/>
        <item x="660"/>
        <item x="670"/>
        <item x="644"/>
        <item x="95"/>
        <item x="656"/>
        <item x="269"/>
        <item x="343"/>
        <item x="176"/>
        <item x="359"/>
        <item x="374"/>
        <item x="285"/>
        <item x="129"/>
        <item x="173"/>
        <item x="387"/>
        <item x="188"/>
        <item x="304"/>
        <item x="192"/>
        <item x="406"/>
        <item x="143"/>
        <item x="318"/>
        <item x="421"/>
        <item x="108"/>
        <item x="333"/>
        <item x="434"/>
        <item x="203"/>
        <item x="206"/>
        <item x="450"/>
        <item x="349"/>
        <item x="217"/>
        <item x="363"/>
        <item x="467"/>
        <item x="152"/>
        <item x="379"/>
        <item x="482"/>
        <item x="495"/>
        <item x="512"/>
        <item x="529"/>
        <item x="393"/>
        <item x="220"/>
        <item x="121"/>
        <item x="541"/>
        <item x="412"/>
        <item x="555"/>
        <item x="164"/>
        <item x="428"/>
        <item x="571"/>
        <item x="440"/>
        <item x="588"/>
        <item x="602"/>
        <item x="615"/>
        <item x="455"/>
        <item x="237"/>
        <item x="630"/>
        <item x="472"/>
        <item x="487"/>
        <item x="181"/>
        <item x="638"/>
        <item x="501"/>
        <item x="233"/>
        <item x="652"/>
        <item x="253"/>
        <item x="518"/>
        <item x="664"/>
        <item x="675"/>
        <item x="680"/>
        <item x="534"/>
        <item x="251"/>
        <item x="268"/>
        <item x="546"/>
        <item x="133"/>
        <item x="561"/>
        <item x="577"/>
        <item x="592"/>
        <item x="198"/>
        <item x="608"/>
        <item x="621"/>
        <item x="634"/>
        <item x="657"/>
        <item x="669"/>
        <item x="678"/>
        <item x="266"/>
        <item x="283"/>
        <item x="146"/>
        <item x="302"/>
        <item x="279"/>
        <item x="156"/>
        <item x="211"/>
        <item x="299"/>
        <item x="316"/>
        <item x="312"/>
        <item x="226"/>
        <item x="330"/>
        <item x="171"/>
        <item x="332"/>
        <item x="344"/>
        <item x="243"/>
        <item x="347"/>
        <item x="360"/>
        <item x="362"/>
        <item x="378"/>
        <item x="258"/>
        <item x="375"/>
        <item x="388"/>
        <item x="186"/>
        <item x="407"/>
        <item x="391"/>
        <item x="422"/>
        <item x="410"/>
        <item x="272"/>
        <item x="435"/>
        <item x="202"/>
        <item x="451"/>
        <item x="426"/>
        <item x="468"/>
        <item x="483"/>
        <item x="438"/>
        <item x="496"/>
        <item x="513"/>
        <item x="453"/>
        <item x="288"/>
        <item x="216"/>
        <item x="542"/>
        <item x="556"/>
        <item x="471"/>
        <item x="572"/>
        <item x="485"/>
        <item x="499"/>
        <item x="589"/>
        <item x="603"/>
        <item x="616"/>
        <item x="516"/>
        <item x="631"/>
        <item x="306"/>
        <item x="639"/>
        <item x="532"/>
        <item x="653"/>
        <item x="665"/>
        <item x="544"/>
        <item x="676"/>
        <item x="681"/>
        <item x="559"/>
        <item x="231"/>
        <item x="575"/>
        <item x="591"/>
        <item x="606"/>
        <item x="619"/>
        <item x="321"/>
        <item x="249"/>
        <item x="633"/>
        <item x="643"/>
        <item x="655"/>
        <item x="264"/>
        <item x="668"/>
        <item x="677"/>
        <item x="335"/>
        <item x="277"/>
        <item x="352"/>
        <item x="366"/>
        <item x="296"/>
        <item x="382"/>
        <item x="310"/>
        <item x="397"/>
        <item x="327"/>
        <item x="415"/>
        <item x="430"/>
        <item x="341"/>
        <item x="443"/>
        <item x="357"/>
        <item x="457"/>
        <item x="476"/>
        <item x="373"/>
        <item x="490"/>
        <item x="504"/>
        <item x="385"/>
        <item x="521"/>
        <item x="404"/>
        <item x="537"/>
        <item x="420"/>
        <item x="548"/>
        <item x="563"/>
        <item x="580"/>
        <item x="595"/>
        <item x="433"/>
        <item x="611"/>
        <item x="624"/>
        <item x="448"/>
        <item x="636"/>
        <item x="466"/>
        <item x="480"/>
        <item x="493"/>
        <item x="510"/>
        <item x="527"/>
        <item x="540"/>
        <item x="553"/>
        <item x="569"/>
        <item x="586"/>
        <item x="601"/>
        <item x="613"/>
        <item x="629"/>
        <item x="637"/>
        <item x="650"/>
        <item x="662"/>
        <item x="2"/>
        <item t="default"/>
      </items>
    </pivotField>
    <pivotField showAll="0"/>
    <pivotField showAll="0"/>
    <pivotField showAll="0"/>
    <pivotField dataField="1" showAll="0">
      <items count="222">
        <item x="1"/>
        <item x="2"/>
        <item x="3"/>
        <item x="4"/>
        <item x="5"/>
        <item x="6"/>
        <item x="43"/>
        <item x="21"/>
        <item x="49"/>
        <item x="22"/>
        <item x="7"/>
        <item x="9"/>
        <item x="12"/>
        <item x="28"/>
        <item x="14"/>
        <item x="8"/>
        <item x="70"/>
        <item x="44"/>
        <item x="32"/>
        <item x="36"/>
        <item x="90"/>
        <item x="17"/>
        <item x="10"/>
        <item x="51"/>
        <item x="19"/>
        <item x="61"/>
        <item x="96"/>
        <item x="11"/>
        <item x="114"/>
        <item x="13"/>
        <item x="48"/>
        <item x="60"/>
        <item x="66"/>
        <item x="88"/>
        <item x="94"/>
        <item x="80"/>
        <item x="86"/>
        <item x="15"/>
        <item x="104"/>
        <item x="74"/>
        <item x="26"/>
        <item x="168"/>
        <item x="112"/>
        <item x="57"/>
        <item x="16"/>
        <item x="67"/>
        <item x="30"/>
        <item x="18"/>
        <item x="93"/>
        <item x="135"/>
        <item x="109"/>
        <item x="63"/>
        <item x="101"/>
        <item x="71"/>
        <item x="75"/>
        <item x="82"/>
        <item x="157"/>
        <item x="78"/>
        <item x="166"/>
        <item x="130"/>
        <item x="142"/>
        <item x="176"/>
        <item x="34"/>
        <item x="124"/>
        <item x="20"/>
        <item x="23"/>
        <item x="162"/>
        <item x="102"/>
        <item x="132"/>
        <item x="110"/>
        <item x="38"/>
        <item x="198"/>
        <item x="119"/>
        <item x="133"/>
        <item x="143"/>
        <item x="24"/>
        <item x="98"/>
        <item x="25"/>
        <item x="107"/>
        <item x="202"/>
        <item x="209"/>
        <item x="116"/>
        <item x="154"/>
        <item x="27"/>
        <item x="127"/>
        <item x="173"/>
        <item x="31"/>
        <item x="155"/>
        <item x="29"/>
        <item x="137"/>
        <item x="41"/>
        <item x="186"/>
        <item x="164"/>
        <item x="200"/>
        <item x="147"/>
        <item x="97"/>
        <item x="35"/>
        <item x="174"/>
        <item x="160"/>
        <item x="180"/>
        <item x="170"/>
        <item x="178"/>
        <item x="33"/>
        <item x="194"/>
        <item x="39"/>
        <item x="204"/>
        <item x="211"/>
        <item x="50"/>
        <item x="183"/>
        <item x="189"/>
        <item x="196"/>
        <item x="37"/>
        <item x="218"/>
        <item x="42"/>
        <item x="217"/>
        <item x="106"/>
        <item x="40"/>
        <item x="55"/>
        <item x="47"/>
        <item x="46"/>
        <item x="53"/>
        <item x="115"/>
        <item x="54"/>
        <item x="58"/>
        <item x="45"/>
        <item x="64"/>
        <item x="59"/>
        <item x="65"/>
        <item x="68"/>
        <item x="52"/>
        <item x="72"/>
        <item x="128"/>
        <item x="73"/>
        <item x="76"/>
        <item x="56"/>
        <item x="81"/>
        <item x="83"/>
        <item x="87"/>
        <item x="62"/>
        <item x="79"/>
        <item x="92"/>
        <item x="69"/>
        <item x="146"/>
        <item x="85"/>
        <item x="103"/>
        <item x="77"/>
        <item x="100"/>
        <item x="111"/>
        <item x="118"/>
        <item x="151"/>
        <item x="91"/>
        <item x="84"/>
        <item x="99"/>
        <item x="123"/>
        <item x="120"/>
        <item x="131"/>
        <item x="89"/>
        <item x="108"/>
        <item x="139"/>
        <item x="125"/>
        <item x="159"/>
        <item x="117"/>
        <item x="95"/>
        <item x="134"/>
        <item x="153"/>
        <item x="144"/>
        <item x="122"/>
        <item x="163"/>
        <item x="105"/>
        <item x="169"/>
        <item x="149"/>
        <item x="172"/>
        <item x="129"/>
        <item x="179"/>
        <item x="185"/>
        <item x="156"/>
        <item x="138"/>
        <item x="113"/>
        <item x="165"/>
        <item x="191"/>
        <item x="199"/>
        <item x="207"/>
        <item x="121"/>
        <item x="141"/>
        <item x="215"/>
        <item x="175"/>
        <item x="148"/>
        <item x="126"/>
        <item x="181"/>
        <item x="152"/>
        <item x="136"/>
        <item x="161"/>
        <item x="171"/>
        <item x="192"/>
        <item x="188"/>
        <item x="140"/>
        <item x="201"/>
        <item x="145"/>
        <item x="184"/>
        <item x="208"/>
        <item x="190"/>
        <item x="195"/>
        <item x="150"/>
        <item x="197"/>
        <item x="206"/>
        <item x="213"/>
        <item x="220"/>
        <item x="205"/>
        <item x="158"/>
        <item x="167"/>
        <item x="219"/>
        <item x="212"/>
        <item x="177"/>
        <item x="182"/>
        <item x="187"/>
        <item x="216"/>
        <item x="193"/>
        <item x="203"/>
        <item x="210"/>
        <item x="214"/>
        <item x="0"/>
        <item t="default"/>
      </items>
    </pivotField>
    <pivotField dataField="1" showAll="0">
      <items count="171">
        <item x="0"/>
        <item x="2"/>
        <item x="3"/>
        <item x="4"/>
        <item x="5"/>
        <item x="7"/>
        <item x="6"/>
        <item x="9"/>
        <item x="8"/>
        <item x="11"/>
        <item x="10"/>
        <item x="20"/>
        <item x="13"/>
        <item x="15"/>
        <item x="12"/>
        <item x="14"/>
        <item x="22"/>
        <item x="24"/>
        <item x="41"/>
        <item x="16"/>
        <item x="46"/>
        <item x="35"/>
        <item x="17"/>
        <item x="50"/>
        <item x="19"/>
        <item x="39"/>
        <item x="29"/>
        <item x="52"/>
        <item x="18"/>
        <item x="144"/>
        <item x="63"/>
        <item x="44"/>
        <item x="25"/>
        <item x="32"/>
        <item x="74"/>
        <item x="48"/>
        <item x="56"/>
        <item x="21"/>
        <item x="92"/>
        <item x="60"/>
        <item x="27"/>
        <item x="36"/>
        <item x="90"/>
        <item x="143"/>
        <item x="78"/>
        <item x="82"/>
        <item x="88"/>
        <item x="61"/>
        <item x="23"/>
        <item x="40"/>
        <item x="66"/>
        <item x="26"/>
        <item x="101"/>
        <item x="77"/>
        <item x="118"/>
        <item x="30"/>
        <item x="45"/>
        <item x="123"/>
        <item x="28"/>
        <item x="33"/>
        <item x="137"/>
        <item x="113"/>
        <item x="149"/>
        <item x="86"/>
        <item x="49"/>
        <item x="31"/>
        <item x="81"/>
        <item x="127"/>
        <item x="87"/>
        <item x="37"/>
        <item x="139"/>
        <item x="141"/>
        <item x="53"/>
        <item x="34"/>
        <item x="94"/>
        <item x="168"/>
        <item x="105"/>
        <item x="42"/>
        <item x="158"/>
        <item x="57"/>
        <item x="100"/>
        <item x="38"/>
        <item x="62"/>
        <item x="106"/>
        <item x="43"/>
        <item x="112"/>
        <item x="121"/>
        <item x="126"/>
        <item x="67"/>
        <item x="131"/>
        <item x="47"/>
        <item x="135"/>
        <item x="147"/>
        <item x="70"/>
        <item x="156"/>
        <item x="148"/>
        <item x="163"/>
        <item x="54"/>
        <item x="152"/>
        <item x="51"/>
        <item x="73"/>
        <item x="160"/>
        <item x="164"/>
        <item x="167"/>
        <item x="55"/>
        <item x="58"/>
        <item x="59"/>
        <item x="83"/>
        <item x="64"/>
        <item x="89"/>
        <item x="65"/>
        <item x="68"/>
        <item x="69"/>
        <item x="97"/>
        <item x="71"/>
        <item x="72"/>
        <item x="102"/>
        <item x="107"/>
        <item x="109"/>
        <item x="76"/>
        <item x="114"/>
        <item x="75"/>
        <item x="117"/>
        <item x="80"/>
        <item x="122"/>
        <item x="79"/>
        <item x="128"/>
        <item x="132"/>
        <item x="136"/>
        <item x="85"/>
        <item x="142"/>
        <item x="84"/>
        <item x="93"/>
        <item x="153"/>
        <item x="96"/>
        <item x="99"/>
        <item x="91"/>
        <item x="95"/>
        <item x="98"/>
        <item x="104"/>
        <item x="103"/>
        <item x="108"/>
        <item x="111"/>
        <item x="116"/>
        <item x="110"/>
        <item x="120"/>
        <item x="125"/>
        <item x="130"/>
        <item x="134"/>
        <item x="115"/>
        <item x="140"/>
        <item x="146"/>
        <item x="151"/>
        <item x="119"/>
        <item x="155"/>
        <item x="159"/>
        <item x="124"/>
        <item x="162"/>
        <item x="166"/>
        <item x="129"/>
        <item x="169"/>
        <item x="133"/>
        <item x="138"/>
        <item x="145"/>
        <item x="150"/>
        <item x="154"/>
        <item x="157"/>
        <item x="161"/>
        <item x="165"/>
        <item x="1"/>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65">
    <i>
      <x/>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t="grand">
      <x/>
    </i>
  </rowItems>
  <colFields count="2">
    <field x="2"/>
    <field x="-2"/>
  </colFields>
  <colItems count="87">
    <i>
      <x/>
      <x/>
    </i>
    <i r="1" i="1">
      <x v="1"/>
    </i>
    <i r="1" i="2">
      <x v="2"/>
    </i>
    <i>
      <x v="1"/>
      <x/>
    </i>
    <i r="1" i="1">
      <x v="1"/>
    </i>
    <i r="1" i="2">
      <x v="2"/>
    </i>
    <i>
      <x v="2"/>
      <x/>
    </i>
    <i r="1" i="1">
      <x v="1"/>
    </i>
    <i r="1" i="2">
      <x v="2"/>
    </i>
    <i>
      <x v="3"/>
      <x/>
    </i>
    <i r="1" i="1">
      <x v="1"/>
    </i>
    <i r="1" i="2">
      <x v="2"/>
    </i>
    <i>
      <x v="4"/>
      <x/>
    </i>
    <i r="1" i="1">
      <x v="1"/>
    </i>
    <i r="1" i="2">
      <x v="2"/>
    </i>
    <i>
      <x v="5"/>
      <x/>
    </i>
    <i r="1" i="1">
      <x v="1"/>
    </i>
    <i r="1" i="2">
      <x v="2"/>
    </i>
    <i>
      <x v="6"/>
      <x/>
    </i>
    <i r="1" i="1">
      <x v="1"/>
    </i>
    <i r="1" i="2">
      <x v="2"/>
    </i>
    <i>
      <x v="7"/>
      <x/>
    </i>
    <i r="1" i="1">
      <x v="1"/>
    </i>
    <i r="1" i="2">
      <x v="2"/>
    </i>
    <i>
      <x v="8"/>
      <x/>
    </i>
    <i r="1" i="1">
      <x v="1"/>
    </i>
    <i r="1" i="2">
      <x v="2"/>
    </i>
    <i>
      <x v="9"/>
      <x/>
    </i>
    <i r="1" i="1">
      <x v="1"/>
    </i>
    <i r="1" i="2">
      <x v="2"/>
    </i>
    <i>
      <x v="10"/>
      <x/>
    </i>
    <i r="1" i="1">
      <x v="1"/>
    </i>
    <i r="1" i="2">
      <x v="2"/>
    </i>
    <i>
      <x v="11"/>
      <x/>
    </i>
    <i r="1" i="1">
      <x v="1"/>
    </i>
    <i r="1" i="2">
      <x v="2"/>
    </i>
    <i>
      <x v="12"/>
      <x/>
    </i>
    <i r="1" i="1">
      <x v="1"/>
    </i>
    <i r="1" i="2">
      <x v="2"/>
    </i>
    <i>
      <x v="13"/>
      <x/>
    </i>
    <i r="1" i="1">
      <x v="1"/>
    </i>
    <i r="1" i="2">
      <x v="2"/>
    </i>
    <i>
      <x v="14"/>
      <x/>
    </i>
    <i r="1" i="1">
      <x v="1"/>
    </i>
    <i r="1" i="2">
      <x v="2"/>
    </i>
    <i>
      <x v="15"/>
      <x/>
    </i>
    <i r="1" i="1">
      <x v="1"/>
    </i>
    <i r="1" i="2">
      <x v="2"/>
    </i>
    <i>
      <x v="16"/>
      <x/>
    </i>
    <i r="1" i="1">
      <x v="1"/>
    </i>
    <i r="1" i="2">
      <x v="2"/>
    </i>
    <i>
      <x v="17"/>
      <x/>
    </i>
    <i r="1" i="1">
      <x v="1"/>
    </i>
    <i r="1" i="2">
      <x v="2"/>
    </i>
    <i>
      <x v="18"/>
      <x/>
    </i>
    <i r="1" i="1">
      <x v="1"/>
    </i>
    <i r="1" i="2">
      <x v="2"/>
    </i>
    <i>
      <x v="19"/>
      <x/>
    </i>
    <i r="1" i="1">
      <x v="1"/>
    </i>
    <i r="1" i="2">
      <x v="2"/>
    </i>
    <i>
      <x v="20"/>
      <x/>
    </i>
    <i r="1" i="1">
      <x v="1"/>
    </i>
    <i r="1" i="2">
      <x v="2"/>
    </i>
    <i>
      <x v="21"/>
      <x/>
    </i>
    <i r="1" i="1">
      <x v="1"/>
    </i>
    <i r="1" i="2">
      <x v="2"/>
    </i>
    <i>
      <x v="22"/>
      <x/>
    </i>
    <i r="1" i="1">
      <x v="1"/>
    </i>
    <i r="1" i="2">
      <x v="2"/>
    </i>
    <i>
      <x v="23"/>
      <x/>
    </i>
    <i r="1" i="1">
      <x v="1"/>
    </i>
    <i r="1" i="2">
      <x v="2"/>
    </i>
    <i>
      <x v="24"/>
      <x/>
    </i>
    <i r="1" i="1">
      <x v="1"/>
    </i>
    <i r="1" i="2">
      <x v="2"/>
    </i>
    <i>
      <x v="25"/>
      <x/>
    </i>
    <i r="1" i="1">
      <x v="1"/>
    </i>
    <i r="1" i="2">
      <x v="2"/>
    </i>
    <i>
      <x v="26"/>
      <x/>
    </i>
    <i r="1" i="1">
      <x v="1"/>
    </i>
    <i r="1" i="2">
      <x v="2"/>
    </i>
    <i>
      <x v="27"/>
      <x/>
    </i>
    <i r="1" i="1">
      <x v="1"/>
    </i>
    <i r="1" i="2">
      <x v="2"/>
    </i>
    <i t="grand">
      <x/>
    </i>
    <i t="grand" i="1">
      <x/>
    </i>
    <i t="grand" i="2">
      <x/>
    </i>
  </colItems>
  <dataFields count="3">
    <dataField name="Summe von ncumul_conf" fld="4" baseField="0" baseItem="0"/>
    <dataField name="Summe von ncumul_released" fld="8" baseField="0" baseItem="0"/>
    <dataField name="Summe von ncumul_deceased"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BCE8ECE-9163-49A3-9132-9C87A822860E}" name="PivotTable2" cacheId="0" applyNumberFormats="0" applyBorderFormats="0" applyFontFormats="0" applyPatternFormats="0" applyAlignmentFormats="0" applyWidthHeightFormats="1" dataCaption="Werte" updatedVersion="6" minRefreshableVersion="3" useAutoFormatting="1" rowGrandTotals="0" itemPrintTitles="1" createdVersion="6" indent="0" outline="1" outlineData="1" multipleFieldFilters="0" chartFormat="5">
  <location ref="A3:AD68" firstHeaderRow="1" firstDataRow="2" firstDataCol="1"/>
  <pivotFields count="12">
    <pivotField axis="axisRow"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Col" showAll="0">
      <items count="29">
        <item x="12"/>
        <item x="18"/>
        <item x="10"/>
        <item x="24"/>
        <item x="17"/>
        <item x="6"/>
        <item x="7"/>
        <item x="5"/>
        <item x="2"/>
        <item x="0"/>
        <item x="19"/>
        <item x="26"/>
        <item x="3"/>
        <item x="16"/>
        <item x="13"/>
        <item x="20"/>
        <item x="23"/>
        <item x="14"/>
        <item x="21"/>
        <item x="15"/>
        <item x="25"/>
        <item x="1"/>
        <item x="22"/>
        <item x="8"/>
        <item x="9"/>
        <item x="11"/>
        <item x="4"/>
        <item x="27"/>
        <item t="default"/>
      </items>
    </pivotField>
    <pivotField showAll="0"/>
    <pivotField showAll="0"/>
    <pivotField showAll="0"/>
    <pivotField showAll="0"/>
    <pivotField showAll="0"/>
    <pivotField showAll="0"/>
    <pivotField dataField="1" showAll="0">
      <items count="171">
        <item x="0"/>
        <item x="2"/>
        <item x="3"/>
        <item x="4"/>
        <item x="5"/>
        <item x="7"/>
        <item x="6"/>
        <item x="9"/>
        <item x="8"/>
        <item x="11"/>
        <item x="10"/>
        <item x="20"/>
        <item x="13"/>
        <item x="15"/>
        <item x="12"/>
        <item x="14"/>
        <item x="22"/>
        <item x="24"/>
        <item x="41"/>
        <item x="16"/>
        <item x="46"/>
        <item x="35"/>
        <item x="17"/>
        <item x="50"/>
        <item x="19"/>
        <item x="39"/>
        <item x="29"/>
        <item x="52"/>
        <item x="18"/>
        <item x="144"/>
        <item x="63"/>
        <item x="44"/>
        <item x="25"/>
        <item x="32"/>
        <item x="74"/>
        <item x="48"/>
        <item x="56"/>
        <item x="21"/>
        <item x="92"/>
        <item x="60"/>
        <item x="27"/>
        <item x="36"/>
        <item x="90"/>
        <item x="143"/>
        <item x="78"/>
        <item x="82"/>
        <item x="88"/>
        <item x="61"/>
        <item x="23"/>
        <item x="40"/>
        <item x="66"/>
        <item x="26"/>
        <item x="101"/>
        <item x="77"/>
        <item x="118"/>
        <item x="30"/>
        <item x="45"/>
        <item x="123"/>
        <item x="28"/>
        <item x="33"/>
        <item x="137"/>
        <item x="113"/>
        <item x="149"/>
        <item x="86"/>
        <item x="49"/>
        <item x="31"/>
        <item x="81"/>
        <item x="127"/>
        <item x="87"/>
        <item x="37"/>
        <item x="139"/>
        <item x="141"/>
        <item x="53"/>
        <item x="34"/>
        <item x="94"/>
        <item x="168"/>
        <item x="105"/>
        <item x="42"/>
        <item x="158"/>
        <item x="57"/>
        <item x="100"/>
        <item x="38"/>
        <item x="62"/>
        <item x="106"/>
        <item x="43"/>
        <item x="112"/>
        <item x="121"/>
        <item x="126"/>
        <item x="67"/>
        <item x="131"/>
        <item x="47"/>
        <item x="135"/>
        <item x="147"/>
        <item x="70"/>
        <item x="156"/>
        <item x="148"/>
        <item x="163"/>
        <item x="54"/>
        <item x="152"/>
        <item x="51"/>
        <item x="73"/>
        <item x="160"/>
        <item x="164"/>
        <item x="167"/>
        <item x="55"/>
        <item x="58"/>
        <item x="59"/>
        <item x="83"/>
        <item x="64"/>
        <item x="89"/>
        <item x="65"/>
        <item x="68"/>
        <item x="69"/>
        <item x="97"/>
        <item x="71"/>
        <item x="72"/>
        <item x="102"/>
        <item x="107"/>
        <item x="109"/>
        <item x="76"/>
        <item x="114"/>
        <item x="75"/>
        <item x="117"/>
        <item x="80"/>
        <item x="122"/>
        <item x="79"/>
        <item x="128"/>
        <item x="132"/>
        <item x="136"/>
        <item x="85"/>
        <item x="142"/>
        <item x="84"/>
        <item x="93"/>
        <item x="153"/>
        <item x="96"/>
        <item x="99"/>
        <item x="91"/>
        <item x="95"/>
        <item x="98"/>
        <item x="104"/>
        <item x="103"/>
        <item x="108"/>
        <item x="111"/>
        <item x="116"/>
        <item x="110"/>
        <item x="120"/>
        <item x="125"/>
        <item x="130"/>
        <item x="134"/>
        <item x="115"/>
        <item x="140"/>
        <item x="146"/>
        <item x="151"/>
        <item x="119"/>
        <item x="155"/>
        <item x="159"/>
        <item x="124"/>
        <item x="162"/>
        <item x="166"/>
        <item x="129"/>
        <item x="169"/>
        <item x="133"/>
        <item x="138"/>
        <item x="145"/>
        <item x="150"/>
        <item x="154"/>
        <item x="157"/>
        <item x="161"/>
        <item x="165"/>
        <item x="1"/>
        <item t="default"/>
      </items>
    </pivotField>
    <pivotField showAll="0"/>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64">
    <i>
      <x/>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Fields count="1">
    <field x="2"/>
  </colFields>
  <col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colItems>
  <dataFields count="1">
    <dataField name="Summe von ncumul_deceased" fld="9" baseField="0" baseItem="0"/>
  </dataFields>
  <chartFormats count="28">
    <chartFormat chart="4" format="111" series="1">
      <pivotArea type="data" outline="0" fieldPosition="0">
        <references count="2">
          <reference field="4294967294" count="1" selected="0">
            <x v="0"/>
          </reference>
          <reference field="2" count="1" selected="0">
            <x v="0"/>
          </reference>
        </references>
      </pivotArea>
    </chartFormat>
    <chartFormat chart="4" format="112" series="1">
      <pivotArea type="data" outline="0" fieldPosition="0">
        <references count="2">
          <reference field="4294967294" count="1" selected="0">
            <x v="0"/>
          </reference>
          <reference field="2" count="1" selected="0">
            <x v="1"/>
          </reference>
        </references>
      </pivotArea>
    </chartFormat>
    <chartFormat chart="4" format="113" series="1">
      <pivotArea type="data" outline="0" fieldPosition="0">
        <references count="2">
          <reference field="4294967294" count="1" selected="0">
            <x v="0"/>
          </reference>
          <reference field="2" count="1" selected="0">
            <x v="2"/>
          </reference>
        </references>
      </pivotArea>
    </chartFormat>
    <chartFormat chart="4" format="114" series="1">
      <pivotArea type="data" outline="0" fieldPosition="0">
        <references count="2">
          <reference field="4294967294" count="1" selected="0">
            <x v="0"/>
          </reference>
          <reference field="2" count="1" selected="0">
            <x v="3"/>
          </reference>
        </references>
      </pivotArea>
    </chartFormat>
    <chartFormat chart="4" format="115" series="1">
      <pivotArea type="data" outline="0" fieldPosition="0">
        <references count="2">
          <reference field="4294967294" count="1" selected="0">
            <x v="0"/>
          </reference>
          <reference field="2" count="1" selected="0">
            <x v="4"/>
          </reference>
        </references>
      </pivotArea>
    </chartFormat>
    <chartFormat chart="4" format="116" series="1">
      <pivotArea type="data" outline="0" fieldPosition="0">
        <references count="2">
          <reference field="4294967294" count="1" selected="0">
            <x v="0"/>
          </reference>
          <reference field="2" count="1" selected="0">
            <x v="5"/>
          </reference>
        </references>
      </pivotArea>
    </chartFormat>
    <chartFormat chart="4" format="117" series="1">
      <pivotArea type="data" outline="0" fieldPosition="0">
        <references count="2">
          <reference field="4294967294" count="1" selected="0">
            <x v="0"/>
          </reference>
          <reference field="2" count="1" selected="0">
            <x v="6"/>
          </reference>
        </references>
      </pivotArea>
    </chartFormat>
    <chartFormat chart="4" format="118" series="1">
      <pivotArea type="data" outline="0" fieldPosition="0">
        <references count="2">
          <reference field="4294967294" count="1" selected="0">
            <x v="0"/>
          </reference>
          <reference field="2" count="1" selected="0">
            <x v="7"/>
          </reference>
        </references>
      </pivotArea>
    </chartFormat>
    <chartFormat chart="4" format="119" series="1">
      <pivotArea type="data" outline="0" fieldPosition="0">
        <references count="2">
          <reference field="4294967294" count="1" selected="0">
            <x v="0"/>
          </reference>
          <reference field="2" count="1" selected="0">
            <x v="8"/>
          </reference>
        </references>
      </pivotArea>
    </chartFormat>
    <chartFormat chart="4" format="120" series="1">
      <pivotArea type="data" outline="0" fieldPosition="0">
        <references count="2">
          <reference field="4294967294" count="1" selected="0">
            <x v="0"/>
          </reference>
          <reference field="2" count="1" selected="0">
            <x v="9"/>
          </reference>
        </references>
      </pivotArea>
    </chartFormat>
    <chartFormat chart="4" format="121" series="1">
      <pivotArea type="data" outline="0" fieldPosition="0">
        <references count="2">
          <reference field="4294967294" count="1" selected="0">
            <x v="0"/>
          </reference>
          <reference field="2" count="1" selected="0">
            <x v="10"/>
          </reference>
        </references>
      </pivotArea>
    </chartFormat>
    <chartFormat chart="4" format="122" series="1">
      <pivotArea type="data" outline="0" fieldPosition="0">
        <references count="2">
          <reference field="4294967294" count="1" selected="0">
            <x v="0"/>
          </reference>
          <reference field="2" count="1" selected="0">
            <x v="11"/>
          </reference>
        </references>
      </pivotArea>
    </chartFormat>
    <chartFormat chart="4" format="123" series="1">
      <pivotArea type="data" outline="0" fieldPosition="0">
        <references count="2">
          <reference field="4294967294" count="1" selected="0">
            <x v="0"/>
          </reference>
          <reference field="2" count="1" selected="0">
            <x v="12"/>
          </reference>
        </references>
      </pivotArea>
    </chartFormat>
    <chartFormat chart="4" format="124" series="1">
      <pivotArea type="data" outline="0" fieldPosition="0">
        <references count="2">
          <reference field="4294967294" count="1" selected="0">
            <x v="0"/>
          </reference>
          <reference field="2" count="1" selected="0">
            <x v="13"/>
          </reference>
        </references>
      </pivotArea>
    </chartFormat>
    <chartFormat chart="4" format="125" series="1">
      <pivotArea type="data" outline="0" fieldPosition="0">
        <references count="2">
          <reference field="4294967294" count="1" selected="0">
            <x v="0"/>
          </reference>
          <reference field="2" count="1" selected="0">
            <x v="14"/>
          </reference>
        </references>
      </pivotArea>
    </chartFormat>
    <chartFormat chart="4" format="126" series="1">
      <pivotArea type="data" outline="0" fieldPosition="0">
        <references count="2">
          <reference field="4294967294" count="1" selected="0">
            <x v="0"/>
          </reference>
          <reference field="2" count="1" selected="0">
            <x v="15"/>
          </reference>
        </references>
      </pivotArea>
    </chartFormat>
    <chartFormat chart="4" format="127" series="1">
      <pivotArea type="data" outline="0" fieldPosition="0">
        <references count="2">
          <reference field="4294967294" count="1" selected="0">
            <x v="0"/>
          </reference>
          <reference field="2" count="1" selected="0">
            <x v="16"/>
          </reference>
        </references>
      </pivotArea>
    </chartFormat>
    <chartFormat chart="4" format="128" series="1">
      <pivotArea type="data" outline="0" fieldPosition="0">
        <references count="2">
          <reference field="4294967294" count="1" selected="0">
            <x v="0"/>
          </reference>
          <reference field="2" count="1" selected="0">
            <x v="17"/>
          </reference>
        </references>
      </pivotArea>
    </chartFormat>
    <chartFormat chart="4" format="129" series="1">
      <pivotArea type="data" outline="0" fieldPosition="0">
        <references count="2">
          <reference field="4294967294" count="1" selected="0">
            <x v="0"/>
          </reference>
          <reference field="2" count="1" selected="0">
            <x v="18"/>
          </reference>
        </references>
      </pivotArea>
    </chartFormat>
    <chartFormat chart="4" format="130" series="1">
      <pivotArea type="data" outline="0" fieldPosition="0">
        <references count="2">
          <reference field="4294967294" count="1" selected="0">
            <x v="0"/>
          </reference>
          <reference field="2" count="1" selected="0">
            <x v="19"/>
          </reference>
        </references>
      </pivotArea>
    </chartFormat>
    <chartFormat chart="4" format="131" series="1">
      <pivotArea type="data" outline="0" fieldPosition="0">
        <references count="2">
          <reference field="4294967294" count="1" selected="0">
            <x v="0"/>
          </reference>
          <reference field="2" count="1" selected="0">
            <x v="20"/>
          </reference>
        </references>
      </pivotArea>
    </chartFormat>
    <chartFormat chart="4" format="132" series="1">
      <pivotArea type="data" outline="0" fieldPosition="0">
        <references count="2">
          <reference field="4294967294" count="1" selected="0">
            <x v="0"/>
          </reference>
          <reference field="2" count="1" selected="0">
            <x v="21"/>
          </reference>
        </references>
      </pivotArea>
    </chartFormat>
    <chartFormat chart="4" format="133" series="1">
      <pivotArea type="data" outline="0" fieldPosition="0">
        <references count="2">
          <reference field="4294967294" count="1" selected="0">
            <x v="0"/>
          </reference>
          <reference field="2" count="1" selected="0">
            <x v="22"/>
          </reference>
        </references>
      </pivotArea>
    </chartFormat>
    <chartFormat chart="4" format="134" series="1">
      <pivotArea type="data" outline="0" fieldPosition="0">
        <references count="2">
          <reference field="4294967294" count="1" selected="0">
            <x v="0"/>
          </reference>
          <reference field="2" count="1" selected="0">
            <x v="23"/>
          </reference>
        </references>
      </pivotArea>
    </chartFormat>
    <chartFormat chart="4" format="135" series="1">
      <pivotArea type="data" outline="0" fieldPosition="0">
        <references count="2">
          <reference field="4294967294" count="1" selected="0">
            <x v="0"/>
          </reference>
          <reference field="2" count="1" selected="0">
            <x v="24"/>
          </reference>
        </references>
      </pivotArea>
    </chartFormat>
    <chartFormat chart="4" format="136" series="1">
      <pivotArea type="data" outline="0" fieldPosition="0">
        <references count="2">
          <reference field="4294967294" count="1" selected="0">
            <x v="0"/>
          </reference>
          <reference field="2" count="1" selected="0">
            <x v="25"/>
          </reference>
        </references>
      </pivotArea>
    </chartFormat>
    <chartFormat chart="4" format="137" series="1">
      <pivotArea type="data" outline="0" fieldPosition="0">
        <references count="2">
          <reference field="4294967294" count="1" selected="0">
            <x v="0"/>
          </reference>
          <reference field="2" count="1" selected="0">
            <x v="26"/>
          </reference>
        </references>
      </pivotArea>
    </chartFormat>
    <chartFormat chart="4" format="138" series="1">
      <pivotArea type="data" outline="0" fieldPosition="0">
        <references count="2">
          <reference field="4294967294" count="1" selected="0">
            <x v="0"/>
          </reference>
          <reference field="2" count="1" selected="0">
            <x v="2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refreshOnLoad="1" connectionId="3" xr16:uid="{2EC84AB0-A35E-474C-B0F5-27003FCCA62D}" autoFormatId="16" applyNumberFormats="0" applyBorderFormats="0" applyFontFormats="0" applyPatternFormats="0" applyAlignmentFormats="0" applyWidthHeightFormats="0">
  <queryTableRefresh nextId="19">
    <queryTableFields count="18">
      <queryTableField id="1" name="date" tableColumnId="1"/>
      <queryTableField id="2" name="last_update" tableColumnId="2"/>
      <queryTableField id="3" name="country" tableColumnId="3"/>
      <queryTableField id="4" name="intensive_care" tableColumnId="4"/>
      <queryTableField id="5" name="total_hospitalized" tableColumnId="5"/>
      <queryTableField id="6" name="total_currently_positive" tableColumnId="6"/>
      <queryTableField id="7" name="total_positive" tableColumnId="7"/>
      <queryTableField id="8" name="tests_performed" tableColumnId="8"/>
      <queryTableField id="9" name="released" tableColumnId="9"/>
      <queryTableField id="10" name="deaths" tableColumnId="10"/>
      <queryTableField id="11" name="home_confinment" tableColumnId="11"/>
      <queryTableField id="12" name="new_positive" tableColumnId="12"/>
      <queryTableField id="13" name="old_positive" tableColumnId="13"/>
      <queryTableField id="14" name="hospitalized_with_symptoms" tableColumnId="14"/>
      <queryTableField id="15" name="new_deaths" tableColumnId="15"/>
      <queryTableField id="16" name="old_deaths" tableColumnId="16"/>
      <queryTableField id="17" name="doubling_time_total_positive" tableColumnId="17"/>
      <queryTableField id="18" name="doubling_time_fatalities"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refreshOnLoad="1" connectionId="2" xr16:uid="{A18A4422-D724-446D-AEAE-B397FF0A4D52}" autoFormatId="16" applyNumberFormats="0" applyBorderFormats="0" applyFontFormats="0" applyPatternFormats="0" applyAlignmentFormats="0" applyWidthHeightFormats="0">
  <queryTableRefresh nextId="187">
    <queryTableFields count="32">
      <queryTableField id="126" name="last_update" tableColumnId="81"/>
      <queryTableField id="127" name="timestamp" tableColumnId="82"/>
      <queryTableField id="128" name="country" tableColumnId="83"/>
      <queryTableField id="129" name="abbreviation_canton" tableColumnId="84"/>
      <queryTableField id="130" name="name_canton" tableColumnId="85"/>
      <queryTableField id="131" name="number_canton" tableColumnId="86"/>
      <queryTableField id="132" name="lat" tableColumnId="87"/>
      <queryTableField id="133" name="long" tableColumnId="88"/>
      <queryTableField id="134" name="tests_performed" tableColumnId="89"/>
      <queryTableField id="135" name="total_currently_positive_cases" tableColumnId="90"/>
      <queryTableField id="136" name="total_positive_cases" tableColumnId="91"/>
      <queryTableField id="137" name="new_hosp" tableColumnId="92"/>
      <queryTableField id="138" name="total_hospitalized" tableColumnId="93"/>
      <queryTableField id="139" name="total_currently_positive_per_100k" tableColumnId="94"/>
      <queryTableField id="140" name="deaths_per_100k" tableColumnId="95"/>
      <queryTableField id="141" name="released" tableColumnId="96"/>
      <queryTableField id="142" name="ncumul_ICU_intub" tableColumnId="97"/>
      <queryTableField id="143" name="deaths" tableColumnId="98"/>
      <queryTableField id="144" name="intensive_care" tableColumnId="99"/>
      <queryTableField id="145" name="ncumul_vent" tableColumnId="100"/>
      <queryTableField id="146" name="ncumul_confirmed_non_resident" tableColumnId="101"/>
      <queryTableField id="147" name="current_hosp_non_resident" tableColumnId="102"/>
      <queryTableField id="148" name="TotalPosTests1" tableColumnId="103"/>
      <queryTableField id="149" name="ninst_ICU_intub" tableColumnId="104"/>
      <queryTableField id="150" name="ncumul_ICF" tableColumnId="105"/>
      <queryTableField id="151" name="new_positive_cases" tableColumnId="106"/>
      <queryTableField id="152" name="new_deaths" tableColumnId="107"/>
      <queryTableField id="153" name="doubling_time_total_positive" tableColumnId="108"/>
      <queryTableField id="154" name="doubling_time_fatalities" tableColumnId="109"/>
      <queryTableField id="155" name="source" tableColumnId="110"/>
      <queryTableField id="9" name="Column1" tableColumnId="9"/>
      <queryTableField id="156" name="_1" tableColumnId="1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3" refreshOnLoad="1" connectionId="1" xr16:uid="{AC1EAA3D-4C8D-499A-AE89-A9F308A45198}" autoFormatId="16" applyNumberFormats="0" applyBorderFormats="0" applyFontFormats="0" applyPatternFormats="0" applyAlignmentFormats="0" applyWidthHeightFormats="0">
  <queryTableRefresh nextId="12">
    <queryTableFields count="11">
      <queryTableField id="1" name="date" tableColumnId="1"/>
      <queryTableField id="2" name="time" tableColumnId="2"/>
      <queryTableField id="3" name="abbreviation_canton_and_fl" tableColumnId="3"/>
      <queryTableField id="4" name="ncumul_tested" tableColumnId="4"/>
      <queryTableField id="5" name="ncumul_conf" tableColumnId="5"/>
      <queryTableField id="6" name="ncumul_hosp" tableColumnId="6"/>
      <queryTableField id="7" name="ncumul_ICU" tableColumnId="7"/>
      <queryTableField id="8" name="ncumul_vent" tableColumnId="8"/>
      <queryTableField id="9" name="ncumul_released" tableColumnId="9"/>
      <queryTableField id="10" name="ncumul_deceased" tableColumnId="10"/>
      <queryTableField id="11" name="source" tableColumnId="1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A882C33-FAD2-430F-868D-2C92D3ED5D09}" name="dd_covid19_openzh_switzerland_latest" displayName="dd_covid19_openzh_switzerland_latest" ref="A1:R65" tableType="queryTable" totalsRowShown="0">
  <autoFilter ref="A1:R65" xr:uid="{6F225EC8-7A7D-4B80-86A4-6825D487A60A}"/>
  <tableColumns count="18">
    <tableColumn id="1" xr3:uid="{6A0F9E37-4397-4ADD-8579-65A87BF278C6}" uniqueName="1" name="date" queryTableFieldId="1" dataDxfId="17"/>
    <tableColumn id="2" xr3:uid="{78ED2279-E7E4-4383-97AD-DD81455353CB}" uniqueName="2" name="last_update" queryTableFieldId="2" dataDxfId="16"/>
    <tableColumn id="3" xr3:uid="{7330173D-7C78-4290-B0C6-D6DF398A317F}" uniqueName="3" name="country" queryTableFieldId="3" dataDxfId="15"/>
    <tableColumn id="4" xr3:uid="{65EE738C-5483-4B69-B874-72F1C792909F}" uniqueName="4" name="intensive_care" queryTableFieldId="4"/>
    <tableColumn id="5" xr3:uid="{E85055BB-8DC4-4122-A8D6-678E0DF46381}" uniqueName="5" name="total_hospitalized" queryTableFieldId="5"/>
    <tableColumn id="6" xr3:uid="{F28B9E35-6CBB-4856-9FE5-9E1EE2E5A5DF}" uniqueName="6" name="total_currently_positive" queryTableFieldId="6"/>
    <tableColumn id="7" xr3:uid="{9822154C-FBDD-48C8-9E55-A1ED6BCF3FDE}" uniqueName="7" name="total_positive" queryTableFieldId="7"/>
    <tableColumn id="8" xr3:uid="{8099F923-302D-471D-91F1-B84EC5D10EFD}" uniqueName="8" name="tests_performed" queryTableFieldId="8"/>
    <tableColumn id="9" xr3:uid="{5D6DFCAF-B0B0-4BA5-A431-87E623F0D502}" uniqueName="9" name="released" queryTableFieldId="9"/>
    <tableColumn id="10" xr3:uid="{12870F4D-C81E-4917-BBA5-C836CEA08DCB}" uniqueName="10" name="deaths" queryTableFieldId="10"/>
    <tableColumn id="11" xr3:uid="{DED131D7-F154-419D-8ABA-D92225E873A1}" uniqueName="11" name="home_confinment" queryTableFieldId="11"/>
    <tableColumn id="12" xr3:uid="{4B032FCD-B91A-4DD1-A09E-E9D6111B560B}" uniqueName="12" name="new_positive" queryTableFieldId="12"/>
    <tableColumn id="13" xr3:uid="{B66CE066-035E-41EC-9268-2A380BD56CDF}" uniqueName="13" name="old_positive" queryTableFieldId="13"/>
    <tableColumn id="14" xr3:uid="{726933BE-EDE9-4F94-8888-164DCFF0C153}" uniqueName="14" name="hospitalized_with_symptoms" queryTableFieldId="14"/>
    <tableColumn id="15" xr3:uid="{280259FB-A44C-493B-827A-B68AABDD4BFA}" uniqueName="15" name="new_deaths" queryTableFieldId="15"/>
    <tableColumn id="16" xr3:uid="{52E76B6F-A8F7-41E3-94DF-6C07AA5CAA27}" uniqueName="16" name="old_deaths" queryTableFieldId="16"/>
    <tableColumn id="17" xr3:uid="{F4693FD1-D18C-480B-9D33-06EA268931A4}" uniqueName="17" name="doubling_time_total_positive" queryTableFieldId="17"/>
    <tableColumn id="18" xr3:uid="{FCB445B2-F893-437A-B1E2-729C98EC9BA1}" uniqueName="18" name="doubling_time_fatalities" queryTableField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9D276E7-8478-4C20-BB6E-1453F0C8D54E}" name="dd_covid19_openzh_cantons_latest" displayName="dd_covid19_openzh_cantons_latest" ref="A1:AF28" tableType="queryTable" totalsRowShown="0">
  <autoFilter ref="A1:AF28" xr:uid="{89752692-E394-464C-BA07-8219685F2E97}"/>
  <tableColumns count="32">
    <tableColumn id="81" xr3:uid="{BD7551A6-2E54-4A0A-A512-844547126CE6}" uniqueName="81" name="last_update" queryTableFieldId="126" dataDxfId="14"/>
    <tableColumn id="82" xr3:uid="{169E8657-81D9-4121-B1E0-967EF19D08C7}" uniqueName="82" name="timestamp" queryTableFieldId="127" dataDxfId="13"/>
    <tableColumn id="83" xr3:uid="{C2548048-DA88-48AB-8D0C-7E1C32ECCEA0}" uniqueName="83" name="country" queryTableFieldId="128" dataDxfId="12"/>
    <tableColumn id="84" xr3:uid="{1962423F-2331-4CF9-B64C-90C443B6F96B}" uniqueName="84" name="abbreviation_canton" queryTableFieldId="129" dataDxfId="11"/>
    <tableColumn id="85" xr3:uid="{D933CDEF-19CE-425E-875D-93AB1A918087}" uniqueName="85" name="name_canton" queryTableFieldId="130" dataDxfId="10"/>
    <tableColumn id="86" xr3:uid="{3F8251B9-8DA4-4339-A941-C54073E55C29}" uniqueName="86" name="number_canton" queryTableFieldId="131"/>
    <tableColumn id="87" xr3:uid="{3ABD4B2E-2F3B-497F-8B32-AE24848FA5D9}" uniqueName="87" name="lat" queryTableFieldId="132"/>
    <tableColumn id="88" xr3:uid="{AC4B13B1-9F39-4494-B9A6-BCE5C12DD752}" uniqueName="88" name="long" queryTableFieldId="133"/>
    <tableColumn id="89" xr3:uid="{C6538C4F-E9E4-486A-94C3-8204FABD9475}" uniqueName="89" name="tests_performed" queryTableFieldId="134"/>
    <tableColumn id="90" xr3:uid="{41D81CB9-DE21-43F8-8FE7-2F8E7B4C26AD}" uniqueName="90" name="total_currently_positive_cases" queryTableFieldId="135"/>
    <tableColumn id="91" xr3:uid="{57E80A67-2982-48CF-A984-DDE62E123930}" uniqueName="91" name="total_positive_cases" queryTableFieldId="136"/>
    <tableColumn id="92" xr3:uid="{7681BB1C-A4EB-47B3-9393-ECAA0CAE0226}" uniqueName="92" name="new_hosp" queryTableFieldId="137"/>
    <tableColumn id="93" xr3:uid="{E9FF1802-B294-4852-80AD-8993F68F207C}" uniqueName="93" name="total_hospitalized" queryTableFieldId="138"/>
    <tableColumn id="94" xr3:uid="{C6CFE750-D3F4-4E46-BD1F-8270F8DC268D}" uniqueName="94" name="total_currently_positive_per_100k" queryTableFieldId="139"/>
    <tableColumn id="95" xr3:uid="{174B2500-501F-45F7-97B5-A65E8C5957C7}" uniqueName="95" name="deaths_per_100k" queryTableFieldId="140"/>
    <tableColumn id="96" xr3:uid="{514D0DAA-4C02-43C5-AB8C-78045220FD81}" uniqueName="96" name="released" queryTableFieldId="141"/>
    <tableColumn id="97" xr3:uid="{1A57C2DC-422E-4B27-8FFF-CB40EB8A7C7F}" uniqueName="97" name="ncumul_ICU_intub" queryTableFieldId="142"/>
    <tableColumn id="98" xr3:uid="{4D1F1B4F-CBE7-45DA-9DA6-3E03DCAE8958}" uniqueName="98" name="deaths" queryTableFieldId="143"/>
    <tableColumn id="99" xr3:uid="{0DB3B02E-03CE-40F4-96B7-14B5202719A0}" uniqueName="99" name="intensive_care" queryTableFieldId="144"/>
    <tableColumn id="100" xr3:uid="{E838FFB4-C39A-4EB6-B048-62D97341CDBE}" uniqueName="100" name="ncumul_vent" queryTableFieldId="145"/>
    <tableColumn id="101" xr3:uid="{F167F275-63C7-4B9F-8F53-129518ED56DD}" uniqueName="101" name="ncumul_confirmed_non_resident" queryTableFieldId="146"/>
    <tableColumn id="102" xr3:uid="{E39886E8-7831-4D4F-9D9A-816746CBFE29}" uniqueName="102" name="current_hosp_non_resident" queryTableFieldId="147" dataDxfId="9"/>
    <tableColumn id="103" xr3:uid="{959026E0-3966-43F3-B12C-F463827AF110}" uniqueName="103" name="TotalPosTests1" queryTableFieldId="148" dataDxfId="8"/>
    <tableColumn id="104" xr3:uid="{20F3D390-DEC6-4518-AF37-2055E2F0F4D3}" uniqueName="104" name="ninst_ICU_intub" queryTableFieldId="149" dataDxfId="7"/>
    <tableColumn id="105" xr3:uid="{1000ABBF-DE10-4DD7-B34D-251727F2D5F5}" uniqueName="105" name="ncumul_ICF" queryTableFieldId="150"/>
    <tableColumn id="106" xr3:uid="{CDA89904-DA80-4895-9355-59E3A0C7C8C4}" uniqueName="106" name="new_positive_cases" queryTableFieldId="151"/>
    <tableColumn id="107" xr3:uid="{4B673FF3-FE26-46F3-B81E-4FDC30571B56}" uniqueName="107" name="new_deaths" queryTableFieldId="152"/>
    <tableColumn id="108" xr3:uid="{B961F8C0-6F21-404B-B0DB-738E91415198}" uniqueName="108" name="doubling_time_total_positive" queryTableFieldId="153"/>
    <tableColumn id="109" xr3:uid="{102C069A-210A-4B72-9DFA-5CF96304D642}" uniqueName="109" name="doubling_time_fatalities" queryTableFieldId="154"/>
    <tableColumn id="110" xr3:uid="{94416B9E-E748-470D-A329-63CC8F663B4E}" uniqueName="110" name="source" queryTableFieldId="155" dataDxfId="6"/>
    <tableColumn id="9" xr3:uid="{3900AD70-572C-48F7-9B7A-CF71ACE86FE6}" uniqueName="9" name="Column1" queryTableFieldId="9" dataDxfId="5"/>
    <tableColumn id="111" xr3:uid="{CE08C0AD-B8FD-4809-A2F5-942C6B821EA9}" uniqueName="111" name="_1" queryTableFieldId="156" dataDxfId="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0EF7269-3ACA-4825-91EE-60142703CE2A}" name="COVID19_Fallzahlen_CH_total" displayName="COVID19_Fallzahlen_CH_total" ref="A1:K1324" tableType="queryTable" totalsRowShown="0">
  <autoFilter ref="A1:K1324" xr:uid="{A5098CA2-967B-441C-9EBC-5C26E6F395B9}"/>
  <tableColumns count="11">
    <tableColumn id="1" xr3:uid="{57B39077-80BD-49E0-86C0-9242464DEFFD}" uniqueName="1" name="date" queryTableFieldId="1" dataDxfId="3"/>
    <tableColumn id="2" xr3:uid="{BA3D136C-8AFA-4319-B6DD-BCCE1BD1CBD2}" uniqueName="2" name="time" queryTableFieldId="2" dataDxfId="2"/>
    <tableColumn id="3" xr3:uid="{BBB9F675-2771-422C-9642-4C61E4DE5CCF}" uniqueName="3" name="abbreviation_canton_and_fl" queryTableFieldId="3" dataDxfId="1"/>
    <tableColumn id="4" xr3:uid="{1E010AD2-8812-4614-8A81-1F6970C8DAAD}" uniqueName="4" name="ncumul_tested" queryTableFieldId="4"/>
    <tableColumn id="5" xr3:uid="{E39472B2-A399-4842-943C-9420DEFF0ABE}" uniqueName="5" name="ncumul_conf" queryTableFieldId="5"/>
    <tableColumn id="6" xr3:uid="{6505E105-FC90-4BB3-8DCD-01B96CE3D305}" uniqueName="6" name="ncumul_hosp" queryTableFieldId="6"/>
    <tableColumn id="7" xr3:uid="{C01CB3EE-BB7C-4BE9-B4C9-D6A006A22116}" uniqueName="7" name="ncumul_ICU" queryTableFieldId="7"/>
    <tableColumn id="8" xr3:uid="{6EE9CB04-706D-4177-85EB-40C540BC6343}" uniqueName="8" name="ncumul_vent" queryTableFieldId="8"/>
    <tableColumn id="9" xr3:uid="{846085B2-E34F-45C4-8B31-B0391C2CEB5B}" uniqueName="9" name="ncumul_released" queryTableFieldId="9"/>
    <tableColumn id="10" xr3:uid="{1B4F757D-8DCD-4E74-97D5-428B1D870722}" uniqueName="10" name="ncumul_deceased" queryTableFieldId="10"/>
    <tableColumn id="11" xr3:uid="{8BCC6226-31A8-4A2B-BC80-FC261295931D}" uniqueName="11" name="source" queryTableFieldId="11" dataDxfId="0"/>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Benutzerdefiniert 2">
      <a:dk1>
        <a:sysClr val="windowText" lastClr="000000"/>
      </a:dk1>
      <a:lt1>
        <a:sysClr val="window" lastClr="FFFFFF"/>
      </a:lt1>
      <a:dk2>
        <a:srgbClr val="44546A"/>
      </a:dk2>
      <a:lt2>
        <a:srgbClr val="E7E6E6"/>
      </a:lt2>
      <a:accent1>
        <a:srgbClr val="FF0000"/>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97928-E11F-42B8-93C5-81F9E82AEF25}">
  <sheetPr codeName="Tabelle5"/>
  <dimension ref="A1:G6"/>
  <sheetViews>
    <sheetView zoomScale="90" zoomScaleNormal="90" workbookViewId="0">
      <pane ySplit="1" topLeftCell="A23" activePane="bottomLeft" state="frozen"/>
      <selection pane="bottomLeft" activeCell="G38" sqref="G38"/>
    </sheetView>
  </sheetViews>
  <sheetFormatPr baseColWidth="10" defaultColWidth="40.6328125" defaultRowHeight="14.5"/>
  <cols>
    <col min="1" max="16384" width="40.6328125" style="13"/>
  </cols>
  <sheetData>
    <row r="1" spans="1:7" s="28" customFormat="1" ht="20" customHeight="1">
      <c r="A1" s="50" t="s">
        <v>401</v>
      </c>
      <c r="B1" s="50"/>
      <c r="C1" s="50"/>
      <c r="D1" s="50"/>
      <c r="E1" s="50"/>
      <c r="F1" s="50"/>
      <c r="G1" s="27"/>
    </row>
    <row r="2" spans="1:7" s="41" customFormat="1">
      <c r="A2" s="35" t="s">
        <v>305</v>
      </c>
      <c r="B2" s="36" t="s">
        <v>306</v>
      </c>
      <c r="C2" s="37" t="s">
        <v>307</v>
      </c>
      <c r="D2" s="38" t="s">
        <v>308</v>
      </c>
      <c r="E2" s="39" t="s">
        <v>309</v>
      </c>
      <c r="F2" s="40" t="s">
        <v>399</v>
      </c>
      <c r="G2" s="27"/>
    </row>
    <row r="3" spans="1:7" s="27" customFormat="1" ht="46">
      <c r="A3" s="29">
        <f>analyse!$B$2</f>
        <v>28995</v>
      </c>
      <c r="B3" s="30">
        <f>INDEX(ch_latest!E1:'ch_latest'!E213,COUNTA(ch_latest!E1:'ch_latest'!E213))</f>
        <v>1207</v>
      </c>
      <c r="C3" s="31">
        <f>MAX(ch_latest!J:J)</f>
        <v>1666</v>
      </c>
      <c r="D3" s="32">
        <f>pivot_1!$D$70</f>
        <v>1655</v>
      </c>
      <c r="E3" s="33">
        <f>analyse!$C$5</f>
        <v>199.24013299999999</v>
      </c>
      <c r="F3" s="34">
        <f>analyse!$B$12</f>
        <v>43949</v>
      </c>
    </row>
    <row r="4" spans="1:7" ht="31">
      <c r="A4" s="14">
        <f>analyse!B5</f>
        <v>1</v>
      </c>
      <c r="B4" s="15"/>
      <c r="C4" s="25">
        <f>INDEX(ch_latest!O1:'ch_latest'!O213,COUNTA(ch_latest!O1:'ch_latest'!O213))</f>
        <v>11</v>
      </c>
      <c r="D4" s="16"/>
      <c r="E4" s="17"/>
      <c r="F4" s="26">
        <f>analyse!$C$12</f>
        <v>43949.294120370374</v>
      </c>
      <c r="G4" s="27"/>
    </row>
    <row r="6" spans="1:7">
      <c r="G6" s="27"/>
    </row>
  </sheetData>
  <sheetProtection formatCells="0" formatColumns="0" formatRows="0" insertColumns="0" insertRows="0" insertHyperlinks="0" deleteColumns="0" deleteRows="0" sort="0" autoFilter="0" pivotTables="0"/>
  <mergeCells count="1">
    <mergeCell ref="A1:F1"/>
  </mergeCells>
  <pageMargins left="0.7" right="0.7" top="0.78740157499999996" bottom="0.78740157499999996" header="0.3" footer="0.3"/>
  <pageSetup paperSize="9" scale="49" orientation="landscape" verticalDpi="0" r:id="rId1"/>
  <colBreaks count="1" manualBreakCount="1">
    <brk id="6" min="1" max="64"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B5A1-8A24-42CB-B6DA-0AE728360B4E}">
  <sheetPr codeName="Tabelle1"/>
  <dimension ref="A1:R65"/>
  <sheetViews>
    <sheetView tabSelected="1" workbookViewId="0">
      <selection activeCell="H9" sqref="H9"/>
    </sheetView>
  </sheetViews>
  <sheetFormatPr baseColWidth="10" defaultRowHeight="14.5"/>
  <cols>
    <col min="1" max="1" width="9.90625" bestFit="1" customWidth="1"/>
    <col min="2" max="2" width="14.90625" bestFit="1" customWidth="1"/>
    <col min="3" max="3" width="9.54296875" bestFit="1" customWidth="1"/>
    <col min="4" max="4" width="15.1796875" bestFit="1" customWidth="1"/>
    <col min="5" max="5" width="18.26953125" bestFit="1" customWidth="1"/>
    <col min="6" max="6" width="23.36328125" bestFit="1" customWidth="1"/>
    <col min="7" max="7" width="14.6328125" bestFit="1" customWidth="1"/>
    <col min="8" max="8" width="17.1796875" bestFit="1" customWidth="1"/>
    <col min="9" max="9" width="10.1796875" bestFit="1" customWidth="1"/>
    <col min="10" max="10" width="8.81640625" bestFit="1" customWidth="1"/>
    <col min="11" max="11" width="18.6328125" bestFit="1" customWidth="1"/>
    <col min="12" max="12" width="14.1796875" bestFit="1" customWidth="1"/>
    <col min="13" max="13" width="13.26953125" bestFit="1" customWidth="1"/>
    <col min="14" max="14" width="27.81640625" bestFit="1" customWidth="1"/>
    <col min="15" max="15" width="13.36328125" bestFit="1" customWidth="1"/>
    <col min="16" max="16" width="12.453125" bestFit="1" customWidth="1"/>
    <col min="17" max="17" width="27.90625" bestFit="1" customWidth="1"/>
    <col min="18" max="18" width="23.6328125" bestFit="1" customWidth="1"/>
  </cols>
  <sheetData>
    <row r="1" spans="1:18">
      <c r="A1" t="s">
        <v>0</v>
      </c>
      <c r="B1" t="s">
        <v>1</v>
      </c>
      <c r="C1" t="s">
        <v>2</v>
      </c>
      <c r="D1" t="s">
        <v>11</v>
      </c>
      <c r="E1" t="s">
        <v>9</v>
      </c>
      <c r="F1" t="s">
        <v>4</v>
      </c>
      <c r="G1" t="s">
        <v>5</v>
      </c>
      <c r="H1" t="s">
        <v>3</v>
      </c>
      <c r="I1" t="s">
        <v>12</v>
      </c>
      <c r="J1" t="s">
        <v>13</v>
      </c>
      <c r="K1" t="s">
        <v>8</v>
      </c>
      <c r="L1" t="s">
        <v>6</v>
      </c>
      <c r="M1" t="s">
        <v>7</v>
      </c>
      <c r="N1" t="s">
        <v>10</v>
      </c>
      <c r="O1" t="s">
        <v>373</v>
      </c>
      <c r="P1" t="s">
        <v>374</v>
      </c>
      <c r="Q1" t="s">
        <v>14</v>
      </c>
      <c r="R1" t="s">
        <v>15</v>
      </c>
    </row>
    <row r="2" spans="1:18">
      <c r="A2" s="2">
        <v>43886</v>
      </c>
      <c r="B2" s="3">
        <v>43949.294120370374</v>
      </c>
      <c r="C2" s="1" t="s">
        <v>16</v>
      </c>
      <c r="D2">
        <v>0</v>
      </c>
      <c r="E2">
        <v>0</v>
      </c>
      <c r="F2">
        <v>1</v>
      </c>
      <c r="G2">
        <v>1</v>
      </c>
      <c r="H2">
        <v>72</v>
      </c>
      <c r="I2">
        <v>0</v>
      </c>
      <c r="J2">
        <v>0</v>
      </c>
      <c r="K2">
        <v>0</v>
      </c>
      <c r="M2">
        <v>0</v>
      </c>
      <c r="N2">
        <v>0</v>
      </c>
      <c r="P2">
        <v>0</v>
      </c>
      <c r="Q2">
        <v>0</v>
      </c>
      <c r="R2">
        <v>0</v>
      </c>
    </row>
    <row r="3" spans="1:18">
      <c r="A3" s="2">
        <v>43887</v>
      </c>
      <c r="B3" s="3">
        <v>43949.294120370374</v>
      </c>
      <c r="C3" s="1" t="s">
        <v>16</v>
      </c>
      <c r="D3">
        <v>0</v>
      </c>
      <c r="E3">
        <v>1</v>
      </c>
      <c r="F3">
        <v>2</v>
      </c>
      <c r="G3">
        <v>2</v>
      </c>
      <c r="H3">
        <v>177</v>
      </c>
      <c r="I3">
        <v>0</v>
      </c>
      <c r="J3">
        <v>0</v>
      </c>
      <c r="K3">
        <v>0</v>
      </c>
      <c r="L3">
        <v>1</v>
      </c>
      <c r="M3">
        <v>1</v>
      </c>
      <c r="N3">
        <v>0</v>
      </c>
      <c r="O3">
        <v>0</v>
      </c>
      <c r="P3">
        <v>0</v>
      </c>
      <c r="Q3">
        <v>0</v>
      </c>
      <c r="R3">
        <v>0</v>
      </c>
    </row>
    <row r="4" spans="1:18">
      <c r="A4" s="2">
        <v>43888</v>
      </c>
      <c r="B4" s="3">
        <v>43949.294120370374</v>
      </c>
      <c r="C4" s="1" t="s">
        <v>16</v>
      </c>
      <c r="D4">
        <v>0</v>
      </c>
      <c r="E4">
        <v>2</v>
      </c>
      <c r="F4">
        <v>6</v>
      </c>
      <c r="G4">
        <v>6</v>
      </c>
      <c r="H4">
        <v>328</v>
      </c>
      <c r="I4">
        <v>0</v>
      </c>
      <c r="J4">
        <v>0</v>
      </c>
      <c r="K4">
        <v>0</v>
      </c>
      <c r="L4">
        <v>4</v>
      </c>
      <c r="M4">
        <v>2</v>
      </c>
      <c r="N4">
        <v>0</v>
      </c>
      <c r="O4">
        <v>0</v>
      </c>
      <c r="P4">
        <v>0</v>
      </c>
      <c r="Q4">
        <v>0</v>
      </c>
      <c r="R4">
        <v>0</v>
      </c>
    </row>
    <row r="5" spans="1:18">
      <c r="A5" s="2">
        <v>43889</v>
      </c>
      <c r="B5" s="3">
        <v>43949.294120370374</v>
      </c>
      <c r="C5" s="1" t="s">
        <v>16</v>
      </c>
      <c r="D5">
        <v>0</v>
      </c>
      <c r="E5">
        <v>12</v>
      </c>
      <c r="F5">
        <v>13</v>
      </c>
      <c r="G5">
        <v>13</v>
      </c>
      <c r="H5">
        <v>535</v>
      </c>
      <c r="I5">
        <v>0</v>
      </c>
      <c r="J5">
        <v>0</v>
      </c>
      <c r="K5">
        <v>0</v>
      </c>
      <c r="L5">
        <v>7</v>
      </c>
      <c r="M5">
        <v>6</v>
      </c>
      <c r="N5">
        <v>0</v>
      </c>
      <c r="O5">
        <v>0</v>
      </c>
      <c r="P5">
        <v>0</v>
      </c>
      <c r="Q5">
        <v>0</v>
      </c>
      <c r="R5">
        <v>0</v>
      </c>
    </row>
    <row r="6" spans="1:18">
      <c r="A6" s="2">
        <v>43890</v>
      </c>
      <c r="B6" s="3">
        <v>43949.294120370374</v>
      </c>
      <c r="C6" s="1" t="s">
        <v>16</v>
      </c>
      <c r="D6">
        <v>0</v>
      </c>
      <c r="E6">
        <v>14</v>
      </c>
      <c r="F6">
        <v>20</v>
      </c>
      <c r="G6">
        <v>20</v>
      </c>
      <c r="H6">
        <v>675</v>
      </c>
      <c r="I6">
        <v>0</v>
      </c>
      <c r="J6">
        <v>0</v>
      </c>
      <c r="K6">
        <v>0</v>
      </c>
      <c r="L6">
        <v>7</v>
      </c>
      <c r="M6">
        <v>13</v>
      </c>
      <c r="N6">
        <v>0</v>
      </c>
      <c r="O6">
        <v>0</v>
      </c>
      <c r="P6">
        <v>0</v>
      </c>
      <c r="Q6">
        <v>0</v>
      </c>
      <c r="R6">
        <v>0</v>
      </c>
    </row>
    <row r="7" spans="1:18">
      <c r="A7" s="2">
        <v>43891</v>
      </c>
      <c r="B7" s="3">
        <v>43949.294120370374</v>
      </c>
      <c r="C7" s="1" t="s">
        <v>16</v>
      </c>
      <c r="D7">
        <v>0</v>
      </c>
      <c r="E7">
        <v>15</v>
      </c>
      <c r="F7">
        <v>27</v>
      </c>
      <c r="G7">
        <v>27</v>
      </c>
      <c r="H7">
        <v>811</v>
      </c>
      <c r="I7">
        <v>0</v>
      </c>
      <c r="J7">
        <v>0</v>
      </c>
      <c r="K7">
        <v>0</v>
      </c>
      <c r="L7">
        <v>7</v>
      </c>
      <c r="M7">
        <v>20</v>
      </c>
      <c r="N7">
        <v>0</v>
      </c>
      <c r="O7">
        <v>0</v>
      </c>
      <c r="P7">
        <v>0</v>
      </c>
      <c r="Q7">
        <v>1.05155</v>
      </c>
      <c r="R7">
        <v>0</v>
      </c>
    </row>
    <row r="8" spans="1:18">
      <c r="A8" s="2">
        <v>43892</v>
      </c>
      <c r="B8" s="3">
        <v>43949.294120370374</v>
      </c>
      <c r="C8" s="1" t="s">
        <v>16</v>
      </c>
      <c r="D8">
        <v>0</v>
      </c>
      <c r="E8">
        <v>21</v>
      </c>
      <c r="F8">
        <v>37</v>
      </c>
      <c r="G8">
        <v>37</v>
      </c>
      <c r="H8">
        <v>1133</v>
      </c>
      <c r="I8">
        <v>0</v>
      </c>
      <c r="J8">
        <v>0</v>
      </c>
      <c r="K8">
        <v>0</v>
      </c>
      <c r="L8">
        <v>10</v>
      </c>
      <c r="M8">
        <v>27</v>
      </c>
      <c r="N8">
        <v>0</v>
      </c>
      <c r="O8">
        <v>0</v>
      </c>
      <c r="P8">
        <v>0</v>
      </c>
      <c r="Q8">
        <v>1.1878029999999999</v>
      </c>
      <c r="R8">
        <v>0</v>
      </c>
    </row>
    <row r="9" spans="1:18">
      <c r="A9" s="2">
        <v>43893</v>
      </c>
      <c r="B9" s="3">
        <v>43949.294120370374</v>
      </c>
      <c r="C9" s="1" t="s">
        <v>16</v>
      </c>
      <c r="D9">
        <v>0</v>
      </c>
      <c r="E9">
        <v>26</v>
      </c>
      <c r="F9">
        <v>54</v>
      </c>
      <c r="G9">
        <v>54</v>
      </c>
      <c r="H9">
        <v>1254</v>
      </c>
      <c r="I9">
        <v>0</v>
      </c>
      <c r="J9">
        <v>0</v>
      </c>
      <c r="K9">
        <v>0</v>
      </c>
      <c r="L9">
        <v>17</v>
      </c>
      <c r="M9">
        <v>37</v>
      </c>
      <c r="N9">
        <v>0</v>
      </c>
      <c r="O9">
        <v>0</v>
      </c>
      <c r="P9">
        <v>0</v>
      </c>
      <c r="Q9">
        <v>1.5773239999999999</v>
      </c>
      <c r="R9">
        <v>0</v>
      </c>
    </row>
    <row r="10" spans="1:18">
      <c r="A10" s="2">
        <v>43894</v>
      </c>
      <c r="B10" s="3">
        <v>43949.294120370374</v>
      </c>
      <c r="C10" s="1" t="s">
        <v>16</v>
      </c>
      <c r="D10">
        <v>1</v>
      </c>
      <c r="E10">
        <v>34</v>
      </c>
      <c r="F10">
        <v>74</v>
      </c>
      <c r="G10">
        <v>74</v>
      </c>
      <c r="H10">
        <v>1365</v>
      </c>
      <c r="I10">
        <v>0</v>
      </c>
      <c r="J10">
        <v>0</v>
      </c>
      <c r="K10">
        <v>0</v>
      </c>
      <c r="L10">
        <v>20</v>
      </c>
      <c r="M10">
        <v>54</v>
      </c>
      <c r="N10">
        <v>0</v>
      </c>
      <c r="O10">
        <v>0</v>
      </c>
      <c r="P10">
        <v>0</v>
      </c>
      <c r="Q10">
        <v>1.992815</v>
      </c>
      <c r="R10">
        <v>0</v>
      </c>
    </row>
    <row r="11" spans="1:18">
      <c r="A11" s="2">
        <v>43895</v>
      </c>
      <c r="B11" s="3">
        <v>43949.294120370374</v>
      </c>
      <c r="C11" s="1" t="s">
        <v>16</v>
      </c>
      <c r="D11">
        <v>1</v>
      </c>
      <c r="E11">
        <v>38</v>
      </c>
      <c r="F11">
        <v>118</v>
      </c>
      <c r="G11">
        <v>118</v>
      </c>
      <c r="H11">
        <v>1432</v>
      </c>
      <c r="I11">
        <v>0</v>
      </c>
      <c r="J11">
        <v>0</v>
      </c>
      <c r="K11">
        <v>0</v>
      </c>
      <c r="L11">
        <v>44</v>
      </c>
      <c r="M11">
        <v>74</v>
      </c>
      <c r="N11">
        <v>0</v>
      </c>
      <c r="O11">
        <v>0</v>
      </c>
      <c r="P11">
        <v>0</v>
      </c>
      <c r="Q11">
        <v>1.95258</v>
      </c>
      <c r="R11">
        <v>0</v>
      </c>
    </row>
    <row r="12" spans="1:18">
      <c r="A12" s="2">
        <v>43896</v>
      </c>
      <c r="B12" s="3">
        <v>43949.294120370374</v>
      </c>
      <c r="C12" s="1" t="s">
        <v>16</v>
      </c>
      <c r="D12">
        <v>4</v>
      </c>
      <c r="E12">
        <v>46</v>
      </c>
      <c r="F12">
        <v>183</v>
      </c>
      <c r="G12">
        <v>183</v>
      </c>
      <c r="H12">
        <v>1534</v>
      </c>
      <c r="I12">
        <v>1</v>
      </c>
      <c r="J12">
        <v>1</v>
      </c>
      <c r="K12">
        <v>0</v>
      </c>
      <c r="L12">
        <v>65</v>
      </c>
      <c r="M12">
        <v>118</v>
      </c>
      <c r="N12">
        <v>0</v>
      </c>
      <c r="O12">
        <v>1</v>
      </c>
      <c r="P12">
        <v>0</v>
      </c>
      <c r="Q12">
        <v>1.811061</v>
      </c>
      <c r="R12">
        <v>0</v>
      </c>
    </row>
    <row r="13" spans="1:18">
      <c r="A13" s="2">
        <v>43897</v>
      </c>
      <c r="B13" s="3">
        <v>43949.294120370374</v>
      </c>
      <c r="C13" s="1" t="s">
        <v>16</v>
      </c>
      <c r="D13">
        <v>6</v>
      </c>
      <c r="E13">
        <v>47</v>
      </c>
      <c r="F13">
        <v>255</v>
      </c>
      <c r="G13">
        <v>255</v>
      </c>
      <c r="H13">
        <v>1609</v>
      </c>
      <c r="I13">
        <v>1</v>
      </c>
      <c r="J13">
        <v>1</v>
      </c>
      <c r="K13">
        <v>0</v>
      </c>
      <c r="L13">
        <v>72</v>
      </c>
      <c r="M13">
        <v>183</v>
      </c>
      <c r="N13">
        <v>0</v>
      </c>
      <c r="O13">
        <v>0</v>
      </c>
      <c r="P13">
        <v>1</v>
      </c>
      <c r="Q13">
        <v>1.7953969999999999</v>
      </c>
      <c r="R13">
        <v>0</v>
      </c>
    </row>
    <row r="14" spans="1:18">
      <c r="A14" s="2">
        <v>43898</v>
      </c>
      <c r="B14" s="3">
        <v>43949.294120370374</v>
      </c>
      <c r="C14" s="1" t="s">
        <v>16</v>
      </c>
      <c r="D14">
        <v>6</v>
      </c>
      <c r="E14">
        <v>60</v>
      </c>
      <c r="F14">
        <v>312</v>
      </c>
      <c r="G14">
        <v>312</v>
      </c>
      <c r="H14">
        <v>1676</v>
      </c>
      <c r="I14">
        <v>1</v>
      </c>
      <c r="J14">
        <v>2</v>
      </c>
      <c r="K14">
        <v>0</v>
      </c>
      <c r="L14">
        <v>57</v>
      </c>
      <c r="M14">
        <v>255</v>
      </c>
      <c r="N14">
        <v>0</v>
      </c>
      <c r="O14">
        <v>1</v>
      </c>
      <c r="P14">
        <v>1</v>
      </c>
      <c r="Q14">
        <v>1.9758830000000001</v>
      </c>
      <c r="R14">
        <v>0</v>
      </c>
    </row>
    <row r="15" spans="1:18">
      <c r="A15" s="2">
        <v>43899</v>
      </c>
      <c r="B15" s="3">
        <v>43949.294120370374</v>
      </c>
      <c r="C15" s="1" t="s">
        <v>16</v>
      </c>
      <c r="D15">
        <v>13</v>
      </c>
      <c r="E15">
        <v>73</v>
      </c>
      <c r="F15">
        <v>396</v>
      </c>
      <c r="G15">
        <v>396</v>
      </c>
      <c r="H15">
        <v>1783</v>
      </c>
      <c r="I15">
        <v>3</v>
      </c>
      <c r="J15">
        <v>2</v>
      </c>
      <c r="K15">
        <v>0</v>
      </c>
      <c r="L15">
        <v>84</v>
      </c>
      <c r="M15">
        <v>312</v>
      </c>
      <c r="N15">
        <v>0</v>
      </c>
      <c r="O15">
        <v>0</v>
      </c>
      <c r="P15">
        <v>2</v>
      </c>
      <c r="Q15">
        <v>2.066198</v>
      </c>
      <c r="R15">
        <v>0</v>
      </c>
    </row>
    <row r="16" spans="1:18">
      <c r="A16" s="2">
        <v>43900</v>
      </c>
      <c r="B16" s="3">
        <v>43949.294120370374</v>
      </c>
      <c r="C16" s="1" t="s">
        <v>16</v>
      </c>
      <c r="D16">
        <v>14</v>
      </c>
      <c r="E16">
        <v>101</v>
      </c>
      <c r="F16">
        <v>533</v>
      </c>
      <c r="G16">
        <v>533</v>
      </c>
      <c r="H16">
        <v>1996</v>
      </c>
      <c r="I16">
        <v>7</v>
      </c>
      <c r="J16">
        <v>4</v>
      </c>
      <c r="K16">
        <v>0</v>
      </c>
      <c r="L16">
        <v>137</v>
      </c>
      <c r="M16">
        <v>396</v>
      </c>
      <c r="N16">
        <v>0</v>
      </c>
      <c r="O16">
        <v>2</v>
      </c>
      <c r="P16">
        <v>2</v>
      </c>
      <c r="Q16">
        <v>2.2984819999999999</v>
      </c>
      <c r="R16">
        <v>0</v>
      </c>
    </row>
    <row r="17" spans="1:18">
      <c r="A17" s="2">
        <v>43901</v>
      </c>
      <c r="B17" s="3">
        <v>43949.294120370374</v>
      </c>
      <c r="C17" s="1" t="s">
        <v>16</v>
      </c>
      <c r="D17">
        <v>17</v>
      </c>
      <c r="E17">
        <v>122</v>
      </c>
      <c r="F17">
        <v>704</v>
      </c>
      <c r="G17">
        <v>704</v>
      </c>
      <c r="H17">
        <v>2247</v>
      </c>
      <c r="I17">
        <v>12</v>
      </c>
      <c r="J17">
        <v>5</v>
      </c>
      <c r="K17">
        <v>0</v>
      </c>
      <c r="L17">
        <v>171</v>
      </c>
      <c r="M17">
        <v>533</v>
      </c>
      <c r="N17">
        <v>0</v>
      </c>
      <c r="O17">
        <v>1</v>
      </c>
      <c r="P17">
        <v>4</v>
      </c>
      <c r="Q17">
        <v>2.572371</v>
      </c>
      <c r="R17">
        <v>2.1533829999999998</v>
      </c>
    </row>
    <row r="18" spans="1:18">
      <c r="A18" s="2">
        <v>43902</v>
      </c>
      <c r="B18" s="3">
        <v>43949.294120370374</v>
      </c>
      <c r="C18" s="1" t="s">
        <v>16</v>
      </c>
      <c r="D18">
        <v>18</v>
      </c>
      <c r="E18">
        <v>146</v>
      </c>
      <c r="F18">
        <v>1056</v>
      </c>
      <c r="G18">
        <v>1056</v>
      </c>
      <c r="H18">
        <v>2605</v>
      </c>
      <c r="I18">
        <v>13</v>
      </c>
      <c r="J18">
        <v>9</v>
      </c>
      <c r="K18">
        <v>0</v>
      </c>
      <c r="L18">
        <v>352</v>
      </c>
      <c r="M18">
        <v>704</v>
      </c>
      <c r="N18">
        <v>0</v>
      </c>
      <c r="O18">
        <v>4</v>
      </c>
      <c r="P18">
        <v>5</v>
      </c>
      <c r="Q18">
        <v>2.4389759999999998</v>
      </c>
      <c r="R18">
        <v>1.5773239999999999</v>
      </c>
    </row>
    <row r="19" spans="1:18">
      <c r="A19" s="2">
        <v>43903</v>
      </c>
      <c r="B19" s="3">
        <v>43949.294120370374</v>
      </c>
      <c r="C19" s="1" t="s">
        <v>16</v>
      </c>
      <c r="D19">
        <v>33</v>
      </c>
      <c r="E19">
        <v>238</v>
      </c>
      <c r="F19">
        <v>1408</v>
      </c>
      <c r="G19">
        <v>1408</v>
      </c>
      <c r="H19">
        <v>3050</v>
      </c>
      <c r="I19">
        <v>13</v>
      </c>
      <c r="J19">
        <v>10</v>
      </c>
      <c r="K19">
        <v>0</v>
      </c>
      <c r="L19">
        <v>352</v>
      </c>
      <c r="M19">
        <v>1056</v>
      </c>
      <c r="N19">
        <v>0</v>
      </c>
      <c r="O19">
        <v>1</v>
      </c>
      <c r="P19">
        <v>9</v>
      </c>
      <c r="Q19">
        <v>2.2998769999999999</v>
      </c>
      <c r="R19">
        <v>2.1533829999999998</v>
      </c>
    </row>
    <row r="20" spans="1:18">
      <c r="A20" s="2">
        <v>43904</v>
      </c>
      <c r="B20" s="3">
        <v>43949.294120370374</v>
      </c>
      <c r="C20" s="1" t="s">
        <v>16</v>
      </c>
      <c r="D20">
        <v>36</v>
      </c>
      <c r="E20">
        <v>263</v>
      </c>
      <c r="F20">
        <v>1743</v>
      </c>
      <c r="G20">
        <v>1743</v>
      </c>
      <c r="H20">
        <v>3675</v>
      </c>
      <c r="I20">
        <v>13</v>
      </c>
      <c r="J20">
        <v>13</v>
      </c>
      <c r="K20">
        <v>0</v>
      </c>
      <c r="L20">
        <v>335</v>
      </c>
      <c r="M20">
        <v>1408</v>
      </c>
      <c r="N20">
        <v>0</v>
      </c>
      <c r="O20">
        <v>3</v>
      </c>
      <c r="P20">
        <v>10</v>
      </c>
      <c r="Q20">
        <v>2.3386339999999999</v>
      </c>
      <c r="R20">
        <v>1.85155</v>
      </c>
    </row>
    <row r="21" spans="1:18">
      <c r="A21" s="2">
        <v>43905</v>
      </c>
      <c r="B21" s="3">
        <v>43949.294120370374</v>
      </c>
      <c r="C21" s="1" t="s">
        <v>16</v>
      </c>
      <c r="D21">
        <v>40</v>
      </c>
      <c r="E21">
        <v>287</v>
      </c>
      <c r="F21">
        <v>2022</v>
      </c>
      <c r="G21">
        <v>2022</v>
      </c>
      <c r="H21">
        <v>4078</v>
      </c>
      <c r="I21">
        <v>16</v>
      </c>
      <c r="J21">
        <v>21</v>
      </c>
      <c r="K21">
        <v>0</v>
      </c>
      <c r="L21">
        <v>279</v>
      </c>
      <c r="M21">
        <v>1743</v>
      </c>
      <c r="N21">
        <v>0</v>
      </c>
      <c r="O21">
        <v>8</v>
      </c>
      <c r="P21">
        <v>13</v>
      </c>
      <c r="Q21">
        <v>2.599326</v>
      </c>
      <c r="R21">
        <v>2.0900240000000001</v>
      </c>
    </row>
    <row r="22" spans="1:18">
      <c r="A22" s="2">
        <v>43906</v>
      </c>
      <c r="B22" s="3">
        <v>43949.294120370374</v>
      </c>
      <c r="C22" s="1" t="s">
        <v>16</v>
      </c>
      <c r="D22">
        <v>51</v>
      </c>
      <c r="E22">
        <v>360</v>
      </c>
      <c r="F22">
        <v>2750</v>
      </c>
      <c r="G22">
        <v>2750</v>
      </c>
      <c r="H22">
        <v>4773</v>
      </c>
      <c r="I22">
        <v>17</v>
      </c>
      <c r="J22">
        <v>30</v>
      </c>
      <c r="K22">
        <v>0</v>
      </c>
      <c r="L22">
        <v>728</v>
      </c>
      <c r="M22">
        <v>2022</v>
      </c>
      <c r="N22">
        <v>0</v>
      </c>
      <c r="O22">
        <v>9</v>
      </c>
      <c r="P22">
        <v>21</v>
      </c>
      <c r="Q22">
        <v>2.5435140000000001</v>
      </c>
      <c r="R22">
        <v>1.934264</v>
      </c>
    </row>
    <row r="23" spans="1:18">
      <c r="A23" s="2">
        <v>43907</v>
      </c>
      <c r="B23" s="3">
        <v>43949.294120370374</v>
      </c>
      <c r="C23" s="1" t="s">
        <v>16</v>
      </c>
      <c r="D23">
        <v>65</v>
      </c>
      <c r="E23">
        <v>427</v>
      </c>
      <c r="F23">
        <v>3621</v>
      </c>
      <c r="G23">
        <v>3621</v>
      </c>
      <c r="H23">
        <v>5406</v>
      </c>
      <c r="I23">
        <v>47</v>
      </c>
      <c r="J23">
        <v>37</v>
      </c>
      <c r="K23">
        <v>0</v>
      </c>
      <c r="L23">
        <v>871</v>
      </c>
      <c r="M23">
        <v>2750</v>
      </c>
      <c r="N23">
        <v>0</v>
      </c>
      <c r="O23">
        <v>7</v>
      </c>
      <c r="P23">
        <v>30</v>
      </c>
      <c r="Q23">
        <v>2.8124989999999999</v>
      </c>
      <c r="R23">
        <v>2.4515470000000001</v>
      </c>
    </row>
    <row r="24" spans="1:18">
      <c r="A24" s="2">
        <v>43908</v>
      </c>
      <c r="B24" s="3">
        <v>43949.294120370374</v>
      </c>
      <c r="C24" s="1" t="s">
        <v>16</v>
      </c>
      <c r="D24">
        <v>68</v>
      </c>
      <c r="E24">
        <v>490</v>
      </c>
      <c r="F24">
        <v>4792</v>
      </c>
      <c r="G24">
        <v>4792</v>
      </c>
      <c r="H24">
        <v>6314</v>
      </c>
      <c r="I24">
        <v>65</v>
      </c>
      <c r="J24">
        <v>48</v>
      </c>
      <c r="K24">
        <v>0</v>
      </c>
      <c r="L24">
        <v>1171</v>
      </c>
      <c r="M24">
        <v>3621</v>
      </c>
      <c r="N24">
        <v>0</v>
      </c>
      <c r="O24">
        <v>11</v>
      </c>
      <c r="P24">
        <v>37</v>
      </c>
      <c r="Q24">
        <v>2.8296860000000001</v>
      </c>
      <c r="R24">
        <v>2.2094230000000001</v>
      </c>
    </row>
    <row r="25" spans="1:18">
      <c r="A25" s="2">
        <v>43909</v>
      </c>
      <c r="B25" s="3">
        <v>43949.294120370374</v>
      </c>
      <c r="C25" s="1" t="s">
        <v>16</v>
      </c>
      <c r="D25">
        <v>107</v>
      </c>
      <c r="E25">
        <v>689</v>
      </c>
      <c r="F25">
        <v>5818</v>
      </c>
      <c r="G25">
        <v>5818</v>
      </c>
      <c r="H25">
        <v>6974</v>
      </c>
      <c r="I25">
        <v>73</v>
      </c>
      <c r="J25">
        <v>57</v>
      </c>
      <c r="K25">
        <v>0</v>
      </c>
      <c r="L25">
        <v>1026</v>
      </c>
      <c r="M25">
        <v>4792</v>
      </c>
      <c r="N25">
        <v>0</v>
      </c>
      <c r="O25">
        <v>9</v>
      </c>
      <c r="P25">
        <v>48</v>
      </c>
      <c r="Q25">
        <v>2.8752970000000002</v>
      </c>
      <c r="R25">
        <v>2.3447209999999998</v>
      </c>
    </row>
    <row r="26" spans="1:18">
      <c r="A26" s="2">
        <v>43910</v>
      </c>
      <c r="B26" s="3">
        <v>43949.294120370374</v>
      </c>
      <c r="C26" s="1" t="s">
        <v>16</v>
      </c>
      <c r="D26">
        <v>116</v>
      </c>
      <c r="E26">
        <v>797</v>
      </c>
      <c r="F26">
        <v>6953</v>
      </c>
      <c r="G26">
        <v>6953</v>
      </c>
      <c r="H26">
        <v>7388</v>
      </c>
      <c r="I26">
        <v>77</v>
      </c>
      <c r="J26">
        <v>78</v>
      </c>
      <c r="K26">
        <v>0</v>
      </c>
      <c r="L26">
        <v>1135</v>
      </c>
      <c r="M26">
        <v>5818</v>
      </c>
      <c r="N26">
        <v>0</v>
      </c>
      <c r="O26">
        <v>21</v>
      </c>
      <c r="P26">
        <v>57</v>
      </c>
      <c r="Q26">
        <v>2.8060679999999998</v>
      </c>
      <c r="R26">
        <v>2.6411920000000002</v>
      </c>
    </row>
    <row r="27" spans="1:18">
      <c r="A27" s="2">
        <v>43911</v>
      </c>
      <c r="B27" s="3">
        <v>43949.294120370374</v>
      </c>
      <c r="C27" s="1" t="s">
        <v>16</v>
      </c>
      <c r="D27">
        <v>137</v>
      </c>
      <c r="E27">
        <v>904</v>
      </c>
      <c r="F27">
        <v>7650</v>
      </c>
      <c r="G27">
        <v>7650</v>
      </c>
      <c r="H27">
        <v>7750</v>
      </c>
      <c r="I27">
        <v>91</v>
      </c>
      <c r="J27">
        <v>98</v>
      </c>
      <c r="K27">
        <v>0</v>
      </c>
      <c r="L27">
        <v>697</v>
      </c>
      <c r="M27">
        <v>6953</v>
      </c>
      <c r="N27">
        <v>0</v>
      </c>
      <c r="O27">
        <v>20</v>
      </c>
      <c r="P27">
        <v>78</v>
      </c>
      <c r="Q27">
        <v>3.3874689999999998</v>
      </c>
      <c r="R27">
        <v>2.9277099999999998</v>
      </c>
    </row>
    <row r="28" spans="1:18">
      <c r="A28" s="2">
        <v>43912</v>
      </c>
      <c r="B28" s="3">
        <v>43949.294120370374</v>
      </c>
      <c r="C28" s="1" t="s">
        <v>16</v>
      </c>
      <c r="D28">
        <v>168</v>
      </c>
      <c r="E28">
        <v>1090</v>
      </c>
      <c r="F28">
        <v>8219</v>
      </c>
      <c r="G28">
        <v>8219</v>
      </c>
      <c r="H28">
        <v>7985</v>
      </c>
      <c r="I28">
        <v>107</v>
      </c>
      <c r="J28">
        <v>113</v>
      </c>
      <c r="K28">
        <v>0</v>
      </c>
      <c r="L28">
        <v>569</v>
      </c>
      <c r="M28">
        <v>7650</v>
      </c>
      <c r="N28">
        <v>0</v>
      </c>
      <c r="O28">
        <v>15</v>
      </c>
      <c r="P28">
        <v>98</v>
      </c>
      <c r="Q28">
        <v>4.2280629999999997</v>
      </c>
      <c r="R28">
        <v>3.1041910000000001</v>
      </c>
    </row>
    <row r="29" spans="1:18">
      <c r="A29" s="2">
        <v>43913</v>
      </c>
      <c r="B29" s="3">
        <v>43949.294120370374</v>
      </c>
      <c r="C29" s="1" t="s">
        <v>16</v>
      </c>
      <c r="D29">
        <v>202</v>
      </c>
      <c r="E29">
        <v>1207</v>
      </c>
      <c r="F29">
        <v>9779</v>
      </c>
      <c r="G29">
        <v>9779</v>
      </c>
      <c r="H29">
        <v>8363</v>
      </c>
      <c r="I29">
        <v>127</v>
      </c>
      <c r="J29">
        <v>143</v>
      </c>
      <c r="K29">
        <v>0</v>
      </c>
      <c r="L29">
        <v>1560</v>
      </c>
      <c r="M29">
        <v>8219</v>
      </c>
      <c r="N29">
        <v>0</v>
      </c>
      <c r="O29">
        <v>30</v>
      </c>
      <c r="P29">
        <v>113</v>
      </c>
      <c r="Q29">
        <v>4.8588079999999998</v>
      </c>
      <c r="R29">
        <v>3.1747869999999998</v>
      </c>
    </row>
    <row r="30" spans="1:18">
      <c r="A30" s="2">
        <v>43914</v>
      </c>
      <c r="B30" s="3">
        <v>43949.294120370374</v>
      </c>
      <c r="C30" s="1" t="s">
        <v>16</v>
      </c>
      <c r="D30">
        <v>204</v>
      </c>
      <c r="E30">
        <v>1364</v>
      </c>
      <c r="F30">
        <v>10850</v>
      </c>
      <c r="G30">
        <v>10850</v>
      </c>
      <c r="H30">
        <v>8706</v>
      </c>
      <c r="I30">
        <v>279</v>
      </c>
      <c r="J30">
        <v>165</v>
      </c>
      <c r="K30">
        <v>0</v>
      </c>
      <c r="L30">
        <v>1071</v>
      </c>
      <c r="M30">
        <v>9779</v>
      </c>
      <c r="N30">
        <v>0</v>
      </c>
      <c r="O30">
        <v>22</v>
      </c>
      <c r="P30">
        <v>143</v>
      </c>
      <c r="Q30">
        <v>5.5611179999999996</v>
      </c>
      <c r="R30">
        <v>3.260659</v>
      </c>
    </row>
    <row r="31" spans="1:18">
      <c r="A31" s="2">
        <v>43915</v>
      </c>
      <c r="B31" s="3">
        <v>43949.294120370374</v>
      </c>
      <c r="C31" s="1" t="s">
        <v>16</v>
      </c>
      <c r="D31">
        <v>239</v>
      </c>
      <c r="E31">
        <v>1465</v>
      </c>
      <c r="F31">
        <v>11944</v>
      </c>
      <c r="G31">
        <v>11944</v>
      </c>
      <c r="H31">
        <v>9111</v>
      </c>
      <c r="I31">
        <v>333</v>
      </c>
      <c r="J31">
        <v>200</v>
      </c>
      <c r="K31">
        <v>0</v>
      </c>
      <c r="L31">
        <v>1094</v>
      </c>
      <c r="M31">
        <v>10850</v>
      </c>
      <c r="N31">
        <v>0</v>
      </c>
      <c r="O31">
        <v>35</v>
      </c>
      <c r="P31">
        <v>165</v>
      </c>
      <c r="Q31">
        <v>6.4055049999999998</v>
      </c>
      <c r="R31">
        <v>3.6806549999999998</v>
      </c>
    </row>
    <row r="32" spans="1:18">
      <c r="A32" s="2">
        <v>43916</v>
      </c>
      <c r="B32" s="3">
        <v>43949.294120370374</v>
      </c>
      <c r="C32" s="1" t="s">
        <v>16</v>
      </c>
      <c r="D32">
        <v>268</v>
      </c>
      <c r="E32">
        <v>1611</v>
      </c>
      <c r="F32">
        <v>13083</v>
      </c>
      <c r="G32">
        <v>13083</v>
      </c>
      <c r="H32">
        <v>10418</v>
      </c>
      <c r="I32">
        <v>412</v>
      </c>
      <c r="J32">
        <v>246</v>
      </c>
      <c r="K32">
        <v>0</v>
      </c>
      <c r="L32">
        <v>1139</v>
      </c>
      <c r="M32">
        <v>11944</v>
      </c>
      <c r="N32">
        <v>0</v>
      </c>
      <c r="O32">
        <v>46</v>
      </c>
      <c r="P32">
        <v>200</v>
      </c>
      <c r="Q32">
        <v>6.4585990000000004</v>
      </c>
      <c r="R32">
        <v>3.7656139999999998</v>
      </c>
    </row>
    <row r="33" spans="1:18">
      <c r="A33" s="2">
        <v>43917</v>
      </c>
      <c r="B33" s="3">
        <v>43949.294120370374</v>
      </c>
      <c r="C33" s="1" t="s">
        <v>16</v>
      </c>
      <c r="D33">
        <v>292</v>
      </c>
      <c r="E33">
        <v>1793</v>
      </c>
      <c r="F33">
        <v>14391</v>
      </c>
      <c r="G33">
        <v>14391</v>
      </c>
      <c r="H33">
        <v>10808</v>
      </c>
      <c r="I33">
        <v>481</v>
      </c>
      <c r="J33">
        <v>282</v>
      </c>
      <c r="K33">
        <v>0</v>
      </c>
      <c r="L33">
        <v>1308</v>
      </c>
      <c r="M33">
        <v>13083</v>
      </c>
      <c r="N33">
        <v>0</v>
      </c>
      <c r="O33">
        <v>36</v>
      </c>
      <c r="P33">
        <v>246</v>
      </c>
      <c r="Q33">
        <v>6.1871080000000003</v>
      </c>
      <c r="R33">
        <v>3.7896809999999999</v>
      </c>
    </row>
    <row r="34" spans="1:18">
      <c r="A34" s="2">
        <v>43918</v>
      </c>
      <c r="B34" s="3">
        <v>43949.294120370374</v>
      </c>
      <c r="C34" s="1" t="s">
        <v>16</v>
      </c>
      <c r="D34">
        <v>323</v>
      </c>
      <c r="E34">
        <v>1881</v>
      </c>
      <c r="F34">
        <v>15224</v>
      </c>
      <c r="G34">
        <v>15224</v>
      </c>
      <c r="H34">
        <v>11401</v>
      </c>
      <c r="I34">
        <v>551</v>
      </c>
      <c r="J34">
        <v>334</v>
      </c>
      <c r="K34">
        <v>0</v>
      </c>
      <c r="L34">
        <v>833</v>
      </c>
      <c r="M34">
        <v>14391</v>
      </c>
      <c r="N34">
        <v>0</v>
      </c>
      <c r="O34">
        <v>52</v>
      </c>
      <c r="P34">
        <v>282</v>
      </c>
      <c r="Q34">
        <v>7.8297670000000004</v>
      </c>
      <c r="R34">
        <v>4.0855249999999996</v>
      </c>
    </row>
    <row r="35" spans="1:18">
      <c r="A35" s="2">
        <v>43919</v>
      </c>
      <c r="B35" s="3">
        <v>43949.294120370374</v>
      </c>
      <c r="C35" s="1" t="s">
        <v>16</v>
      </c>
      <c r="D35">
        <v>337</v>
      </c>
      <c r="E35">
        <v>1995</v>
      </c>
      <c r="F35">
        <v>15822</v>
      </c>
      <c r="G35">
        <v>15822</v>
      </c>
      <c r="H35">
        <v>11710</v>
      </c>
      <c r="I35">
        <v>601</v>
      </c>
      <c r="J35">
        <v>378</v>
      </c>
      <c r="K35">
        <v>0</v>
      </c>
      <c r="L35">
        <v>598</v>
      </c>
      <c r="M35">
        <v>15224</v>
      </c>
      <c r="N35">
        <v>0</v>
      </c>
      <c r="O35">
        <v>44</v>
      </c>
      <c r="P35">
        <v>334</v>
      </c>
      <c r="Q35">
        <v>9.1871749999999999</v>
      </c>
      <c r="R35">
        <v>4.1808810000000003</v>
      </c>
    </row>
    <row r="36" spans="1:18">
      <c r="A36" s="2">
        <v>43920</v>
      </c>
      <c r="B36" s="3">
        <v>43949.294120370374</v>
      </c>
      <c r="C36" s="1" t="s">
        <v>16</v>
      </c>
      <c r="D36">
        <v>384</v>
      </c>
      <c r="E36">
        <v>2180</v>
      </c>
      <c r="F36">
        <v>16937</v>
      </c>
      <c r="G36">
        <v>16937</v>
      </c>
      <c r="H36">
        <v>12376</v>
      </c>
      <c r="I36">
        <v>716</v>
      </c>
      <c r="J36">
        <v>437</v>
      </c>
      <c r="K36">
        <v>0</v>
      </c>
      <c r="L36">
        <v>1115</v>
      </c>
      <c r="M36">
        <v>15822</v>
      </c>
      <c r="N36">
        <v>0</v>
      </c>
      <c r="O36">
        <v>59</v>
      </c>
      <c r="P36">
        <v>378</v>
      </c>
      <c r="Q36">
        <v>9.9227559999999997</v>
      </c>
      <c r="R36">
        <v>4.4340659999999996</v>
      </c>
    </row>
    <row r="37" spans="1:18">
      <c r="A37" s="2">
        <v>43921</v>
      </c>
      <c r="B37" s="3">
        <v>43949.294120370374</v>
      </c>
      <c r="C37" s="1" t="s">
        <v>16</v>
      </c>
      <c r="D37">
        <v>410</v>
      </c>
      <c r="E37">
        <v>2208</v>
      </c>
      <c r="F37">
        <v>17875</v>
      </c>
      <c r="G37">
        <v>17875</v>
      </c>
      <c r="H37">
        <v>13136</v>
      </c>
      <c r="I37">
        <v>1083</v>
      </c>
      <c r="J37">
        <v>503</v>
      </c>
      <c r="K37">
        <v>0</v>
      </c>
      <c r="L37">
        <v>938</v>
      </c>
      <c r="M37">
        <v>16937</v>
      </c>
      <c r="N37">
        <v>0</v>
      </c>
      <c r="O37">
        <v>66</v>
      </c>
      <c r="P37">
        <v>437</v>
      </c>
      <c r="Q37">
        <v>11.104946</v>
      </c>
      <c r="R37">
        <v>4.8454300000000003</v>
      </c>
    </row>
    <row r="38" spans="1:18">
      <c r="A38" s="2">
        <v>43922</v>
      </c>
      <c r="B38" s="3">
        <v>43949.294120370374</v>
      </c>
      <c r="C38" s="1" t="s">
        <v>16</v>
      </c>
      <c r="D38">
        <v>441</v>
      </c>
      <c r="E38">
        <v>2288</v>
      </c>
      <c r="F38">
        <v>18902</v>
      </c>
      <c r="G38">
        <v>18902</v>
      </c>
      <c r="H38">
        <v>13794</v>
      </c>
      <c r="I38">
        <v>1254</v>
      </c>
      <c r="J38">
        <v>566</v>
      </c>
      <c r="K38">
        <v>0</v>
      </c>
      <c r="L38">
        <v>1027</v>
      </c>
      <c r="M38">
        <v>17875</v>
      </c>
      <c r="N38">
        <v>0</v>
      </c>
      <c r="O38">
        <v>63</v>
      </c>
      <c r="P38">
        <v>503</v>
      </c>
      <c r="Q38">
        <v>12.710613</v>
      </c>
      <c r="R38">
        <v>4.9745949999999999</v>
      </c>
    </row>
    <row r="39" spans="1:18">
      <c r="A39" s="2">
        <v>43923</v>
      </c>
      <c r="B39" s="3">
        <v>43949.294120370374</v>
      </c>
      <c r="C39" s="1" t="s">
        <v>16</v>
      </c>
      <c r="D39">
        <v>446</v>
      </c>
      <c r="E39">
        <v>2352</v>
      </c>
      <c r="F39">
        <v>19947</v>
      </c>
      <c r="G39">
        <v>19947</v>
      </c>
      <c r="H39">
        <v>14743</v>
      </c>
      <c r="I39">
        <v>1465</v>
      </c>
      <c r="J39">
        <v>627</v>
      </c>
      <c r="K39">
        <v>0</v>
      </c>
      <c r="L39">
        <v>1045</v>
      </c>
      <c r="M39">
        <v>18902</v>
      </c>
      <c r="N39">
        <v>0</v>
      </c>
      <c r="O39">
        <v>61</v>
      </c>
      <c r="P39">
        <v>566</v>
      </c>
      <c r="Q39">
        <v>12.826290999999999</v>
      </c>
      <c r="R39">
        <v>5.5028670000000002</v>
      </c>
    </row>
    <row r="40" spans="1:18">
      <c r="A40" s="2">
        <v>43924</v>
      </c>
      <c r="B40" s="3">
        <v>43949.294120370374</v>
      </c>
      <c r="C40" s="1" t="s">
        <v>16</v>
      </c>
      <c r="D40">
        <v>456</v>
      </c>
      <c r="E40">
        <v>2333</v>
      </c>
      <c r="F40">
        <v>20876</v>
      </c>
      <c r="G40">
        <v>20876</v>
      </c>
      <c r="H40">
        <v>15572</v>
      </c>
      <c r="I40">
        <v>1571</v>
      </c>
      <c r="J40">
        <v>688</v>
      </c>
      <c r="K40">
        <v>0</v>
      </c>
      <c r="L40">
        <v>929</v>
      </c>
      <c r="M40">
        <v>19947</v>
      </c>
      <c r="N40">
        <v>0</v>
      </c>
      <c r="O40">
        <v>61</v>
      </c>
      <c r="P40">
        <v>627</v>
      </c>
      <c r="Q40">
        <v>12.502708999999999</v>
      </c>
      <c r="R40">
        <v>5.7868870000000001</v>
      </c>
    </row>
    <row r="41" spans="1:18">
      <c r="A41" s="2">
        <v>43925</v>
      </c>
      <c r="B41" s="3">
        <v>43949.294120370374</v>
      </c>
      <c r="C41" s="1" t="s">
        <v>16</v>
      </c>
      <c r="D41">
        <v>458</v>
      </c>
      <c r="E41">
        <v>2321</v>
      </c>
      <c r="F41">
        <v>21443</v>
      </c>
      <c r="G41">
        <v>21443</v>
      </c>
      <c r="H41">
        <v>16167</v>
      </c>
      <c r="I41">
        <v>1726</v>
      </c>
      <c r="J41">
        <v>754</v>
      </c>
      <c r="K41">
        <v>0</v>
      </c>
      <c r="L41">
        <v>567</v>
      </c>
      <c r="M41">
        <v>20876</v>
      </c>
      <c r="N41">
        <v>0</v>
      </c>
      <c r="O41">
        <v>66</v>
      </c>
      <c r="P41">
        <v>688</v>
      </c>
      <c r="Q41">
        <v>14.691692</v>
      </c>
      <c r="R41">
        <v>6.3537949999999999</v>
      </c>
    </row>
    <row r="42" spans="1:18">
      <c r="A42" s="2">
        <v>43926</v>
      </c>
      <c r="B42" s="3">
        <v>43949.294120370374</v>
      </c>
      <c r="C42" s="1" t="s">
        <v>16</v>
      </c>
      <c r="D42">
        <v>448</v>
      </c>
      <c r="E42">
        <v>2306</v>
      </c>
      <c r="F42">
        <v>21826</v>
      </c>
      <c r="G42">
        <v>21826</v>
      </c>
      <c r="H42">
        <v>16468</v>
      </c>
      <c r="I42">
        <v>1886</v>
      </c>
      <c r="J42">
        <v>806</v>
      </c>
      <c r="K42">
        <v>0</v>
      </c>
      <c r="L42">
        <v>383</v>
      </c>
      <c r="M42">
        <v>21443</v>
      </c>
      <c r="N42">
        <v>0</v>
      </c>
      <c r="O42">
        <v>52</v>
      </c>
      <c r="P42">
        <v>754</v>
      </c>
      <c r="Q42">
        <v>17.354813</v>
      </c>
      <c r="R42">
        <v>7.3505479999999999</v>
      </c>
    </row>
    <row r="43" spans="1:18">
      <c r="A43" s="2">
        <v>43927</v>
      </c>
      <c r="B43" s="3">
        <v>43949.294120370374</v>
      </c>
      <c r="C43" s="1" t="s">
        <v>16</v>
      </c>
      <c r="D43">
        <v>447</v>
      </c>
      <c r="E43">
        <v>2310</v>
      </c>
      <c r="F43">
        <v>22568</v>
      </c>
      <c r="G43">
        <v>22568</v>
      </c>
      <c r="H43">
        <v>17111</v>
      </c>
      <c r="I43">
        <v>2009</v>
      </c>
      <c r="J43">
        <v>865</v>
      </c>
      <c r="K43">
        <v>0</v>
      </c>
      <c r="L43">
        <v>742</v>
      </c>
      <c r="M43">
        <v>21826</v>
      </c>
      <c r="N43">
        <v>0</v>
      </c>
      <c r="O43">
        <v>59</v>
      </c>
      <c r="P43">
        <v>806</v>
      </c>
      <c r="Q43">
        <v>19.551131000000002</v>
      </c>
      <c r="R43">
        <v>8.1712950000000006</v>
      </c>
    </row>
    <row r="44" spans="1:18">
      <c r="A44" s="2">
        <v>43928</v>
      </c>
      <c r="B44" s="3">
        <v>43949.294120370374</v>
      </c>
      <c r="C44" s="1" t="s">
        <v>16</v>
      </c>
      <c r="D44">
        <v>441</v>
      </c>
      <c r="E44">
        <v>2228</v>
      </c>
      <c r="F44">
        <v>23219</v>
      </c>
      <c r="G44">
        <v>23219</v>
      </c>
      <c r="H44">
        <v>17953</v>
      </c>
      <c r="I44">
        <v>2370</v>
      </c>
      <c r="J44">
        <v>925</v>
      </c>
      <c r="K44">
        <v>0</v>
      </c>
      <c r="L44">
        <v>651</v>
      </c>
      <c r="M44">
        <v>22568</v>
      </c>
      <c r="N44">
        <v>0</v>
      </c>
      <c r="O44">
        <v>60</v>
      </c>
      <c r="P44">
        <v>865</v>
      </c>
      <c r="Q44">
        <v>22.817083</v>
      </c>
      <c r="R44">
        <v>8.9128480000000003</v>
      </c>
    </row>
    <row r="45" spans="1:18">
      <c r="A45" s="2">
        <v>43929</v>
      </c>
      <c r="B45" s="3">
        <v>43949.294120370374</v>
      </c>
      <c r="C45" s="1" t="s">
        <v>16</v>
      </c>
      <c r="D45">
        <v>438</v>
      </c>
      <c r="E45">
        <v>2140</v>
      </c>
      <c r="F45">
        <v>23889</v>
      </c>
      <c r="G45">
        <v>23889</v>
      </c>
      <c r="H45">
        <v>18762</v>
      </c>
      <c r="I45">
        <v>2587</v>
      </c>
      <c r="J45">
        <v>993</v>
      </c>
      <c r="K45">
        <v>0</v>
      </c>
      <c r="L45">
        <v>670</v>
      </c>
      <c r="M45">
        <v>23219</v>
      </c>
      <c r="N45">
        <v>0</v>
      </c>
      <c r="O45">
        <v>68</v>
      </c>
      <c r="P45">
        <v>925</v>
      </c>
      <c r="Q45">
        <v>25.706788</v>
      </c>
      <c r="R45">
        <v>9.4449190000000005</v>
      </c>
    </row>
    <row r="46" spans="1:18">
      <c r="A46" s="2">
        <v>43930</v>
      </c>
      <c r="B46" s="3">
        <v>43949.294120370374</v>
      </c>
      <c r="C46" s="1" t="s">
        <v>16</v>
      </c>
      <c r="D46">
        <v>430</v>
      </c>
      <c r="E46">
        <v>2072</v>
      </c>
      <c r="F46">
        <v>24557</v>
      </c>
      <c r="G46">
        <v>24557</v>
      </c>
      <c r="H46">
        <v>19279</v>
      </c>
      <c r="I46">
        <v>2737</v>
      </c>
      <c r="J46">
        <v>1044</v>
      </c>
      <c r="K46">
        <v>0</v>
      </c>
      <c r="L46">
        <v>668</v>
      </c>
      <c r="M46">
        <v>23889</v>
      </c>
      <c r="N46">
        <v>0</v>
      </c>
      <c r="O46">
        <v>51</v>
      </c>
      <c r="P46">
        <v>993</v>
      </c>
      <c r="Q46">
        <v>25.558769999999999</v>
      </c>
      <c r="R46">
        <v>10.649960999999999</v>
      </c>
    </row>
    <row r="47" spans="1:18">
      <c r="A47" s="2">
        <v>43931</v>
      </c>
      <c r="B47" s="3">
        <v>43949.294120370374</v>
      </c>
      <c r="C47" s="1" t="s">
        <v>16</v>
      </c>
      <c r="D47">
        <v>418</v>
      </c>
      <c r="E47">
        <v>2012</v>
      </c>
      <c r="F47">
        <v>25007</v>
      </c>
      <c r="G47">
        <v>25007</v>
      </c>
      <c r="H47">
        <v>19695</v>
      </c>
      <c r="I47">
        <v>2821</v>
      </c>
      <c r="J47">
        <v>1094</v>
      </c>
      <c r="K47">
        <v>0</v>
      </c>
      <c r="L47">
        <v>450</v>
      </c>
      <c r="M47">
        <v>24557</v>
      </c>
      <c r="N47">
        <v>0</v>
      </c>
      <c r="O47">
        <v>50</v>
      </c>
      <c r="P47">
        <v>1044</v>
      </c>
      <c r="Q47">
        <v>25.473262999999999</v>
      </c>
      <c r="R47">
        <v>11.344016999999999</v>
      </c>
    </row>
    <row r="48" spans="1:18">
      <c r="A48" s="2">
        <v>43932</v>
      </c>
      <c r="B48" s="3">
        <v>43949.294120370374</v>
      </c>
      <c r="C48" s="1" t="s">
        <v>16</v>
      </c>
      <c r="D48">
        <v>418</v>
      </c>
      <c r="E48">
        <v>1937</v>
      </c>
      <c r="F48">
        <v>25470</v>
      </c>
      <c r="G48">
        <v>25470</v>
      </c>
      <c r="H48">
        <v>20057</v>
      </c>
      <c r="I48">
        <v>2987</v>
      </c>
      <c r="J48">
        <v>1131</v>
      </c>
      <c r="K48">
        <v>0</v>
      </c>
      <c r="L48">
        <v>463</v>
      </c>
      <c r="M48">
        <v>25007</v>
      </c>
      <c r="N48">
        <v>0</v>
      </c>
      <c r="O48">
        <v>37</v>
      </c>
      <c r="P48">
        <v>1094</v>
      </c>
      <c r="Q48">
        <v>28.649947999999998</v>
      </c>
      <c r="R48">
        <v>12.925678</v>
      </c>
    </row>
    <row r="49" spans="1:18">
      <c r="A49" s="2">
        <v>43933</v>
      </c>
      <c r="B49" s="3">
        <v>43949.294120370374</v>
      </c>
      <c r="C49" s="1" t="s">
        <v>16</v>
      </c>
      <c r="D49">
        <v>407</v>
      </c>
      <c r="E49">
        <v>1914</v>
      </c>
      <c r="F49">
        <v>25743</v>
      </c>
      <c r="G49">
        <v>25743</v>
      </c>
      <c r="H49">
        <v>20233</v>
      </c>
      <c r="I49">
        <v>3089</v>
      </c>
      <c r="J49">
        <v>1187</v>
      </c>
      <c r="K49">
        <v>0</v>
      </c>
      <c r="L49">
        <v>273</v>
      </c>
      <c r="M49">
        <v>25470</v>
      </c>
      <c r="N49">
        <v>0</v>
      </c>
      <c r="O49">
        <v>56</v>
      </c>
      <c r="P49">
        <v>1131</v>
      </c>
      <c r="Q49">
        <v>33.585369</v>
      </c>
      <c r="R49">
        <v>13.896815</v>
      </c>
    </row>
    <row r="50" spans="1:18">
      <c r="A50" s="2">
        <v>43934</v>
      </c>
      <c r="B50" s="3">
        <v>43949.294120370374</v>
      </c>
      <c r="C50" s="1" t="s">
        <v>16</v>
      </c>
      <c r="D50">
        <v>403</v>
      </c>
      <c r="E50">
        <v>1897</v>
      </c>
      <c r="F50">
        <v>25994</v>
      </c>
      <c r="G50">
        <v>25994</v>
      </c>
      <c r="H50">
        <v>20538</v>
      </c>
      <c r="I50">
        <v>3169</v>
      </c>
      <c r="J50">
        <v>1217</v>
      </c>
      <c r="K50">
        <v>0</v>
      </c>
      <c r="L50">
        <v>251</v>
      </c>
      <c r="M50">
        <v>25743</v>
      </c>
      <c r="N50">
        <v>0</v>
      </c>
      <c r="O50">
        <v>30</v>
      </c>
      <c r="P50">
        <v>1187</v>
      </c>
      <c r="Q50">
        <v>41.040056</v>
      </c>
      <c r="R50">
        <v>17.037890999999998</v>
      </c>
    </row>
    <row r="51" spans="1:18">
      <c r="A51" s="2">
        <v>43935</v>
      </c>
      <c r="B51" s="3">
        <v>43949.294120370374</v>
      </c>
      <c r="C51" s="1" t="s">
        <v>16</v>
      </c>
      <c r="D51">
        <v>390</v>
      </c>
      <c r="E51">
        <v>1859</v>
      </c>
      <c r="F51">
        <v>26316</v>
      </c>
      <c r="G51">
        <v>26316</v>
      </c>
      <c r="H51">
        <v>21085</v>
      </c>
      <c r="I51">
        <v>3331</v>
      </c>
      <c r="J51">
        <v>1255</v>
      </c>
      <c r="K51">
        <v>0</v>
      </c>
      <c r="L51">
        <v>322</v>
      </c>
      <c r="M51">
        <v>25994</v>
      </c>
      <c r="N51">
        <v>0</v>
      </c>
      <c r="O51">
        <v>38</v>
      </c>
      <c r="P51">
        <v>1217</v>
      </c>
      <c r="Q51">
        <v>50.097242000000001</v>
      </c>
      <c r="R51">
        <v>18.827736000000002</v>
      </c>
    </row>
    <row r="52" spans="1:18">
      <c r="A52" s="2">
        <v>43936</v>
      </c>
      <c r="B52" s="3">
        <v>43949.294120370374</v>
      </c>
      <c r="C52" s="1" t="s">
        <v>16</v>
      </c>
      <c r="D52">
        <v>368</v>
      </c>
      <c r="E52">
        <v>1735</v>
      </c>
      <c r="F52">
        <v>26634</v>
      </c>
      <c r="G52">
        <v>26634</v>
      </c>
      <c r="H52">
        <v>21546</v>
      </c>
      <c r="I52">
        <v>3495</v>
      </c>
      <c r="J52">
        <v>1308</v>
      </c>
      <c r="K52">
        <v>0</v>
      </c>
      <c r="L52">
        <v>318</v>
      </c>
      <c r="M52">
        <v>26316</v>
      </c>
      <c r="N52">
        <v>0</v>
      </c>
      <c r="O52">
        <v>53</v>
      </c>
      <c r="P52">
        <v>1255</v>
      </c>
      <c r="Q52">
        <v>54.983046999999999</v>
      </c>
      <c r="R52">
        <v>19.398657</v>
      </c>
    </row>
    <row r="53" spans="1:18">
      <c r="A53" s="2">
        <v>43937</v>
      </c>
      <c r="B53" s="3">
        <v>43949.294120370374</v>
      </c>
      <c r="C53" s="1" t="s">
        <v>16</v>
      </c>
      <c r="D53">
        <v>348</v>
      </c>
      <c r="E53">
        <v>1679</v>
      </c>
      <c r="F53">
        <v>26933</v>
      </c>
      <c r="G53">
        <v>26933</v>
      </c>
      <c r="H53">
        <v>22229</v>
      </c>
      <c r="I53">
        <v>3655</v>
      </c>
      <c r="J53">
        <v>1353</v>
      </c>
      <c r="K53">
        <v>0</v>
      </c>
      <c r="L53">
        <v>299</v>
      </c>
      <c r="M53">
        <v>26634</v>
      </c>
      <c r="N53">
        <v>0</v>
      </c>
      <c r="O53">
        <v>45</v>
      </c>
      <c r="P53">
        <v>1308</v>
      </c>
      <c r="Q53">
        <v>62.053234000000003</v>
      </c>
      <c r="R53">
        <v>19.337654000000001</v>
      </c>
    </row>
    <row r="54" spans="1:18">
      <c r="A54" s="2">
        <v>43938</v>
      </c>
      <c r="B54" s="3">
        <v>43949.294120370374</v>
      </c>
      <c r="C54" s="1" t="s">
        <v>16</v>
      </c>
      <c r="D54">
        <v>335</v>
      </c>
      <c r="E54">
        <v>1581</v>
      </c>
      <c r="F54">
        <v>27248</v>
      </c>
      <c r="G54">
        <v>27248</v>
      </c>
      <c r="H54">
        <v>22670</v>
      </c>
      <c r="I54">
        <v>3763</v>
      </c>
      <c r="J54">
        <v>1398</v>
      </c>
      <c r="K54">
        <v>0</v>
      </c>
      <c r="L54">
        <v>315</v>
      </c>
      <c r="M54">
        <v>26933</v>
      </c>
      <c r="N54">
        <v>0</v>
      </c>
      <c r="O54">
        <v>45</v>
      </c>
      <c r="P54">
        <v>1353</v>
      </c>
      <c r="Q54">
        <v>60.997813999999998</v>
      </c>
      <c r="R54">
        <v>21.182452999999999</v>
      </c>
    </row>
    <row r="55" spans="1:18">
      <c r="A55" s="2">
        <v>43939</v>
      </c>
      <c r="B55" s="3">
        <v>43949.294120370374</v>
      </c>
      <c r="C55" s="1" t="s">
        <v>16</v>
      </c>
      <c r="D55">
        <v>321</v>
      </c>
      <c r="E55">
        <v>1530</v>
      </c>
      <c r="F55">
        <v>27541</v>
      </c>
      <c r="G55">
        <v>27541</v>
      </c>
      <c r="H55">
        <v>23112</v>
      </c>
      <c r="I55">
        <v>3878</v>
      </c>
      <c r="J55">
        <v>1440</v>
      </c>
      <c r="K55">
        <v>0</v>
      </c>
      <c r="L55">
        <v>293</v>
      </c>
      <c r="M55">
        <v>27248</v>
      </c>
      <c r="N55">
        <v>0</v>
      </c>
      <c r="O55">
        <v>42</v>
      </c>
      <c r="P55">
        <v>1398</v>
      </c>
      <c r="Q55">
        <v>59.950392999999998</v>
      </c>
      <c r="R55">
        <v>20.598201</v>
      </c>
    </row>
    <row r="56" spans="1:18">
      <c r="A56" s="2">
        <v>43940</v>
      </c>
      <c r="B56" s="3">
        <v>43949.294120370374</v>
      </c>
      <c r="C56" s="1" t="s">
        <v>16</v>
      </c>
      <c r="D56">
        <v>313</v>
      </c>
      <c r="E56">
        <v>1524</v>
      </c>
      <c r="F56">
        <v>27718</v>
      </c>
      <c r="G56">
        <v>27718</v>
      </c>
      <c r="H56">
        <v>23294</v>
      </c>
      <c r="I56">
        <v>3948</v>
      </c>
      <c r="J56">
        <v>1463</v>
      </c>
      <c r="K56">
        <v>0</v>
      </c>
      <c r="L56">
        <v>177</v>
      </c>
      <c r="M56">
        <v>27541</v>
      </c>
      <c r="N56">
        <v>0</v>
      </c>
      <c r="O56">
        <v>23</v>
      </c>
      <c r="P56">
        <v>1440</v>
      </c>
      <c r="Q56">
        <v>66.770877999999996</v>
      </c>
      <c r="R56">
        <v>22.599646</v>
      </c>
    </row>
    <row r="57" spans="1:18">
      <c r="A57" s="2">
        <v>43941</v>
      </c>
      <c r="B57" s="3">
        <v>43949.294120370374</v>
      </c>
      <c r="C57" s="1" t="s">
        <v>16</v>
      </c>
      <c r="D57">
        <v>302</v>
      </c>
      <c r="E57">
        <v>1500</v>
      </c>
      <c r="F57">
        <v>27921</v>
      </c>
      <c r="G57">
        <v>27921</v>
      </c>
      <c r="H57">
        <v>23672</v>
      </c>
      <c r="I57">
        <v>4084</v>
      </c>
      <c r="J57">
        <v>1504</v>
      </c>
      <c r="K57">
        <v>0</v>
      </c>
      <c r="L57">
        <v>203</v>
      </c>
      <c r="M57">
        <v>27718</v>
      </c>
      <c r="N57">
        <v>0</v>
      </c>
      <c r="O57">
        <v>41</v>
      </c>
      <c r="P57">
        <v>1463</v>
      </c>
      <c r="Q57">
        <v>73.441391999999993</v>
      </c>
      <c r="R57">
        <v>24.821037</v>
      </c>
    </row>
    <row r="58" spans="1:18">
      <c r="A58" s="2">
        <v>43942</v>
      </c>
      <c r="B58" s="3">
        <v>43949.294120370374</v>
      </c>
      <c r="C58" s="1" t="s">
        <v>16</v>
      </c>
      <c r="D58">
        <v>287</v>
      </c>
      <c r="E58">
        <v>1423</v>
      </c>
      <c r="F58">
        <v>28080</v>
      </c>
      <c r="G58">
        <v>28080</v>
      </c>
      <c r="H58">
        <v>24051</v>
      </c>
      <c r="I58">
        <v>4206</v>
      </c>
      <c r="J58">
        <v>1545</v>
      </c>
      <c r="K58">
        <v>0</v>
      </c>
      <c r="L58">
        <v>159</v>
      </c>
      <c r="M58">
        <v>27921</v>
      </c>
      <c r="N58">
        <v>0</v>
      </c>
      <c r="O58">
        <v>41</v>
      </c>
      <c r="P58">
        <v>1504</v>
      </c>
      <c r="Q58">
        <v>83.100652999999994</v>
      </c>
      <c r="R58">
        <v>26.117162</v>
      </c>
    </row>
    <row r="59" spans="1:18">
      <c r="A59" s="2">
        <v>43943</v>
      </c>
      <c r="B59" s="3">
        <v>43949.294120370374</v>
      </c>
      <c r="C59" s="1" t="s">
        <v>16</v>
      </c>
      <c r="D59">
        <v>255</v>
      </c>
      <c r="E59">
        <v>1358</v>
      </c>
      <c r="F59">
        <v>28277</v>
      </c>
      <c r="G59">
        <v>28277</v>
      </c>
      <c r="H59">
        <v>24414</v>
      </c>
      <c r="I59">
        <v>4313</v>
      </c>
      <c r="J59">
        <v>1571</v>
      </c>
      <c r="K59">
        <v>0</v>
      </c>
      <c r="L59">
        <v>197</v>
      </c>
      <c r="M59">
        <v>28080</v>
      </c>
      <c r="N59">
        <v>0</v>
      </c>
      <c r="O59">
        <v>26</v>
      </c>
      <c r="P59">
        <v>1545</v>
      </c>
      <c r="Q59">
        <v>93.495119000000003</v>
      </c>
      <c r="R59">
        <v>29.705531000000001</v>
      </c>
    </row>
    <row r="60" spans="1:18">
      <c r="A60" s="2">
        <v>43944</v>
      </c>
      <c r="B60" s="3">
        <v>43949.294120370374</v>
      </c>
      <c r="C60" s="1" t="s">
        <v>16</v>
      </c>
      <c r="D60">
        <v>247</v>
      </c>
      <c r="E60">
        <v>1306</v>
      </c>
      <c r="F60">
        <v>28495</v>
      </c>
      <c r="G60">
        <v>28495</v>
      </c>
      <c r="H60">
        <v>24872</v>
      </c>
      <c r="I60">
        <v>4404</v>
      </c>
      <c r="J60">
        <v>1600</v>
      </c>
      <c r="K60">
        <v>0</v>
      </c>
      <c r="L60">
        <v>218</v>
      </c>
      <c r="M60">
        <v>28277</v>
      </c>
      <c r="N60">
        <v>0</v>
      </c>
      <c r="O60">
        <v>29</v>
      </c>
      <c r="P60">
        <v>1571</v>
      </c>
      <c r="Q60">
        <v>101.77526899999999</v>
      </c>
      <c r="R60">
        <v>32.894067</v>
      </c>
    </row>
    <row r="61" spans="1:18">
      <c r="A61" s="2">
        <v>43945</v>
      </c>
      <c r="B61" s="3">
        <v>43949.294120370374</v>
      </c>
      <c r="C61" s="1" t="s">
        <v>16</v>
      </c>
      <c r="D61">
        <v>241</v>
      </c>
      <c r="E61">
        <v>1260</v>
      </c>
      <c r="F61">
        <v>28684</v>
      </c>
      <c r="G61">
        <v>28684</v>
      </c>
      <c r="H61">
        <v>25236</v>
      </c>
      <c r="I61">
        <v>4482</v>
      </c>
      <c r="J61">
        <v>1625</v>
      </c>
      <c r="K61">
        <v>0</v>
      </c>
      <c r="L61">
        <v>189</v>
      </c>
      <c r="M61">
        <v>28495</v>
      </c>
      <c r="N61">
        <v>0</v>
      </c>
      <c r="O61">
        <v>25</v>
      </c>
      <c r="P61">
        <v>1600</v>
      </c>
      <c r="Q61">
        <v>101.167351</v>
      </c>
      <c r="R61">
        <v>33.001133000000003</v>
      </c>
    </row>
    <row r="62" spans="1:18">
      <c r="A62" s="2">
        <v>43946</v>
      </c>
      <c r="B62" s="3">
        <v>43949.294120370374</v>
      </c>
      <c r="C62" s="1" t="s">
        <v>16</v>
      </c>
      <c r="D62">
        <v>232</v>
      </c>
      <c r="E62">
        <v>1234</v>
      </c>
      <c r="F62">
        <v>28821</v>
      </c>
      <c r="G62">
        <v>28821</v>
      </c>
      <c r="H62">
        <v>25600</v>
      </c>
      <c r="I62">
        <v>4519</v>
      </c>
      <c r="J62">
        <v>1643</v>
      </c>
      <c r="K62">
        <v>0</v>
      </c>
      <c r="L62">
        <v>137</v>
      </c>
      <c r="M62">
        <v>28684</v>
      </c>
      <c r="N62">
        <v>0</v>
      </c>
      <c r="O62">
        <v>18</v>
      </c>
      <c r="P62">
        <v>1625</v>
      </c>
      <c r="Q62">
        <v>109.242386</v>
      </c>
      <c r="R62">
        <v>39.207102999999996</v>
      </c>
    </row>
    <row r="63" spans="1:18">
      <c r="A63" s="2">
        <v>43947</v>
      </c>
      <c r="B63" s="3">
        <v>43949.294120370374</v>
      </c>
      <c r="C63" s="1" t="s">
        <v>16</v>
      </c>
      <c r="D63">
        <v>209</v>
      </c>
      <c r="E63">
        <v>1212</v>
      </c>
      <c r="F63">
        <v>28889</v>
      </c>
      <c r="G63">
        <v>28889</v>
      </c>
      <c r="H63">
        <v>25797</v>
      </c>
      <c r="I63">
        <v>4552</v>
      </c>
      <c r="J63">
        <v>1655</v>
      </c>
      <c r="K63">
        <v>0</v>
      </c>
      <c r="L63">
        <v>68</v>
      </c>
      <c r="M63">
        <v>28821</v>
      </c>
      <c r="N63">
        <v>0</v>
      </c>
      <c r="O63">
        <v>12</v>
      </c>
      <c r="P63">
        <v>1643</v>
      </c>
      <c r="Q63">
        <v>122.018687</v>
      </c>
      <c r="R63">
        <v>50.390841999999999</v>
      </c>
    </row>
    <row r="64" spans="1:18">
      <c r="A64" s="2">
        <v>43948</v>
      </c>
      <c r="B64" s="3">
        <v>43949.294120370374</v>
      </c>
      <c r="C64" s="1" t="s">
        <v>16</v>
      </c>
      <c r="D64">
        <v>207</v>
      </c>
      <c r="E64">
        <v>1207</v>
      </c>
      <c r="F64">
        <v>28994</v>
      </c>
      <c r="G64">
        <v>28994</v>
      </c>
      <c r="H64">
        <v>25797</v>
      </c>
      <c r="I64">
        <v>4638</v>
      </c>
      <c r="J64">
        <v>1666</v>
      </c>
      <c r="K64">
        <v>0</v>
      </c>
      <c r="L64">
        <v>105</v>
      </c>
      <c r="M64">
        <v>28889</v>
      </c>
      <c r="N64">
        <v>0</v>
      </c>
      <c r="O64">
        <v>11</v>
      </c>
      <c r="P64">
        <v>1655</v>
      </c>
      <c r="Q64">
        <v>138.407106</v>
      </c>
      <c r="R64">
        <v>59.028238999999999</v>
      </c>
    </row>
    <row r="65" spans="1:18">
      <c r="A65" s="2">
        <v>43949</v>
      </c>
      <c r="B65" s="3">
        <v>43949.294120370374</v>
      </c>
      <c r="C65" s="1" t="s">
        <v>16</v>
      </c>
      <c r="D65">
        <v>207</v>
      </c>
      <c r="E65">
        <v>1207</v>
      </c>
      <c r="F65">
        <v>28995</v>
      </c>
      <c r="G65">
        <v>28995</v>
      </c>
      <c r="H65">
        <v>25797</v>
      </c>
      <c r="I65">
        <v>4638</v>
      </c>
      <c r="J65">
        <v>1666</v>
      </c>
      <c r="K65">
        <v>0</v>
      </c>
      <c r="L65">
        <v>1</v>
      </c>
      <c r="M65">
        <v>28994</v>
      </c>
      <c r="N65">
        <v>0</v>
      </c>
      <c r="O65">
        <v>0</v>
      </c>
      <c r="P65">
        <v>1666</v>
      </c>
      <c r="Q65">
        <v>199.24013299999999</v>
      </c>
      <c r="R65">
        <v>85.739034000000004</v>
      </c>
    </row>
  </sheetData>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CF6CC-7984-4330-8823-F82CE39F5044}">
  <sheetPr codeName="Tabelle2"/>
  <dimension ref="A1:C14"/>
  <sheetViews>
    <sheetView workbookViewId="0">
      <selection activeCell="B9" sqref="B9"/>
    </sheetView>
  </sheetViews>
  <sheetFormatPr baseColWidth="10" defaultRowHeight="14.5"/>
  <cols>
    <col min="1" max="1" width="14.81640625" style="2" customWidth="1"/>
    <col min="2" max="2" width="16.26953125" customWidth="1"/>
    <col min="3" max="3" width="22.26953125" customWidth="1"/>
  </cols>
  <sheetData>
    <row r="1" spans="1:3">
      <c r="A1" s="2" t="s">
        <v>376</v>
      </c>
      <c r="B1" t="s">
        <v>377</v>
      </c>
    </row>
    <row r="2" spans="1:3">
      <c r="B2">
        <f>MAX(ch_latest!G1:'ch_latest'!G213)</f>
        <v>28995</v>
      </c>
      <c r="C2" s="20"/>
    </row>
    <row r="4" spans="1:3">
      <c r="A4" s="2" t="s">
        <v>378</v>
      </c>
      <c r="B4" t="s">
        <v>6</v>
      </c>
      <c r="C4" t="s">
        <v>14</v>
      </c>
    </row>
    <row r="5" spans="1:3">
      <c r="B5">
        <f>INDEX(ch_latest!L2:'ch_latest'!L213,COUNTA(ch_latest!L2:'ch_latest'!L213)+1)</f>
        <v>1</v>
      </c>
      <c r="C5">
        <f>INDEX(ch_latest!Q2:'ch_latest'!Q213,COUNTA(ch_latest!Q2:'ch_latest'!Q213))</f>
        <v>199.24013299999999</v>
      </c>
    </row>
    <row r="6" spans="1:3">
      <c r="B6" s="24"/>
    </row>
    <row r="7" spans="1:3">
      <c r="A7" s="2" t="s">
        <v>382</v>
      </c>
      <c r="B7" t="s">
        <v>381</v>
      </c>
    </row>
    <row r="8" spans="1:3">
      <c r="A8" s="2" t="s">
        <v>383</v>
      </c>
      <c r="B8">
        <f>INDEX(ch_latest!I1:'ch_latest'!I213,COUNTA(ch_latest!I1:'ch_latest'!I213))</f>
        <v>4638</v>
      </c>
    </row>
    <row r="9" spans="1:3">
      <c r="A9" s="2" t="s">
        <v>384</v>
      </c>
      <c r="B9">
        <f>INDEX(ch_latest!I1:'ch_latest'!I213,COUNTA(ch_latest!I1:'ch_latest'!I213)-1)</f>
        <v>4638</v>
      </c>
    </row>
    <row r="10" spans="1:3">
      <c r="A10" s="2" t="s">
        <v>385</v>
      </c>
      <c r="B10">
        <f>B8-B9</f>
        <v>0</v>
      </c>
    </row>
    <row r="11" spans="1:3">
      <c r="B11" s="21"/>
    </row>
    <row r="12" spans="1:3">
      <c r="A12" s="2" t="s">
        <v>398</v>
      </c>
      <c r="B12" s="2">
        <f>INDEX(ch_latest!A1:'ch_latest'!A213,COUNTA(ch_latest!A1:'ch_latest'!A213))</f>
        <v>43949</v>
      </c>
      <c r="C12" s="4">
        <f>INDEX(ch_latest!B1:'ch_latest'!B213,COUNTA(ch_latest!B1:'ch_latest'!B213))</f>
        <v>43949.294120370374</v>
      </c>
    </row>
    <row r="13" spans="1:3">
      <c r="B13" s="22"/>
    </row>
    <row r="14" spans="1:3">
      <c r="B14" s="23"/>
    </row>
  </sheetData>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6F51D-51BB-4A2D-A9BF-C53B2A76C9E1}">
  <dimension ref="A3:CJ70"/>
  <sheetViews>
    <sheetView topLeftCell="CH1" workbookViewId="0">
      <selection activeCell="CP11" sqref="CP11"/>
    </sheetView>
  </sheetViews>
  <sheetFormatPr baseColWidth="10" defaultRowHeight="14.5"/>
  <cols>
    <col min="1" max="1" width="20.7265625" bestFit="1" customWidth="1"/>
    <col min="2" max="2" width="22.08984375" bestFit="1" customWidth="1"/>
    <col min="3" max="3" width="25.54296875" bestFit="1" customWidth="1"/>
    <col min="4" max="4" width="26.36328125" bestFit="1" customWidth="1"/>
    <col min="5" max="5" width="22.08984375" bestFit="1" customWidth="1"/>
    <col min="6" max="6" width="25.54296875" bestFit="1" customWidth="1"/>
    <col min="7" max="7" width="26.36328125" bestFit="1" customWidth="1"/>
    <col min="8" max="8" width="22.08984375" bestFit="1" customWidth="1"/>
    <col min="9" max="9" width="25.54296875" bestFit="1" customWidth="1"/>
    <col min="10" max="10" width="26.36328125" bestFit="1" customWidth="1"/>
    <col min="11" max="11" width="22.08984375" bestFit="1" customWidth="1"/>
    <col min="12" max="12" width="25.54296875" bestFit="1" customWidth="1"/>
    <col min="13" max="13" width="26.36328125" bestFit="1" customWidth="1"/>
    <col min="14" max="14" width="22.08984375" bestFit="1" customWidth="1"/>
    <col min="15" max="15" width="25.54296875" bestFit="1" customWidth="1"/>
    <col min="16" max="16" width="26.36328125" bestFit="1" customWidth="1"/>
    <col min="17" max="17" width="22.08984375" bestFit="1" customWidth="1"/>
    <col min="18" max="18" width="25.54296875" bestFit="1" customWidth="1"/>
    <col min="19" max="19" width="26.36328125" bestFit="1" customWidth="1"/>
    <col min="20" max="20" width="22.08984375" bestFit="1" customWidth="1"/>
    <col min="21" max="21" width="25.54296875" bestFit="1" customWidth="1"/>
    <col min="22" max="22" width="26.36328125" bestFit="1" customWidth="1"/>
    <col min="23" max="23" width="22.08984375" bestFit="1" customWidth="1"/>
    <col min="24" max="24" width="25.54296875" bestFit="1" customWidth="1"/>
    <col min="25" max="25" width="26.36328125" bestFit="1" customWidth="1"/>
    <col min="26" max="26" width="22.08984375" bestFit="1" customWidth="1"/>
    <col min="27" max="27" width="25.54296875" bestFit="1" customWidth="1"/>
    <col min="28" max="28" width="26.36328125" bestFit="1" customWidth="1"/>
    <col min="29" max="29" width="22.08984375" bestFit="1" customWidth="1"/>
    <col min="30" max="30" width="25.54296875" bestFit="1" customWidth="1"/>
    <col min="31" max="31" width="26.36328125" bestFit="1" customWidth="1"/>
    <col min="32" max="32" width="22.08984375" bestFit="1" customWidth="1"/>
    <col min="33" max="33" width="25.54296875" bestFit="1" customWidth="1"/>
    <col min="34" max="34" width="26.36328125" bestFit="1" customWidth="1"/>
    <col min="35" max="35" width="22.08984375" bestFit="1" customWidth="1"/>
    <col min="36" max="36" width="25.54296875" bestFit="1" customWidth="1"/>
    <col min="37" max="37" width="26.36328125" bestFit="1" customWidth="1"/>
    <col min="38" max="38" width="22.08984375" bestFit="1" customWidth="1"/>
    <col min="39" max="39" width="25.54296875" bestFit="1" customWidth="1"/>
    <col min="40" max="40" width="26.36328125" bestFit="1" customWidth="1"/>
    <col min="41" max="41" width="22.08984375" bestFit="1" customWidth="1"/>
    <col min="42" max="42" width="25.54296875" bestFit="1" customWidth="1"/>
    <col min="43" max="43" width="26.36328125" bestFit="1" customWidth="1"/>
    <col min="44" max="44" width="22.08984375" bestFit="1" customWidth="1"/>
    <col min="45" max="45" width="25.54296875" bestFit="1" customWidth="1"/>
    <col min="46" max="46" width="26.36328125" bestFit="1" customWidth="1"/>
    <col min="47" max="47" width="22.08984375" bestFit="1" customWidth="1"/>
    <col min="48" max="48" width="25.54296875" bestFit="1" customWidth="1"/>
    <col min="49" max="49" width="26.36328125" bestFit="1" customWidth="1"/>
    <col min="50" max="50" width="22.08984375" bestFit="1" customWidth="1"/>
    <col min="51" max="51" width="25.54296875" bestFit="1" customWidth="1"/>
    <col min="52" max="52" width="26.36328125" bestFit="1" customWidth="1"/>
    <col min="53" max="53" width="22.08984375" bestFit="1" customWidth="1"/>
    <col min="54" max="54" width="25.54296875" bestFit="1" customWidth="1"/>
    <col min="55" max="55" width="26.36328125" bestFit="1" customWidth="1"/>
    <col min="56" max="56" width="22.08984375" bestFit="1" customWidth="1"/>
    <col min="57" max="57" width="25.54296875" bestFit="1" customWidth="1"/>
    <col min="58" max="58" width="26.36328125" bestFit="1" customWidth="1"/>
    <col min="59" max="59" width="22.08984375" bestFit="1" customWidth="1"/>
    <col min="60" max="60" width="25.54296875" bestFit="1" customWidth="1"/>
    <col min="61" max="61" width="26.36328125" bestFit="1" customWidth="1"/>
    <col min="62" max="62" width="22.08984375" bestFit="1" customWidth="1"/>
    <col min="63" max="63" width="25.54296875" bestFit="1" customWidth="1"/>
    <col min="64" max="64" width="26.36328125" bestFit="1" customWidth="1"/>
    <col min="65" max="65" width="22.08984375" bestFit="1" customWidth="1"/>
    <col min="66" max="66" width="25.54296875" bestFit="1" customWidth="1"/>
    <col min="67" max="67" width="26.36328125" bestFit="1" customWidth="1"/>
    <col min="68" max="68" width="22.08984375" bestFit="1" customWidth="1"/>
    <col min="69" max="69" width="25.54296875" bestFit="1" customWidth="1"/>
    <col min="70" max="70" width="26.36328125" bestFit="1" customWidth="1"/>
    <col min="71" max="71" width="22.08984375" bestFit="1" customWidth="1"/>
    <col min="72" max="72" width="25.54296875" bestFit="1" customWidth="1"/>
    <col min="73" max="73" width="26.36328125" bestFit="1" customWidth="1"/>
    <col min="74" max="74" width="22.08984375" bestFit="1" customWidth="1"/>
    <col min="75" max="75" width="25.54296875" bestFit="1" customWidth="1"/>
    <col min="76" max="76" width="26.36328125" bestFit="1" customWidth="1"/>
    <col min="77" max="77" width="22.08984375" bestFit="1" customWidth="1"/>
    <col min="78" max="78" width="25.54296875" bestFit="1" customWidth="1"/>
    <col min="79" max="79" width="26.36328125" bestFit="1" customWidth="1"/>
    <col min="80" max="80" width="22.08984375" bestFit="1" customWidth="1"/>
    <col min="81" max="81" width="25.54296875" bestFit="1" customWidth="1"/>
    <col min="82" max="82" width="26.36328125" bestFit="1" customWidth="1"/>
    <col min="83" max="83" width="22.08984375" bestFit="1" customWidth="1"/>
    <col min="84" max="84" width="25.54296875" bestFit="1" customWidth="1"/>
    <col min="85" max="85" width="26.36328125" bestFit="1" customWidth="1"/>
    <col min="86" max="86" width="29.6328125" bestFit="1" customWidth="1"/>
    <col min="87" max="87" width="33.1796875" bestFit="1" customWidth="1"/>
    <col min="88" max="88" width="33.90625" bestFit="1" customWidth="1"/>
  </cols>
  <sheetData>
    <row r="3" spans="1:88">
      <c r="B3" s="18" t="s">
        <v>369</v>
      </c>
    </row>
    <row r="4" spans="1:88">
      <c r="B4" t="s">
        <v>56</v>
      </c>
      <c r="E4" t="s">
        <v>83</v>
      </c>
      <c r="H4" t="s">
        <v>34</v>
      </c>
      <c r="K4" t="s">
        <v>38</v>
      </c>
      <c r="N4" t="s">
        <v>41</v>
      </c>
      <c r="Q4" t="s">
        <v>44</v>
      </c>
      <c r="T4" t="s">
        <v>47</v>
      </c>
      <c r="W4" t="s">
        <v>50</v>
      </c>
      <c r="Z4" t="s">
        <v>53</v>
      </c>
      <c r="AC4" t="s">
        <v>58</v>
      </c>
      <c r="AF4" t="s">
        <v>61</v>
      </c>
      <c r="AI4" t="s">
        <v>63</v>
      </c>
      <c r="AL4" t="s">
        <v>66</v>
      </c>
      <c r="AO4" t="s">
        <v>68</v>
      </c>
      <c r="AR4" t="s">
        <v>71</v>
      </c>
      <c r="AU4" t="s">
        <v>73</v>
      </c>
      <c r="AX4" t="s">
        <v>75</v>
      </c>
      <c r="BA4" t="s">
        <v>78</v>
      </c>
      <c r="BD4" t="s">
        <v>81</v>
      </c>
      <c r="BG4" t="s">
        <v>86</v>
      </c>
      <c r="BJ4" t="s">
        <v>88</v>
      </c>
      <c r="BM4" t="s">
        <v>91</v>
      </c>
      <c r="BP4" t="s">
        <v>94</v>
      </c>
      <c r="BS4" t="s">
        <v>97</v>
      </c>
      <c r="BV4" t="s">
        <v>100</v>
      </c>
      <c r="BY4" t="s">
        <v>102</v>
      </c>
      <c r="CB4" t="s">
        <v>104</v>
      </c>
      <c r="CE4" t="s">
        <v>468</v>
      </c>
      <c r="CH4" t="s">
        <v>475</v>
      </c>
      <c r="CI4" t="s">
        <v>471</v>
      </c>
      <c r="CJ4" t="s">
        <v>474</v>
      </c>
    </row>
    <row r="5" spans="1:88">
      <c r="A5" s="18" t="s">
        <v>319</v>
      </c>
      <c r="B5" t="s">
        <v>476</v>
      </c>
      <c r="C5" t="s">
        <v>472</v>
      </c>
      <c r="D5" t="s">
        <v>473</v>
      </c>
      <c r="E5" t="s">
        <v>476</v>
      </c>
      <c r="F5" t="s">
        <v>472</v>
      </c>
      <c r="G5" t="s">
        <v>473</v>
      </c>
      <c r="H5" t="s">
        <v>476</v>
      </c>
      <c r="I5" t="s">
        <v>472</v>
      </c>
      <c r="J5" t="s">
        <v>473</v>
      </c>
      <c r="K5" t="s">
        <v>476</v>
      </c>
      <c r="L5" t="s">
        <v>472</v>
      </c>
      <c r="M5" t="s">
        <v>473</v>
      </c>
      <c r="N5" t="s">
        <v>476</v>
      </c>
      <c r="O5" t="s">
        <v>472</v>
      </c>
      <c r="P5" t="s">
        <v>473</v>
      </c>
      <c r="Q5" t="s">
        <v>476</v>
      </c>
      <c r="R5" t="s">
        <v>472</v>
      </c>
      <c r="S5" t="s">
        <v>473</v>
      </c>
      <c r="T5" t="s">
        <v>476</v>
      </c>
      <c r="U5" t="s">
        <v>472</v>
      </c>
      <c r="V5" t="s">
        <v>473</v>
      </c>
      <c r="W5" t="s">
        <v>476</v>
      </c>
      <c r="X5" t="s">
        <v>472</v>
      </c>
      <c r="Y5" t="s">
        <v>473</v>
      </c>
      <c r="Z5" t="s">
        <v>476</v>
      </c>
      <c r="AA5" t="s">
        <v>472</v>
      </c>
      <c r="AB5" t="s">
        <v>473</v>
      </c>
      <c r="AC5" t="s">
        <v>476</v>
      </c>
      <c r="AD5" t="s">
        <v>472</v>
      </c>
      <c r="AE5" t="s">
        <v>473</v>
      </c>
      <c r="AF5" t="s">
        <v>476</v>
      </c>
      <c r="AG5" t="s">
        <v>472</v>
      </c>
      <c r="AH5" t="s">
        <v>473</v>
      </c>
      <c r="AI5" t="s">
        <v>476</v>
      </c>
      <c r="AJ5" t="s">
        <v>472</v>
      </c>
      <c r="AK5" t="s">
        <v>473</v>
      </c>
      <c r="AL5" t="s">
        <v>476</v>
      </c>
      <c r="AM5" t="s">
        <v>472</v>
      </c>
      <c r="AN5" t="s">
        <v>473</v>
      </c>
      <c r="AO5" t="s">
        <v>476</v>
      </c>
      <c r="AP5" t="s">
        <v>472</v>
      </c>
      <c r="AQ5" t="s">
        <v>473</v>
      </c>
      <c r="AR5" t="s">
        <v>476</v>
      </c>
      <c r="AS5" t="s">
        <v>472</v>
      </c>
      <c r="AT5" t="s">
        <v>473</v>
      </c>
      <c r="AU5" t="s">
        <v>476</v>
      </c>
      <c r="AV5" t="s">
        <v>472</v>
      </c>
      <c r="AW5" t="s">
        <v>473</v>
      </c>
      <c r="AX5" t="s">
        <v>476</v>
      </c>
      <c r="AY5" t="s">
        <v>472</v>
      </c>
      <c r="AZ5" t="s">
        <v>473</v>
      </c>
      <c r="BA5" t="s">
        <v>476</v>
      </c>
      <c r="BB5" t="s">
        <v>472</v>
      </c>
      <c r="BC5" t="s">
        <v>473</v>
      </c>
      <c r="BD5" t="s">
        <v>476</v>
      </c>
      <c r="BE5" t="s">
        <v>472</v>
      </c>
      <c r="BF5" t="s">
        <v>473</v>
      </c>
      <c r="BG5" t="s">
        <v>476</v>
      </c>
      <c r="BH5" t="s">
        <v>472</v>
      </c>
      <c r="BI5" t="s">
        <v>473</v>
      </c>
      <c r="BJ5" t="s">
        <v>476</v>
      </c>
      <c r="BK5" t="s">
        <v>472</v>
      </c>
      <c r="BL5" t="s">
        <v>473</v>
      </c>
      <c r="BM5" t="s">
        <v>476</v>
      </c>
      <c r="BN5" t="s">
        <v>472</v>
      </c>
      <c r="BO5" t="s">
        <v>473</v>
      </c>
      <c r="BP5" t="s">
        <v>476</v>
      </c>
      <c r="BQ5" t="s">
        <v>472</v>
      </c>
      <c r="BR5" t="s">
        <v>473</v>
      </c>
      <c r="BS5" t="s">
        <v>476</v>
      </c>
      <c r="BT5" t="s">
        <v>472</v>
      </c>
      <c r="BU5" t="s">
        <v>473</v>
      </c>
      <c r="BV5" t="s">
        <v>476</v>
      </c>
      <c r="BW5" t="s">
        <v>472</v>
      </c>
      <c r="BX5" t="s">
        <v>473</v>
      </c>
      <c r="BY5" t="s">
        <v>476</v>
      </c>
      <c r="BZ5" t="s">
        <v>472</v>
      </c>
      <c r="CA5" t="s">
        <v>473</v>
      </c>
      <c r="CB5" t="s">
        <v>476</v>
      </c>
      <c r="CC5" t="s">
        <v>472</v>
      </c>
      <c r="CD5" t="s">
        <v>473</v>
      </c>
      <c r="CE5" t="s">
        <v>476</v>
      </c>
      <c r="CF5" t="s">
        <v>472</v>
      </c>
      <c r="CG5" t="s">
        <v>473</v>
      </c>
    </row>
    <row r="6" spans="1:88">
      <c r="A6" s="19" t="s">
        <v>468</v>
      </c>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row>
    <row r="7" spans="1:88">
      <c r="A7" s="19" t="s">
        <v>321</v>
      </c>
      <c r="B7" s="1"/>
      <c r="C7" s="1"/>
      <c r="D7" s="1"/>
      <c r="E7" s="1"/>
      <c r="F7" s="1"/>
      <c r="G7" s="1"/>
      <c r="H7" s="1"/>
      <c r="I7" s="1"/>
      <c r="J7" s="1"/>
      <c r="K7" s="1"/>
      <c r="L7" s="1"/>
      <c r="M7" s="1"/>
      <c r="N7" s="1"/>
      <c r="O7" s="1"/>
      <c r="P7" s="1"/>
      <c r="Q7" s="1"/>
      <c r="R7" s="1"/>
      <c r="S7" s="1"/>
      <c r="T7" s="1"/>
      <c r="U7" s="1"/>
      <c r="V7" s="1"/>
      <c r="W7" s="1"/>
      <c r="X7" s="1"/>
      <c r="Y7" s="1"/>
      <c r="Z7" s="1"/>
      <c r="AA7" s="1"/>
      <c r="AB7" s="1"/>
      <c r="AC7" s="1">
        <v>0</v>
      </c>
      <c r="AD7" s="1"/>
      <c r="AE7" s="1">
        <v>0</v>
      </c>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v>1</v>
      </c>
      <c r="BN7" s="1"/>
      <c r="BO7" s="1"/>
      <c r="BP7" s="1"/>
      <c r="BQ7" s="1"/>
      <c r="BR7" s="1"/>
      <c r="BS7" s="1"/>
      <c r="BT7" s="1"/>
      <c r="BU7" s="1"/>
      <c r="BV7" s="1"/>
      <c r="BW7" s="1"/>
      <c r="BX7" s="1"/>
      <c r="BY7" s="1"/>
      <c r="BZ7" s="1"/>
      <c r="CA7" s="1"/>
      <c r="CB7" s="1"/>
      <c r="CC7" s="1"/>
      <c r="CD7" s="1"/>
      <c r="CE7" s="1"/>
      <c r="CF7" s="1"/>
      <c r="CG7" s="1"/>
      <c r="CH7" s="1">
        <v>1</v>
      </c>
      <c r="CI7" s="1"/>
      <c r="CJ7" s="1">
        <v>0</v>
      </c>
    </row>
    <row r="8" spans="1:88">
      <c r="A8" s="19" t="s">
        <v>322</v>
      </c>
      <c r="B8" s="1"/>
      <c r="C8" s="1"/>
      <c r="D8" s="1"/>
      <c r="E8" s="1"/>
      <c r="F8" s="1"/>
      <c r="G8" s="1"/>
      <c r="H8" s="1"/>
      <c r="I8" s="1"/>
      <c r="J8" s="1"/>
      <c r="K8" s="1"/>
      <c r="L8" s="1"/>
      <c r="M8" s="1"/>
      <c r="N8" s="1"/>
      <c r="O8" s="1"/>
      <c r="P8" s="1"/>
      <c r="Q8" s="1"/>
      <c r="R8" s="1"/>
      <c r="S8" s="1"/>
      <c r="T8" s="1"/>
      <c r="U8" s="1"/>
      <c r="V8" s="1"/>
      <c r="W8" s="1"/>
      <c r="X8" s="1"/>
      <c r="Y8" s="1"/>
      <c r="Z8" s="1"/>
      <c r="AA8" s="1"/>
      <c r="AB8" s="1"/>
      <c r="AC8" s="1">
        <v>1</v>
      </c>
      <c r="AD8" s="1"/>
      <c r="AE8" s="1">
        <v>0</v>
      </c>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v>1</v>
      </c>
      <c r="CI8" s="1"/>
      <c r="CJ8" s="1">
        <v>0</v>
      </c>
    </row>
    <row r="9" spans="1:88">
      <c r="A9" s="19" t="s">
        <v>323</v>
      </c>
      <c r="B9" s="1"/>
      <c r="C9" s="1"/>
      <c r="D9" s="1"/>
      <c r="E9" s="1"/>
      <c r="F9" s="1"/>
      <c r="G9" s="1"/>
      <c r="H9" s="1"/>
      <c r="I9" s="1"/>
      <c r="J9" s="1"/>
      <c r="K9" s="1"/>
      <c r="L9" s="1"/>
      <c r="M9" s="1"/>
      <c r="N9" s="1"/>
      <c r="O9" s="1"/>
      <c r="P9" s="1"/>
      <c r="Q9" s="1"/>
      <c r="R9" s="1"/>
      <c r="S9" s="1"/>
      <c r="T9" s="1"/>
      <c r="U9" s="1"/>
      <c r="V9" s="1"/>
      <c r="W9" s="1">
        <v>1</v>
      </c>
      <c r="X9" s="1"/>
      <c r="Y9" s="1"/>
      <c r="Z9" s="1"/>
      <c r="AA9" s="1"/>
      <c r="AB9" s="1"/>
      <c r="AC9" s="1">
        <v>1</v>
      </c>
      <c r="AD9" s="1"/>
      <c r="AE9" s="1">
        <v>0</v>
      </c>
      <c r="AF9" s="1"/>
      <c r="AG9" s="1"/>
      <c r="AH9" s="1"/>
      <c r="AI9" s="1"/>
      <c r="AJ9" s="1"/>
      <c r="AK9" s="1"/>
      <c r="AL9" s="1">
        <v>1</v>
      </c>
      <c r="AM9" s="1"/>
      <c r="AN9" s="1">
        <v>0</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v>2</v>
      </c>
      <c r="CC9" s="1"/>
      <c r="CD9" s="1"/>
      <c r="CE9" s="1"/>
      <c r="CF9" s="1"/>
      <c r="CG9" s="1"/>
      <c r="CH9" s="1">
        <v>5</v>
      </c>
      <c r="CI9" s="1"/>
      <c r="CJ9" s="1">
        <v>0</v>
      </c>
    </row>
    <row r="10" spans="1:88">
      <c r="A10" s="19" t="s">
        <v>324</v>
      </c>
      <c r="B10" s="1"/>
      <c r="C10" s="1"/>
      <c r="D10" s="1"/>
      <c r="E10" s="1"/>
      <c r="F10" s="1"/>
      <c r="G10" s="1"/>
      <c r="H10" s="1">
        <v>1</v>
      </c>
      <c r="I10" s="1"/>
      <c r="J10" s="1"/>
      <c r="K10" s="1"/>
      <c r="L10" s="1"/>
      <c r="M10" s="1"/>
      <c r="N10" s="1"/>
      <c r="O10" s="1"/>
      <c r="P10" s="1"/>
      <c r="Q10" s="1">
        <v>1</v>
      </c>
      <c r="R10" s="1"/>
      <c r="S10" s="1"/>
      <c r="T10" s="1">
        <v>1</v>
      </c>
      <c r="U10" s="1"/>
      <c r="V10" s="1"/>
      <c r="W10" s="1">
        <v>1</v>
      </c>
      <c r="X10" s="1"/>
      <c r="Y10" s="1"/>
      <c r="Z10" s="1"/>
      <c r="AA10" s="1"/>
      <c r="AB10" s="1"/>
      <c r="AC10" s="1">
        <v>4</v>
      </c>
      <c r="AD10" s="1"/>
      <c r="AE10" s="1">
        <v>0</v>
      </c>
      <c r="AF10" s="1"/>
      <c r="AG10" s="1"/>
      <c r="AH10" s="1"/>
      <c r="AI10" s="1"/>
      <c r="AJ10" s="1"/>
      <c r="AK10" s="1"/>
      <c r="AL10" s="1">
        <v>1</v>
      </c>
      <c r="AM10" s="1"/>
      <c r="AN10" s="1">
        <v>0</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v>1</v>
      </c>
      <c r="BW10" s="1"/>
      <c r="BX10" s="1">
        <v>0</v>
      </c>
      <c r="BY10" s="1"/>
      <c r="BZ10" s="1"/>
      <c r="CA10" s="1"/>
      <c r="CB10" s="1">
        <v>2</v>
      </c>
      <c r="CC10" s="1"/>
      <c r="CD10" s="1"/>
      <c r="CE10" s="1"/>
      <c r="CF10" s="1"/>
      <c r="CG10" s="1"/>
      <c r="CH10" s="1">
        <v>12</v>
      </c>
      <c r="CI10" s="1"/>
      <c r="CJ10" s="1">
        <v>0</v>
      </c>
    </row>
    <row r="11" spans="1:88">
      <c r="A11" s="19" t="s">
        <v>325</v>
      </c>
      <c r="B11" s="1"/>
      <c r="C11" s="1"/>
      <c r="D11" s="1"/>
      <c r="E11" s="1"/>
      <c r="F11" s="1"/>
      <c r="G11" s="1"/>
      <c r="H11" s="1"/>
      <c r="I11" s="1"/>
      <c r="J11" s="1"/>
      <c r="K11" s="1"/>
      <c r="L11" s="1"/>
      <c r="M11" s="1"/>
      <c r="N11" s="1"/>
      <c r="O11" s="1"/>
      <c r="P11" s="1"/>
      <c r="Q11" s="1"/>
      <c r="R11" s="1"/>
      <c r="S11" s="1"/>
      <c r="T11" s="1">
        <v>2</v>
      </c>
      <c r="U11" s="1"/>
      <c r="V11" s="1"/>
      <c r="W11" s="1">
        <v>1</v>
      </c>
      <c r="X11" s="1"/>
      <c r="Y11" s="1"/>
      <c r="Z11" s="1"/>
      <c r="AA11" s="1"/>
      <c r="AB11" s="1"/>
      <c r="AC11" s="1">
        <v>6</v>
      </c>
      <c r="AD11" s="1"/>
      <c r="AE11" s="1">
        <v>0</v>
      </c>
      <c r="AF11" s="1"/>
      <c r="AG11" s="1"/>
      <c r="AH11" s="1"/>
      <c r="AI11" s="1"/>
      <c r="AJ11" s="1"/>
      <c r="AK11" s="1"/>
      <c r="AL11" s="1">
        <v>1</v>
      </c>
      <c r="AM11" s="1"/>
      <c r="AN11" s="1">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v>1</v>
      </c>
      <c r="BW11" s="1"/>
      <c r="BX11" s="1">
        <v>0</v>
      </c>
      <c r="BY11" s="1">
        <v>0</v>
      </c>
      <c r="BZ11" s="1"/>
      <c r="CA11" s="1">
        <v>0</v>
      </c>
      <c r="CB11" s="1">
        <v>6</v>
      </c>
      <c r="CC11" s="1"/>
      <c r="CD11" s="1"/>
      <c r="CE11" s="1"/>
      <c r="CF11" s="1"/>
      <c r="CG11" s="1"/>
      <c r="CH11" s="1">
        <v>17</v>
      </c>
      <c r="CI11" s="1"/>
      <c r="CJ11" s="1">
        <v>0</v>
      </c>
    </row>
    <row r="12" spans="1:88">
      <c r="A12" s="19" t="s">
        <v>326</v>
      </c>
      <c r="B12" s="1">
        <v>1</v>
      </c>
      <c r="C12" s="1"/>
      <c r="D12" s="1"/>
      <c r="E12" s="1"/>
      <c r="F12" s="1"/>
      <c r="G12" s="1"/>
      <c r="H12" s="1"/>
      <c r="I12" s="1"/>
      <c r="J12" s="1"/>
      <c r="K12" s="1"/>
      <c r="L12" s="1"/>
      <c r="M12" s="1"/>
      <c r="N12" s="1"/>
      <c r="O12" s="1"/>
      <c r="P12" s="1"/>
      <c r="Q12" s="1">
        <v>2</v>
      </c>
      <c r="R12" s="1"/>
      <c r="S12" s="1"/>
      <c r="T12" s="1">
        <v>2</v>
      </c>
      <c r="U12" s="1"/>
      <c r="V12" s="1"/>
      <c r="W12" s="1">
        <v>1</v>
      </c>
      <c r="X12" s="1"/>
      <c r="Y12" s="1"/>
      <c r="Z12" s="1"/>
      <c r="AA12" s="1"/>
      <c r="AB12" s="1"/>
      <c r="AC12" s="1">
        <v>8</v>
      </c>
      <c r="AD12" s="1"/>
      <c r="AE12" s="1">
        <v>0</v>
      </c>
      <c r="AF12" s="1"/>
      <c r="AG12" s="1"/>
      <c r="AH12" s="1"/>
      <c r="AI12" s="1"/>
      <c r="AJ12" s="1"/>
      <c r="AK12" s="1"/>
      <c r="AL12" s="1">
        <v>1</v>
      </c>
      <c r="AM12" s="1"/>
      <c r="AN12" s="1">
        <v>0</v>
      </c>
      <c r="AO12" s="1"/>
      <c r="AP12" s="1"/>
      <c r="AQ12" s="1"/>
      <c r="AR12" s="1">
        <v>1</v>
      </c>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v>2</v>
      </c>
      <c r="BW12" s="1"/>
      <c r="BX12" s="1">
        <v>0</v>
      </c>
      <c r="BY12" s="1">
        <v>0</v>
      </c>
      <c r="BZ12" s="1">
        <v>0</v>
      </c>
      <c r="CA12" s="1">
        <v>0</v>
      </c>
      <c r="CB12" s="1">
        <v>7</v>
      </c>
      <c r="CC12" s="1"/>
      <c r="CD12" s="1"/>
      <c r="CE12" s="1"/>
      <c r="CF12" s="1"/>
      <c r="CG12" s="1"/>
      <c r="CH12" s="1">
        <v>25</v>
      </c>
      <c r="CI12" s="1">
        <v>0</v>
      </c>
      <c r="CJ12" s="1">
        <v>0</v>
      </c>
    </row>
    <row r="13" spans="1:88">
      <c r="A13" s="19" t="s">
        <v>327</v>
      </c>
      <c r="B13" s="1">
        <v>2</v>
      </c>
      <c r="C13" s="1"/>
      <c r="D13" s="1"/>
      <c r="E13" s="1"/>
      <c r="F13" s="1"/>
      <c r="G13" s="1"/>
      <c r="H13" s="1">
        <v>2</v>
      </c>
      <c r="I13" s="1"/>
      <c r="J13" s="1"/>
      <c r="K13" s="1"/>
      <c r="L13" s="1"/>
      <c r="M13" s="1"/>
      <c r="N13" s="1"/>
      <c r="O13" s="1"/>
      <c r="P13" s="1"/>
      <c r="Q13" s="1">
        <v>4</v>
      </c>
      <c r="R13" s="1"/>
      <c r="S13" s="1"/>
      <c r="T13" s="1">
        <v>2</v>
      </c>
      <c r="U13" s="1"/>
      <c r="V13" s="1"/>
      <c r="W13" s="1">
        <v>1</v>
      </c>
      <c r="X13" s="1"/>
      <c r="Y13" s="1"/>
      <c r="Z13" s="1"/>
      <c r="AA13" s="1"/>
      <c r="AB13" s="1"/>
      <c r="AC13" s="1">
        <v>8</v>
      </c>
      <c r="AD13" s="1"/>
      <c r="AE13" s="1">
        <v>0</v>
      </c>
      <c r="AF13" s="1"/>
      <c r="AG13" s="1"/>
      <c r="AH13" s="1"/>
      <c r="AI13" s="1"/>
      <c r="AJ13" s="1"/>
      <c r="AK13" s="1"/>
      <c r="AL13" s="1">
        <v>1</v>
      </c>
      <c r="AM13" s="1"/>
      <c r="AN13" s="1">
        <v>0</v>
      </c>
      <c r="AO13" s="1"/>
      <c r="AP13" s="1"/>
      <c r="AQ13" s="1"/>
      <c r="AR13" s="1">
        <v>1</v>
      </c>
      <c r="AS13" s="1"/>
      <c r="AT13" s="1"/>
      <c r="AU13" s="1"/>
      <c r="AV13" s="1"/>
      <c r="AW13" s="1"/>
      <c r="AX13" s="1"/>
      <c r="AY13" s="1"/>
      <c r="AZ13" s="1"/>
      <c r="BA13" s="1">
        <v>0</v>
      </c>
      <c r="BB13" s="1"/>
      <c r="BC13" s="1"/>
      <c r="BD13" s="1"/>
      <c r="BE13" s="1"/>
      <c r="BF13" s="1"/>
      <c r="BG13" s="1"/>
      <c r="BH13" s="1"/>
      <c r="BI13" s="1"/>
      <c r="BJ13" s="1"/>
      <c r="BK13" s="1"/>
      <c r="BL13" s="1"/>
      <c r="BM13" s="1">
        <v>2</v>
      </c>
      <c r="BN13" s="1"/>
      <c r="BO13" s="1"/>
      <c r="BP13" s="1"/>
      <c r="BQ13" s="1"/>
      <c r="BR13" s="1"/>
      <c r="BS13" s="1"/>
      <c r="BT13" s="1"/>
      <c r="BU13" s="1"/>
      <c r="BV13" s="1">
        <v>3</v>
      </c>
      <c r="BW13" s="1"/>
      <c r="BX13" s="1">
        <v>0</v>
      </c>
      <c r="BY13" s="1">
        <v>0</v>
      </c>
      <c r="BZ13" s="1">
        <v>0</v>
      </c>
      <c r="CA13" s="1">
        <v>0</v>
      </c>
      <c r="CB13" s="1">
        <v>11</v>
      </c>
      <c r="CC13" s="1"/>
      <c r="CD13" s="1"/>
      <c r="CE13" s="1"/>
      <c r="CF13" s="1"/>
      <c r="CG13" s="1"/>
      <c r="CH13" s="1">
        <v>37</v>
      </c>
      <c r="CI13" s="1">
        <v>0</v>
      </c>
      <c r="CJ13" s="1">
        <v>0</v>
      </c>
    </row>
    <row r="14" spans="1:88">
      <c r="A14" s="19" t="s">
        <v>328</v>
      </c>
      <c r="B14" s="1"/>
      <c r="C14" s="1"/>
      <c r="D14" s="1"/>
      <c r="E14" s="1"/>
      <c r="F14" s="1"/>
      <c r="G14" s="1"/>
      <c r="H14" s="1">
        <v>6</v>
      </c>
      <c r="I14" s="1"/>
      <c r="J14" s="1"/>
      <c r="K14" s="1"/>
      <c r="L14" s="1"/>
      <c r="M14" s="1"/>
      <c r="N14" s="1"/>
      <c r="O14" s="1"/>
      <c r="P14" s="1"/>
      <c r="Q14" s="1"/>
      <c r="R14" s="1"/>
      <c r="S14" s="1"/>
      <c r="T14" s="1">
        <v>2</v>
      </c>
      <c r="U14" s="1"/>
      <c r="V14" s="1"/>
      <c r="W14" s="1">
        <v>3</v>
      </c>
      <c r="X14" s="1"/>
      <c r="Y14" s="1"/>
      <c r="Z14" s="1"/>
      <c r="AA14" s="1"/>
      <c r="AB14" s="1"/>
      <c r="AC14" s="1">
        <v>11</v>
      </c>
      <c r="AD14" s="1"/>
      <c r="AE14" s="1">
        <v>0</v>
      </c>
      <c r="AF14" s="1"/>
      <c r="AG14" s="1"/>
      <c r="AH14" s="1"/>
      <c r="AI14" s="1"/>
      <c r="AJ14" s="1"/>
      <c r="AK14" s="1"/>
      <c r="AL14" s="1">
        <v>2</v>
      </c>
      <c r="AM14" s="1"/>
      <c r="AN14" s="1">
        <v>0</v>
      </c>
      <c r="AO14" s="1"/>
      <c r="AP14" s="1"/>
      <c r="AQ14" s="1"/>
      <c r="AR14" s="1">
        <v>1</v>
      </c>
      <c r="AS14" s="1"/>
      <c r="AT14" s="1"/>
      <c r="AU14" s="1"/>
      <c r="AV14" s="1"/>
      <c r="AW14" s="1"/>
      <c r="AX14" s="1"/>
      <c r="AY14" s="1"/>
      <c r="AZ14" s="1"/>
      <c r="BA14" s="1"/>
      <c r="BB14" s="1"/>
      <c r="BC14" s="1"/>
      <c r="BD14" s="1"/>
      <c r="BE14" s="1"/>
      <c r="BF14" s="1"/>
      <c r="BG14" s="1">
        <v>1</v>
      </c>
      <c r="BH14" s="1"/>
      <c r="BI14" s="1"/>
      <c r="BJ14" s="1"/>
      <c r="BK14" s="1"/>
      <c r="BL14" s="1"/>
      <c r="BM14" s="1">
        <v>4</v>
      </c>
      <c r="BN14" s="1"/>
      <c r="BO14" s="1"/>
      <c r="BP14" s="1"/>
      <c r="BQ14" s="1"/>
      <c r="BR14" s="1"/>
      <c r="BS14" s="1"/>
      <c r="BT14" s="1"/>
      <c r="BU14" s="1"/>
      <c r="BV14" s="1">
        <v>3</v>
      </c>
      <c r="BW14" s="1"/>
      <c r="BX14" s="1">
        <v>0</v>
      </c>
      <c r="BY14" s="1">
        <v>1</v>
      </c>
      <c r="BZ14" s="1">
        <v>0</v>
      </c>
      <c r="CA14" s="1">
        <v>0</v>
      </c>
      <c r="CB14" s="1">
        <v>14</v>
      </c>
      <c r="CC14" s="1"/>
      <c r="CD14" s="1"/>
      <c r="CE14" s="1"/>
      <c r="CF14" s="1"/>
      <c r="CG14" s="1"/>
      <c r="CH14" s="1">
        <v>48</v>
      </c>
      <c r="CI14" s="1">
        <v>0</v>
      </c>
      <c r="CJ14" s="1">
        <v>0</v>
      </c>
    </row>
    <row r="15" spans="1:88">
      <c r="A15" s="19" t="s">
        <v>329</v>
      </c>
      <c r="B15" s="1">
        <v>4</v>
      </c>
      <c r="C15" s="1"/>
      <c r="D15" s="1"/>
      <c r="E15" s="1"/>
      <c r="F15" s="1"/>
      <c r="G15" s="1"/>
      <c r="H15" s="1">
        <v>7</v>
      </c>
      <c r="I15" s="1"/>
      <c r="J15" s="1"/>
      <c r="K15" s="1"/>
      <c r="L15" s="1"/>
      <c r="M15" s="1"/>
      <c r="N15" s="1"/>
      <c r="O15" s="1"/>
      <c r="P15" s="1"/>
      <c r="Q15" s="1">
        <v>6</v>
      </c>
      <c r="R15" s="1"/>
      <c r="S15" s="1"/>
      <c r="T15" s="1">
        <v>2</v>
      </c>
      <c r="U15" s="1"/>
      <c r="V15" s="1"/>
      <c r="W15" s="1">
        <v>3</v>
      </c>
      <c r="X15" s="1"/>
      <c r="Y15" s="1"/>
      <c r="Z15" s="1">
        <v>1</v>
      </c>
      <c r="AA15" s="1"/>
      <c r="AB15" s="1"/>
      <c r="AC15" s="1">
        <v>11</v>
      </c>
      <c r="AD15" s="1"/>
      <c r="AE15" s="1">
        <v>0</v>
      </c>
      <c r="AF15" s="1"/>
      <c r="AG15" s="1"/>
      <c r="AH15" s="1"/>
      <c r="AI15" s="1"/>
      <c r="AJ15" s="1"/>
      <c r="AK15" s="1"/>
      <c r="AL15" s="1">
        <v>2</v>
      </c>
      <c r="AM15" s="1"/>
      <c r="AN15" s="1">
        <v>0</v>
      </c>
      <c r="AO15" s="1">
        <v>0</v>
      </c>
      <c r="AP15" s="1"/>
      <c r="AQ15" s="1"/>
      <c r="AR15" s="1">
        <v>8</v>
      </c>
      <c r="AS15" s="1"/>
      <c r="AT15" s="1"/>
      <c r="AU15" s="1"/>
      <c r="AV15" s="1"/>
      <c r="AW15" s="1"/>
      <c r="AX15" s="1"/>
      <c r="AY15" s="1"/>
      <c r="AZ15" s="1"/>
      <c r="BA15" s="1">
        <v>1</v>
      </c>
      <c r="BB15" s="1"/>
      <c r="BC15" s="1"/>
      <c r="BD15" s="1"/>
      <c r="BE15" s="1"/>
      <c r="BF15" s="1"/>
      <c r="BG15" s="1">
        <v>3</v>
      </c>
      <c r="BH15" s="1"/>
      <c r="BI15" s="1"/>
      <c r="BJ15" s="1"/>
      <c r="BK15" s="1"/>
      <c r="BL15" s="1"/>
      <c r="BM15" s="1">
        <v>5</v>
      </c>
      <c r="BN15" s="1"/>
      <c r="BO15" s="1"/>
      <c r="BP15" s="1"/>
      <c r="BQ15" s="1"/>
      <c r="BR15" s="1"/>
      <c r="BS15" s="1"/>
      <c r="BT15" s="1"/>
      <c r="BU15" s="1"/>
      <c r="BV15" s="1">
        <v>4</v>
      </c>
      <c r="BW15" s="1"/>
      <c r="BX15" s="1">
        <v>0</v>
      </c>
      <c r="BY15" s="1">
        <v>1</v>
      </c>
      <c r="BZ15" s="1">
        <v>0</v>
      </c>
      <c r="CA15" s="1">
        <v>0</v>
      </c>
      <c r="CB15" s="1">
        <v>16</v>
      </c>
      <c r="CC15" s="1"/>
      <c r="CD15" s="1"/>
      <c r="CE15" s="1"/>
      <c r="CF15" s="1"/>
      <c r="CG15" s="1"/>
      <c r="CH15" s="1">
        <v>74</v>
      </c>
      <c r="CI15" s="1">
        <v>0</v>
      </c>
      <c r="CJ15" s="1">
        <v>0</v>
      </c>
    </row>
    <row r="16" spans="1:88">
      <c r="A16" s="19" t="s">
        <v>330</v>
      </c>
      <c r="B16" s="1">
        <v>6</v>
      </c>
      <c r="C16" s="1"/>
      <c r="D16" s="1"/>
      <c r="E16" s="1"/>
      <c r="F16" s="1"/>
      <c r="G16" s="1"/>
      <c r="H16" s="1">
        <v>9</v>
      </c>
      <c r="I16" s="1"/>
      <c r="J16" s="1"/>
      <c r="K16" s="1"/>
      <c r="L16" s="1"/>
      <c r="M16" s="1"/>
      <c r="N16" s="1">
        <v>1</v>
      </c>
      <c r="O16" s="1"/>
      <c r="P16" s="1"/>
      <c r="Q16" s="1"/>
      <c r="R16" s="1"/>
      <c r="S16" s="1"/>
      <c r="T16" s="1">
        <v>6</v>
      </c>
      <c r="U16" s="1"/>
      <c r="V16" s="1"/>
      <c r="W16" s="1">
        <v>8</v>
      </c>
      <c r="X16" s="1"/>
      <c r="Y16" s="1"/>
      <c r="Z16" s="1">
        <v>1</v>
      </c>
      <c r="AA16" s="1"/>
      <c r="AB16" s="1"/>
      <c r="AC16" s="1">
        <v>15</v>
      </c>
      <c r="AD16" s="1"/>
      <c r="AE16" s="1">
        <v>0</v>
      </c>
      <c r="AF16" s="1"/>
      <c r="AG16" s="1"/>
      <c r="AH16" s="1"/>
      <c r="AI16" s="1"/>
      <c r="AJ16" s="1"/>
      <c r="AK16" s="1"/>
      <c r="AL16" s="1">
        <v>4</v>
      </c>
      <c r="AM16" s="1"/>
      <c r="AN16" s="1">
        <v>0</v>
      </c>
      <c r="AO16" s="1"/>
      <c r="AP16" s="1"/>
      <c r="AQ16" s="1"/>
      <c r="AR16" s="1">
        <v>9</v>
      </c>
      <c r="AS16" s="1"/>
      <c r="AT16" s="1"/>
      <c r="AU16" s="1"/>
      <c r="AV16" s="1"/>
      <c r="AW16" s="1"/>
      <c r="AX16" s="1"/>
      <c r="AY16" s="1"/>
      <c r="AZ16" s="1"/>
      <c r="BA16" s="1"/>
      <c r="BB16" s="1"/>
      <c r="BC16" s="1"/>
      <c r="BD16" s="1"/>
      <c r="BE16" s="1"/>
      <c r="BF16" s="1"/>
      <c r="BG16" s="1"/>
      <c r="BH16" s="1"/>
      <c r="BI16" s="1"/>
      <c r="BJ16" s="1"/>
      <c r="BK16" s="1"/>
      <c r="BL16" s="1"/>
      <c r="BM16" s="1">
        <v>18</v>
      </c>
      <c r="BN16" s="1"/>
      <c r="BO16" s="1"/>
      <c r="BP16" s="1"/>
      <c r="BQ16" s="1"/>
      <c r="BR16" s="1"/>
      <c r="BS16" s="1"/>
      <c r="BT16" s="1"/>
      <c r="BU16" s="1"/>
      <c r="BV16" s="1">
        <v>5</v>
      </c>
      <c r="BW16" s="1"/>
      <c r="BX16" s="1">
        <v>0</v>
      </c>
      <c r="BY16" s="1">
        <v>2</v>
      </c>
      <c r="BZ16" s="1">
        <v>0</v>
      </c>
      <c r="CA16" s="1">
        <v>0</v>
      </c>
      <c r="CB16" s="1">
        <v>24</v>
      </c>
      <c r="CC16" s="1"/>
      <c r="CD16" s="1"/>
      <c r="CE16" s="1"/>
      <c r="CF16" s="1"/>
      <c r="CG16" s="1"/>
      <c r="CH16" s="1">
        <v>108</v>
      </c>
      <c r="CI16" s="1">
        <v>0</v>
      </c>
      <c r="CJ16" s="1">
        <v>0</v>
      </c>
    </row>
    <row r="17" spans="1:88">
      <c r="A17" s="19" t="s">
        <v>331</v>
      </c>
      <c r="B17" s="1"/>
      <c r="C17" s="1"/>
      <c r="D17" s="1"/>
      <c r="E17" s="1">
        <v>1</v>
      </c>
      <c r="F17" s="1"/>
      <c r="G17" s="1"/>
      <c r="H17" s="1">
        <v>12</v>
      </c>
      <c r="I17" s="1">
        <v>1</v>
      </c>
      <c r="J17" s="1"/>
      <c r="K17" s="1"/>
      <c r="L17" s="1"/>
      <c r="M17" s="1"/>
      <c r="N17" s="1"/>
      <c r="O17" s="1"/>
      <c r="P17" s="1"/>
      <c r="Q17" s="1">
        <v>17</v>
      </c>
      <c r="R17" s="1"/>
      <c r="S17" s="1"/>
      <c r="T17" s="1">
        <v>6</v>
      </c>
      <c r="U17" s="1"/>
      <c r="V17" s="1"/>
      <c r="W17" s="1">
        <v>15</v>
      </c>
      <c r="X17" s="1"/>
      <c r="Y17" s="1"/>
      <c r="Z17" s="1">
        <v>1</v>
      </c>
      <c r="AA17" s="1"/>
      <c r="AB17" s="1"/>
      <c r="AC17" s="1">
        <v>19</v>
      </c>
      <c r="AD17" s="1"/>
      <c r="AE17" s="1">
        <v>0</v>
      </c>
      <c r="AF17" s="1"/>
      <c r="AG17" s="1"/>
      <c r="AH17" s="1"/>
      <c r="AI17" s="1"/>
      <c r="AJ17" s="1"/>
      <c r="AK17" s="1"/>
      <c r="AL17" s="1">
        <v>4</v>
      </c>
      <c r="AM17" s="1"/>
      <c r="AN17" s="1">
        <v>0</v>
      </c>
      <c r="AO17" s="1"/>
      <c r="AP17" s="1"/>
      <c r="AQ17" s="1"/>
      <c r="AR17" s="1">
        <v>13</v>
      </c>
      <c r="AS17" s="1"/>
      <c r="AT17" s="1"/>
      <c r="AU17" s="1"/>
      <c r="AV17" s="1"/>
      <c r="AW17" s="1"/>
      <c r="AX17" s="1"/>
      <c r="AY17" s="1"/>
      <c r="AZ17" s="1"/>
      <c r="BA17" s="1">
        <v>2</v>
      </c>
      <c r="BB17" s="1"/>
      <c r="BC17" s="1"/>
      <c r="BD17" s="1"/>
      <c r="BE17" s="1"/>
      <c r="BF17" s="1"/>
      <c r="BG17" s="1">
        <v>6</v>
      </c>
      <c r="BH17" s="1"/>
      <c r="BI17" s="1"/>
      <c r="BJ17" s="1"/>
      <c r="BK17" s="1"/>
      <c r="BL17" s="1"/>
      <c r="BM17" s="1"/>
      <c r="BN17" s="1"/>
      <c r="BO17" s="1"/>
      <c r="BP17" s="1"/>
      <c r="BQ17" s="1"/>
      <c r="BR17" s="1"/>
      <c r="BS17" s="1">
        <v>23</v>
      </c>
      <c r="BT17" s="1"/>
      <c r="BU17" s="1">
        <v>1</v>
      </c>
      <c r="BV17" s="1">
        <v>6</v>
      </c>
      <c r="BW17" s="1"/>
      <c r="BX17" s="1">
        <v>0</v>
      </c>
      <c r="BY17" s="1">
        <v>3</v>
      </c>
      <c r="BZ17" s="1">
        <v>0</v>
      </c>
      <c r="CA17" s="1">
        <v>0</v>
      </c>
      <c r="CB17" s="1">
        <v>30</v>
      </c>
      <c r="CC17" s="1"/>
      <c r="CD17" s="1"/>
      <c r="CE17" s="1"/>
      <c r="CF17" s="1"/>
      <c r="CG17" s="1"/>
      <c r="CH17" s="1">
        <v>158</v>
      </c>
      <c r="CI17" s="1">
        <v>1</v>
      </c>
      <c r="CJ17" s="1">
        <v>1</v>
      </c>
    </row>
    <row r="18" spans="1:88">
      <c r="A18" s="19" t="s">
        <v>332</v>
      </c>
      <c r="B18" s="1"/>
      <c r="C18" s="1"/>
      <c r="D18" s="1"/>
      <c r="E18" s="1"/>
      <c r="F18" s="1"/>
      <c r="G18" s="1"/>
      <c r="H18" s="1"/>
      <c r="I18" s="1"/>
      <c r="J18" s="1"/>
      <c r="K18" s="1"/>
      <c r="L18" s="1"/>
      <c r="M18" s="1"/>
      <c r="N18" s="1"/>
      <c r="O18" s="1"/>
      <c r="P18" s="1"/>
      <c r="Q18" s="1"/>
      <c r="R18" s="1"/>
      <c r="S18" s="1"/>
      <c r="T18" s="1">
        <v>15</v>
      </c>
      <c r="U18" s="1"/>
      <c r="V18" s="1"/>
      <c r="W18" s="1">
        <v>21</v>
      </c>
      <c r="X18" s="1"/>
      <c r="Y18" s="1"/>
      <c r="Z18" s="1"/>
      <c r="AA18" s="1"/>
      <c r="AB18" s="1"/>
      <c r="AC18" s="1">
        <v>30</v>
      </c>
      <c r="AD18" s="1"/>
      <c r="AE18" s="1">
        <v>0</v>
      </c>
      <c r="AF18" s="1"/>
      <c r="AG18" s="1"/>
      <c r="AH18" s="1"/>
      <c r="AI18" s="1"/>
      <c r="AJ18" s="1"/>
      <c r="AK18" s="1"/>
      <c r="AL18" s="1">
        <v>5</v>
      </c>
      <c r="AM18" s="1"/>
      <c r="AN18" s="1">
        <v>0</v>
      </c>
      <c r="AO18" s="1"/>
      <c r="AP18" s="1"/>
      <c r="AQ18" s="1"/>
      <c r="AR18" s="1">
        <v>18</v>
      </c>
      <c r="AS18" s="1"/>
      <c r="AT18" s="1"/>
      <c r="AU18" s="1"/>
      <c r="AV18" s="1"/>
      <c r="AW18" s="1"/>
      <c r="AX18" s="1"/>
      <c r="AY18" s="1"/>
      <c r="AZ18" s="1"/>
      <c r="BA18" s="1"/>
      <c r="BB18" s="1"/>
      <c r="BC18" s="1"/>
      <c r="BD18" s="1"/>
      <c r="BE18" s="1"/>
      <c r="BF18" s="1"/>
      <c r="BG18" s="1"/>
      <c r="BH18" s="1"/>
      <c r="BI18" s="1"/>
      <c r="BJ18" s="1"/>
      <c r="BK18" s="1"/>
      <c r="BL18" s="1"/>
      <c r="BM18" s="1">
        <v>45</v>
      </c>
      <c r="BN18" s="1"/>
      <c r="BO18" s="1"/>
      <c r="BP18" s="1"/>
      <c r="BQ18" s="1"/>
      <c r="BR18" s="1"/>
      <c r="BS18" s="1">
        <v>30</v>
      </c>
      <c r="BT18" s="1"/>
      <c r="BU18" s="1">
        <v>1</v>
      </c>
      <c r="BV18" s="1">
        <v>7</v>
      </c>
      <c r="BW18" s="1"/>
      <c r="BX18" s="1">
        <v>0</v>
      </c>
      <c r="BY18" s="1">
        <v>3</v>
      </c>
      <c r="BZ18" s="1">
        <v>0</v>
      </c>
      <c r="CA18" s="1">
        <v>0</v>
      </c>
      <c r="CB18" s="1">
        <v>35</v>
      </c>
      <c r="CC18" s="1"/>
      <c r="CD18" s="1"/>
      <c r="CE18" s="1"/>
      <c r="CF18" s="1"/>
      <c r="CG18" s="1"/>
      <c r="CH18" s="1">
        <v>209</v>
      </c>
      <c r="CI18" s="1">
        <v>0</v>
      </c>
      <c r="CJ18" s="1">
        <v>1</v>
      </c>
    </row>
    <row r="19" spans="1:88">
      <c r="A19" s="19" t="s">
        <v>333</v>
      </c>
      <c r="B19" s="1">
        <v>8</v>
      </c>
      <c r="C19" s="1"/>
      <c r="D19" s="1"/>
      <c r="E19" s="1"/>
      <c r="F19" s="1"/>
      <c r="G19" s="1"/>
      <c r="H19" s="1"/>
      <c r="I19" s="1"/>
      <c r="J19" s="1"/>
      <c r="K19" s="1"/>
      <c r="L19" s="1"/>
      <c r="M19" s="1"/>
      <c r="N19" s="1"/>
      <c r="O19" s="1"/>
      <c r="P19" s="1"/>
      <c r="Q19" s="1"/>
      <c r="R19" s="1"/>
      <c r="S19" s="1"/>
      <c r="T19" s="1">
        <v>19</v>
      </c>
      <c r="U19" s="1"/>
      <c r="V19" s="1">
        <v>1</v>
      </c>
      <c r="W19" s="1">
        <v>24</v>
      </c>
      <c r="X19" s="1"/>
      <c r="Y19" s="1"/>
      <c r="Z19" s="1"/>
      <c r="AA19" s="1"/>
      <c r="AB19" s="1"/>
      <c r="AC19" s="1">
        <v>38</v>
      </c>
      <c r="AD19" s="1"/>
      <c r="AE19" s="1">
        <v>0</v>
      </c>
      <c r="AF19" s="1"/>
      <c r="AG19" s="1"/>
      <c r="AH19" s="1"/>
      <c r="AI19" s="1"/>
      <c r="AJ19" s="1"/>
      <c r="AK19" s="1"/>
      <c r="AL19" s="1">
        <v>5</v>
      </c>
      <c r="AM19" s="1"/>
      <c r="AN19" s="1">
        <v>0</v>
      </c>
      <c r="AO19" s="1"/>
      <c r="AP19" s="1"/>
      <c r="AQ19" s="1"/>
      <c r="AR19" s="1">
        <v>24</v>
      </c>
      <c r="AS19" s="1"/>
      <c r="AT19" s="1"/>
      <c r="AU19" s="1"/>
      <c r="AV19" s="1"/>
      <c r="AW19" s="1"/>
      <c r="AX19" s="1"/>
      <c r="AY19" s="1"/>
      <c r="AZ19" s="1"/>
      <c r="BA19" s="1"/>
      <c r="BB19" s="1"/>
      <c r="BC19" s="1"/>
      <c r="BD19" s="1"/>
      <c r="BE19" s="1"/>
      <c r="BF19" s="1"/>
      <c r="BG19" s="1"/>
      <c r="BH19" s="1"/>
      <c r="BI19" s="1"/>
      <c r="BJ19" s="1"/>
      <c r="BK19" s="1"/>
      <c r="BL19" s="1"/>
      <c r="BM19" s="1">
        <v>58</v>
      </c>
      <c r="BN19" s="1"/>
      <c r="BO19" s="1"/>
      <c r="BP19" s="1"/>
      <c r="BQ19" s="1"/>
      <c r="BR19" s="1"/>
      <c r="BS19" s="1">
        <v>40</v>
      </c>
      <c r="BT19" s="1"/>
      <c r="BU19" s="1">
        <v>1</v>
      </c>
      <c r="BV19" s="1">
        <v>12</v>
      </c>
      <c r="BW19" s="1"/>
      <c r="BX19" s="1">
        <v>0</v>
      </c>
      <c r="BY19" s="1">
        <v>3</v>
      </c>
      <c r="BZ19" s="1">
        <v>0</v>
      </c>
      <c r="CA19" s="1">
        <v>0</v>
      </c>
      <c r="CB19" s="1">
        <v>41</v>
      </c>
      <c r="CC19" s="1"/>
      <c r="CD19" s="1"/>
      <c r="CE19" s="1"/>
      <c r="CF19" s="1"/>
      <c r="CG19" s="1"/>
      <c r="CH19" s="1">
        <v>272</v>
      </c>
      <c r="CI19" s="1">
        <v>0</v>
      </c>
      <c r="CJ19" s="1">
        <v>2</v>
      </c>
    </row>
    <row r="20" spans="1:88">
      <c r="A20" s="19" t="s">
        <v>334</v>
      </c>
      <c r="B20" s="1">
        <v>11</v>
      </c>
      <c r="C20" s="1"/>
      <c r="D20" s="1"/>
      <c r="E20" s="1"/>
      <c r="F20" s="1"/>
      <c r="G20" s="1"/>
      <c r="H20" s="1">
        <v>14</v>
      </c>
      <c r="I20" s="1">
        <v>2</v>
      </c>
      <c r="J20" s="1"/>
      <c r="K20" s="1"/>
      <c r="L20" s="1"/>
      <c r="M20" s="1"/>
      <c r="N20" s="1">
        <v>2</v>
      </c>
      <c r="O20" s="1"/>
      <c r="P20" s="1"/>
      <c r="Q20" s="1">
        <v>34</v>
      </c>
      <c r="R20" s="1"/>
      <c r="S20" s="1"/>
      <c r="T20" s="1">
        <v>20</v>
      </c>
      <c r="U20" s="1">
        <v>1</v>
      </c>
      <c r="V20" s="1">
        <v>1</v>
      </c>
      <c r="W20" s="1">
        <v>28</v>
      </c>
      <c r="X20" s="1"/>
      <c r="Y20" s="1"/>
      <c r="Z20" s="1">
        <v>1</v>
      </c>
      <c r="AA20" s="1"/>
      <c r="AB20" s="1"/>
      <c r="AC20" s="1">
        <v>47</v>
      </c>
      <c r="AD20" s="1"/>
      <c r="AE20" s="1">
        <v>0</v>
      </c>
      <c r="AF20" s="1"/>
      <c r="AG20" s="1"/>
      <c r="AH20" s="1"/>
      <c r="AI20" s="1"/>
      <c r="AJ20" s="1"/>
      <c r="AK20" s="1"/>
      <c r="AL20" s="1">
        <v>7</v>
      </c>
      <c r="AM20" s="1"/>
      <c r="AN20" s="1">
        <v>0</v>
      </c>
      <c r="AO20" s="1"/>
      <c r="AP20" s="1"/>
      <c r="AQ20" s="1"/>
      <c r="AR20" s="1">
        <v>27</v>
      </c>
      <c r="AS20" s="1"/>
      <c r="AT20" s="1"/>
      <c r="AU20" s="1"/>
      <c r="AV20" s="1"/>
      <c r="AW20" s="1"/>
      <c r="AX20" s="1"/>
      <c r="AY20" s="1"/>
      <c r="AZ20" s="1"/>
      <c r="BA20" s="1"/>
      <c r="BB20" s="1"/>
      <c r="BC20" s="1"/>
      <c r="BD20" s="1"/>
      <c r="BE20" s="1"/>
      <c r="BF20" s="1"/>
      <c r="BG20" s="1"/>
      <c r="BH20" s="1"/>
      <c r="BI20" s="1"/>
      <c r="BJ20" s="1"/>
      <c r="BK20" s="1"/>
      <c r="BL20" s="1"/>
      <c r="BM20" s="1">
        <v>68</v>
      </c>
      <c r="BN20" s="1"/>
      <c r="BO20" s="1"/>
      <c r="BP20" s="1"/>
      <c r="BQ20" s="1"/>
      <c r="BR20" s="1"/>
      <c r="BS20" s="1">
        <v>51</v>
      </c>
      <c r="BT20" s="1"/>
      <c r="BU20" s="1">
        <v>1</v>
      </c>
      <c r="BV20" s="1">
        <v>17</v>
      </c>
      <c r="BW20" s="1"/>
      <c r="BX20" s="1">
        <v>0</v>
      </c>
      <c r="BY20" s="1">
        <v>10</v>
      </c>
      <c r="BZ20" s="1">
        <v>0</v>
      </c>
      <c r="CA20" s="1">
        <v>0</v>
      </c>
      <c r="CB20" s="1">
        <v>50</v>
      </c>
      <c r="CC20" s="1"/>
      <c r="CD20" s="1"/>
      <c r="CE20" s="1"/>
      <c r="CF20" s="1"/>
      <c r="CG20" s="1"/>
      <c r="CH20" s="1">
        <v>387</v>
      </c>
      <c r="CI20" s="1">
        <v>3</v>
      </c>
      <c r="CJ20" s="1">
        <v>2</v>
      </c>
    </row>
    <row r="21" spans="1:88">
      <c r="A21" s="19" t="s">
        <v>335</v>
      </c>
      <c r="B21" s="1"/>
      <c r="C21" s="1"/>
      <c r="D21" s="1"/>
      <c r="E21" s="1"/>
      <c r="F21" s="1"/>
      <c r="G21" s="1"/>
      <c r="H21" s="1">
        <v>17</v>
      </c>
      <c r="I21" s="1">
        <v>2</v>
      </c>
      <c r="J21" s="1"/>
      <c r="K21" s="1"/>
      <c r="L21" s="1"/>
      <c r="M21" s="1"/>
      <c r="N21" s="1"/>
      <c r="O21" s="1"/>
      <c r="P21" s="1"/>
      <c r="Q21" s="1"/>
      <c r="R21" s="1"/>
      <c r="S21" s="1"/>
      <c r="T21" s="1">
        <v>22</v>
      </c>
      <c r="U21" s="1">
        <v>2</v>
      </c>
      <c r="V21" s="1">
        <v>1</v>
      </c>
      <c r="W21" s="1">
        <v>33</v>
      </c>
      <c r="X21" s="1"/>
      <c r="Y21" s="1"/>
      <c r="Z21" s="1">
        <v>1</v>
      </c>
      <c r="AA21" s="1"/>
      <c r="AB21" s="1"/>
      <c r="AC21" s="1">
        <v>73</v>
      </c>
      <c r="AD21" s="1"/>
      <c r="AE21" s="1">
        <v>1</v>
      </c>
      <c r="AF21" s="1">
        <v>1</v>
      </c>
      <c r="AG21" s="1"/>
      <c r="AH21" s="1">
        <v>0</v>
      </c>
      <c r="AI21" s="1"/>
      <c r="AJ21" s="1"/>
      <c r="AK21" s="1"/>
      <c r="AL21" s="1">
        <v>7</v>
      </c>
      <c r="AM21" s="1"/>
      <c r="AN21" s="1">
        <v>0</v>
      </c>
      <c r="AO21" s="1"/>
      <c r="AP21" s="1"/>
      <c r="AQ21" s="1"/>
      <c r="AR21" s="1">
        <v>31</v>
      </c>
      <c r="AS21" s="1"/>
      <c r="AT21" s="1"/>
      <c r="AU21" s="1"/>
      <c r="AV21" s="1"/>
      <c r="AW21" s="1"/>
      <c r="AX21" s="1"/>
      <c r="AY21" s="1"/>
      <c r="AZ21" s="1"/>
      <c r="BA21" s="1"/>
      <c r="BB21" s="1"/>
      <c r="BC21" s="1"/>
      <c r="BD21" s="1"/>
      <c r="BE21" s="1"/>
      <c r="BF21" s="1"/>
      <c r="BG21" s="1"/>
      <c r="BH21" s="1"/>
      <c r="BI21" s="1"/>
      <c r="BJ21" s="1"/>
      <c r="BK21" s="1"/>
      <c r="BL21" s="1"/>
      <c r="BM21" s="1"/>
      <c r="BN21" s="1"/>
      <c r="BO21" s="1">
        <v>1</v>
      </c>
      <c r="BP21" s="1"/>
      <c r="BQ21" s="1"/>
      <c r="BR21" s="1"/>
      <c r="BS21" s="1">
        <v>129</v>
      </c>
      <c r="BT21" s="1"/>
      <c r="BU21" s="1">
        <v>1</v>
      </c>
      <c r="BV21" s="1">
        <v>22</v>
      </c>
      <c r="BW21" s="1">
        <v>3</v>
      </c>
      <c r="BX21" s="1">
        <v>0</v>
      </c>
      <c r="BY21" s="1">
        <v>10</v>
      </c>
      <c r="BZ21" s="1">
        <v>0</v>
      </c>
      <c r="CA21" s="1">
        <v>0</v>
      </c>
      <c r="CB21" s="1">
        <v>63</v>
      </c>
      <c r="CC21" s="1"/>
      <c r="CD21" s="1"/>
      <c r="CE21" s="1"/>
      <c r="CF21" s="1"/>
      <c r="CG21" s="1"/>
      <c r="CH21" s="1">
        <v>409</v>
      </c>
      <c r="CI21" s="1">
        <v>7</v>
      </c>
      <c r="CJ21" s="1">
        <v>4</v>
      </c>
    </row>
    <row r="22" spans="1:88">
      <c r="A22" s="19" t="s">
        <v>336</v>
      </c>
      <c r="B22" s="1">
        <v>16</v>
      </c>
      <c r="C22" s="1"/>
      <c r="D22" s="1">
        <v>0</v>
      </c>
      <c r="E22" s="1"/>
      <c r="F22" s="1"/>
      <c r="G22" s="1"/>
      <c r="H22" s="1">
        <v>18</v>
      </c>
      <c r="I22" s="1">
        <v>2</v>
      </c>
      <c r="J22" s="1"/>
      <c r="K22" s="1"/>
      <c r="L22" s="1"/>
      <c r="M22" s="1"/>
      <c r="N22" s="1"/>
      <c r="O22" s="1"/>
      <c r="P22" s="1"/>
      <c r="Q22" s="1"/>
      <c r="R22" s="1"/>
      <c r="S22" s="1"/>
      <c r="T22" s="1">
        <v>26</v>
      </c>
      <c r="U22" s="1">
        <v>2</v>
      </c>
      <c r="V22" s="1">
        <v>2</v>
      </c>
      <c r="W22" s="1">
        <v>49</v>
      </c>
      <c r="X22" s="1">
        <v>4</v>
      </c>
      <c r="Y22" s="1"/>
      <c r="Z22" s="1">
        <v>3</v>
      </c>
      <c r="AA22" s="1">
        <v>1</v>
      </c>
      <c r="AB22" s="1"/>
      <c r="AC22" s="1">
        <v>84</v>
      </c>
      <c r="AD22" s="1"/>
      <c r="AE22" s="1">
        <v>1</v>
      </c>
      <c r="AF22" s="1">
        <v>1</v>
      </c>
      <c r="AG22" s="1"/>
      <c r="AH22" s="1">
        <v>0</v>
      </c>
      <c r="AI22" s="1"/>
      <c r="AJ22" s="1"/>
      <c r="AK22" s="1"/>
      <c r="AL22" s="1">
        <v>7</v>
      </c>
      <c r="AM22" s="1"/>
      <c r="AN22" s="1">
        <v>0</v>
      </c>
      <c r="AO22" s="1"/>
      <c r="AP22" s="1"/>
      <c r="AQ22" s="1"/>
      <c r="AR22" s="1">
        <v>37</v>
      </c>
      <c r="AS22" s="1"/>
      <c r="AT22" s="1"/>
      <c r="AU22" s="1">
        <v>4</v>
      </c>
      <c r="AV22" s="1"/>
      <c r="AW22" s="1"/>
      <c r="AX22" s="1"/>
      <c r="AY22" s="1"/>
      <c r="AZ22" s="1"/>
      <c r="BA22" s="1"/>
      <c r="BB22" s="1"/>
      <c r="BC22" s="1"/>
      <c r="BD22" s="1">
        <v>1</v>
      </c>
      <c r="BE22" s="1"/>
      <c r="BF22" s="1">
        <v>0</v>
      </c>
      <c r="BG22" s="1"/>
      <c r="BH22" s="1"/>
      <c r="BI22" s="1"/>
      <c r="BJ22" s="1"/>
      <c r="BK22" s="1"/>
      <c r="BL22" s="1"/>
      <c r="BM22" s="1"/>
      <c r="BN22" s="1"/>
      <c r="BO22" s="1"/>
      <c r="BP22" s="1"/>
      <c r="BQ22" s="1"/>
      <c r="BR22" s="1"/>
      <c r="BS22" s="1">
        <v>202</v>
      </c>
      <c r="BT22" s="1"/>
      <c r="BU22" s="1">
        <v>1</v>
      </c>
      <c r="BV22" s="1">
        <v>30</v>
      </c>
      <c r="BW22" s="1"/>
      <c r="BX22" s="1">
        <v>0</v>
      </c>
      <c r="BY22" s="1">
        <v>11</v>
      </c>
      <c r="BZ22" s="1">
        <v>0</v>
      </c>
      <c r="CA22" s="1">
        <v>0</v>
      </c>
      <c r="CB22" s="1">
        <v>102</v>
      </c>
      <c r="CC22" s="1"/>
      <c r="CD22" s="1"/>
      <c r="CE22" s="1"/>
      <c r="CF22" s="1"/>
      <c r="CG22" s="1"/>
      <c r="CH22" s="1">
        <v>591</v>
      </c>
      <c r="CI22" s="1">
        <v>9</v>
      </c>
      <c r="CJ22" s="1">
        <v>4</v>
      </c>
    </row>
    <row r="23" spans="1:88">
      <c r="A23" s="19" t="s">
        <v>337</v>
      </c>
      <c r="B23" s="1">
        <v>22</v>
      </c>
      <c r="C23" s="1"/>
      <c r="D23" s="1">
        <v>0</v>
      </c>
      <c r="E23" s="1"/>
      <c r="F23" s="1"/>
      <c r="G23" s="1"/>
      <c r="H23" s="1">
        <v>27</v>
      </c>
      <c r="I23" s="1">
        <v>3</v>
      </c>
      <c r="J23" s="1"/>
      <c r="K23" s="1"/>
      <c r="L23" s="1"/>
      <c r="M23" s="1"/>
      <c r="N23" s="1">
        <v>5</v>
      </c>
      <c r="O23" s="1"/>
      <c r="P23" s="1"/>
      <c r="Q23" s="1"/>
      <c r="R23" s="1"/>
      <c r="S23" s="1"/>
      <c r="T23" s="1">
        <v>26</v>
      </c>
      <c r="U23" s="1">
        <v>2</v>
      </c>
      <c r="V23" s="1">
        <v>2</v>
      </c>
      <c r="W23" s="1">
        <v>73</v>
      </c>
      <c r="X23" s="1">
        <v>4</v>
      </c>
      <c r="Y23" s="1">
        <v>1</v>
      </c>
      <c r="Z23" s="1">
        <v>3</v>
      </c>
      <c r="AA23" s="1">
        <v>1</v>
      </c>
      <c r="AB23" s="1"/>
      <c r="AC23" s="1">
        <v>114</v>
      </c>
      <c r="AD23" s="1"/>
      <c r="AE23" s="1">
        <v>2</v>
      </c>
      <c r="AF23" s="1">
        <v>3</v>
      </c>
      <c r="AG23" s="1"/>
      <c r="AH23" s="1">
        <v>0</v>
      </c>
      <c r="AI23" s="1"/>
      <c r="AJ23" s="1"/>
      <c r="AK23" s="1"/>
      <c r="AL23" s="1">
        <v>12</v>
      </c>
      <c r="AM23" s="1"/>
      <c r="AN23" s="1">
        <v>0</v>
      </c>
      <c r="AO23" s="1"/>
      <c r="AP23" s="1"/>
      <c r="AQ23" s="1"/>
      <c r="AR23" s="1">
        <v>46</v>
      </c>
      <c r="AS23" s="1"/>
      <c r="AT23" s="1"/>
      <c r="AU23" s="1">
        <v>5</v>
      </c>
      <c r="AV23" s="1"/>
      <c r="AW23" s="1"/>
      <c r="AX23" s="1"/>
      <c r="AY23" s="1"/>
      <c r="AZ23" s="1"/>
      <c r="BA23" s="1">
        <v>15</v>
      </c>
      <c r="BB23" s="1"/>
      <c r="BC23" s="1"/>
      <c r="BD23" s="1">
        <v>1</v>
      </c>
      <c r="BE23" s="1"/>
      <c r="BF23" s="1">
        <v>0</v>
      </c>
      <c r="BG23" s="1"/>
      <c r="BH23" s="1"/>
      <c r="BI23" s="1"/>
      <c r="BJ23" s="1"/>
      <c r="BK23" s="1"/>
      <c r="BL23" s="1"/>
      <c r="BM23" s="1">
        <v>180</v>
      </c>
      <c r="BN23" s="1"/>
      <c r="BO23" s="1"/>
      <c r="BP23" s="1">
        <v>2</v>
      </c>
      <c r="BQ23" s="1"/>
      <c r="BR23" s="1"/>
      <c r="BS23" s="1">
        <v>276</v>
      </c>
      <c r="BT23" s="1"/>
      <c r="BU23" s="1">
        <v>3</v>
      </c>
      <c r="BV23" s="1">
        <v>53</v>
      </c>
      <c r="BW23" s="1"/>
      <c r="BX23" s="1">
        <v>0</v>
      </c>
      <c r="BY23" s="1">
        <v>11</v>
      </c>
      <c r="BZ23" s="1">
        <v>0</v>
      </c>
      <c r="CA23" s="1">
        <v>0</v>
      </c>
      <c r="CB23" s="1">
        <v>141</v>
      </c>
      <c r="CC23" s="1"/>
      <c r="CD23" s="1"/>
      <c r="CE23" s="1"/>
      <c r="CF23" s="1"/>
      <c r="CG23" s="1"/>
      <c r="CH23" s="1">
        <v>1015</v>
      </c>
      <c r="CI23" s="1">
        <v>10</v>
      </c>
      <c r="CJ23" s="1">
        <v>8</v>
      </c>
    </row>
    <row r="24" spans="1:88">
      <c r="A24" s="19" t="s">
        <v>338</v>
      </c>
      <c r="B24" s="1">
        <v>29</v>
      </c>
      <c r="C24" s="1"/>
      <c r="D24" s="1">
        <v>0</v>
      </c>
      <c r="E24" s="1"/>
      <c r="F24" s="1"/>
      <c r="G24" s="1"/>
      <c r="H24" s="1">
        <v>32</v>
      </c>
      <c r="I24" s="1">
        <v>3</v>
      </c>
      <c r="J24" s="1"/>
      <c r="K24" s="1"/>
      <c r="L24" s="1"/>
      <c r="M24" s="1"/>
      <c r="N24" s="1"/>
      <c r="O24" s="1"/>
      <c r="P24" s="1"/>
      <c r="Q24" s="1"/>
      <c r="R24" s="1"/>
      <c r="S24" s="1"/>
      <c r="T24" s="1">
        <v>42</v>
      </c>
      <c r="U24" s="1">
        <v>2</v>
      </c>
      <c r="V24" s="1">
        <v>2</v>
      </c>
      <c r="W24" s="1">
        <v>92</v>
      </c>
      <c r="X24" s="1">
        <v>4</v>
      </c>
      <c r="Y24" s="1">
        <v>1</v>
      </c>
      <c r="Z24" s="1"/>
      <c r="AA24" s="1"/>
      <c r="AB24" s="1"/>
      <c r="AC24" s="1">
        <v>178</v>
      </c>
      <c r="AD24" s="1"/>
      <c r="AE24" s="1">
        <v>2</v>
      </c>
      <c r="AF24" s="1">
        <v>6</v>
      </c>
      <c r="AG24" s="1"/>
      <c r="AH24" s="1">
        <v>0</v>
      </c>
      <c r="AI24" s="1"/>
      <c r="AJ24" s="1"/>
      <c r="AK24" s="1"/>
      <c r="AL24" s="1">
        <v>17</v>
      </c>
      <c r="AM24" s="1"/>
      <c r="AN24" s="1">
        <v>0</v>
      </c>
      <c r="AO24" s="1"/>
      <c r="AP24" s="1"/>
      <c r="AQ24" s="1"/>
      <c r="AR24" s="1">
        <v>59</v>
      </c>
      <c r="AS24" s="1"/>
      <c r="AT24" s="1"/>
      <c r="AU24" s="1">
        <v>5</v>
      </c>
      <c r="AV24" s="1"/>
      <c r="AW24" s="1"/>
      <c r="AX24" s="1">
        <v>1</v>
      </c>
      <c r="AY24" s="1"/>
      <c r="AZ24" s="1"/>
      <c r="BA24" s="1"/>
      <c r="BB24" s="1"/>
      <c r="BC24" s="1"/>
      <c r="BD24" s="1">
        <v>1</v>
      </c>
      <c r="BE24" s="1"/>
      <c r="BF24" s="1">
        <v>0</v>
      </c>
      <c r="BG24" s="1">
        <v>9</v>
      </c>
      <c r="BH24" s="1"/>
      <c r="BI24" s="1"/>
      <c r="BJ24" s="1"/>
      <c r="BK24" s="1"/>
      <c r="BL24" s="1"/>
      <c r="BM24" s="1">
        <v>258</v>
      </c>
      <c r="BN24" s="1"/>
      <c r="BO24" s="1"/>
      <c r="BP24" s="1"/>
      <c r="BQ24" s="1"/>
      <c r="BR24" s="1"/>
      <c r="BS24" s="1">
        <v>368</v>
      </c>
      <c r="BT24" s="1"/>
      <c r="BU24" s="1">
        <v>3</v>
      </c>
      <c r="BV24" s="1">
        <v>76</v>
      </c>
      <c r="BW24" s="1"/>
      <c r="BX24" s="1">
        <v>1</v>
      </c>
      <c r="BY24" s="1">
        <v>11</v>
      </c>
      <c r="BZ24" s="1">
        <v>0</v>
      </c>
      <c r="CA24" s="1">
        <v>0</v>
      </c>
      <c r="CB24" s="1">
        <v>164</v>
      </c>
      <c r="CC24" s="1"/>
      <c r="CD24" s="1"/>
      <c r="CE24" s="1"/>
      <c r="CF24" s="1"/>
      <c r="CG24" s="1"/>
      <c r="CH24" s="1">
        <v>1348</v>
      </c>
      <c r="CI24" s="1">
        <v>9</v>
      </c>
      <c r="CJ24" s="1">
        <v>9</v>
      </c>
    </row>
    <row r="25" spans="1:88">
      <c r="A25" s="19" t="s">
        <v>339</v>
      </c>
      <c r="B25" s="1">
        <v>36</v>
      </c>
      <c r="C25" s="1"/>
      <c r="D25" s="1">
        <v>0</v>
      </c>
      <c r="E25" s="1"/>
      <c r="F25" s="1"/>
      <c r="G25" s="1"/>
      <c r="H25" s="1"/>
      <c r="I25" s="1"/>
      <c r="J25" s="1"/>
      <c r="K25" s="1">
        <v>2</v>
      </c>
      <c r="L25" s="1"/>
      <c r="M25" s="1"/>
      <c r="N25" s="1"/>
      <c r="O25" s="1"/>
      <c r="P25" s="1"/>
      <c r="Q25" s="1"/>
      <c r="R25" s="1"/>
      <c r="S25" s="1"/>
      <c r="T25" s="1">
        <v>47</v>
      </c>
      <c r="U25" s="1">
        <v>2</v>
      </c>
      <c r="V25" s="1">
        <v>2</v>
      </c>
      <c r="W25" s="1">
        <v>100</v>
      </c>
      <c r="X25" s="1">
        <v>4</v>
      </c>
      <c r="Y25" s="1">
        <v>1</v>
      </c>
      <c r="Z25" s="1">
        <v>3</v>
      </c>
      <c r="AA25" s="1">
        <v>1</v>
      </c>
      <c r="AB25" s="1"/>
      <c r="AC25" s="1">
        <v>281</v>
      </c>
      <c r="AD25" s="1"/>
      <c r="AE25" s="1">
        <v>2</v>
      </c>
      <c r="AF25" s="1">
        <v>8</v>
      </c>
      <c r="AG25" s="1"/>
      <c r="AH25" s="1">
        <v>0</v>
      </c>
      <c r="AI25" s="1"/>
      <c r="AJ25" s="1"/>
      <c r="AK25" s="1"/>
      <c r="AL25" s="1">
        <v>18</v>
      </c>
      <c r="AM25" s="1"/>
      <c r="AN25" s="1">
        <v>0</v>
      </c>
      <c r="AO25" s="1"/>
      <c r="AP25" s="1"/>
      <c r="AQ25" s="1"/>
      <c r="AR25" s="1">
        <v>68</v>
      </c>
      <c r="AS25" s="1"/>
      <c r="AT25" s="1"/>
      <c r="AU25" s="1">
        <v>5</v>
      </c>
      <c r="AV25" s="1"/>
      <c r="AW25" s="1"/>
      <c r="AX25" s="1"/>
      <c r="AY25" s="1"/>
      <c r="AZ25" s="1"/>
      <c r="BA25" s="1"/>
      <c r="BB25" s="1"/>
      <c r="BC25" s="1"/>
      <c r="BD25" s="1">
        <v>1</v>
      </c>
      <c r="BE25" s="1"/>
      <c r="BF25" s="1">
        <v>0</v>
      </c>
      <c r="BG25" s="1">
        <v>12</v>
      </c>
      <c r="BH25" s="1"/>
      <c r="BI25" s="1"/>
      <c r="BJ25" s="1"/>
      <c r="BK25" s="1"/>
      <c r="BL25" s="1"/>
      <c r="BM25" s="1">
        <v>265</v>
      </c>
      <c r="BN25" s="1"/>
      <c r="BO25" s="1">
        <v>3</v>
      </c>
      <c r="BP25" s="1"/>
      <c r="BQ25" s="1"/>
      <c r="BR25" s="1"/>
      <c r="BS25" s="1">
        <v>477</v>
      </c>
      <c r="BT25" s="1"/>
      <c r="BU25" s="1">
        <v>4</v>
      </c>
      <c r="BV25" s="1">
        <v>98</v>
      </c>
      <c r="BW25" s="1"/>
      <c r="BX25" s="1">
        <v>1</v>
      </c>
      <c r="BY25" s="1">
        <v>13</v>
      </c>
      <c r="BZ25" s="1">
        <v>0</v>
      </c>
      <c r="CA25" s="1">
        <v>0</v>
      </c>
      <c r="CB25" s="1">
        <v>219</v>
      </c>
      <c r="CC25" s="1"/>
      <c r="CD25" s="1"/>
      <c r="CE25" s="1"/>
      <c r="CF25" s="1"/>
      <c r="CG25" s="1"/>
      <c r="CH25" s="1">
        <v>1653</v>
      </c>
      <c r="CI25" s="1">
        <v>7</v>
      </c>
      <c r="CJ25" s="1">
        <v>13</v>
      </c>
    </row>
    <row r="26" spans="1:88">
      <c r="A26" s="19" t="s">
        <v>340</v>
      </c>
      <c r="B26" s="1">
        <v>40</v>
      </c>
      <c r="C26" s="1"/>
      <c r="D26" s="1">
        <v>0</v>
      </c>
      <c r="E26" s="1"/>
      <c r="F26" s="1"/>
      <c r="G26" s="1"/>
      <c r="H26" s="1"/>
      <c r="I26" s="1"/>
      <c r="J26" s="1"/>
      <c r="K26" s="1"/>
      <c r="L26" s="1"/>
      <c r="M26" s="1"/>
      <c r="N26" s="1"/>
      <c r="O26" s="1"/>
      <c r="P26" s="1"/>
      <c r="Q26" s="1"/>
      <c r="R26" s="1"/>
      <c r="S26" s="1"/>
      <c r="T26" s="1">
        <v>54</v>
      </c>
      <c r="U26" s="1">
        <v>5</v>
      </c>
      <c r="V26" s="1">
        <v>2</v>
      </c>
      <c r="W26" s="1"/>
      <c r="X26" s="1"/>
      <c r="Y26" s="1"/>
      <c r="Z26" s="1">
        <v>7</v>
      </c>
      <c r="AA26" s="1">
        <v>1</v>
      </c>
      <c r="AB26" s="1"/>
      <c r="AC26" s="1">
        <v>374</v>
      </c>
      <c r="AD26" s="1"/>
      <c r="AE26" s="1">
        <v>4</v>
      </c>
      <c r="AF26" s="1">
        <v>10</v>
      </c>
      <c r="AG26" s="1"/>
      <c r="AH26" s="1">
        <v>0</v>
      </c>
      <c r="AI26" s="1"/>
      <c r="AJ26" s="1"/>
      <c r="AK26" s="1"/>
      <c r="AL26" s="1">
        <v>19</v>
      </c>
      <c r="AM26" s="1"/>
      <c r="AN26" s="1">
        <v>0</v>
      </c>
      <c r="AO26" s="1"/>
      <c r="AP26" s="1"/>
      <c r="AQ26" s="1"/>
      <c r="AR26" s="1">
        <v>74</v>
      </c>
      <c r="AS26" s="1"/>
      <c r="AT26" s="1"/>
      <c r="AU26" s="1">
        <v>8</v>
      </c>
      <c r="AV26" s="1"/>
      <c r="AW26" s="1"/>
      <c r="AX26" s="1"/>
      <c r="AY26" s="1"/>
      <c r="AZ26" s="1"/>
      <c r="BA26" s="1"/>
      <c r="BB26" s="1"/>
      <c r="BC26" s="1"/>
      <c r="BD26" s="1">
        <v>1</v>
      </c>
      <c r="BE26" s="1"/>
      <c r="BF26" s="1">
        <v>0</v>
      </c>
      <c r="BG26" s="1">
        <v>13</v>
      </c>
      <c r="BH26" s="1"/>
      <c r="BI26" s="1"/>
      <c r="BJ26" s="1"/>
      <c r="BK26" s="1"/>
      <c r="BL26" s="1"/>
      <c r="BM26" s="1">
        <v>291</v>
      </c>
      <c r="BN26" s="1"/>
      <c r="BO26" s="1">
        <v>6</v>
      </c>
      <c r="BP26" s="1"/>
      <c r="BQ26" s="1"/>
      <c r="BR26" s="1"/>
      <c r="BS26" s="1">
        <v>560</v>
      </c>
      <c r="BT26" s="1"/>
      <c r="BU26" s="1">
        <v>5</v>
      </c>
      <c r="BV26" s="1">
        <v>115</v>
      </c>
      <c r="BW26" s="1"/>
      <c r="BX26" s="1">
        <v>2</v>
      </c>
      <c r="BY26" s="1">
        <v>13</v>
      </c>
      <c r="BZ26" s="1">
        <v>0</v>
      </c>
      <c r="CA26" s="1">
        <v>0</v>
      </c>
      <c r="CB26" s="1">
        <v>251</v>
      </c>
      <c r="CC26" s="1"/>
      <c r="CD26" s="1">
        <v>1</v>
      </c>
      <c r="CE26" s="1"/>
      <c r="CF26" s="1"/>
      <c r="CG26" s="1"/>
      <c r="CH26" s="1">
        <v>1830</v>
      </c>
      <c r="CI26" s="1">
        <v>6</v>
      </c>
      <c r="CJ26" s="1">
        <v>20</v>
      </c>
    </row>
    <row r="27" spans="1:88">
      <c r="A27" s="19" t="s">
        <v>341</v>
      </c>
      <c r="B27" s="1">
        <v>45</v>
      </c>
      <c r="C27" s="1"/>
      <c r="D27" s="1">
        <v>0</v>
      </c>
      <c r="E27" s="1"/>
      <c r="F27" s="1"/>
      <c r="G27" s="1"/>
      <c r="H27" s="1">
        <v>52</v>
      </c>
      <c r="I27" s="1">
        <v>4</v>
      </c>
      <c r="J27" s="1"/>
      <c r="K27" s="1">
        <v>4</v>
      </c>
      <c r="L27" s="1"/>
      <c r="M27" s="1"/>
      <c r="N27" s="1"/>
      <c r="O27" s="1"/>
      <c r="P27" s="1"/>
      <c r="Q27" s="1">
        <v>123</v>
      </c>
      <c r="R27" s="1"/>
      <c r="S27" s="1">
        <v>1</v>
      </c>
      <c r="T27" s="1">
        <v>76</v>
      </c>
      <c r="U27" s="1">
        <v>5</v>
      </c>
      <c r="V27" s="1">
        <v>2</v>
      </c>
      <c r="W27" s="1">
        <v>143</v>
      </c>
      <c r="X27" s="1">
        <v>4</v>
      </c>
      <c r="Y27" s="1">
        <v>4</v>
      </c>
      <c r="Z27" s="1"/>
      <c r="AA27" s="1"/>
      <c r="AB27" s="1"/>
      <c r="AC27" s="1">
        <v>461</v>
      </c>
      <c r="AD27" s="1"/>
      <c r="AE27" s="1">
        <v>4</v>
      </c>
      <c r="AF27" s="1">
        <v>10</v>
      </c>
      <c r="AG27" s="1"/>
      <c r="AH27" s="1">
        <v>0</v>
      </c>
      <c r="AI27" s="1"/>
      <c r="AJ27" s="1"/>
      <c r="AK27" s="1"/>
      <c r="AL27" s="1">
        <v>25</v>
      </c>
      <c r="AM27" s="1"/>
      <c r="AN27" s="1">
        <v>0</v>
      </c>
      <c r="AO27" s="1"/>
      <c r="AP27" s="1"/>
      <c r="AQ27" s="1"/>
      <c r="AR27" s="1">
        <v>93</v>
      </c>
      <c r="AS27" s="1"/>
      <c r="AT27" s="1"/>
      <c r="AU27" s="1">
        <v>10</v>
      </c>
      <c r="AV27" s="1"/>
      <c r="AW27" s="1"/>
      <c r="AX27" s="1"/>
      <c r="AY27" s="1"/>
      <c r="AZ27" s="1"/>
      <c r="BA27" s="1"/>
      <c r="BB27" s="1"/>
      <c r="BC27" s="1"/>
      <c r="BD27" s="1">
        <v>2</v>
      </c>
      <c r="BE27" s="1"/>
      <c r="BF27" s="1">
        <v>0</v>
      </c>
      <c r="BG27" s="1"/>
      <c r="BH27" s="1"/>
      <c r="BI27" s="1"/>
      <c r="BJ27" s="1">
        <v>17</v>
      </c>
      <c r="BK27" s="1"/>
      <c r="BL27" s="1"/>
      <c r="BM27" s="1">
        <v>330</v>
      </c>
      <c r="BN27" s="1"/>
      <c r="BO27" s="1">
        <v>8</v>
      </c>
      <c r="BP27" s="1"/>
      <c r="BQ27" s="1"/>
      <c r="BR27" s="1"/>
      <c r="BS27" s="1">
        <v>797</v>
      </c>
      <c r="BT27" s="1"/>
      <c r="BU27" s="1">
        <v>7</v>
      </c>
      <c r="BV27" s="1">
        <v>172</v>
      </c>
      <c r="BW27" s="1"/>
      <c r="BX27" s="1">
        <v>3</v>
      </c>
      <c r="BY27" s="1">
        <v>20</v>
      </c>
      <c r="BZ27" s="1">
        <v>0</v>
      </c>
      <c r="CA27" s="1">
        <v>0</v>
      </c>
      <c r="CB27" s="1">
        <v>327</v>
      </c>
      <c r="CC27" s="1"/>
      <c r="CD27" s="1">
        <v>1</v>
      </c>
      <c r="CE27" s="1"/>
      <c r="CF27" s="1"/>
      <c r="CG27" s="1"/>
      <c r="CH27" s="1">
        <v>2707</v>
      </c>
      <c r="CI27" s="1">
        <v>13</v>
      </c>
      <c r="CJ27" s="1">
        <v>30</v>
      </c>
    </row>
    <row r="28" spans="1:88">
      <c r="A28" s="19" t="s">
        <v>342</v>
      </c>
      <c r="B28" s="1">
        <v>59</v>
      </c>
      <c r="C28" s="1"/>
      <c r="D28" s="1">
        <v>0</v>
      </c>
      <c r="E28" s="1"/>
      <c r="F28" s="1"/>
      <c r="G28" s="1"/>
      <c r="H28" s="1">
        <v>67</v>
      </c>
      <c r="I28" s="1">
        <v>4</v>
      </c>
      <c r="J28" s="1"/>
      <c r="K28" s="1">
        <v>5</v>
      </c>
      <c r="L28" s="1"/>
      <c r="M28" s="1"/>
      <c r="N28" s="1"/>
      <c r="O28" s="1"/>
      <c r="P28" s="1"/>
      <c r="Q28" s="1"/>
      <c r="R28" s="1"/>
      <c r="S28" s="1"/>
      <c r="T28" s="1">
        <v>89</v>
      </c>
      <c r="U28" s="1">
        <v>13</v>
      </c>
      <c r="V28" s="1">
        <v>2</v>
      </c>
      <c r="W28" s="1">
        <v>164</v>
      </c>
      <c r="X28" s="1">
        <v>25</v>
      </c>
      <c r="Y28" s="1">
        <v>4</v>
      </c>
      <c r="Z28" s="1">
        <v>19</v>
      </c>
      <c r="AA28" s="1">
        <v>1</v>
      </c>
      <c r="AB28" s="1"/>
      <c r="AC28" s="1">
        <v>588</v>
      </c>
      <c r="AD28" s="1"/>
      <c r="AE28" s="1">
        <v>5</v>
      </c>
      <c r="AF28" s="1">
        <v>12</v>
      </c>
      <c r="AG28" s="1"/>
      <c r="AH28" s="1">
        <v>0</v>
      </c>
      <c r="AI28" s="1">
        <v>101</v>
      </c>
      <c r="AJ28" s="1"/>
      <c r="AK28" s="1">
        <v>1</v>
      </c>
      <c r="AL28" s="1">
        <v>29</v>
      </c>
      <c r="AM28" s="1"/>
      <c r="AN28" s="1">
        <v>0</v>
      </c>
      <c r="AO28" s="1"/>
      <c r="AP28" s="1"/>
      <c r="AQ28" s="1"/>
      <c r="AR28" s="1">
        <v>114</v>
      </c>
      <c r="AS28" s="1"/>
      <c r="AT28" s="1">
        <v>1</v>
      </c>
      <c r="AU28" s="1">
        <v>12</v>
      </c>
      <c r="AV28" s="1"/>
      <c r="AW28" s="1"/>
      <c r="AX28" s="1"/>
      <c r="AY28" s="1"/>
      <c r="AZ28" s="1"/>
      <c r="BA28" s="1">
        <v>47</v>
      </c>
      <c r="BB28" s="1"/>
      <c r="BC28" s="1"/>
      <c r="BD28" s="1">
        <v>2</v>
      </c>
      <c r="BE28" s="1"/>
      <c r="BF28" s="1">
        <v>0</v>
      </c>
      <c r="BG28" s="1"/>
      <c r="BH28" s="1"/>
      <c r="BI28" s="1"/>
      <c r="BJ28" s="1">
        <v>23</v>
      </c>
      <c r="BK28" s="1"/>
      <c r="BL28" s="1"/>
      <c r="BM28" s="1">
        <v>422</v>
      </c>
      <c r="BN28" s="1"/>
      <c r="BO28" s="1">
        <v>10</v>
      </c>
      <c r="BP28" s="1"/>
      <c r="BQ28" s="1"/>
      <c r="BR28" s="1"/>
      <c r="BS28" s="1">
        <v>1040</v>
      </c>
      <c r="BT28" s="1"/>
      <c r="BU28" s="1">
        <v>9</v>
      </c>
      <c r="BV28" s="1">
        <v>225</v>
      </c>
      <c r="BW28" s="1"/>
      <c r="BX28" s="1">
        <v>3</v>
      </c>
      <c r="BY28" s="1">
        <v>29</v>
      </c>
      <c r="BZ28" s="1">
        <v>1</v>
      </c>
      <c r="CA28" s="1">
        <v>0</v>
      </c>
      <c r="CB28" s="1">
        <v>430</v>
      </c>
      <c r="CC28" s="1"/>
      <c r="CD28" s="1">
        <v>1</v>
      </c>
      <c r="CE28" s="1"/>
      <c r="CF28" s="1"/>
      <c r="CG28" s="1"/>
      <c r="CH28" s="1">
        <v>3477</v>
      </c>
      <c r="CI28" s="1">
        <v>44</v>
      </c>
      <c r="CJ28" s="1">
        <v>36</v>
      </c>
    </row>
    <row r="29" spans="1:88">
      <c r="A29" s="19" t="s">
        <v>343</v>
      </c>
      <c r="B29" s="1">
        <v>86</v>
      </c>
      <c r="C29" s="1"/>
      <c r="D29" s="1">
        <v>0</v>
      </c>
      <c r="E29" s="1">
        <v>43</v>
      </c>
      <c r="F29" s="1"/>
      <c r="G29" s="1"/>
      <c r="H29" s="1">
        <v>101</v>
      </c>
      <c r="I29" s="1">
        <v>4</v>
      </c>
      <c r="J29" s="1"/>
      <c r="K29" s="1"/>
      <c r="L29" s="1"/>
      <c r="M29" s="1"/>
      <c r="N29" s="1">
        <v>11</v>
      </c>
      <c r="O29" s="1"/>
      <c r="P29" s="1"/>
      <c r="Q29" s="1">
        <v>193</v>
      </c>
      <c r="R29" s="1"/>
      <c r="S29" s="1">
        <v>1</v>
      </c>
      <c r="T29" s="1">
        <v>116</v>
      </c>
      <c r="U29" s="1">
        <v>16</v>
      </c>
      <c r="V29" s="1">
        <v>2</v>
      </c>
      <c r="W29" s="1">
        <v>181</v>
      </c>
      <c r="X29" s="1">
        <v>36</v>
      </c>
      <c r="Y29" s="1">
        <v>4</v>
      </c>
      <c r="Z29" s="1">
        <v>28</v>
      </c>
      <c r="AA29" s="1">
        <v>1</v>
      </c>
      <c r="AB29" s="1"/>
      <c r="AC29" s="1">
        <v>786</v>
      </c>
      <c r="AD29" s="1"/>
      <c r="AE29" s="1">
        <v>6</v>
      </c>
      <c r="AF29" s="1">
        <v>14</v>
      </c>
      <c r="AG29" s="1"/>
      <c r="AH29" s="1">
        <v>0</v>
      </c>
      <c r="AI29" s="1">
        <v>128</v>
      </c>
      <c r="AJ29" s="1"/>
      <c r="AK29" s="1">
        <v>1</v>
      </c>
      <c r="AL29" s="1">
        <v>32</v>
      </c>
      <c r="AM29" s="1"/>
      <c r="AN29" s="1">
        <v>0</v>
      </c>
      <c r="AO29" s="1">
        <v>65</v>
      </c>
      <c r="AP29" s="1"/>
      <c r="AQ29" s="1"/>
      <c r="AR29" s="1">
        <v>146</v>
      </c>
      <c r="AS29" s="1"/>
      <c r="AT29" s="1">
        <v>2</v>
      </c>
      <c r="AU29" s="1">
        <v>18</v>
      </c>
      <c r="AV29" s="1"/>
      <c r="AW29" s="1"/>
      <c r="AX29" s="1"/>
      <c r="AY29" s="1"/>
      <c r="AZ29" s="1"/>
      <c r="BA29" s="1">
        <v>61</v>
      </c>
      <c r="BB29" s="1"/>
      <c r="BC29" s="1"/>
      <c r="BD29" s="1">
        <v>8</v>
      </c>
      <c r="BE29" s="1"/>
      <c r="BF29" s="1">
        <v>0</v>
      </c>
      <c r="BG29" s="1"/>
      <c r="BH29" s="1"/>
      <c r="BI29" s="1"/>
      <c r="BJ29" s="1">
        <v>32</v>
      </c>
      <c r="BK29" s="1"/>
      <c r="BL29" s="1"/>
      <c r="BM29" s="1">
        <v>511</v>
      </c>
      <c r="BN29" s="1"/>
      <c r="BO29" s="1">
        <v>14</v>
      </c>
      <c r="BP29" s="1">
        <v>5</v>
      </c>
      <c r="BQ29" s="1"/>
      <c r="BR29" s="1"/>
      <c r="BS29" s="1">
        <v>1305</v>
      </c>
      <c r="BT29" s="1"/>
      <c r="BU29" s="1">
        <v>12</v>
      </c>
      <c r="BV29" s="1">
        <v>312</v>
      </c>
      <c r="BW29" s="1"/>
      <c r="BX29" s="1">
        <v>4</v>
      </c>
      <c r="BY29" s="1">
        <v>33</v>
      </c>
      <c r="BZ29" s="1">
        <v>5</v>
      </c>
      <c r="CA29" s="1">
        <v>0</v>
      </c>
      <c r="CB29" s="1">
        <v>569</v>
      </c>
      <c r="CC29" s="1"/>
      <c r="CD29" s="1">
        <v>2</v>
      </c>
      <c r="CE29" s="1"/>
      <c r="CF29" s="1"/>
      <c r="CG29" s="1"/>
      <c r="CH29" s="1">
        <v>4784</v>
      </c>
      <c r="CI29" s="1">
        <v>62</v>
      </c>
      <c r="CJ29" s="1">
        <v>48</v>
      </c>
    </row>
    <row r="30" spans="1:88">
      <c r="A30" s="19" t="s">
        <v>344</v>
      </c>
      <c r="B30" s="1">
        <v>111</v>
      </c>
      <c r="C30" s="1"/>
      <c r="D30" s="1">
        <v>1</v>
      </c>
      <c r="E30" s="1"/>
      <c r="F30" s="1"/>
      <c r="G30" s="1"/>
      <c r="H30" s="1">
        <v>118</v>
      </c>
      <c r="I30" s="1"/>
      <c r="J30" s="1"/>
      <c r="K30" s="1">
        <v>6</v>
      </c>
      <c r="L30" s="1"/>
      <c r="M30" s="1"/>
      <c r="N30" s="1"/>
      <c r="O30" s="1"/>
      <c r="P30" s="1"/>
      <c r="Q30" s="1">
        <v>282</v>
      </c>
      <c r="R30" s="1"/>
      <c r="S30" s="1">
        <v>1</v>
      </c>
      <c r="T30" s="1">
        <v>134</v>
      </c>
      <c r="U30" s="1">
        <v>16</v>
      </c>
      <c r="V30" s="1">
        <v>2</v>
      </c>
      <c r="W30" s="1">
        <v>220</v>
      </c>
      <c r="X30" s="1">
        <v>44</v>
      </c>
      <c r="Y30" s="1">
        <v>4</v>
      </c>
      <c r="Z30" s="1"/>
      <c r="AA30" s="1"/>
      <c r="AB30" s="1"/>
      <c r="AC30" s="1">
        <v>1026</v>
      </c>
      <c r="AD30" s="1"/>
      <c r="AE30" s="1">
        <v>7</v>
      </c>
      <c r="AF30" s="1">
        <v>16</v>
      </c>
      <c r="AG30" s="1"/>
      <c r="AH30" s="1">
        <v>0</v>
      </c>
      <c r="AI30" s="1">
        <v>182</v>
      </c>
      <c r="AJ30" s="1"/>
      <c r="AK30" s="1">
        <v>2</v>
      </c>
      <c r="AL30" s="1">
        <v>36</v>
      </c>
      <c r="AM30" s="1"/>
      <c r="AN30" s="1">
        <v>0</v>
      </c>
      <c r="AO30" s="1"/>
      <c r="AP30" s="1"/>
      <c r="AQ30" s="1"/>
      <c r="AR30" s="1">
        <v>175</v>
      </c>
      <c r="AS30" s="1"/>
      <c r="AT30" s="1">
        <v>3</v>
      </c>
      <c r="AU30" s="1">
        <v>25</v>
      </c>
      <c r="AV30" s="1"/>
      <c r="AW30" s="1"/>
      <c r="AX30" s="1"/>
      <c r="AY30" s="1"/>
      <c r="AZ30" s="1"/>
      <c r="BA30" s="1">
        <v>85</v>
      </c>
      <c r="BB30" s="1"/>
      <c r="BC30" s="1"/>
      <c r="BD30" s="1">
        <v>12</v>
      </c>
      <c r="BE30" s="1"/>
      <c r="BF30" s="1">
        <v>0</v>
      </c>
      <c r="BG30" s="1"/>
      <c r="BH30" s="1"/>
      <c r="BI30" s="1"/>
      <c r="BJ30" s="1">
        <v>36</v>
      </c>
      <c r="BK30" s="1"/>
      <c r="BL30" s="1"/>
      <c r="BM30" s="1">
        <v>638</v>
      </c>
      <c r="BN30" s="1"/>
      <c r="BO30" s="1">
        <v>15</v>
      </c>
      <c r="BP30" s="1">
        <v>7</v>
      </c>
      <c r="BQ30" s="1"/>
      <c r="BR30" s="1"/>
      <c r="BS30" s="1">
        <v>1514</v>
      </c>
      <c r="BT30" s="1"/>
      <c r="BU30" s="1">
        <v>13</v>
      </c>
      <c r="BV30" s="1">
        <v>349</v>
      </c>
      <c r="BW30" s="1"/>
      <c r="BX30" s="1">
        <v>6</v>
      </c>
      <c r="BY30" s="1">
        <v>37</v>
      </c>
      <c r="BZ30" s="1">
        <v>5</v>
      </c>
      <c r="CA30" s="1">
        <v>0</v>
      </c>
      <c r="CB30" s="1">
        <v>680</v>
      </c>
      <c r="CC30" s="1"/>
      <c r="CD30" s="1">
        <v>3</v>
      </c>
      <c r="CE30" s="1"/>
      <c r="CF30" s="1"/>
      <c r="CG30" s="1"/>
      <c r="CH30" s="1">
        <v>5689</v>
      </c>
      <c r="CI30" s="1">
        <v>65</v>
      </c>
      <c r="CJ30" s="1">
        <v>57</v>
      </c>
    </row>
    <row r="31" spans="1:88">
      <c r="A31" s="19" t="s">
        <v>345</v>
      </c>
      <c r="B31" s="1">
        <v>145</v>
      </c>
      <c r="C31" s="1"/>
      <c r="D31" s="1">
        <v>1</v>
      </c>
      <c r="E31" s="1">
        <v>66</v>
      </c>
      <c r="F31" s="1"/>
      <c r="G31" s="1"/>
      <c r="H31" s="1">
        <v>168</v>
      </c>
      <c r="I31" s="1"/>
      <c r="J31" s="1">
        <v>1</v>
      </c>
      <c r="K31" s="1"/>
      <c r="L31" s="1"/>
      <c r="M31" s="1"/>
      <c r="N31" s="1"/>
      <c r="O31" s="1"/>
      <c r="P31" s="1"/>
      <c r="Q31" s="1">
        <v>377</v>
      </c>
      <c r="R31" s="1"/>
      <c r="S31" s="1">
        <v>2</v>
      </c>
      <c r="T31" s="1">
        <v>184</v>
      </c>
      <c r="U31" s="1">
        <v>18</v>
      </c>
      <c r="V31" s="1">
        <v>3</v>
      </c>
      <c r="W31" s="1">
        <v>270</v>
      </c>
      <c r="X31" s="1">
        <v>46</v>
      </c>
      <c r="Y31" s="1">
        <v>4</v>
      </c>
      <c r="Z31" s="1">
        <v>37</v>
      </c>
      <c r="AA31" s="1">
        <v>1</v>
      </c>
      <c r="AB31" s="1"/>
      <c r="AC31" s="1">
        <v>1151</v>
      </c>
      <c r="AD31" s="1"/>
      <c r="AE31" s="1">
        <v>9</v>
      </c>
      <c r="AF31" s="1">
        <v>20</v>
      </c>
      <c r="AG31" s="1"/>
      <c r="AH31" s="1">
        <v>0</v>
      </c>
      <c r="AI31" s="1">
        <v>226</v>
      </c>
      <c r="AJ31" s="1"/>
      <c r="AK31" s="1">
        <v>3</v>
      </c>
      <c r="AL31" s="1">
        <v>44</v>
      </c>
      <c r="AM31" s="1"/>
      <c r="AN31" s="1">
        <v>0</v>
      </c>
      <c r="AO31" s="1">
        <v>92</v>
      </c>
      <c r="AP31" s="1"/>
      <c r="AQ31" s="1"/>
      <c r="AR31" s="1">
        <v>189</v>
      </c>
      <c r="AS31" s="1"/>
      <c r="AT31" s="1">
        <v>3</v>
      </c>
      <c r="AU31" s="1">
        <v>28</v>
      </c>
      <c r="AV31" s="1"/>
      <c r="AW31" s="1"/>
      <c r="AX31" s="1"/>
      <c r="AY31" s="1"/>
      <c r="AZ31" s="1"/>
      <c r="BA31" s="1">
        <v>98</v>
      </c>
      <c r="BB31" s="1"/>
      <c r="BC31" s="1"/>
      <c r="BD31" s="1">
        <v>17</v>
      </c>
      <c r="BE31" s="1"/>
      <c r="BF31" s="1">
        <v>0</v>
      </c>
      <c r="BG31" s="1"/>
      <c r="BH31" s="1"/>
      <c r="BI31" s="1"/>
      <c r="BJ31" s="1">
        <v>49</v>
      </c>
      <c r="BK31" s="1"/>
      <c r="BL31" s="1"/>
      <c r="BM31" s="1">
        <v>834</v>
      </c>
      <c r="BN31" s="1"/>
      <c r="BO31" s="1">
        <v>22</v>
      </c>
      <c r="BP31" s="1">
        <v>7</v>
      </c>
      <c r="BQ31" s="1"/>
      <c r="BR31" s="1"/>
      <c r="BS31" s="1">
        <v>1756</v>
      </c>
      <c r="BT31" s="1"/>
      <c r="BU31" s="1">
        <v>19</v>
      </c>
      <c r="BV31" s="1">
        <v>436</v>
      </c>
      <c r="BW31" s="1"/>
      <c r="BX31" s="1">
        <v>7</v>
      </c>
      <c r="BY31" s="1">
        <v>48</v>
      </c>
      <c r="BZ31" s="1">
        <v>5</v>
      </c>
      <c r="CA31" s="1">
        <v>0</v>
      </c>
      <c r="CB31" s="1">
        <v>712</v>
      </c>
      <c r="CC31" s="1"/>
      <c r="CD31" s="1">
        <v>4</v>
      </c>
      <c r="CE31" s="1"/>
      <c r="CF31" s="1"/>
      <c r="CG31" s="1"/>
      <c r="CH31" s="1">
        <v>6954</v>
      </c>
      <c r="CI31" s="1">
        <v>70</v>
      </c>
      <c r="CJ31" s="1">
        <v>78</v>
      </c>
    </row>
    <row r="32" spans="1:88">
      <c r="A32" s="19" t="s">
        <v>346</v>
      </c>
      <c r="B32" s="1">
        <v>167</v>
      </c>
      <c r="C32" s="1"/>
      <c r="D32" s="1">
        <v>2</v>
      </c>
      <c r="E32" s="1"/>
      <c r="F32" s="1"/>
      <c r="G32" s="1"/>
      <c r="H32" s="1"/>
      <c r="I32" s="1"/>
      <c r="J32" s="1"/>
      <c r="K32" s="1"/>
      <c r="L32" s="1"/>
      <c r="M32" s="1"/>
      <c r="N32" s="1"/>
      <c r="O32" s="1"/>
      <c r="P32" s="1">
        <v>1</v>
      </c>
      <c r="Q32" s="1">
        <v>418</v>
      </c>
      <c r="R32" s="1"/>
      <c r="S32" s="1">
        <v>3</v>
      </c>
      <c r="T32" s="1">
        <v>282</v>
      </c>
      <c r="U32" s="1">
        <v>21</v>
      </c>
      <c r="V32" s="1">
        <v>3</v>
      </c>
      <c r="W32" s="1">
        <v>297</v>
      </c>
      <c r="X32" s="1">
        <v>57</v>
      </c>
      <c r="Y32" s="1">
        <v>5</v>
      </c>
      <c r="Z32" s="1">
        <v>44</v>
      </c>
      <c r="AA32" s="1"/>
      <c r="AB32" s="1"/>
      <c r="AC32" s="1">
        <v>1280</v>
      </c>
      <c r="AD32" s="1"/>
      <c r="AE32" s="1">
        <v>9</v>
      </c>
      <c r="AF32" s="1">
        <v>25</v>
      </c>
      <c r="AG32" s="1"/>
      <c r="AH32" s="1">
        <v>0</v>
      </c>
      <c r="AI32" s="1">
        <v>258</v>
      </c>
      <c r="AJ32" s="1"/>
      <c r="AK32" s="1">
        <v>4</v>
      </c>
      <c r="AL32" s="1">
        <v>54</v>
      </c>
      <c r="AM32" s="1"/>
      <c r="AN32" s="1">
        <v>0</v>
      </c>
      <c r="AO32" s="1">
        <v>109</v>
      </c>
      <c r="AP32" s="1"/>
      <c r="AQ32" s="1">
        <v>1</v>
      </c>
      <c r="AR32" s="1">
        <v>200</v>
      </c>
      <c r="AS32" s="1"/>
      <c r="AT32" s="1">
        <v>4</v>
      </c>
      <c r="AU32" s="1">
        <v>33</v>
      </c>
      <c r="AV32" s="1"/>
      <c r="AW32" s="1"/>
      <c r="AX32" s="1"/>
      <c r="AY32" s="1"/>
      <c r="AZ32" s="1"/>
      <c r="BA32" s="1"/>
      <c r="BB32" s="1"/>
      <c r="BC32" s="1"/>
      <c r="BD32" s="1">
        <v>28</v>
      </c>
      <c r="BE32" s="1"/>
      <c r="BF32" s="1">
        <v>0</v>
      </c>
      <c r="BG32" s="1"/>
      <c r="BH32" s="1"/>
      <c r="BI32" s="1"/>
      <c r="BJ32" s="1">
        <v>56</v>
      </c>
      <c r="BK32" s="1"/>
      <c r="BL32" s="1"/>
      <c r="BM32" s="1">
        <v>918</v>
      </c>
      <c r="BN32" s="1"/>
      <c r="BO32" s="1">
        <v>28</v>
      </c>
      <c r="BP32" s="1">
        <v>12</v>
      </c>
      <c r="BQ32" s="1"/>
      <c r="BR32" s="1"/>
      <c r="BS32" s="1">
        <v>1875</v>
      </c>
      <c r="BT32" s="1"/>
      <c r="BU32" s="1">
        <v>22</v>
      </c>
      <c r="BV32" s="1">
        <v>498</v>
      </c>
      <c r="BW32" s="1"/>
      <c r="BX32" s="1">
        <v>10</v>
      </c>
      <c r="BY32" s="1">
        <v>53</v>
      </c>
      <c r="BZ32" s="1">
        <v>5</v>
      </c>
      <c r="CA32" s="1">
        <v>0</v>
      </c>
      <c r="CB32" s="1">
        <v>712</v>
      </c>
      <c r="CC32" s="1"/>
      <c r="CD32" s="1">
        <v>5</v>
      </c>
      <c r="CE32" s="1"/>
      <c r="CF32" s="1"/>
      <c r="CG32" s="1"/>
      <c r="CH32" s="1">
        <v>7319</v>
      </c>
      <c r="CI32" s="1">
        <v>83</v>
      </c>
      <c r="CJ32" s="1">
        <v>97</v>
      </c>
    </row>
    <row r="33" spans="1:88">
      <c r="A33" s="19" t="s">
        <v>347</v>
      </c>
      <c r="B33" s="1">
        <v>202</v>
      </c>
      <c r="C33" s="1"/>
      <c r="D33" s="1">
        <v>3</v>
      </c>
      <c r="E33" s="1"/>
      <c r="F33" s="1"/>
      <c r="G33" s="1"/>
      <c r="H33" s="1">
        <v>232</v>
      </c>
      <c r="I33" s="1"/>
      <c r="J33" s="1">
        <v>1</v>
      </c>
      <c r="K33" s="1"/>
      <c r="L33" s="1"/>
      <c r="M33" s="1"/>
      <c r="N33" s="1"/>
      <c r="O33" s="1"/>
      <c r="P33" s="1"/>
      <c r="Q33" s="1"/>
      <c r="R33" s="1"/>
      <c r="S33" s="1"/>
      <c r="T33" s="1">
        <v>289</v>
      </c>
      <c r="U33" s="1">
        <v>21</v>
      </c>
      <c r="V33" s="1">
        <v>3</v>
      </c>
      <c r="W33" s="1">
        <v>356</v>
      </c>
      <c r="X33" s="1">
        <v>73</v>
      </c>
      <c r="Y33" s="1">
        <v>5</v>
      </c>
      <c r="Z33" s="1">
        <v>46</v>
      </c>
      <c r="AA33" s="1"/>
      <c r="AB33" s="1"/>
      <c r="AC33" s="1">
        <v>1423</v>
      </c>
      <c r="AD33" s="1"/>
      <c r="AE33" s="1">
        <v>10</v>
      </c>
      <c r="AF33" s="1">
        <v>29</v>
      </c>
      <c r="AG33" s="1"/>
      <c r="AH33" s="1">
        <v>0</v>
      </c>
      <c r="AI33" s="1">
        <v>284</v>
      </c>
      <c r="AJ33" s="1"/>
      <c r="AK33" s="1">
        <v>4</v>
      </c>
      <c r="AL33" s="1">
        <v>61</v>
      </c>
      <c r="AM33" s="1"/>
      <c r="AN33" s="1">
        <v>0</v>
      </c>
      <c r="AO33" s="1">
        <v>131</v>
      </c>
      <c r="AP33" s="1"/>
      <c r="AQ33" s="1">
        <v>1</v>
      </c>
      <c r="AR33" s="1">
        <v>216</v>
      </c>
      <c r="AS33" s="1"/>
      <c r="AT33" s="1">
        <v>4</v>
      </c>
      <c r="AU33" s="1">
        <v>36</v>
      </c>
      <c r="AV33" s="1"/>
      <c r="AW33" s="1"/>
      <c r="AX33" s="1"/>
      <c r="AY33" s="1"/>
      <c r="AZ33" s="1"/>
      <c r="BA33" s="1"/>
      <c r="BB33" s="1"/>
      <c r="BC33" s="1"/>
      <c r="BD33" s="1">
        <v>30</v>
      </c>
      <c r="BE33" s="1"/>
      <c r="BF33" s="1">
        <v>0</v>
      </c>
      <c r="BG33" s="1"/>
      <c r="BH33" s="1"/>
      <c r="BI33" s="1"/>
      <c r="BJ33" s="1">
        <v>75</v>
      </c>
      <c r="BK33" s="1"/>
      <c r="BL33" s="1"/>
      <c r="BM33" s="1">
        <v>939</v>
      </c>
      <c r="BN33" s="1"/>
      <c r="BO33" s="1">
        <v>37</v>
      </c>
      <c r="BP33" s="1"/>
      <c r="BQ33" s="1"/>
      <c r="BR33" s="1"/>
      <c r="BS33" s="1">
        <v>1977</v>
      </c>
      <c r="BT33" s="1"/>
      <c r="BU33" s="1">
        <v>24</v>
      </c>
      <c r="BV33" s="1">
        <v>535</v>
      </c>
      <c r="BW33" s="1"/>
      <c r="BX33" s="1">
        <v>11</v>
      </c>
      <c r="BY33" s="1">
        <v>53</v>
      </c>
      <c r="BZ33" s="1">
        <v>5</v>
      </c>
      <c r="CA33" s="1">
        <v>0</v>
      </c>
      <c r="CB33" s="1">
        <v>712</v>
      </c>
      <c r="CC33" s="1"/>
      <c r="CD33" s="1">
        <v>6</v>
      </c>
      <c r="CE33" s="1"/>
      <c r="CF33" s="1"/>
      <c r="CG33" s="1"/>
      <c r="CH33" s="1">
        <v>7626</v>
      </c>
      <c r="CI33" s="1">
        <v>99</v>
      </c>
      <c r="CJ33" s="1">
        <v>109</v>
      </c>
    </row>
    <row r="34" spans="1:88">
      <c r="A34" s="19" t="s">
        <v>348</v>
      </c>
      <c r="B34" s="1">
        <v>226</v>
      </c>
      <c r="C34" s="1"/>
      <c r="D34" s="1">
        <v>4</v>
      </c>
      <c r="E34" s="1">
        <v>95</v>
      </c>
      <c r="F34" s="1"/>
      <c r="G34" s="1">
        <v>1</v>
      </c>
      <c r="H34" s="1">
        <v>241</v>
      </c>
      <c r="I34" s="1"/>
      <c r="J34" s="1">
        <v>1</v>
      </c>
      <c r="K34" s="1"/>
      <c r="L34" s="1"/>
      <c r="M34" s="1"/>
      <c r="N34" s="1">
        <v>30</v>
      </c>
      <c r="O34" s="1"/>
      <c r="P34" s="1">
        <v>1</v>
      </c>
      <c r="Q34" s="1">
        <v>470</v>
      </c>
      <c r="R34" s="1"/>
      <c r="S34" s="1">
        <v>5</v>
      </c>
      <c r="T34" s="1">
        <v>302</v>
      </c>
      <c r="U34" s="1">
        <v>35</v>
      </c>
      <c r="V34" s="1">
        <v>3</v>
      </c>
      <c r="W34" s="1">
        <v>374</v>
      </c>
      <c r="X34" s="1">
        <v>78</v>
      </c>
      <c r="Y34" s="1">
        <v>5</v>
      </c>
      <c r="Z34" s="1">
        <v>51</v>
      </c>
      <c r="AA34" s="1"/>
      <c r="AB34" s="1"/>
      <c r="AC34" s="1">
        <v>1568</v>
      </c>
      <c r="AD34" s="1"/>
      <c r="AE34" s="1">
        <v>16</v>
      </c>
      <c r="AF34" s="1">
        <v>31</v>
      </c>
      <c r="AG34" s="1"/>
      <c r="AH34" s="1">
        <v>0</v>
      </c>
      <c r="AI34" s="1">
        <v>300</v>
      </c>
      <c r="AJ34" s="1"/>
      <c r="AK34" s="1">
        <v>5</v>
      </c>
      <c r="AL34" s="1">
        <v>69</v>
      </c>
      <c r="AM34" s="1"/>
      <c r="AN34" s="1">
        <v>0</v>
      </c>
      <c r="AO34" s="1">
        <v>156</v>
      </c>
      <c r="AP34" s="1"/>
      <c r="AQ34" s="1">
        <v>1</v>
      </c>
      <c r="AR34" s="1">
        <v>247</v>
      </c>
      <c r="AS34" s="1"/>
      <c r="AT34" s="1">
        <v>5</v>
      </c>
      <c r="AU34" s="1">
        <v>39</v>
      </c>
      <c r="AV34" s="1"/>
      <c r="AW34" s="1"/>
      <c r="AX34" s="1">
        <v>25</v>
      </c>
      <c r="AY34" s="1"/>
      <c r="AZ34" s="1"/>
      <c r="BA34" s="1">
        <v>228</v>
      </c>
      <c r="BB34" s="1"/>
      <c r="BC34" s="1">
        <v>1</v>
      </c>
      <c r="BD34" s="1">
        <v>32</v>
      </c>
      <c r="BE34" s="1"/>
      <c r="BF34" s="1">
        <v>0</v>
      </c>
      <c r="BG34" s="1"/>
      <c r="BH34" s="1"/>
      <c r="BI34" s="1"/>
      <c r="BJ34" s="1">
        <v>81</v>
      </c>
      <c r="BK34" s="1"/>
      <c r="BL34" s="1"/>
      <c r="BM34" s="1">
        <v>1165</v>
      </c>
      <c r="BN34" s="1"/>
      <c r="BO34" s="1">
        <v>48</v>
      </c>
      <c r="BP34" s="1">
        <v>22</v>
      </c>
      <c r="BQ34" s="1">
        <v>1</v>
      </c>
      <c r="BR34" s="1"/>
      <c r="BS34" s="1">
        <v>2283</v>
      </c>
      <c r="BT34" s="1"/>
      <c r="BU34" s="1">
        <v>28</v>
      </c>
      <c r="BV34" s="1">
        <v>628</v>
      </c>
      <c r="BW34" s="1"/>
      <c r="BX34" s="1">
        <v>13</v>
      </c>
      <c r="BY34" s="1">
        <v>53</v>
      </c>
      <c r="BZ34" s="1">
        <v>5</v>
      </c>
      <c r="CA34" s="1">
        <v>0</v>
      </c>
      <c r="CB34" s="1">
        <v>1076</v>
      </c>
      <c r="CC34" s="1"/>
      <c r="CD34" s="1">
        <v>6</v>
      </c>
      <c r="CE34" s="1"/>
      <c r="CF34" s="1"/>
      <c r="CG34" s="1"/>
      <c r="CH34" s="1">
        <v>9792</v>
      </c>
      <c r="CI34" s="1">
        <v>119</v>
      </c>
      <c r="CJ34" s="1">
        <v>143</v>
      </c>
    </row>
    <row r="35" spans="1:88">
      <c r="A35" s="19" t="s">
        <v>349</v>
      </c>
      <c r="B35" s="1">
        <v>255</v>
      </c>
      <c r="C35" s="1"/>
      <c r="D35" s="1">
        <v>5</v>
      </c>
      <c r="E35" s="1">
        <v>104</v>
      </c>
      <c r="F35" s="1"/>
      <c r="G35" s="1">
        <v>1</v>
      </c>
      <c r="H35" s="1">
        <v>266</v>
      </c>
      <c r="I35" s="1"/>
      <c r="J35" s="1">
        <v>2</v>
      </c>
      <c r="K35" s="1">
        <v>8</v>
      </c>
      <c r="L35" s="1"/>
      <c r="M35" s="1"/>
      <c r="N35" s="1">
        <v>33</v>
      </c>
      <c r="O35" s="1"/>
      <c r="P35" s="1">
        <v>2</v>
      </c>
      <c r="Q35" s="1">
        <v>532</v>
      </c>
      <c r="R35" s="1"/>
      <c r="S35" s="1">
        <v>6</v>
      </c>
      <c r="T35" s="1">
        <v>306</v>
      </c>
      <c r="U35" s="1">
        <v>40</v>
      </c>
      <c r="V35" s="1">
        <v>4</v>
      </c>
      <c r="W35" s="1">
        <v>410</v>
      </c>
      <c r="X35" s="1">
        <v>105</v>
      </c>
      <c r="Y35" s="1">
        <v>5</v>
      </c>
      <c r="Z35" s="1">
        <v>51</v>
      </c>
      <c r="AA35" s="1"/>
      <c r="AB35" s="1"/>
      <c r="AC35" s="1">
        <v>1668</v>
      </c>
      <c r="AD35" s="1">
        <v>103</v>
      </c>
      <c r="AE35" s="1">
        <v>17</v>
      </c>
      <c r="AF35" s="1">
        <v>33</v>
      </c>
      <c r="AG35" s="1"/>
      <c r="AH35" s="1">
        <v>0</v>
      </c>
      <c r="AI35" s="1">
        <v>343</v>
      </c>
      <c r="AJ35" s="1"/>
      <c r="AK35" s="1">
        <v>6</v>
      </c>
      <c r="AL35" s="1">
        <v>82</v>
      </c>
      <c r="AM35" s="1"/>
      <c r="AN35" s="1">
        <v>0</v>
      </c>
      <c r="AO35" s="1">
        <v>205</v>
      </c>
      <c r="AP35" s="1"/>
      <c r="AQ35" s="1">
        <v>2</v>
      </c>
      <c r="AR35" s="1">
        <v>265</v>
      </c>
      <c r="AS35" s="1"/>
      <c r="AT35" s="1">
        <v>6</v>
      </c>
      <c r="AU35" s="1">
        <v>42</v>
      </c>
      <c r="AV35" s="1"/>
      <c r="AW35" s="1"/>
      <c r="AX35" s="1">
        <v>25</v>
      </c>
      <c r="AY35" s="1"/>
      <c r="AZ35" s="1"/>
      <c r="BA35" s="1"/>
      <c r="BB35" s="1"/>
      <c r="BC35" s="1"/>
      <c r="BD35" s="1">
        <v>34</v>
      </c>
      <c r="BE35" s="1"/>
      <c r="BF35" s="1">
        <v>0</v>
      </c>
      <c r="BG35" s="1">
        <v>97</v>
      </c>
      <c r="BH35" s="1">
        <v>10</v>
      </c>
      <c r="BI35" s="1">
        <v>0</v>
      </c>
      <c r="BJ35" s="1">
        <v>87</v>
      </c>
      <c r="BK35" s="1"/>
      <c r="BL35" s="1">
        <v>1</v>
      </c>
      <c r="BM35" s="1">
        <v>1211</v>
      </c>
      <c r="BN35" s="1"/>
      <c r="BO35" s="1">
        <v>53</v>
      </c>
      <c r="BP35" s="1">
        <v>25</v>
      </c>
      <c r="BQ35" s="1">
        <v>1</v>
      </c>
      <c r="BR35" s="1"/>
      <c r="BS35" s="1">
        <v>2548</v>
      </c>
      <c r="BT35" s="1"/>
      <c r="BU35" s="1">
        <v>32</v>
      </c>
      <c r="BV35" s="1">
        <v>728</v>
      </c>
      <c r="BW35" s="1"/>
      <c r="BX35" s="1">
        <v>14</v>
      </c>
      <c r="BY35" s="1">
        <v>72</v>
      </c>
      <c r="BZ35" s="1">
        <v>12</v>
      </c>
      <c r="CA35" s="1">
        <v>0</v>
      </c>
      <c r="CB35" s="1">
        <v>1224</v>
      </c>
      <c r="CC35" s="1"/>
      <c r="CD35" s="1">
        <v>8</v>
      </c>
      <c r="CE35" s="1"/>
      <c r="CF35" s="1"/>
      <c r="CG35" s="1"/>
      <c r="CH35" s="1">
        <v>10654</v>
      </c>
      <c r="CI35" s="1">
        <v>271</v>
      </c>
      <c r="CJ35" s="1">
        <v>164</v>
      </c>
    </row>
    <row r="36" spans="1:88">
      <c r="A36" s="19" t="s">
        <v>350</v>
      </c>
      <c r="B36" s="1">
        <v>293</v>
      </c>
      <c r="C36" s="1"/>
      <c r="D36" s="1">
        <v>6</v>
      </c>
      <c r="E36" s="1">
        <v>129</v>
      </c>
      <c r="F36" s="1"/>
      <c r="G36" s="1">
        <v>1</v>
      </c>
      <c r="H36" s="1">
        <v>319</v>
      </c>
      <c r="I36" s="1"/>
      <c r="J36" s="1">
        <v>2</v>
      </c>
      <c r="K36" s="1">
        <v>9</v>
      </c>
      <c r="L36" s="1"/>
      <c r="M36" s="1"/>
      <c r="N36" s="1">
        <v>34</v>
      </c>
      <c r="O36" s="1"/>
      <c r="P36" s="1">
        <v>2</v>
      </c>
      <c r="Q36" s="1">
        <v>624</v>
      </c>
      <c r="R36" s="1"/>
      <c r="S36" s="1">
        <v>6</v>
      </c>
      <c r="T36" s="1">
        <v>341</v>
      </c>
      <c r="U36" s="1">
        <v>46</v>
      </c>
      <c r="V36" s="1">
        <v>5</v>
      </c>
      <c r="W36" s="1">
        <v>462</v>
      </c>
      <c r="X36" s="1">
        <v>128</v>
      </c>
      <c r="Y36" s="1">
        <v>8</v>
      </c>
      <c r="Z36" s="1">
        <v>53</v>
      </c>
      <c r="AA36" s="1"/>
      <c r="AB36" s="1"/>
      <c r="AC36" s="1">
        <v>1789</v>
      </c>
      <c r="AD36" s="1">
        <v>122</v>
      </c>
      <c r="AE36" s="1">
        <v>24</v>
      </c>
      <c r="AF36" s="1">
        <v>40</v>
      </c>
      <c r="AG36" s="1"/>
      <c r="AH36" s="1">
        <v>0</v>
      </c>
      <c r="AI36" s="1">
        <v>393</v>
      </c>
      <c r="AJ36" s="1"/>
      <c r="AK36" s="1">
        <v>8</v>
      </c>
      <c r="AL36" s="1">
        <v>92</v>
      </c>
      <c r="AM36" s="1"/>
      <c r="AN36" s="1">
        <v>0</v>
      </c>
      <c r="AO36" s="1">
        <v>228</v>
      </c>
      <c r="AP36" s="1"/>
      <c r="AQ36" s="1">
        <v>2</v>
      </c>
      <c r="AR36" s="1">
        <v>280</v>
      </c>
      <c r="AS36" s="1"/>
      <c r="AT36" s="1">
        <v>9</v>
      </c>
      <c r="AU36" s="1">
        <v>44</v>
      </c>
      <c r="AV36" s="1"/>
      <c r="AW36" s="1"/>
      <c r="AX36" s="1">
        <v>27</v>
      </c>
      <c r="AY36" s="1"/>
      <c r="AZ36" s="1"/>
      <c r="BA36" s="1">
        <v>228</v>
      </c>
      <c r="BB36" s="1"/>
      <c r="BC36" s="1">
        <v>1</v>
      </c>
      <c r="BD36" s="1">
        <v>35</v>
      </c>
      <c r="BE36" s="1"/>
      <c r="BF36" s="1">
        <v>0</v>
      </c>
      <c r="BG36" s="1"/>
      <c r="BH36" s="1">
        <v>10</v>
      </c>
      <c r="BI36" s="1">
        <v>0</v>
      </c>
      <c r="BJ36" s="1">
        <v>96</v>
      </c>
      <c r="BK36" s="1"/>
      <c r="BL36" s="1">
        <v>1</v>
      </c>
      <c r="BM36" s="1">
        <v>1354</v>
      </c>
      <c r="BN36" s="1"/>
      <c r="BO36" s="1">
        <v>60</v>
      </c>
      <c r="BP36" s="1"/>
      <c r="BQ36" s="1"/>
      <c r="BR36" s="1"/>
      <c r="BS36" s="1">
        <v>2740</v>
      </c>
      <c r="BT36" s="1"/>
      <c r="BU36" s="1">
        <v>40</v>
      </c>
      <c r="BV36" s="1">
        <v>794</v>
      </c>
      <c r="BW36" s="1"/>
      <c r="BX36" s="1">
        <v>15</v>
      </c>
      <c r="BY36" s="1">
        <v>80</v>
      </c>
      <c r="BZ36" s="1">
        <v>18</v>
      </c>
      <c r="CA36" s="1">
        <v>0</v>
      </c>
      <c r="CB36" s="1">
        <v>1371</v>
      </c>
      <c r="CC36" s="1"/>
      <c r="CD36" s="1">
        <v>10</v>
      </c>
      <c r="CE36" s="1"/>
      <c r="CF36" s="1"/>
      <c r="CG36" s="1"/>
      <c r="CH36" s="1">
        <v>11855</v>
      </c>
      <c r="CI36" s="1">
        <v>324</v>
      </c>
      <c r="CJ36" s="1">
        <v>200</v>
      </c>
    </row>
    <row r="37" spans="1:88">
      <c r="A37" s="19" t="s">
        <v>351</v>
      </c>
      <c r="B37" s="1">
        <v>309</v>
      </c>
      <c r="C37" s="1"/>
      <c r="D37" s="1">
        <v>11</v>
      </c>
      <c r="E37" s="1">
        <v>141</v>
      </c>
      <c r="F37" s="1"/>
      <c r="G37" s="1">
        <v>1</v>
      </c>
      <c r="H37" s="1">
        <v>349</v>
      </c>
      <c r="I37" s="1"/>
      <c r="J37" s="1">
        <v>2</v>
      </c>
      <c r="K37" s="1">
        <v>11</v>
      </c>
      <c r="L37" s="1"/>
      <c r="M37" s="1"/>
      <c r="N37" s="1">
        <v>42</v>
      </c>
      <c r="O37" s="1"/>
      <c r="P37" s="1">
        <v>2</v>
      </c>
      <c r="Q37" s="1">
        <v>660</v>
      </c>
      <c r="R37" s="1"/>
      <c r="S37" s="1">
        <v>7</v>
      </c>
      <c r="T37" s="1">
        <v>422</v>
      </c>
      <c r="U37" s="1">
        <v>65</v>
      </c>
      <c r="V37" s="1">
        <v>5</v>
      </c>
      <c r="W37" s="1">
        <v>501</v>
      </c>
      <c r="X37" s="1">
        <v>155</v>
      </c>
      <c r="Y37" s="1">
        <v>12</v>
      </c>
      <c r="Z37" s="1">
        <v>56</v>
      </c>
      <c r="AA37" s="1"/>
      <c r="AB37" s="1"/>
      <c r="AC37" s="1">
        <v>2011</v>
      </c>
      <c r="AD37" s="1">
        <v>144</v>
      </c>
      <c r="AE37" s="1">
        <v>26</v>
      </c>
      <c r="AF37" s="1">
        <v>43</v>
      </c>
      <c r="AG37" s="1"/>
      <c r="AH37" s="1">
        <v>0</v>
      </c>
      <c r="AI37" s="1">
        <v>433</v>
      </c>
      <c r="AJ37" s="1"/>
      <c r="AK37" s="1">
        <v>8</v>
      </c>
      <c r="AL37" s="1">
        <v>100</v>
      </c>
      <c r="AM37" s="1"/>
      <c r="AN37" s="1">
        <v>0</v>
      </c>
      <c r="AO37" s="1">
        <v>253</v>
      </c>
      <c r="AP37" s="1"/>
      <c r="AQ37" s="1">
        <v>3</v>
      </c>
      <c r="AR37" s="1">
        <v>299</v>
      </c>
      <c r="AS37" s="1"/>
      <c r="AT37" s="1">
        <v>12</v>
      </c>
      <c r="AU37" s="1">
        <v>48</v>
      </c>
      <c r="AV37" s="1"/>
      <c r="AW37" s="1"/>
      <c r="AX37" s="1">
        <v>30</v>
      </c>
      <c r="AY37" s="1"/>
      <c r="AZ37" s="1"/>
      <c r="BA37" s="1">
        <v>306</v>
      </c>
      <c r="BB37" s="1"/>
      <c r="BC37" s="1">
        <v>2</v>
      </c>
      <c r="BD37" s="1">
        <v>36</v>
      </c>
      <c r="BE37" s="1"/>
      <c r="BF37" s="1">
        <v>0</v>
      </c>
      <c r="BG37" s="1">
        <v>107</v>
      </c>
      <c r="BH37" s="1">
        <v>20</v>
      </c>
      <c r="BI37" s="1">
        <v>0</v>
      </c>
      <c r="BJ37" s="1">
        <v>110</v>
      </c>
      <c r="BK37" s="1"/>
      <c r="BL37" s="1">
        <v>1</v>
      </c>
      <c r="BM37" s="1">
        <v>1401</v>
      </c>
      <c r="BN37" s="1"/>
      <c r="BO37" s="1">
        <v>67</v>
      </c>
      <c r="BP37" s="1">
        <v>38</v>
      </c>
      <c r="BQ37" s="1">
        <v>2</v>
      </c>
      <c r="BR37" s="1"/>
      <c r="BS37" s="1">
        <v>2945</v>
      </c>
      <c r="BT37" s="1"/>
      <c r="BU37" s="1">
        <v>57</v>
      </c>
      <c r="BV37" s="1">
        <v>875</v>
      </c>
      <c r="BW37" s="1"/>
      <c r="BX37" s="1">
        <v>17</v>
      </c>
      <c r="BY37" s="1">
        <v>87</v>
      </c>
      <c r="BZ37" s="1">
        <v>18</v>
      </c>
      <c r="CA37" s="1">
        <v>0</v>
      </c>
      <c r="CB37" s="1">
        <v>1503</v>
      </c>
      <c r="CC37" s="1"/>
      <c r="CD37" s="1">
        <v>13</v>
      </c>
      <c r="CE37" s="1"/>
      <c r="CF37" s="1"/>
      <c r="CG37" s="1"/>
      <c r="CH37" s="1">
        <v>13116</v>
      </c>
      <c r="CI37" s="1">
        <v>404</v>
      </c>
      <c r="CJ37" s="1">
        <v>246</v>
      </c>
    </row>
    <row r="38" spans="1:88">
      <c r="A38" s="19" t="s">
        <v>352</v>
      </c>
      <c r="B38" s="1">
        <v>369</v>
      </c>
      <c r="C38" s="1"/>
      <c r="D38" s="1">
        <v>14</v>
      </c>
      <c r="E38" s="1">
        <v>157</v>
      </c>
      <c r="F38" s="1"/>
      <c r="G38" s="1">
        <v>1</v>
      </c>
      <c r="H38" s="1">
        <v>364</v>
      </c>
      <c r="I38" s="1"/>
      <c r="J38" s="1">
        <v>3</v>
      </c>
      <c r="K38" s="1">
        <v>12</v>
      </c>
      <c r="L38" s="1"/>
      <c r="M38" s="1"/>
      <c r="N38" s="1">
        <v>44</v>
      </c>
      <c r="O38" s="1"/>
      <c r="P38" s="1">
        <v>2</v>
      </c>
      <c r="Q38" s="1">
        <v>718</v>
      </c>
      <c r="R38" s="1"/>
      <c r="S38" s="1">
        <v>8</v>
      </c>
      <c r="T38" s="1">
        <v>466</v>
      </c>
      <c r="U38" s="1">
        <v>76</v>
      </c>
      <c r="V38" s="1">
        <v>5</v>
      </c>
      <c r="W38" s="1">
        <v>530</v>
      </c>
      <c r="X38" s="1">
        <v>191</v>
      </c>
      <c r="Y38" s="1">
        <v>13</v>
      </c>
      <c r="Z38" s="1">
        <v>60</v>
      </c>
      <c r="AA38" s="1"/>
      <c r="AB38" s="1"/>
      <c r="AC38" s="1">
        <v>2196</v>
      </c>
      <c r="AD38" s="1">
        <v>153</v>
      </c>
      <c r="AE38" s="1">
        <v>33</v>
      </c>
      <c r="AF38" s="1">
        <v>47</v>
      </c>
      <c r="AG38" s="1"/>
      <c r="AH38" s="1">
        <v>0</v>
      </c>
      <c r="AI38" s="1">
        <v>474</v>
      </c>
      <c r="AJ38" s="1"/>
      <c r="AK38" s="1">
        <v>9</v>
      </c>
      <c r="AL38" s="1">
        <v>114</v>
      </c>
      <c r="AM38" s="1"/>
      <c r="AN38" s="1">
        <v>0</v>
      </c>
      <c r="AO38" s="1">
        <v>287</v>
      </c>
      <c r="AP38" s="1"/>
      <c r="AQ38" s="1">
        <v>3</v>
      </c>
      <c r="AR38" s="1">
        <v>316</v>
      </c>
      <c r="AS38" s="1"/>
      <c r="AT38" s="1">
        <v>13</v>
      </c>
      <c r="AU38" s="1">
        <v>54</v>
      </c>
      <c r="AV38" s="1"/>
      <c r="AW38" s="1"/>
      <c r="AX38" s="1">
        <v>37</v>
      </c>
      <c r="AY38" s="1"/>
      <c r="AZ38" s="1"/>
      <c r="BA38" s="1"/>
      <c r="BB38" s="1"/>
      <c r="BC38" s="1"/>
      <c r="BD38" s="1">
        <v>37</v>
      </c>
      <c r="BE38" s="1"/>
      <c r="BF38" s="1">
        <v>0</v>
      </c>
      <c r="BG38" s="1">
        <v>119</v>
      </c>
      <c r="BH38" s="1">
        <v>32</v>
      </c>
      <c r="BI38" s="1">
        <v>1</v>
      </c>
      <c r="BJ38" s="1">
        <v>117</v>
      </c>
      <c r="BK38" s="1"/>
      <c r="BL38" s="1">
        <v>2</v>
      </c>
      <c r="BM38" s="1">
        <v>1688</v>
      </c>
      <c r="BN38" s="1"/>
      <c r="BO38" s="1">
        <v>76</v>
      </c>
      <c r="BP38" s="1">
        <v>40</v>
      </c>
      <c r="BQ38" s="1">
        <v>3</v>
      </c>
      <c r="BR38" s="1"/>
      <c r="BS38" s="1">
        <v>3179</v>
      </c>
      <c r="BT38" s="1"/>
      <c r="BU38" s="1">
        <v>61</v>
      </c>
      <c r="BV38" s="1">
        <v>969</v>
      </c>
      <c r="BW38" s="1"/>
      <c r="BX38" s="1">
        <v>21</v>
      </c>
      <c r="BY38" s="1">
        <v>94</v>
      </c>
      <c r="BZ38" s="1">
        <v>18</v>
      </c>
      <c r="CA38" s="1">
        <v>0</v>
      </c>
      <c r="CB38" s="1">
        <v>1630</v>
      </c>
      <c r="CC38" s="1"/>
      <c r="CD38" s="1">
        <v>15</v>
      </c>
      <c r="CE38" s="1"/>
      <c r="CF38" s="1"/>
      <c r="CG38" s="1"/>
      <c r="CH38" s="1">
        <v>14118</v>
      </c>
      <c r="CI38" s="1">
        <v>473</v>
      </c>
      <c r="CJ38" s="1">
        <v>280</v>
      </c>
    </row>
    <row r="39" spans="1:88">
      <c r="A39" s="19" t="s">
        <v>353</v>
      </c>
      <c r="B39" s="1">
        <v>421</v>
      </c>
      <c r="C39" s="1"/>
      <c r="D39" s="1">
        <v>15</v>
      </c>
      <c r="E39" s="1">
        <v>173</v>
      </c>
      <c r="F39" s="1"/>
      <c r="G39" s="1">
        <v>1</v>
      </c>
      <c r="H39" s="1"/>
      <c r="I39" s="1"/>
      <c r="J39" s="1"/>
      <c r="K39" s="1">
        <v>13</v>
      </c>
      <c r="L39" s="1"/>
      <c r="M39" s="1"/>
      <c r="N39" s="1">
        <v>45</v>
      </c>
      <c r="O39" s="1"/>
      <c r="P39" s="1">
        <v>2</v>
      </c>
      <c r="Q39" s="1">
        <v>767</v>
      </c>
      <c r="R39" s="1"/>
      <c r="S39" s="1">
        <v>9</v>
      </c>
      <c r="T39" s="1">
        <v>502</v>
      </c>
      <c r="U39" s="1">
        <v>100</v>
      </c>
      <c r="V39" s="1">
        <v>6</v>
      </c>
      <c r="W39" s="1">
        <v>569</v>
      </c>
      <c r="X39" s="1">
        <v>211</v>
      </c>
      <c r="Y39" s="1">
        <v>13</v>
      </c>
      <c r="Z39" s="1">
        <v>61</v>
      </c>
      <c r="AA39" s="1"/>
      <c r="AB39" s="1"/>
      <c r="AC39" s="1">
        <v>2392</v>
      </c>
      <c r="AD39" s="1">
        <v>175</v>
      </c>
      <c r="AE39" s="1">
        <v>41</v>
      </c>
      <c r="AF39" s="1">
        <v>47</v>
      </c>
      <c r="AG39" s="1"/>
      <c r="AH39" s="1">
        <v>1</v>
      </c>
      <c r="AI39" s="1">
        <v>495</v>
      </c>
      <c r="AJ39" s="1"/>
      <c r="AK39" s="1">
        <v>12</v>
      </c>
      <c r="AL39" s="1">
        <v>119</v>
      </c>
      <c r="AM39" s="1"/>
      <c r="AN39" s="1">
        <v>0</v>
      </c>
      <c r="AO39" s="1">
        <v>317</v>
      </c>
      <c r="AP39" s="1"/>
      <c r="AQ39" s="1">
        <v>4</v>
      </c>
      <c r="AR39" s="1">
        <v>337</v>
      </c>
      <c r="AS39" s="1"/>
      <c r="AT39" s="1">
        <v>15</v>
      </c>
      <c r="AU39" s="1">
        <v>55</v>
      </c>
      <c r="AV39" s="1"/>
      <c r="AW39" s="1"/>
      <c r="AX39" s="1"/>
      <c r="AY39" s="1"/>
      <c r="AZ39" s="1"/>
      <c r="BA39" s="1">
        <v>339</v>
      </c>
      <c r="BB39" s="1"/>
      <c r="BC39" s="1">
        <v>5</v>
      </c>
      <c r="BD39" s="1">
        <v>40</v>
      </c>
      <c r="BE39" s="1"/>
      <c r="BF39" s="1">
        <v>0</v>
      </c>
      <c r="BG39" s="1">
        <v>122</v>
      </c>
      <c r="BH39" s="1">
        <v>33</v>
      </c>
      <c r="BI39" s="1">
        <v>1</v>
      </c>
      <c r="BJ39" s="1">
        <v>134</v>
      </c>
      <c r="BK39" s="1"/>
      <c r="BL39" s="1">
        <v>2</v>
      </c>
      <c r="BM39" s="1">
        <v>1727</v>
      </c>
      <c r="BN39" s="1"/>
      <c r="BO39" s="1">
        <v>87</v>
      </c>
      <c r="BP39" s="1">
        <v>48</v>
      </c>
      <c r="BQ39" s="1">
        <v>3</v>
      </c>
      <c r="BR39" s="1"/>
      <c r="BS39" s="1">
        <v>3310</v>
      </c>
      <c r="BT39" s="1"/>
      <c r="BU39" s="1">
        <v>72</v>
      </c>
      <c r="BV39" s="1">
        <v>1018</v>
      </c>
      <c r="BW39" s="1"/>
      <c r="BX39" s="1">
        <v>25</v>
      </c>
      <c r="BY39" s="1">
        <v>101</v>
      </c>
      <c r="BZ39" s="1">
        <v>21</v>
      </c>
      <c r="CA39" s="1">
        <v>1</v>
      </c>
      <c r="CB39" s="1">
        <v>1704</v>
      </c>
      <c r="CC39" s="1"/>
      <c r="CD39" s="1">
        <v>19</v>
      </c>
      <c r="CE39" s="1"/>
      <c r="CF39" s="1"/>
      <c r="CG39" s="1"/>
      <c r="CH39" s="1">
        <v>14856</v>
      </c>
      <c r="CI39" s="1">
        <v>543</v>
      </c>
      <c r="CJ39" s="1">
        <v>331</v>
      </c>
    </row>
    <row r="40" spans="1:88">
      <c r="A40" s="19" t="s">
        <v>354</v>
      </c>
      <c r="B40" s="1">
        <v>442</v>
      </c>
      <c r="C40" s="1"/>
      <c r="D40" s="1">
        <v>15</v>
      </c>
      <c r="E40" s="1">
        <v>190</v>
      </c>
      <c r="F40" s="1"/>
      <c r="G40" s="1">
        <v>2</v>
      </c>
      <c r="H40" s="1"/>
      <c r="I40" s="1"/>
      <c r="J40" s="1"/>
      <c r="K40" s="1"/>
      <c r="L40" s="1"/>
      <c r="M40" s="1"/>
      <c r="N40" s="1">
        <v>48</v>
      </c>
      <c r="O40" s="1"/>
      <c r="P40" s="1">
        <v>2</v>
      </c>
      <c r="Q40" s="1">
        <v>798</v>
      </c>
      <c r="R40" s="1"/>
      <c r="S40" s="1">
        <v>10</v>
      </c>
      <c r="T40" s="1">
        <v>511</v>
      </c>
      <c r="U40" s="1">
        <v>115</v>
      </c>
      <c r="V40" s="1">
        <v>6</v>
      </c>
      <c r="W40" s="1">
        <v>605</v>
      </c>
      <c r="X40" s="1">
        <v>228</v>
      </c>
      <c r="Y40" s="1">
        <v>15</v>
      </c>
      <c r="Z40" s="1">
        <v>62</v>
      </c>
      <c r="AA40" s="1"/>
      <c r="AB40" s="1"/>
      <c r="AC40" s="1">
        <v>2498</v>
      </c>
      <c r="AD40" s="1">
        <v>193</v>
      </c>
      <c r="AE40" s="1">
        <v>49</v>
      </c>
      <c r="AF40" s="1">
        <v>50</v>
      </c>
      <c r="AG40" s="1"/>
      <c r="AH40" s="1">
        <v>1</v>
      </c>
      <c r="AI40" s="1">
        <v>519</v>
      </c>
      <c r="AJ40" s="1"/>
      <c r="AK40" s="1">
        <v>15</v>
      </c>
      <c r="AL40" s="1">
        <v>127</v>
      </c>
      <c r="AM40" s="1"/>
      <c r="AN40" s="1">
        <v>0</v>
      </c>
      <c r="AO40" s="1">
        <v>339</v>
      </c>
      <c r="AP40" s="1"/>
      <c r="AQ40" s="1">
        <v>5</v>
      </c>
      <c r="AR40" s="1">
        <v>346</v>
      </c>
      <c r="AS40" s="1"/>
      <c r="AT40" s="1">
        <v>18</v>
      </c>
      <c r="AU40" s="1">
        <v>59</v>
      </c>
      <c r="AV40" s="1"/>
      <c r="AW40" s="1"/>
      <c r="AX40" s="1"/>
      <c r="AY40" s="1"/>
      <c r="AZ40" s="1"/>
      <c r="BA40" s="1">
        <v>365</v>
      </c>
      <c r="BB40" s="1"/>
      <c r="BC40" s="1">
        <v>5</v>
      </c>
      <c r="BD40" s="1">
        <v>41</v>
      </c>
      <c r="BE40" s="1"/>
      <c r="BF40" s="1">
        <v>0</v>
      </c>
      <c r="BG40" s="1">
        <v>128</v>
      </c>
      <c r="BH40" s="1">
        <v>33</v>
      </c>
      <c r="BI40" s="1">
        <v>2</v>
      </c>
      <c r="BJ40" s="1">
        <v>138</v>
      </c>
      <c r="BK40" s="1"/>
      <c r="BL40" s="1">
        <v>2</v>
      </c>
      <c r="BM40" s="1">
        <v>1837</v>
      </c>
      <c r="BN40" s="1"/>
      <c r="BO40" s="1">
        <v>93</v>
      </c>
      <c r="BP40" s="1">
        <v>50</v>
      </c>
      <c r="BQ40" s="1">
        <v>3</v>
      </c>
      <c r="BR40" s="1"/>
      <c r="BS40" s="1">
        <v>3395</v>
      </c>
      <c r="BT40" s="1"/>
      <c r="BU40" s="1">
        <v>81</v>
      </c>
      <c r="BV40" s="1">
        <v>1056</v>
      </c>
      <c r="BW40" s="1"/>
      <c r="BX40" s="1">
        <v>31</v>
      </c>
      <c r="BY40" s="1">
        <v>101</v>
      </c>
      <c r="BZ40" s="1">
        <v>21</v>
      </c>
      <c r="CA40" s="1">
        <v>1</v>
      </c>
      <c r="CB40" s="1">
        <v>1736</v>
      </c>
      <c r="CC40" s="1"/>
      <c r="CD40" s="1">
        <v>22</v>
      </c>
      <c r="CE40" s="1"/>
      <c r="CF40" s="1"/>
      <c r="CG40" s="1"/>
      <c r="CH40" s="1">
        <v>15441</v>
      </c>
      <c r="CI40" s="1">
        <v>593</v>
      </c>
      <c r="CJ40" s="1">
        <v>375</v>
      </c>
    </row>
    <row r="41" spans="1:88">
      <c r="A41" s="19" t="s">
        <v>355</v>
      </c>
      <c r="B41" s="1">
        <v>477</v>
      </c>
      <c r="C41" s="1"/>
      <c r="D41" s="1">
        <v>17</v>
      </c>
      <c r="E41" s="1"/>
      <c r="F41" s="1"/>
      <c r="G41" s="1"/>
      <c r="H41" s="1">
        <v>481</v>
      </c>
      <c r="I41" s="1"/>
      <c r="J41" s="1">
        <v>8</v>
      </c>
      <c r="K41" s="1">
        <v>14</v>
      </c>
      <c r="L41" s="1"/>
      <c r="M41" s="1"/>
      <c r="N41" s="1">
        <v>50</v>
      </c>
      <c r="O41" s="1"/>
      <c r="P41" s="1">
        <v>2</v>
      </c>
      <c r="Q41" s="1">
        <v>826</v>
      </c>
      <c r="R41" s="1"/>
      <c r="S41" s="1">
        <v>13</v>
      </c>
      <c r="T41" s="1">
        <v>539</v>
      </c>
      <c r="U41" s="1">
        <v>158</v>
      </c>
      <c r="V41" s="1">
        <v>7</v>
      </c>
      <c r="W41" s="1">
        <v>617</v>
      </c>
      <c r="X41" s="1">
        <v>263</v>
      </c>
      <c r="Y41" s="1">
        <v>15</v>
      </c>
      <c r="Z41" s="1">
        <v>64</v>
      </c>
      <c r="AA41" s="1"/>
      <c r="AB41" s="1"/>
      <c r="AC41" s="1">
        <v>2705</v>
      </c>
      <c r="AD41" s="1">
        <v>216</v>
      </c>
      <c r="AE41" s="1">
        <v>58</v>
      </c>
      <c r="AF41" s="1">
        <v>51</v>
      </c>
      <c r="AG41" s="1"/>
      <c r="AH41" s="1">
        <v>2</v>
      </c>
      <c r="AI41" s="1">
        <v>535</v>
      </c>
      <c r="AJ41" s="1"/>
      <c r="AK41" s="1">
        <v>19</v>
      </c>
      <c r="AL41" s="1">
        <v>128</v>
      </c>
      <c r="AM41" s="1"/>
      <c r="AN41" s="1">
        <v>0</v>
      </c>
      <c r="AO41" s="1">
        <v>351</v>
      </c>
      <c r="AP41" s="1"/>
      <c r="AQ41" s="1">
        <v>6</v>
      </c>
      <c r="AR41" s="1">
        <v>378</v>
      </c>
      <c r="AS41" s="1"/>
      <c r="AT41" s="1">
        <v>20</v>
      </c>
      <c r="AU41" s="1">
        <v>63</v>
      </c>
      <c r="AV41" s="1"/>
      <c r="AW41" s="1"/>
      <c r="AX41" s="1">
        <v>46</v>
      </c>
      <c r="AY41" s="1"/>
      <c r="AZ41" s="1"/>
      <c r="BA41" s="1">
        <v>389</v>
      </c>
      <c r="BB41" s="1"/>
      <c r="BC41" s="1">
        <v>5</v>
      </c>
      <c r="BD41" s="1">
        <v>42</v>
      </c>
      <c r="BE41" s="1"/>
      <c r="BF41" s="1">
        <v>0</v>
      </c>
      <c r="BG41" s="1">
        <v>135</v>
      </c>
      <c r="BH41" s="1">
        <v>33</v>
      </c>
      <c r="BI41" s="1">
        <v>2</v>
      </c>
      <c r="BJ41" s="1">
        <v>148</v>
      </c>
      <c r="BK41" s="1"/>
      <c r="BL41" s="1">
        <v>2</v>
      </c>
      <c r="BM41" s="1">
        <v>1962</v>
      </c>
      <c r="BN41" s="1"/>
      <c r="BO41" s="1">
        <v>105</v>
      </c>
      <c r="BP41" s="1">
        <v>53</v>
      </c>
      <c r="BQ41" s="1">
        <v>9</v>
      </c>
      <c r="BR41" s="1"/>
      <c r="BS41" s="1">
        <v>3607</v>
      </c>
      <c r="BT41" s="1"/>
      <c r="BU41" s="1">
        <v>93</v>
      </c>
      <c r="BV41" s="1">
        <v>1145</v>
      </c>
      <c r="BW41" s="1"/>
      <c r="BX41" s="1">
        <v>35</v>
      </c>
      <c r="BY41" s="1">
        <v>112</v>
      </c>
      <c r="BZ41" s="1">
        <v>29</v>
      </c>
      <c r="CA41" s="1">
        <v>1</v>
      </c>
      <c r="CB41" s="1">
        <v>1862</v>
      </c>
      <c r="CC41" s="1"/>
      <c r="CD41" s="1">
        <v>24</v>
      </c>
      <c r="CE41" s="1"/>
      <c r="CF41" s="1"/>
      <c r="CG41" s="1"/>
      <c r="CH41" s="1">
        <v>16780</v>
      </c>
      <c r="CI41" s="1">
        <v>708</v>
      </c>
      <c r="CJ41" s="1">
        <v>434</v>
      </c>
    </row>
    <row r="42" spans="1:88">
      <c r="A42" s="19" t="s">
        <v>356</v>
      </c>
      <c r="B42" s="1">
        <v>491</v>
      </c>
      <c r="C42" s="1"/>
      <c r="D42" s="1">
        <v>20</v>
      </c>
      <c r="E42" s="1">
        <v>196</v>
      </c>
      <c r="F42" s="1"/>
      <c r="G42" s="1">
        <v>2</v>
      </c>
      <c r="H42" s="1">
        <v>499</v>
      </c>
      <c r="I42" s="1"/>
      <c r="J42" s="1">
        <v>11</v>
      </c>
      <c r="K42" s="1">
        <v>14</v>
      </c>
      <c r="L42" s="1"/>
      <c r="M42" s="1"/>
      <c r="N42" s="1">
        <v>58</v>
      </c>
      <c r="O42" s="1"/>
      <c r="P42" s="1">
        <v>2</v>
      </c>
      <c r="Q42" s="1">
        <v>856</v>
      </c>
      <c r="R42" s="1"/>
      <c r="S42" s="1">
        <v>16</v>
      </c>
      <c r="T42" s="1">
        <v>561</v>
      </c>
      <c r="U42" s="1">
        <v>242</v>
      </c>
      <c r="V42" s="1">
        <v>10</v>
      </c>
      <c r="W42" s="1">
        <v>653</v>
      </c>
      <c r="X42" s="1">
        <v>292</v>
      </c>
      <c r="Y42" s="1">
        <v>16</v>
      </c>
      <c r="Z42" s="1">
        <v>68</v>
      </c>
      <c r="AA42" s="1"/>
      <c r="AB42" s="1"/>
      <c r="AC42" s="1">
        <v>2934</v>
      </c>
      <c r="AD42" s="1">
        <v>241</v>
      </c>
      <c r="AE42" s="1">
        <v>66</v>
      </c>
      <c r="AF42" s="1">
        <v>53</v>
      </c>
      <c r="AG42" s="1"/>
      <c r="AH42" s="1">
        <v>2</v>
      </c>
      <c r="AI42" s="1">
        <v>547</v>
      </c>
      <c r="AJ42" s="1"/>
      <c r="AK42" s="1">
        <v>23</v>
      </c>
      <c r="AL42" s="1">
        <v>140</v>
      </c>
      <c r="AM42" s="1"/>
      <c r="AN42" s="1">
        <v>0</v>
      </c>
      <c r="AO42" s="1">
        <v>375</v>
      </c>
      <c r="AP42" s="1"/>
      <c r="AQ42" s="1">
        <v>7</v>
      </c>
      <c r="AR42" s="1">
        <v>402</v>
      </c>
      <c r="AS42" s="1"/>
      <c r="AT42" s="1">
        <v>22</v>
      </c>
      <c r="AU42" s="1">
        <v>70</v>
      </c>
      <c r="AV42" s="1"/>
      <c r="AW42" s="1"/>
      <c r="AX42" s="1">
        <v>46</v>
      </c>
      <c r="AY42" s="1"/>
      <c r="AZ42" s="1"/>
      <c r="BA42" s="1">
        <v>414</v>
      </c>
      <c r="BB42" s="1"/>
      <c r="BC42" s="1">
        <v>7</v>
      </c>
      <c r="BD42" s="1">
        <v>44</v>
      </c>
      <c r="BE42" s="1"/>
      <c r="BF42" s="1">
        <v>1</v>
      </c>
      <c r="BG42" s="1">
        <v>140</v>
      </c>
      <c r="BH42" s="1">
        <v>48</v>
      </c>
      <c r="BI42" s="1">
        <v>4</v>
      </c>
      <c r="BJ42" s="1">
        <v>154</v>
      </c>
      <c r="BK42" s="1"/>
      <c r="BL42" s="1">
        <v>3</v>
      </c>
      <c r="BM42" s="1">
        <v>2091</v>
      </c>
      <c r="BN42" s="1">
        <v>202</v>
      </c>
      <c r="BO42" s="1">
        <v>120</v>
      </c>
      <c r="BP42" s="1">
        <v>57</v>
      </c>
      <c r="BQ42" s="1">
        <v>11</v>
      </c>
      <c r="BR42" s="1"/>
      <c r="BS42" s="1">
        <v>3766</v>
      </c>
      <c r="BT42" s="1"/>
      <c r="BU42" s="1">
        <v>105</v>
      </c>
      <c r="BV42" s="1">
        <v>1212</v>
      </c>
      <c r="BW42" s="1"/>
      <c r="BX42" s="1">
        <v>37</v>
      </c>
      <c r="BY42" s="1">
        <v>114</v>
      </c>
      <c r="BZ42" s="1">
        <v>39</v>
      </c>
      <c r="CA42" s="1">
        <v>1</v>
      </c>
      <c r="CB42" s="1">
        <v>1953</v>
      </c>
      <c r="CC42" s="1"/>
      <c r="CD42" s="1">
        <v>27</v>
      </c>
      <c r="CE42" s="1"/>
      <c r="CF42" s="1"/>
      <c r="CG42" s="1"/>
      <c r="CH42" s="1">
        <v>17908</v>
      </c>
      <c r="CI42" s="1">
        <v>1075</v>
      </c>
      <c r="CJ42" s="1">
        <v>502</v>
      </c>
    </row>
    <row r="43" spans="1:88">
      <c r="A43" s="19" t="s">
        <v>357</v>
      </c>
      <c r="B43" s="1">
        <v>525</v>
      </c>
      <c r="C43" s="1"/>
      <c r="D43" s="1">
        <v>23</v>
      </c>
      <c r="E43" s="1">
        <v>216</v>
      </c>
      <c r="F43" s="1"/>
      <c r="G43" s="1">
        <v>3</v>
      </c>
      <c r="H43" s="1">
        <v>549</v>
      </c>
      <c r="I43" s="1"/>
      <c r="J43" s="1">
        <v>11</v>
      </c>
      <c r="K43" s="1"/>
      <c r="L43" s="1"/>
      <c r="M43" s="1"/>
      <c r="N43" s="1">
        <v>61</v>
      </c>
      <c r="O43" s="1"/>
      <c r="P43" s="1">
        <v>3</v>
      </c>
      <c r="Q43" s="1">
        <v>909</v>
      </c>
      <c r="R43" s="1"/>
      <c r="S43" s="1">
        <v>20</v>
      </c>
      <c r="T43" s="1">
        <v>588</v>
      </c>
      <c r="U43" s="1">
        <v>249</v>
      </c>
      <c r="V43" s="1">
        <v>11</v>
      </c>
      <c r="W43" s="1">
        <v>687</v>
      </c>
      <c r="X43" s="1">
        <v>323</v>
      </c>
      <c r="Y43" s="1">
        <v>18</v>
      </c>
      <c r="Z43" s="1">
        <v>72</v>
      </c>
      <c r="AA43" s="1"/>
      <c r="AB43" s="1"/>
      <c r="AC43" s="1">
        <v>3091</v>
      </c>
      <c r="AD43" s="1">
        <v>260</v>
      </c>
      <c r="AE43" s="1">
        <v>75</v>
      </c>
      <c r="AF43" s="1">
        <v>56</v>
      </c>
      <c r="AG43" s="1"/>
      <c r="AH43" s="1">
        <v>2</v>
      </c>
      <c r="AI43" s="1">
        <v>592</v>
      </c>
      <c r="AJ43" s="1"/>
      <c r="AK43" s="1">
        <v>26</v>
      </c>
      <c r="AL43" s="1">
        <v>145</v>
      </c>
      <c r="AM43" s="1"/>
      <c r="AN43" s="1">
        <v>0</v>
      </c>
      <c r="AO43" s="1">
        <v>401</v>
      </c>
      <c r="AP43" s="1"/>
      <c r="AQ43" s="1">
        <v>7</v>
      </c>
      <c r="AR43" s="1">
        <v>420</v>
      </c>
      <c r="AS43" s="1"/>
      <c r="AT43" s="1">
        <v>24</v>
      </c>
      <c r="AU43" s="1">
        <v>70</v>
      </c>
      <c r="AV43" s="1"/>
      <c r="AW43" s="1"/>
      <c r="AX43" s="1">
        <v>48</v>
      </c>
      <c r="AY43" s="1"/>
      <c r="AZ43" s="1"/>
      <c r="BA43" s="1">
        <v>414</v>
      </c>
      <c r="BB43" s="1"/>
      <c r="BC43" s="1">
        <v>7</v>
      </c>
      <c r="BD43" s="1">
        <v>44</v>
      </c>
      <c r="BE43" s="1"/>
      <c r="BF43" s="1">
        <v>1</v>
      </c>
      <c r="BG43" s="1">
        <v>146</v>
      </c>
      <c r="BH43" s="1">
        <v>65</v>
      </c>
      <c r="BI43" s="1">
        <v>4</v>
      </c>
      <c r="BJ43" s="1">
        <v>166</v>
      </c>
      <c r="BK43" s="1"/>
      <c r="BL43" s="1">
        <v>4</v>
      </c>
      <c r="BM43" s="1">
        <v>2195</v>
      </c>
      <c r="BN43" s="1">
        <v>229</v>
      </c>
      <c r="BO43" s="1">
        <v>132</v>
      </c>
      <c r="BP43" s="1">
        <v>59</v>
      </c>
      <c r="BQ43" s="1">
        <v>13</v>
      </c>
      <c r="BR43" s="1">
        <v>1</v>
      </c>
      <c r="BS43" s="1">
        <v>3918</v>
      </c>
      <c r="BT43" s="1"/>
      <c r="BU43" s="1">
        <v>116</v>
      </c>
      <c r="BV43" s="1">
        <v>1282</v>
      </c>
      <c r="BW43" s="1">
        <v>70</v>
      </c>
      <c r="BX43" s="1">
        <v>40</v>
      </c>
      <c r="BY43" s="1">
        <v>125</v>
      </c>
      <c r="BZ43" s="1">
        <v>40</v>
      </c>
      <c r="CA43" s="1">
        <v>1</v>
      </c>
      <c r="CB43" s="1">
        <v>2142</v>
      </c>
      <c r="CC43" s="1"/>
      <c r="CD43" s="1">
        <v>36</v>
      </c>
      <c r="CE43" s="1"/>
      <c r="CF43" s="1"/>
      <c r="CG43" s="1"/>
      <c r="CH43" s="1">
        <v>18921</v>
      </c>
      <c r="CI43" s="1">
        <v>1249</v>
      </c>
      <c r="CJ43" s="1">
        <v>565</v>
      </c>
    </row>
    <row r="44" spans="1:88">
      <c r="A44" s="19" t="s">
        <v>358</v>
      </c>
      <c r="B44" s="1">
        <v>550</v>
      </c>
      <c r="C44" s="1">
        <v>46</v>
      </c>
      <c r="D44" s="1">
        <v>26</v>
      </c>
      <c r="E44" s="1">
        <v>227</v>
      </c>
      <c r="F44" s="1"/>
      <c r="G44" s="1">
        <v>3</v>
      </c>
      <c r="H44" s="1">
        <v>592</v>
      </c>
      <c r="I44" s="1"/>
      <c r="J44" s="1">
        <v>12</v>
      </c>
      <c r="K44" s="1">
        <v>20</v>
      </c>
      <c r="L44" s="1"/>
      <c r="M44" s="1"/>
      <c r="N44" s="1">
        <v>64</v>
      </c>
      <c r="O44" s="1"/>
      <c r="P44" s="1">
        <v>3</v>
      </c>
      <c r="Q44" s="1">
        <v>1003</v>
      </c>
      <c r="R44" s="1"/>
      <c r="S44" s="1">
        <v>23</v>
      </c>
      <c r="T44" s="1">
        <v>610</v>
      </c>
      <c r="U44" s="1">
        <v>262</v>
      </c>
      <c r="V44" s="1">
        <v>12</v>
      </c>
      <c r="W44" s="1">
        <v>714</v>
      </c>
      <c r="X44" s="1">
        <v>350</v>
      </c>
      <c r="Y44" s="1">
        <v>19</v>
      </c>
      <c r="Z44" s="1">
        <v>75</v>
      </c>
      <c r="AA44" s="1"/>
      <c r="AB44" s="1"/>
      <c r="AC44" s="1">
        <v>3302</v>
      </c>
      <c r="AD44" s="1">
        <v>283</v>
      </c>
      <c r="AE44" s="1">
        <v>83</v>
      </c>
      <c r="AF44" s="1">
        <v>58</v>
      </c>
      <c r="AG44" s="1"/>
      <c r="AH44" s="1">
        <v>2</v>
      </c>
      <c r="AI44" s="1">
        <v>622</v>
      </c>
      <c r="AJ44" s="1"/>
      <c r="AK44" s="1">
        <v>28</v>
      </c>
      <c r="AL44" s="1">
        <v>149</v>
      </c>
      <c r="AM44" s="1"/>
      <c r="AN44" s="1">
        <v>0</v>
      </c>
      <c r="AO44" s="1">
        <v>422</v>
      </c>
      <c r="AP44" s="1"/>
      <c r="AQ44" s="1">
        <v>7</v>
      </c>
      <c r="AR44" s="1">
        <v>430</v>
      </c>
      <c r="AS44" s="1"/>
      <c r="AT44" s="1">
        <v>27</v>
      </c>
      <c r="AU44" s="1">
        <v>76</v>
      </c>
      <c r="AV44" s="1"/>
      <c r="AW44" s="1"/>
      <c r="AX44" s="1">
        <v>51</v>
      </c>
      <c r="AY44" s="1"/>
      <c r="AZ44" s="1"/>
      <c r="BA44" s="1">
        <v>480</v>
      </c>
      <c r="BB44" s="1">
        <v>49</v>
      </c>
      <c r="BC44" s="1">
        <v>8</v>
      </c>
      <c r="BD44" s="1">
        <v>47</v>
      </c>
      <c r="BE44" s="1"/>
      <c r="BF44" s="1">
        <v>1</v>
      </c>
      <c r="BG44" s="1">
        <v>155</v>
      </c>
      <c r="BH44" s="1">
        <v>65</v>
      </c>
      <c r="BI44" s="1">
        <v>4</v>
      </c>
      <c r="BJ44" s="1">
        <v>179</v>
      </c>
      <c r="BK44" s="1"/>
      <c r="BL44" s="1">
        <v>4</v>
      </c>
      <c r="BM44" s="1">
        <v>2271</v>
      </c>
      <c r="BN44" s="1">
        <v>263</v>
      </c>
      <c r="BO44" s="1">
        <v>141</v>
      </c>
      <c r="BP44" s="1">
        <v>60</v>
      </c>
      <c r="BQ44" s="1">
        <v>13</v>
      </c>
      <c r="BR44" s="1">
        <v>1</v>
      </c>
      <c r="BS44" s="1">
        <v>4052</v>
      </c>
      <c r="BT44" s="1"/>
      <c r="BU44" s="1">
        <v>135</v>
      </c>
      <c r="BV44" s="1">
        <v>1334</v>
      </c>
      <c r="BW44" s="1">
        <v>88</v>
      </c>
      <c r="BX44" s="1">
        <v>47</v>
      </c>
      <c r="BY44" s="1">
        <v>131</v>
      </c>
      <c r="BZ44" s="1">
        <v>41</v>
      </c>
      <c r="CA44" s="1">
        <v>1</v>
      </c>
      <c r="CB44" s="1">
        <v>2306</v>
      </c>
      <c r="CC44" s="1"/>
      <c r="CD44" s="1">
        <v>39</v>
      </c>
      <c r="CE44" s="1"/>
      <c r="CF44" s="1"/>
      <c r="CG44" s="1"/>
      <c r="CH44" s="1">
        <v>19980</v>
      </c>
      <c r="CI44" s="1">
        <v>1460</v>
      </c>
      <c r="CJ44" s="1">
        <v>626</v>
      </c>
    </row>
    <row r="45" spans="1:88">
      <c r="A45" s="19" t="s">
        <v>359</v>
      </c>
      <c r="B45" s="1">
        <v>588</v>
      </c>
      <c r="C45" s="1">
        <v>46</v>
      </c>
      <c r="D45" s="1">
        <v>31</v>
      </c>
      <c r="E45" s="1">
        <v>237</v>
      </c>
      <c r="F45" s="1"/>
      <c r="G45" s="1">
        <v>3</v>
      </c>
      <c r="H45" s="1">
        <v>626</v>
      </c>
      <c r="I45" s="1"/>
      <c r="J45" s="1">
        <v>12</v>
      </c>
      <c r="K45" s="1">
        <v>20</v>
      </c>
      <c r="L45" s="1"/>
      <c r="M45" s="1"/>
      <c r="N45" s="1">
        <v>65</v>
      </c>
      <c r="O45" s="1"/>
      <c r="P45" s="1">
        <v>3</v>
      </c>
      <c r="Q45" s="1">
        <v>1073</v>
      </c>
      <c r="R45" s="1"/>
      <c r="S45" s="1">
        <v>26</v>
      </c>
      <c r="T45" s="1">
        <v>625</v>
      </c>
      <c r="U45" s="1">
        <v>266</v>
      </c>
      <c r="V45" s="1">
        <v>14</v>
      </c>
      <c r="W45" s="1">
        <v>754</v>
      </c>
      <c r="X45" s="1">
        <v>397</v>
      </c>
      <c r="Y45" s="1">
        <v>21</v>
      </c>
      <c r="Z45" s="1">
        <v>76</v>
      </c>
      <c r="AA45" s="1"/>
      <c r="AB45" s="1"/>
      <c r="AC45" s="1">
        <v>3488</v>
      </c>
      <c r="AD45" s="1">
        <v>284</v>
      </c>
      <c r="AE45" s="1">
        <v>90</v>
      </c>
      <c r="AF45" s="1">
        <v>59</v>
      </c>
      <c r="AG45" s="1"/>
      <c r="AH45" s="1">
        <v>2</v>
      </c>
      <c r="AI45" s="1">
        <v>649</v>
      </c>
      <c r="AJ45" s="1"/>
      <c r="AK45" s="1">
        <v>30</v>
      </c>
      <c r="AL45" s="1">
        <v>149</v>
      </c>
      <c r="AM45" s="1"/>
      <c r="AN45" s="1">
        <v>0</v>
      </c>
      <c r="AO45" s="1">
        <v>449</v>
      </c>
      <c r="AP45" s="1"/>
      <c r="AQ45" s="1">
        <v>7</v>
      </c>
      <c r="AR45" s="1">
        <v>444</v>
      </c>
      <c r="AS45" s="1"/>
      <c r="AT45" s="1">
        <v>28</v>
      </c>
      <c r="AU45" s="1">
        <v>79</v>
      </c>
      <c r="AV45" s="1"/>
      <c r="AW45" s="1"/>
      <c r="AX45" s="1">
        <v>56</v>
      </c>
      <c r="AY45" s="1"/>
      <c r="AZ45" s="1"/>
      <c r="BA45" s="1">
        <v>480</v>
      </c>
      <c r="BB45" s="1">
        <v>50</v>
      </c>
      <c r="BC45" s="1">
        <v>8</v>
      </c>
      <c r="BD45" s="1">
        <v>47</v>
      </c>
      <c r="BE45" s="1"/>
      <c r="BF45" s="1">
        <v>1</v>
      </c>
      <c r="BG45" s="1">
        <v>165</v>
      </c>
      <c r="BH45" s="1">
        <v>75</v>
      </c>
      <c r="BI45" s="1">
        <v>4</v>
      </c>
      <c r="BJ45" s="1">
        <v>198</v>
      </c>
      <c r="BK45" s="1"/>
      <c r="BL45" s="1">
        <v>5</v>
      </c>
      <c r="BM45" s="1">
        <v>2377</v>
      </c>
      <c r="BN45" s="1">
        <v>287</v>
      </c>
      <c r="BO45" s="1">
        <v>155</v>
      </c>
      <c r="BP45" s="1">
        <v>62</v>
      </c>
      <c r="BQ45" s="1">
        <v>26</v>
      </c>
      <c r="BR45" s="1">
        <v>1</v>
      </c>
      <c r="BS45" s="1">
        <v>4188</v>
      </c>
      <c r="BT45" s="1"/>
      <c r="BU45" s="1">
        <v>153</v>
      </c>
      <c r="BV45" s="1">
        <v>1383</v>
      </c>
      <c r="BW45" s="1">
        <v>91</v>
      </c>
      <c r="BX45" s="1">
        <v>51</v>
      </c>
      <c r="BY45" s="1">
        <v>138</v>
      </c>
      <c r="BZ45" s="1">
        <v>44</v>
      </c>
      <c r="CA45" s="1">
        <v>1</v>
      </c>
      <c r="CB45" s="1">
        <v>2434</v>
      </c>
      <c r="CC45" s="1"/>
      <c r="CD45" s="1">
        <v>41</v>
      </c>
      <c r="CE45" s="1"/>
      <c r="CF45" s="1"/>
      <c r="CG45" s="1"/>
      <c r="CH45" s="1">
        <v>20909</v>
      </c>
      <c r="CI45" s="1">
        <v>1566</v>
      </c>
      <c r="CJ45" s="1">
        <v>687</v>
      </c>
    </row>
    <row r="46" spans="1:88">
      <c r="A46" s="19" t="s">
        <v>360</v>
      </c>
      <c r="B46" s="1">
        <v>638</v>
      </c>
      <c r="C46" s="1">
        <v>49</v>
      </c>
      <c r="D46" s="1">
        <v>37</v>
      </c>
      <c r="E46" s="1">
        <v>250</v>
      </c>
      <c r="F46" s="1"/>
      <c r="G46" s="1">
        <v>3</v>
      </c>
      <c r="H46" s="1"/>
      <c r="I46" s="1"/>
      <c r="J46" s="1"/>
      <c r="K46" s="1">
        <v>21</v>
      </c>
      <c r="L46" s="1"/>
      <c r="M46" s="1"/>
      <c r="N46" s="1">
        <v>66</v>
      </c>
      <c r="O46" s="1"/>
      <c r="P46" s="1">
        <v>3</v>
      </c>
      <c r="Q46" s="1">
        <v>1106</v>
      </c>
      <c r="R46" s="1"/>
      <c r="S46" s="1">
        <v>28</v>
      </c>
      <c r="T46" s="1">
        <v>656</v>
      </c>
      <c r="U46" s="1">
        <v>298</v>
      </c>
      <c r="V46" s="1">
        <v>19</v>
      </c>
      <c r="W46" s="1">
        <v>767</v>
      </c>
      <c r="X46" s="1">
        <v>434</v>
      </c>
      <c r="Y46" s="1">
        <v>24</v>
      </c>
      <c r="Z46" s="1">
        <v>77</v>
      </c>
      <c r="AA46" s="1"/>
      <c r="AB46" s="1">
        <v>1</v>
      </c>
      <c r="AC46" s="1">
        <v>3615</v>
      </c>
      <c r="AD46" s="1">
        <v>305</v>
      </c>
      <c r="AE46" s="1">
        <v>103</v>
      </c>
      <c r="AF46" s="1">
        <v>61</v>
      </c>
      <c r="AG46" s="1"/>
      <c r="AH46" s="1">
        <v>2</v>
      </c>
      <c r="AI46" s="1">
        <v>657</v>
      </c>
      <c r="AJ46" s="1"/>
      <c r="AK46" s="1">
        <v>30</v>
      </c>
      <c r="AL46" s="1">
        <v>154</v>
      </c>
      <c r="AM46" s="1"/>
      <c r="AN46" s="1">
        <v>0</v>
      </c>
      <c r="AO46" s="1">
        <v>469</v>
      </c>
      <c r="AP46" s="1"/>
      <c r="AQ46" s="1">
        <v>7</v>
      </c>
      <c r="AR46" s="1">
        <v>452</v>
      </c>
      <c r="AS46" s="1"/>
      <c r="AT46" s="1">
        <v>30</v>
      </c>
      <c r="AU46" s="1">
        <v>80</v>
      </c>
      <c r="AV46" s="1"/>
      <c r="AW46" s="1"/>
      <c r="AX46" s="1"/>
      <c r="AY46" s="1"/>
      <c r="AZ46" s="1"/>
      <c r="BA46" s="1">
        <v>504</v>
      </c>
      <c r="BB46" s="1">
        <v>62</v>
      </c>
      <c r="BC46" s="1">
        <v>9</v>
      </c>
      <c r="BD46" s="1">
        <v>47</v>
      </c>
      <c r="BE46" s="1"/>
      <c r="BF46" s="1">
        <v>1</v>
      </c>
      <c r="BG46" s="1">
        <v>168</v>
      </c>
      <c r="BH46" s="1">
        <v>92</v>
      </c>
      <c r="BI46" s="1">
        <v>5</v>
      </c>
      <c r="BJ46" s="1">
        <v>208</v>
      </c>
      <c r="BK46" s="1"/>
      <c r="BL46" s="1">
        <v>5</v>
      </c>
      <c r="BM46" s="1">
        <v>2442</v>
      </c>
      <c r="BN46" s="1">
        <v>314</v>
      </c>
      <c r="BO46" s="1">
        <v>165</v>
      </c>
      <c r="BP46" s="1">
        <v>66</v>
      </c>
      <c r="BQ46" s="1">
        <v>26</v>
      </c>
      <c r="BR46" s="1">
        <v>1</v>
      </c>
      <c r="BS46" s="1">
        <v>4260</v>
      </c>
      <c r="BT46" s="1"/>
      <c r="BU46" s="1">
        <v>164</v>
      </c>
      <c r="BV46" s="1">
        <v>1416</v>
      </c>
      <c r="BW46" s="1">
        <v>95</v>
      </c>
      <c r="BX46" s="1">
        <v>53</v>
      </c>
      <c r="BY46" s="1">
        <v>146</v>
      </c>
      <c r="BZ46" s="1">
        <v>46</v>
      </c>
      <c r="CA46" s="1">
        <v>2</v>
      </c>
      <c r="CB46" s="1">
        <v>2467</v>
      </c>
      <c r="CC46" s="1"/>
      <c r="CD46" s="1">
        <v>49</v>
      </c>
      <c r="CE46" s="1"/>
      <c r="CF46" s="1"/>
      <c r="CG46" s="1"/>
      <c r="CH46" s="1">
        <v>20793</v>
      </c>
      <c r="CI46" s="1">
        <v>1721</v>
      </c>
      <c r="CJ46" s="1">
        <v>741</v>
      </c>
    </row>
    <row r="47" spans="1:88">
      <c r="A47" s="19" t="s">
        <v>361</v>
      </c>
      <c r="B47" s="1">
        <v>669</v>
      </c>
      <c r="C47" s="1">
        <v>55</v>
      </c>
      <c r="D47" s="1">
        <v>40</v>
      </c>
      <c r="E47" s="1">
        <v>258</v>
      </c>
      <c r="F47" s="1"/>
      <c r="G47" s="1">
        <v>3</v>
      </c>
      <c r="H47" s="1"/>
      <c r="I47" s="1"/>
      <c r="J47" s="1"/>
      <c r="K47" s="1"/>
      <c r="L47" s="1"/>
      <c r="M47" s="1"/>
      <c r="N47" s="1">
        <v>67</v>
      </c>
      <c r="O47" s="1"/>
      <c r="P47" s="1">
        <v>3</v>
      </c>
      <c r="Q47" s="1">
        <v>1137</v>
      </c>
      <c r="R47" s="1"/>
      <c r="S47" s="1">
        <v>28</v>
      </c>
      <c r="T47" s="1">
        <v>670</v>
      </c>
      <c r="U47" s="1">
        <v>369</v>
      </c>
      <c r="V47" s="1">
        <v>19</v>
      </c>
      <c r="W47" s="1">
        <v>789</v>
      </c>
      <c r="X47" s="1">
        <v>460</v>
      </c>
      <c r="Y47" s="1">
        <v>26</v>
      </c>
      <c r="Z47" s="1">
        <v>77</v>
      </c>
      <c r="AA47" s="1"/>
      <c r="AB47" s="1">
        <v>1</v>
      </c>
      <c r="AC47" s="1">
        <v>3680</v>
      </c>
      <c r="AD47" s="1">
        <v>327</v>
      </c>
      <c r="AE47" s="1">
        <v>110</v>
      </c>
      <c r="AF47" s="1">
        <v>63</v>
      </c>
      <c r="AG47" s="1"/>
      <c r="AH47" s="1">
        <v>2</v>
      </c>
      <c r="AI47" s="1">
        <v>668</v>
      </c>
      <c r="AJ47" s="1"/>
      <c r="AK47" s="1">
        <v>33</v>
      </c>
      <c r="AL47" s="1">
        <v>160</v>
      </c>
      <c r="AM47" s="1"/>
      <c r="AN47" s="1">
        <v>0</v>
      </c>
      <c r="AO47" s="1">
        <v>478</v>
      </c>
      <c r="AP47" s="1"/>
      <c r="AQ47" s="1">
        <v>9</v>
      </c>
      <c r="AR47" s="1">
        <v>464</v>
      </c>
      <c r="AS47" s="1"/>
      <c r="AT47" s="1">
        <v>30</v>
      </c>
      <c r="AU47" s="1">
        <v>80</v>
      </c>
      <c r="AV47" s="1"/>
      <c r="AW47" s="1"/>
      <c r="AX47" s="1"/>
      <c r="AY47" s="1"/>
      <c r="AZ47" s="1"/>
      <c r="BA47" s="1">
        <v>515</v>
      </c>
      <c r="BB47" s="1">
        <v>70</v>
      </c>
      <c r="BC47" s="1">
        <v>9</v>
      </c>
      <c r="BD47" s="1">
        <v>49</v>
      </c>
      <c r="BE47" s="1"/>
      <c r="BF47" s="1">
        <v>1</v>
      </c>
      <c r="BG47" s="1">
        <v>170</v>
      </c>
      <c r="BH47" s="1">
        <v>93</v>
      </c>
      <c r="BI47" s="1">
        <v>5</v>
      </c>
      <c r="BJ47" s="1">
        <v>213</v>
      </c>
      <c r="BK47" s="1"/>
      <c r="BL47" s="1">
        <v>7</v>
      </c>
      <c r="BM47" s="1">
        <v>2508</v>
      </c>
      <c r="BN47" s="1">
        <v>340</v>
      </c>
      <c r="BO47" s="1">
        <v>177</v>
      </c>
      <c r="BP47" s="1">
        <v>67</v>
      </c>
      <c r="BQ47" s="1">
        <v>26</v>
      </c>
      <c r="BR47" s="1">
        <v>2</v>
      </c>
      <c r="BS47" s="1">
        <v>4299</v>
      </c>
      <c r="BT47" s="1"/>
      <c r="BU47" s="1">
        <v>176</v>
      </c>
      <c r="BV47" s="1">
        <v>1431</v>
      </c>
      <c r="BW47" s="1"/>
      <c r="BX47" s="1">
        <v>57</v>
      </c>
      <c r="BY47" s="1">
        <v>146</v>
      </c>
      <c r="BZ47" s="1">
        <v>46</v>
      </c>
      <c r="CA47" s="1">
        <v>2</v>
      </c>
      <c r="CB47" s="1">
        <v>2497</v>
      </c>
      <c r="CC47" s="1"/>
      <c r="CD47" s="1">
        <v>53</v>
      </c>
      <c r="CE47" s="1"/>
      <c r="CF47" s="1"/>
      <c r="CG47" s="1"/>
      <c r="CH47" s="1">
        <v>21155</v>
      </c>
      <c r="CI47" s="1">
        <v>1786</v>
      </c>
      <c r="CJ47" s="1">
        <v>793</v>
      </c>
    </row>
    <row r="48" spans="1:88">
      <c r="A48" s="19" t="s">
        <v>362</v>
      </c>
      <c r="B48" s="1">
        <v>689</v>
      </c>
      <c r="C48" s="1">
        <v>56</v>
      </c>
      <c r="D48" s="1">
        <v>41</v>
      </c>
      <c r="E48" s="1">
        <v>261</v>
      </c>
      <c r="F48" s="1"/>
      <c r="G48" s="1">
        <v>3</v>
      </c>
      <c r="H48" s="1">
        <v>727</v>
      </c>
      <c r="I48" s="1"/>
      <c r="J48" s="1">
        <v>13</v>
      </c>
      <c r="K48" s="1">
        <v>21</v>
      </c>
      <c r="L48" s="1"/>
      <c r="M48" s="1"/>
      <c r="N48" s="1">
        <v>69</v>
      </c>
      <c r="O48" s="1"/>
      <c r="P48" s="1">
        <v>3</v>
      </c>
      <c r="Q48" s="1">
        <v>1173</v>
      </c>
      <c r="R48" s="1"/>
      <c r="S48" s="1">
        <v>31</v>
      </c>
      <c r="T48" s="1">
        <v>682</v>
      </c>
      <c r="U48" s="1">
        <v>412</v>
      </c>
      <c r="V48" s="1">
        <v>19</v>
      </c>
      <c r="W48" s="1">
        <v>798</v>
      </c>
      <c r="X48" s="1">
        <v>481</v>
      </c>
      <c r="Y48" s="1">
        <v>26</v>
      </c>
      <c r="Z48" s="1"/>
      <c r="AA48" s="1"/>
      <c r="AB48" s="1"/>
      <c r="AC48" s="1">
        <v>3799</v>
      </c>
      <c r="AD48" s="1">
        <v>345</v>
      </c>
      <c r="AE48" s="1">
        <v>121</v>
      </c>
      <c r="AF48" s="1">
        <v>63</v>
      </c>
      <c r="AG48" s="1"/>
      <c r="AH48" s="1">
        <v>2</v>
      </c>
      <c r="AI48" s="1">
        <v>679</v>
      </c>
      <c r="AJ48" s="1"/>
      <c r="AK48" s="1">
        <v>34</v>
      </c>
      <c r="AL48" s="1">
        <v>164</v>
      </c>
      <c r="AM48" s="1"/>
      <c r="AN48" s="1">
        <v>0</v>
      </c>
      <c r="AO48" s="1">
        <v>497</v>
      </c>
      <c r="AP48" s="1"/>
      <c r="AQ48" s="1">
        <v>9</v>
      </c>
      <c r="AR48" s="1">
        <v>486</v>
      </c>
      <c r="AS48" s="1"/>
      <c r="AT48" s="1">
        <v>34</v>
      </c>
      <c r="AU48" s="1">
        <v>86</v>
      </c>
      <c r="AV48" s="1"/>
      <c r="AW48" s="1"/>
      <c r="AX48" s="1">
        <v>60</v>
      </c>
      <c r="AY48" s="1">
        <v>1</v>
      </c>
      <c r="AZ48" s="1">
        <v>0</v>
      </c>
      <c r="BA48" s="1">
        <v>532</v>
      </c>
      <c r="BB48" s="1">
        <v>75</v>
      </c>
      <c r="BC48" s="1">
        <v>11</v>
      </c>
      <c r="BD48" s="1">
        <v>50</v>
      </c>
      <c r="BE48" s="1"/>
      <c r="BF48" s="1">
        <v>1</v>
      </c>
      <c r="BG48" s="1">
        <v>178</v>
      </c>
      <c r="BH48" s="1">
        <v>93</v>
      </c>
      <c r="BI48" s="1">
        <v>6</v>
      </c>
      <c r="BJ48" s="1">
        <v>219</v>
      </c>
      <c r="BK48" s="1"/>
      <c r="BL48" s="1">
        <v>7</v>
      </c>
      <c r="BM48" s="1">
        <v>2546</v>
      </c>
      <c r="BN48" s="1">
        <v>350</v>
      </c>
      <c r="BO48" s="1">
        <v>189</v>
      </c>
      <c r="BP48" s="1">
        <v>67</v>
      </c>
      <c r="BQ48" s="1">
        <v>34</v>
      </c>
      <c r="BR48" s="1">
        <v>2</v>
      </c>
      <c r="BS48" s="1">
        <v>4417</v>
      </c>
      <c r="BT48" s="1"/>
      <c r="BU48" s="1">
        <v>192</v>
      </c>
      <c r="BV48" s="1">
        <v>1497</v>
      </c>
      <c r="BW48" s="1">
        <v>105</v>
      </c>
      <c r="BX48" s="1">
        <v>60</v>
      </c>
      <c r="BY48" s="1">
        <v>152</v>
      </c>
      <c r="BZ48" s="1">
        <v>52</v>
      </c>
      <c r="CA48" s="1">
        <v>3</v>
      </c>
      <c r="CB48" s="1">
        <v>2611</v>
      </c>
      <c r="CC48" s="1"/>
      <c r="CD48" s="1">
        <v>55</v>
      </c>
      <c r="CE48" s="1"/>
      <c r="CF48" s="1"/>
      <c r="CG48" s="1"/>
      <c r="CH48" s="1">
        <v>22523</v>
      </c>
      <c r="CI48" s="1">
        <v>2004</v>
      </c>
      <c r="CJ48" s="1">
        <v>862</v>
      </c>
    </row>
    <row r="49" spans="1:88">
      <c r="A49" s="19" t="s">
        <v>363</v>
      </c>
      <c r="B49" s="1">
        <v>729</v>
      </c>
      <c r="C49" s="1">
        <v>73</v>
      </c>
      <c r="D49" s="1">
        <v>44</v>
      </c>
      <c r="E49" s="1">
        <v>264</v>
      </c>
      <c r="F49" s="1"/>
      <c r="G49" s="1">
        <v>3</v>
      </c>
      <c r="H49" s="1">
        <v>760</v>
      </c>
      <c r="I49" s="1">
        <v>170</v>
      </c>
      <c r="J49" s="1">
        <v>16</v>
      </c>
      <c r="K49" s="1">
        <v>21</v>
      </c>
      <c r="L49" s="1"/>
      <c r="M49" s="1"/>
      <c r="N49" s="1">
        <v>69</v>
      </c>
      <c r="O49" s="1"/>
      <c r="P49" s="1">
        <v>3</v>
      </c>
      <c r="Q49" s="1">
        <v>1228</v>
      </c>
      <c r="R49" s="1"/>
      <c r="S49" s="1">
        <v>33</v>
      </c>
      <c r="T49" s="1">
        <v>690</v>
      </c>
      <c r="U49" s="1">
        <v>452</v>
      </c>
      <c r="V49" s="1">
        <v>19</v>
      </c>
      <c r="W49" s="1">
        <v>808</v>
      </c>
      <c r="X49" s="1">
        <v>508</v>
      </c>
      <c r="Y49" s="1">
        <v>28</v>
      </c>
      <c r="Z49" s="1">
        <v>78</v>
      </c>
      <c r="AA49" s="1"/>
      <c r="AB49" s="1">
        <v>1</v>
      </c>
      <c r="AC49" s="1">
        <v>3959</v>
      </c>
      <c r="AD49" s="1">
        <v>374</v>
      </c>
      <c r="AE49" s="1">
        <v>132</v>
      </c>
      <c r="AF49" s="1">
        <v>63</v>
      </c>
      <c r="AG49" s="1"/>
      <c r="AH49" s="1">
        <v>2</v>
      </c>
      <c r="AI49" s="1">
        <v>684</v>
      </c>
      <c r="AJ49" s="1"/>
      <c r="AK49" s="1">
        <v>35</v>
      </c>
      <c r="AL49" s="1">
        <v>171</v>
      </c>
      <c r="AM49" s="1"/>
      <c r="AN49" s="1">
        <v>0</v>
      </c>
      <c r="AO49" s="1">
        <v>509</v>
      </c>
      <c r="AP49" s="1"/>
      <c r="AQ49" s="1">
        <v>9</v>
      </c>
      <c r="AR49" s="1">
        <v>510</v>
      </c>
      <c r="AS49" s="1"/>
      <c r="AT49" s="1">
        <v>37</v>
      </c>
      <c r="AU49" s="1">
        <v>87</v>
      </c>
      <c r="AV49" s="1"/>
      <c r="AW49" s="1"/>
      <c r="AX49" s="1">
        <v>60</v>
      </c>
      <c r="AY49" s="1"/>
      <c r="AZ49" s="1">
        <v>0</v>
      </c>
      <c r="BA49" s="1">
        <v>557</v>
      </c>
      <c r="BB49" s="1">
        <v>79</v>
      </c>
      <c r="BC49" s="1">
        <v>13</v>
      </c>
      <c r="BD49" s="1">
        <v>50</v>
      </c>
      <c r="BE49" s="1"/>
      <c r="BF49" s="1">
        <v>1</v>
      </c>
      <c r="BG49" s="1">
        <v>185</v>
      </c>
      <c r="BH49" s="1">
        <v>105</v>
      </c>
      <c r="BI49" s="1">
        <v>7</v>
      </c>
      <c r="BJ49" s="1">
        <v>221</v>
      </c>
      <c r="BK49" s="1"/>
      <c r="BL49" s="1">
        <v>8</v>
      </c>
      <c r="BM49" s="1">
        <v>2599</v>
      </c>
      <c r="BN49" s="1">
        <v>350</v>
      </c>
      <c r="BO49" s="1">
        <v>198</v>
      </c>
      <c r="BP49" s="1">
        <v>68</v>
      </c>
      <c r="BQ49" s="1">
        <v>42</v>
      </c>
      <c r="BR49" s="1">
        <v>2</v>
      </c>
      <c r="BS49" s="1">
        <v>4493</v>
      </c>
      <c r="BT49" s="1"/>
      <c r="BU49" s="1">
        <v>204</v>
      </c>
      <c r="BV49" s="1">
        <v>1536</v>
      </c>
      <c r="BW49" s="1">
        <v>123</v>
      </c>
      <c r="BX49" s="1">
        <v>68</v>
      </c>
      <c r="BY49" s="1">
        <v>157</v>
      </c>
      <c r="BZ49" s="1">
        <v>54</v>
      </c>
      <c r="CA49" s="1">
        <v>3</v>
      </c>
      <c r="CB49" s="1">
        <v>2695</v>
      </c>
      <c r="CC49" s="1"/>
      <c r="CD49" s="1">
        <v>57</v>
      </c>
      <c r="CE49" s="1"/>
      <c r="CF49" s="1"/>
      <c r="CG49" s="1"/>
      <c r="CH49" s="1">
        <v>23251</v>
      </c>
      <c r="CI49" s="1">
        <v>2330</v>
      </c>
      <c r="CJ49" s="1">
        <v>923</v>
      </c>
    </row>
    <row r="50" spans="1:88">
      <c r="A50" s="19" t="s">
        <v>364</v>
      </c>
      <c r="B50" s="1">
        <v>756</v>
      </c>
      <c r="C50" s="1">
        <v>78</v>
      </c>
      <c r="D50" s="1">
        <v>45</v>
      </c>
      <c r="E50" s="1">
        <v>276</v>
      </c>
      <c r="F50" s="1"/>
      <c r="G50" s="1">
        <v>3</v>
      </c>
      <c r="H50" s="1">
        <v>788</v>
      </c>
      <c r="I50" s="1">
        <v>220</v>
      </c>
      <c r="J50" s="1">
        <v>16</v>
      </c>
      <c r="K50" s="1">
        <v>23</v>
      </c>
      <c r="L50" s="1"/>
      <c r="M50" s="1"/>
      <c r="N50" s="1">
        <v>72</v>
      </c>
      <c r="O50" s="1"/>
      <c r="P50" s="1">
        <v>3</v>
      </c>
      <c r="Q50" s="1">
        <v>1286</v>
      </c>
      <c r="R50" s="1"/>
      <c r="S50" s="1">
        <v>37</v>
      </c>
      <c r="T50" s="1">
        <v>694</v>
      </c>
      <c r="U50" s="1">
        <v>461</v>
      </c>
      <c r="V50" s="1">
        <v>21</v>
      </c>
      <c r="W50" s="1">
        <v>829</v>
      </c>
      <c r="X50" s="1">
        <v>535</v>
      </c>
      <c r="Y50" s="1">
        <v>31</v>
      </c>
      <c r="Z50" s="1"/>
      <c r="AA50" s="1"/>
      <c r="AB50" s="1"/>
      <c r="AC50" s="1">
        <v>4090</v>
      </c>
      <c r="AD50" s="1">
        <v>442</v>
      </c>
      <c r="AE50" s="1">
        <v>145</v>
      </c>
      <c r="AF50" s="1">
        <v>64</v>
      </c>
      <c r="AG50" s="1"/>
      <c r="AH50" s="1">
        <v>2</v>
      </c>
      <c r="AI50" s="1">
        <v>698</v>
      </c>
      <c r="AJ50" s="1"/>
      <c r="AK50" s="1">
        <v>35</v>
      </c>
      <c r="AL50" s="1">
        <v>174</v>
      </c>
      <c r="AM50" s="1"/>
      <c r="AN50" s="1">
        <v>1</v>
      </c>
      <c r="AO50" s="1">
        <v>527</v>
      </c>
      <c r="AP50" s="1"/>
      <c r="AQ50" s="1">
        <v>9</v>
      </c>
      <c r="AR50" s="1">
        <v>515</v>
      </c>
      <c r="AS50" s="1"/>
      <c r="AT50" s="1">
        <v>40</v>
      </c>
      <c r="AU50" s="1">
        <v>93</v>
      </c>
      <c r="AV50" s="1"/>
      <c r="AW50" s="1"/>
      <c r="AX50" s="1">
        <v>61</v>
      </c>
      <c r="AY50" s="1"/>
      <c r="AZ50" s="1">
        <v>0</v>
      </c>
      <c r="BA50" s="1">
        <v>578</v>
      </c>
      <c r="BB50" s="1">
        <v>89</v>
      </c>
      <c r="BC50" s="1">
        <v>15</v>
      </c>
      <c r="BD50" s="1">
        <v>50</v>
      </c>
      <c r="BE50" s="1"/>
      <c r="BF50" s="1">
        <v>1</v>
      </c>
      <c r="BG50" s="1">
        <v>196</v>
      </c>
      <c r="BH50" s="1">
        <v>107</v>
      </c>
      <c r="BI50" s="1">
        <v>7</v>
      </c>
      <c r="BJ50" s="1">
        <v>236</v>
      </c>
      <c r="BK50" s="1"/>
      <c r="BL50" s="1">
        <v>8</v>
      </c>
      <c r="BM50" s="1">
        <v>2659</v>
      </c>
      <c r="BN50" s="1">
        <v>420</v>
      </c>
      <c r="BO50" s="1">
        <v>211</v>
      </c>
      <c r="BP50" s="1">
        <v>72</v>
      </c>
      <c r="BQ50" s="1">
        <v>42</v>
      </c>
      <c r="BR50" s="1">
        <v>4</v>
      </c>
      <c r="BS50" s="1">
        <v>4584</v>
      </c>
      <c r="BT50" s="1"/>
      <c r="BU50" s="1">
        <v>216</v>
      </c>
      <c r="BV50" s="1">
        <v>1570</v>
      </c>
      <c r="BW50" s="1">
        <v>130</v>
      </c>
      <c r="BX50" s="1">
        <v>71</v>
      </c>
      <c r="BY50" s="1">
        <v>162</v>
      </c>
      <c r="BZ50" s="1">
        <v>61</v>
      </c>
      <c r="CA50" s="1">
        <v>3</v>
      </c>
      <c r="CB50" s="1">
        <v>2790</v>
      </c>
      <c r="CC50" s="1"/>
      <c r="CD50" s="1">
        <v>65</v>
      </c>
      <c r="CE50" s="1"/>
      <c r="CF50" s="1"/>
      <c r="CG50" s="1"/>
      <c r="CH50" s="1">
        <v>23843</v>
      </c>
      <c r="CI50" s="1">
        <v>2585</v>
      </c>
      <c r="CJ50" s="1">
        <v>989</v>
      </c>
    </row>
    <row r="51" spans="1:88">
      <c r="A51" s="19" t="s">
        <v>365</v>
      </c>
      <c r="B51" s="1">
        <v>786</v>
      </c>
      <c r="C51" s="1">
        <v>84</v>
      </c>
      <c r="D51" s="1">
        <v>46</v>
      </c>
      <c r="E51" s="1">
        <v>282</v>
      </c>
      <c r="F51" s="1"/>
      <c r="G51" s="1">
        <v>5</v>
      </c>
      <c r="H51" s="1">
        <v>822</v>
      </c>
      <c r="I51" s="1">
        <v>250</v>
      </c>
      <c r="J51" s="1">
        <v>17</v>
      </c>
      <c r="K51" s="1">
        <v>24</v>
      </c>
      <c r="L51" s="1"/>
      <c r="M51" s="1"/>
      <c r="N51" s="1">
        <v>74</v>
      </c>
      <c r="O51" s="1"/>
      <c r="P51" s="1">
        <v>3</v>
      </c>
      <c r="Q51" s="1">
        <v>1335</v>
      </c>
      <c r="R51" s="1"/>
      <c r="S51" s="1">
        <v>38</v>
      </c>
      <c r="T51" s="1">
        <v>711</v>
      </c>
      <c r="U51" s="1">
        <v>485</v>
      </c>
      <c r="V51" s="1">
        <v>21</v>
      </c>
      <c r="W51" s="1">
        <v>841</v>
      </c>
      <c r="X51" s="1">
        <v>572</v>
      </c>
      <c r="Y51" s="1">
        <v>33</v>
      </c>
      <c r="Z51" s="1"/>
      <c r="AA51" s="1"/>
      <c r="AB51" s="1"/>
      <c r="AC51" s="1">
        <v>4183</v>
      </c>
      <c r="AD51" s="1"/>
      <c r="AE51" s="1">
        <v>154</v>
      </c>
      <c r="AF51" s="1">
        <v>67</v>
      </c>
      <c r="AG51" s="1"/>
      <c r="AH51" s="1">
        <v>2</v>
      </c>
      <c r="AI51" s="1">
        <v>719</v>
      </c>
      <c r="AJ51" s="1"/>
      <c r="AK51" s="1">
        <v>36</v>
      </c>
      <c r="AL51" s="1">
        <v>179</v>
      </c>
      <c r="AM51" s="1"/>
      <c r="AN51" s="1">
        <v>1</v>
      </c>
      <c r="AO51" s="1">
        <v>542</v>
      </c>
      <c r="AP51" s="1"/>
      <c r="AQ51" s="1">
        <v>9</v>
      </c>
      <c r="AR51" s="1">
        <v>547</v>
      </c>
      <c r="AS51" s="1"/>
      <c r="AT51" s="1">
        <v>42</v>
      </c>
      <c r="AU51" s="1">
        <v>96</v>
      </c>
      <c r="AV51" s="1"/>
      <c r="AW51" s="1"/>
      <c r="AX51" s="1">
        <v>62</v>
      </c>
      <c r="AY51" s="1"/>
      <c r="AZ51" s="1">
        <v>0</v>
      </c>
      <c r="BA51" s="1">
        <v>604</v>
      </c>
      <c r="BB51" s="1">
        <v>92</v>
      </c>
      <c r="BC51" s="1">
        <v>16</v>
      </c>
      <c r="BD51" s="1">
        <v>52</v>
      </c>
      <c r="BE51" s="1"/>
      <c r="BF51" s="1">
        <v>1</v>
      </c>
      <c r="BG51" s="1">
        <v>213</v>
      </c>
      <c r="BH51" s="1">
        <v>113</v>
      </c>
      <c r="BI51" s="1">
        <v>9</v>
      </c>
      <c r="BJ51" s="1">
        <v>255</v>
      </c>
      <c r="BK51" s="1"/>
      <c r="BL51" s="1">
        <v>8</v>
      </c>
      <c r="BM51" s="1">
        <v>2714</v>
      </c>
      <c r="BN51" s="1">
        <v>447</v>
      </c>
      <c r="BO51" s="1">
        <v>219</v>
      </c>
      <c r="BP51" s="1">
        <v>72</v>
      </c>
      <c r="BQ51" s="1">
        <v>45</v>
      </c>
      <c r="BR51" s="1">
        <v>4</v>
      </c>
      <c r="BS51" s="1">
        <v>4681</v>
      </c>
      <c r="BT51" s="1"/>
      <c r="BU51" s="1">
        <v>230</v>
      </c>
      <c r="BV51" s="1">
        <v>1598</v>
      </c>
      <c r="BW51" s="1">
        <v>136</v>
      </c>
      <c r="BX51" s="1">
        <v>77</v>
      </c>
      <c r="BY51" s="1">
        <v>165</v>
      </c>
      <c r="BZ51" s="1">
        <v>69</v>
      </c>
      <c r="CA51" s="1">
        <v>3</v>
      </c>
      <c r="CB51" s="1">
        <v>2887</v>
      </c>
      <c r="CC51" s="1"/>
      <c r="CD51" s="1">
        <v>66</v>
      </c>
      <c r="CE51" s="1"/>
      <c r="CF51" s="1"/>
      <c r="CG51" s="1"/>
      <c r="CH51" s="1">
        <v>24511</v>
      </c>
      <c r="CI51" s="1">
        <v>2293</v>
      </c>
      <c r="CJ51" s="1">
        <v>1040</v>
      </c>
    </row>
    <row r="52" spans="1:88">
      <c r="A52" s="19" t="s">
        <v>366</v>
      </c>
      <c r="B52" s="1">
        <v>796</v>
      </c>
      <c r="C52" s="1">
        <v>88</v>
      </c>
      <c r="D52" s="1">
        <v>49</v>
      </c>
      <c r="E52" s="1">
        <v>294</v>
      </c>
      <c r="F52" s="1"/>
      <c r="G52" s="1">
        <v>5</v>
      </c>
      <c r="H52" s="1">
        <v>850</v>
      </c>
      <c r="I52" s="1"/>
      <c r="J52" s="1">
        <v>18</v>
      </c>
      <c r="K52" s="1"/>
      <c r="L52" s="1"/>
      <c r="M52" s="1"/>
      <c r="N52" s="1">
        <v>77</v>
      </c>
      <c r="O52" s="1"/>
      <c r="P52" s="1">
        <v>3</v>
      </c>
      <c r="Q52" s="1">
        <v>1375</v>
      </c>
      <c r="R52" s="1"/>
      <c r="S52" s="1">
        <v>42</v>
      </c>
      <c r="T52" s="1">
        <v>722</v>
      </c>
      <c r="U52" s="1">
        <v>502</v>
      </c>
      <c r="V52" s="1">
        <v>22</v>
      </c>
      <c r="W52" s="1">
        <v>854</v>
      </c>
      <c r="X52" s="1">
        <v>593</v>
      </c>
      <c r="Y52" s="1">
        <v>33</v>
      </c>
      <c r="Z52" s="1">
        <v>79</v>
      </c>
      <c r="AA52" s="1"/>
      <c r="AB52" s="1">
        <v>1</v>
      </c>
      <c r="AC52" s="1">
        <v>4225</v>
      </c>
      <c r="AD52" s="1">
        <v>448</v>
      </c>
      <c r="AE52" s="1">
        <v>164</v>
      </c>
      <c r="AF52" s="1">
        <v>76</v>
      </c>
      <c r="AG52" s="1"/>
      <c r="AH52" s="1">
        <v>2</v>
      </c>
      <c r="AI52" s="1">
        <v>730</v>
      </c>
      <c r="AJ52" s="1"/>
      <c r="AK52" s="1">
        <v>36</v>
      </c>
      <c r="AL52" s="1">
        <v>182</v>
      </c>
      <c r="AM52" s="1"/>
      <c r="AN52" s="1">
        <v>3</v>
      </c>
      <c r="AO52" s="1">
        <v>560</v>
      </c>
      <c r="AP52" s="1"/>
      <c r="AQ52" s="1">
        <v>9</v>
      </c>
      <c r="AR52" s="1">
        <v>567</v>
      </c>
      <c r="AS52" s="1"/>
      <c r="AT52" s="1">
        <v>42</v>
      </c>
      <c r="AU52" s="1">
        <v>100</v>
      </c>
      <c r="AV52" s="1"/>
      <c r="AW52" s="1"/>
      <c r="AX52" s="1"/>
      <c r="AY52" s="1"/>
      <c r="AZ52" s="1"/>
      <c r="BA52" s="1">
        <v>632</v>
      </c>
      <c r="BB52" s="1">
        <v>93</v>
      </c>
      <c r="BC52" s="1">
        <v>17</v>
      </c>
      <c r="BD52" s="1">
        <v>53</v>
      </c>
      <c r="BE52" s="1"/>
      <c r="BF52" s="1">
        <v>1</v>
      </c>
      <c r="BG52" s="1">
        <v>215</v>
      </c>
      <c r="BH52" s="1">
        <v>118</v>
      </c>
      <c r="BI52" s="1">
        <v>10</v>
      </c>
      <c r="BJ52" s="1">
        <v>264</v>
      </c>
      <c r="BK52" s="1"/>
      <c r="BL52" s="1">
        <v>8</v>
      </c>
      <c r="BM52" s="1">
        <v>2776</v>
      </c>
      <c r="BN52" s="1">
        <v>466</v>
      </c>
      <c r="BO52" s="1">
        <v>227</v>
      </c>
      <c r="BP52" s="1">
        <v>74</v>
      </c>
      <c r="BQ52" s="1">
        <v>49</v>
      </c>
      <c r="BR52" s="1">
        <v>4</v>
      </c>
      <c r="BS52" s="1">
        <v>4730</v>
      </c>
      <c r="BT52" s="1"/>
      <c r="BU52" s="1">
        <v>237</v>
      </c>
      <c r="BV52" s="1">
        <v>1627</v>
      </c>
      <c r="BW52" s="1">
        <v>136</v>
      </c>
      <c r="BX52" s="1">
        <v>83</v>
      </c>
      <c r="BY52" s="1">
        <v>168</v>
      </c>
      <c r="BZ52" s="1">
        <v>76</v>
      </c>
      <c r="CA52" s="1">
        <v>3</v>
      </c>
      <c r="CB52" s="1">
        <v>2927</v>
      </c>
      <c r="CC52" s="1"/>
      <c r="CD52" s="1">
        <v>71</v>
      </c>
      <c r="CE52" s="1"/>
      <c r="CF52" s="1"/>
      <c r="CG52" s="1"/>
      <c r="CH52" s="1">
        <v>24953</v>
      </c>
      <c r="CI52" s="1">
        <v>2569</v>
      </c>
      <c r="CJ52" s="1">
        <v>1090</v>
      </c>
    </row>
    <row r="53" spans="1:88">
      <c r="A53" s="19" t="s">
        <v>367</v>
      </c>
      <c r="B53" s="1">
        <v>834</v>
      </c>
      <c r="C53" s="1">
        <v>93</v>
      </c>
      <c r="D53" s="1">
        <v>53</v>
      </c>
      <c r="E53" s="1">
        <v>306</v>
      </c>
      <c r="F53" s="1"/>
      <c r="G53" s="1">
        <v>6</v>
      </c>
      <c r="H53" s="1">
        <v>878</v>
      </c>
      <c r="I53" s="1">
        <v>300</v>
      </c>
      <c r="J53" s="1">
        <v>18</v>
      </c>
      <c r="K53" s="1">
        <v>24</v>
      </c>
      <c r="L53" s="1"/>
      <c r="M53" s="1"/>
      <c r="N53" s="1">
        <v>77</v>
      </c>
      <c r="O53" s="1"/>
      <c r="P53" s="1">
        <v>3</v>
      </c>
      <c r="Q53" s="1">
        <v>1419</v>
      </c>
      <c r="R53" s="1"/>
      <c r="S53" s="1">
        <v>44</v>
      </c>
      <c r="T53" s="1">
        <v>736</v>
      </c>
      <c r="U53" s="1">
        <v>527</v>
      </c>
      <c r="V53" s="1">
        <v>22</v>
      </c>
      <c r="W53" s="1">
        <v>861</v>
      </c>
      <c r="X53" s="1">
        <v>612</v>
      </c>
      <c r="Y53" s="1">
        <v>33</v>
      </c>
      <c r="Z53" s="1">
        <v>79</v>
      </c>
      <c r="AA53" s="1"/>
      <c r="AB53" s="1">
        <v>1</v>
      </c>
      <c r="AC53" s="1">
        <v>4274</v>
      </c>
      <c r="AD53" s="1">
        <v>463</v>
      </c>
      <c r="AE53" s="1">
        <v>172</v>
      </c>
      <c r="AF53" s="1">
        <v>91</v>
      </c>
      <c r="AG53" s="1"/>
      <c r="AH53" s="1">
        <v>2</v>
      </c>
      <c r="AI53" s="1">
        <v>743</v>
      </c>
      <c r="AJ53" s="1"/>
      <c r="AK53" s="1">
        <v>36</v>
      </c>
      <c r="AL53" s="1">
        <v>183</v>
      </c>
      <c r="AM53" s="1"/>
      <c r="AN53" s="1">
        <v>3</v>
      </c>
      <c r="AO53" s="1">
        <v>568</v>
      </c>
      <c r="AP53" s="1"/>
      <c r="AQ53" s="1">
        <v>10</v>
      </c>
      <c r="AR53" s="1">
        <v>576</v>
      </c>
      <c r="AS53" s="1"/>
      <c r="AT53" s="1">
        <v>44</v>
      </c>
      <c r="AU53" s="1">
        <v>103</v>
      </c>
      <c r="AV53" s="1"/>
      <c r="AW53" s="1">
        <v>1</v>
      </c>
      <c r="AX53" s="1"/>
      <c r="AY53" s="1"/>
      <c r="AZ53" s="1"/>
      <c r="BA53" s="1">
        <v>641</v>
      </c>
      <c r="BB53" s="1">
        <v>102</v>
      </c>
      <c r="BC53" s="1">
        <v>18</v>
      </c>
      <c r="BD53" s="1">
        <v>55</v>
      </c>
      <c r="BE53" s="1"/>
      <c r="BF53" s="1">
        <v>1</v>
      </c>
      <c r="BG53" s="1">
        <v>249</v>
      </c>
      <c r="BH53" s="1">
        <v>118</v>
      </c>
      <c r="BI53" s="1">
        <v>10</v>
      </c>
      <c r="BJ53" s="1">
        <v>274</v>
      </c>
      <c r="BK53" s="1"/>
      <c r="BL53" s="1">
        <v>8</v>
      </c>
      <c r="BM53" s="1">
        <v>2818</v>
      </c>
      <c r="BN53" s="1">
        <v>493</v>
      </c>
      <c r="BO53" s="1">
        <v>229</v>
      </c>
      <c r="BP53" s="1">
        <v>75</v>
      </c>
      <c r="BQ53" s="1">
        <v>50</v>
      </c>
      <c r="BR53" s="1">
        <v>4</v>
      </c>
      <c r="BS53" s="1">
        <v>4770</v>
      </c>
      <c r="BT53" s="1"/>
      <c r="BU53" s="1">
        <v>243</v>
      </c>
      <c r="BV53" s="1">
        <v>1653</v>
      </c>
      <c r="BW53" s="1">
        <v>148</v>
      </c>
      <c r="BX53" s="1">
        <v>85</v>
      </c>
      <c r="BY53" s="1">
        <v>168</v>
      </c>
      <c r="BZ53" s="1">
        <v>79</v>
      </c>
      <c r="CA53" s="1">
        <v>4</v>
      </c>
      <c r="CB53" s="1">
        <v>2985</v>
      </c>
      <c r="CC53" s="1"/>
      <c r="CD53" s="1">
        <v>77</v>
      </c>
      <c r="CE53" s="1"/>
      <c r="CF53" s="1"/>
      <c r="CG53" s="1"/>
      <c r="CH53" s="1">
        <v>25440</v>
      </c>
      <c r="CI53" s="1">
        <v>2985</v>
      </c>
      <c r="CJ53" s="1">
        <v>1127</v>
      </c>
    </row>
    <row r="54" spans="1:88">
      <c r="A54" s="19" t="s">
        <v>368</v>
      </c>
      <c r="B54" s="1">
        <v>846</v>
      </c>
      <c r="C54" s="1">
        <v>97</v>
      </c>
      <c r="D54" s="1">
        <v>54</v>
      </c>
      <c r="E54" s="1">
        <v>315</v>
      </c>
      <c r="F54" s="1"/>
      <c r="G54" s="1">
        <v>7</v>
      </c>
      <c r="H54" s="1">
        <v>899</v>
      </c>
      <c r="I54" s="1"/>
      <c r="J54" s="1">
        <v>18</v>
      </c>
      <c r="K54" s="1"/>
      <c r="L54" s="1"/>
      <c r="M54" s="1"/>
      <c r="N54" s="1"/>
      <c r="O54" s="1"/>
      <c r="P54" s="1"/>
      <c r="Q54" s="1">
        <v>1441</v>
      </c>
      <c r="R54" s="1"/>
      <c r="S54" s="1">
        <v>49</v>
      </c>
      <c r="T54" s="1">
        <v>740</v>
      </c>
      <c r="U54" s="1">
        <v>554</v>
      </c>
      <c r="V54" s="1">
        <v>23</v>
      </c>
      <c r="W54" s="1">
        <v>877</v>
      </c>
      <c r="X54" s="1">
        <v>629</v>
      </c>
      <c r="Y54" s="1">
        <v>33</v>
      </c>
      <c r="Z54" s="1">
        <v>80</v>
      </c>
      <c r="AA54" s="1"/>
      <c r="AB54" s="1">
        <v>1</v>
      </c>
      <c r="AC54" s="1">
        <v>4296</v>
      </c>
      <c r="AD54" s="1">
        <v>479</v>
      </c>
      <c r="AE54" s="1">
        <v>178</v>
      </c>
      <c r="AF54" s="1">
        <v>91</v>
      </c>
      <c r="AG54" s="1"/>
      <c r="AH54" s="1">
        <v>2</v>
      </c>
      <c r="AI54" s="1">
        <v>747</v>
      </c>
      <c r="AJ54" s="1"/>
      <c r="AK54" s="1">
        <v>36</v>
      </c>
      <c r="AL54" s="1">
        <v>183</v>
      </c>
      <c r="AM54" s="1"/>
      <c r="AN54" s="1">
        <v>3</v>
      </c>
      <c r="AO54" s="1">
        <v>576</v>
      </c>
      <c r="AP54" s="1"/>
      <c r="AQ54" s="1">
        <v>10</v>
      </c>
      <c r="AR54" s="1">
        <v>586</v>
      </c>
      <c r="AS54" s="1"/>
      <c r="AT54" s="1">
        <v>49</v>
      </c>
      <c r="AU54" s="1">
        <v>104</v>
      </c>
      <c r="AV54" s="1"/>
      <c r="AW54" s="1">
        <v>1</v>
      </c>
      <c r="AX54" s="1"/>
      <c r="AY54" s="1"/>
      <c r="AZ54" s="1"/>
      <c r="BA54" s="1">
        <v>649</v>
      </c>
      <c r="BB54" s="1">
        <v>109</v>
      </c>
      <c r="BC54" s="1">
        <v>21</v>
      </c>
      <c r="BD54" s="1">
        <v>57</v>
      </c>
      <c r="BE54" s="1"/>
      <c r="BF54" s="1">
        <v>1</v>
      </c>
      <c r="BG54" s="1">
        <v>251</v>
      </c>
      <c r="BH54" s="1">
        <v>119</v>
      </c>
      <c r="BI54" s="1">
        <v>11</v>
      </c>
      <c r="BJ54" s="1">
        <v>285</v>
      </c>
      <c r="BK54" s="1"/>
      <c r="BL54" s="1">
        <v>8</v>
      </c>
      <c r="BM54" s="1">
        <v>2869</v>
      </c>
      <c r="BN54" s="1">
        <v>511</v>
      </c>
      <c r="BO54" s="1">
        <v>244</v>
      </c>
      <c r="BP54" s="1">
        <v>77</v>
      </c>
      <c r="BQ54" s="1">
        <v>52</v>
      </c>
      <c r="BR54" s="1">
        <v>4</v>
      </c>
      <c r="BS54" s="1">
        <v>4807</v>
      </c>
      <c r="BT54" s="1"/>
      <c r="BU54" s="1">
        <v>251</v>
      </c>
      <c r="BV54" s="1">
        <v>1666</v>
      </c>
      <c r="BW54" s="1">
        <v>157</v>
      </c>
      <c r="BX54" s="1">
        <v>91</v>
      </c>
      <c r="BY54" s="1">
        <v>168</v>
      </c>
      <c r="BZ54" s="1">
        <v>80</v>
      </c>
      <c r="CA54" s="1">
        <v>5</v>
      </c>
      <c r="CB54" s="1">
        <v>3002</v>
      </c>
      <c r="CC54" s="1"/>
      <c r="CD54" s="1">
        <v>79</v>
      </c>
      <c r="CE54" s="1"/>
      <c r="CF54" s="1"/>
      <c r="CG54" s="1"/>
      <c r="CH54" s="1">
        <v>25612</v>
      </c>
      <c r="CI54" s="1">
        <v>2787</v>
      </c>
      <c r="CJ54" s="1">
        <v>1179</v>
      </c>
    </row>
    <row r="55" spans="1:88">
      <c r="A55" s="19" t="s">
        <v>375</v>
      </c>
      <c r="B55" s="1">
        <v>859</v>
      </c>
      <c r="C55" s="1">
        <v>97</v>
      </c>
      <c r="D55" s="1">
        <v>55</v>
      </c>
      <c r="E55" s="1">
        <v>321</v>
      </c>
      <c r="F55" s="1"/>
      <c r="G55" s="1">
        <v>7</v>
      </c>
      <c r="H55" s="1">
        <v>906</v>
      </c>
      <c r="I55" s="1"/>
      <c r="J55" s="1">
        <v>19</v>
      </c>
      <c r="K55" s="1">
        <v>24</v>
      </c>
      <c r="L55" s="1"/>
      <c r="M55" s="1"/>
      <c r="N55" s="1">
        <v>78</v>
      </c>
      <c r="O55" s="1"/>
      <c r="P55" s="1">
        <v>3</v>
      </c>
      <c r="Q55" s="1">
        <v>1456</v>
      </c>
      <c r="R55" s="1"/>
      <c r="S55" s="1">
        <v>49</v>
      </c>
      <c r="T55" s="1">
        <v>749</v>
      </c>
      <c r="U55" s="1">
        <v>570</v>
      </c>
      <c r="V55" s="1">
        <v>24</v>
      </c>
      <c r="W55" s="1">
        <v>888</v>
      </c>
      <c r="X55" s="1">
        <v>653</v>
      </c>
      <c r="Y55" s="1">
        <v>34</v>
      </c>
      <c r="Z55" s="1">
        <v>80</v>
      </c>
      <c r="AA55" s="1"/>
      <c r="AB55" s="1">
        <v>1</v>
      </c>
      <c r="AC55" s="1">
        <v>4346</v>
      </c>
      <c r="AD55" s="1">
        <v>490</v>
      </c>
      <c r="AE55" s="1">
        <v>181</v>
      </c>
      <c r="AF55" s="1">
        <v>92</v>
      </c>
      <c r="AG55" s="1"/>
      <c r="AH55" s="1">
        <v>2</v>
      </c>
      <c r="AI55" s="1">
        <v>750</v>
      </c>
      <c r="AJ55" s="1"/>
      <c r="AK55" s="1">
        <v>37</v>
      </c>
      <c r="AL55" s="1">
        <v>184</v>
      </c>
      <c r="AM55" s="1"/>
      <c r="AN55" s="1">
        <v>3</v>
      </c>
      <c r="AO55" s="1">
        <v>580</v>
      </c>
      <c r="AP55" s="1"/>
      <c r="AQ55" s="1">
        <v>10</v>
      </c>
      <c r="AR55" s="1">
        <v>592</v>
      </c>
      <c r="AS55" s="1"/>
      <c r="AT55" s="1">
        <v>51</v>
      </c>
      <c r="AU55" s="1">
        <v>104</v>
      </c>
      <c r="AV55" s="1"/>
      <c r="AW55" s="1">
        <v>1</v>
      </c>
      <c r="AX55" s="1"/>
      <c r="AY55" s="1"/>
      <c r="AZ55" s="1"/>
      <c r="BA55" s="1">
        <v>657</v>
      </c>
      <c r="BB55" s="1">
        <v>119</v>
      </c>
      <c r="BC55" s="1">
        <v>21</v>
      </c>
      <c r="BD55" s="1">
        <v>57</v>
      </c>
      <c r="BE55" s="1"/>
      <c r="BF55" s="1">
        <v>1</v>
      </c>
      <c r="BG55" s="1">
        <v>251</v>
      </c>
      <c r="BH55" s="1">
        <v>128</v>
      </c>
      <c r="BI55" s="1">
        <v>12</v>
      </c>
      <c r="BJ55" s="1">
        <v>292</v>
      </c>
      <c r="BK55" s="1"/>
      <c r="BL55" s="1">
        <v>8</v>
      </c>
      <c r="BM55" s="1">
        <v>2900</v>
      </c>
      <c r="BN55" s="1">
        <v>511</v>
      </c>
      <c r="BO55" s="1">
        <v>251</v>
      </c>
      <c r="BP55" s="1">
        <v>78</v>
      </c>
      <c r="BQ55" s="1">
        <v>52</v>
      </c>
      <c r="BR55" s="1">
        <v>4</v>
      </c>
      <c r="BS55" s="1">
        <v>4851</v>
      </c>
      <c r="BT55" s="1"/>
      <c r="BU55" s="1">
        <v>257</v>
      </c>
      <c r="BV55" s="1">
        <v>1680</v>
      </c>
      <c r="BW55" s="1">
        <v>157</v>
      </c>
      <c r="BX55" s="1">
        <v>93</v>
      </c>
      <c r="BY55" s="1">
        <v>170</v>
      </c>
      <c r="BZ55" s="1">
        <v>84</v>
      </c>
      <c r="CA55" s="1">
        <v>5</v>
      </c>
      <c r="CB55" s="1">
        <v>3019</v>
      </c>
      <c r="CC55" s="1"/>
      <c r="CD55" s="1">
        <v>83</v>
      </c>
      <c r="CE55" s="1"/>
      <c r="CF55" s="1"/>
      <c r="CG55" s="1"/>
      <c r="CH55" s="1">
        <v>25964</v>
      </c>
      <c r="CI55" s="1">
        <v>2861</v>
      </c>
      <c r="CJ55" s="1">
        <v>1212</v>
      </c>
    </row>
    <row r="56" spans="1:88">
      <c r="A56" s="19" t="s">
        <v>386</v>
      </c>
      <c r="B56" s="1">
        <v>879</v>
      </c>
      <c r="C56" s="1">
        <v>98</v>
      </c>
      <c r="D56" s="1">
        <v>57</v>
      </c>
      <c r="E56" s="1">
        <v>325</v>
      </c>
      <c r="F56" s="1"/>
      <c r="G56" s="1">
        <v>8</v>
      </c>
      <c r="H56" s="1">
        <v>912</v>
      </c>
      <c r="I56" s="1">
        <v>400</v>
      </c>
      <c r="J56" s="1">
        <v>19</v>
      </c>
      <c r="K56" s="1">
        <v>24</v>
      </c>
      <c r="L56" s="1"/>
      <c r="M56" s="1"/>
      <c r="N56" s="1">
        <v>79</v>
      </c>
      <c r="O56" s="1"/>
      <c r="P56" s="1">
        <v>3</v>
      </c>
      <c r="Q56" s="1">
        <v>1470</v>
      </c>
      <c r="R56" s="1"/>
      <c r="S56" s="1">
        <v>49</v>
      </c>
      <c r="T56" s="1">
        <v>755</v>
      </c>
      <c r="U56" s="1">
        <v>597</v>
      </c>
      <c r="V56" s="1">
        <v>25</v>
      </c>
      <c r="W56" s="1">
        <v>894</v>
      </c>
      <c r="X56" s="1">
        <v>663</v>
      </c>
      <c r="Y56" s="1">
        <v>34</v>
      </c>
      <c r="Z56" s="1"/>
      <c r="AA56" s="1"/>
      <c r="AB56" s="1"/>
      <c r="AC56" s="1">
        <v>4399</v>
      </c>
      <c r="AD56" s="1">
        <v>490</v>
      </c>
      <c r="AE56" s="1">
        <v>186</v>
      </c>
      <c r="AF56" s="1">
        <v>105</v>
      </c>
      <c r="AG56" s="1"/>
      <c r="AH56" s="1">
        <v>2</v>
      </c>
      <c r="AI56" s="1">
        <v>753</v>
      </c>
      <c r="AJ56" s="1"/>
      <c r="AK56" s="1">
        <v>37</v>
      </c>
      <c r="AL56" s="1">
        <v>185</v>
      </c>
      <c r="AM56" s="1"/>
      <c r="AN56" s="1">
        <v>3</v>
      </c>
      <c r="AO56" s="1">
        <v>589</v>
      </c>
      <c r="AP56" s="1"/>
      <c r="AQ56" s="1">
        <v>11</v>
      </c>
      <c r="AR56" s="1">
        <v>603</v>
      </c>
      <c r="AS56" s="1"/>
      <c r="AT56" s="1">
        <v>54</v>
      </c>
      <c r="AU56" s="1">
        <v>105</v>
      </c>
      <c r="AV56" s="1"/>
      <c r="AW56" s="1">
        <v>1</v>
      </c>
      <c r="AX56" s="1">
        <v>64</v>
      </c>
      <c r="AY56" s="1"/>
      <c r="AZ56" s="1">
        <v>0</v>
      </c>
      <c r="BA56" s="1">
        <v>664</v>
      </c>
      <c r="BB56" s="1">
        <v>120</v>
      </c>
      <c r="BC56" s="1">
        <v>21</v>
      </c>
      <c r="BD56" s="1">
        <v>57</v>
      </c>
      <c r="BE56" s="1"/>
      <c r="BF56" s="1">
        <v>1</v>
      </c>
      <c r="BG56" s="1">
        <v>258</v>
      </c>
      <c r="BH56" s="1">
        <v>128</v>
      </c>
      <c r="BI56" s="1">
        <v>13</v>
      </c>
      <c r="BJ56" s="1">
        <v>296</v>
      </c>
      <c r="BK56" s="1"/>
      <c r="BL56" s="1">
        <v>10</v>
      </c>
      <c r="BM56" s="1">
        <v>2912</v>
      </c>
      <c r="BN56" s="1">
        <v>524</v>
      </c>
      <c r="BO56" s="1">
        <v>258</v>
      </c>
      <c r="BP56" s="1">
        <v>78</v>
      </c>
      <c r="BQ56" s="1">
        <v>56</v>
      </c>
      <c r="BR56" s="1">
        <v>4</v>
      </c>
      <c r="BS56" s="1">
        <v>4918</v>
      </c>
      <c r="BT56" s="1"/>
      <c r="BU56" s="1">
        <v>267</v>
      </c>
      <c r="BV56" s="1">
        <v>1707</v>
      </c>
      <c r="BW56" s="1">
        <v>165</v>
      </c>
      <c r="BX56" s="1">
        <v>94</v>
      </c>
      <c r="BY56" s="1">
        <v>171</v>
      </c>
      <c r="BZ56" s="1">
        <v>88</v>
      </c>
      <c r="CA56" s="1">
        <v>5</v>
      </c>
      <c r="CB56" s="1">
        <v>3066</v>
      </c>
      <c r="CC56" s="1"/>
      <c r="CD56" s="1">
        <v>87</v>
      </c>
      <c r="CE56" s="1"/>
      <c r="CF56" s="1"/>
      <c r="CG56" s="1"/>
      <c r="CH56" s="1">
        <v>26268</v>
      </c>
      <c r="CI56" s="1">
        <v>3329</v>
      </c>
      <c r="CJ56" s="1">
        <v>1249</v>
      </c>
    </row>
    <row r="57" spans="1:88">
      <c r="A57" s="19" t="s">
        <v>393</v>
      </c>
      <c r="B57" s="1">
        <v>890</v>
      </c>
      <c r="C57" s="1">
        <v>105</v>
      </c>
      <c r="D57" s="1">
        <v>63</v>
      </c>
      <c r="E57" s="1">
        <v>329</v>
      </c>
      <c r="F57" s="1"/>
      <c r="G57" s="1">
        <v>8</v>
      </c>
      <c r="H57" s="1">
        <v>929</v>
      </c>
      <c r="I57" s="1">
        <v>450</v>
      </c>
      <c r="J57" s="1">
        <v>22</v>
      </c>
      <c r="K57" s="1">
        <v>24</v>
      </c>
      <c r="L57" s="1"/>
      <c r="M57" s="1"/>
      <c r="N57" s="1">
        <v>79</v>
      </c>
      <c r="O57" s="1"/>
      <c r="P57" s="1">
        <v>3</v>
      </c>
      <c r="Q57" s="1">
        <v>1489</v>
      </c>
      <c r="R57" s="1"/>
      <c r="S57" s="1">
        <v>53</v>
      </c>
      <c r="T57" s="1">
        <v>768</v>
      </c>
      <c r="U57" s="1">
        <v>610</v>
      </c>
      <c r="V57" s="1">
        <v>25</v>
      </c>
      <c r="W57" s="1">
        <v>904</v>
      </c>
      <c r="X57" s="1">
        <v>682</v>
      </c>
      <c r="Y57" s="1">
        <v>36</v>
      </c>
      <c r="Z57" s="1">
        <v>80</v>
      </c>
      <c r="AA57" s="1"/>
      <c r="AB57" s="1">
        <v>1</v>
      </c>
      <c r="AC57" s="1">
        <v>4463</v>
      </c>
      <c r="AD57" s="1">
        <v>502</v>
      </c>
      <c r="AE57" s="1">
        <v>190</v>
      </c>
      <c r="AF57" s="1">
        <v>105</v>
      </c>
      <c r="AG57" s="1"/>
      <c r="AH57" s="1">
        <v>2</v>
      </c>
      <c r="AI57" s="1">
        <v>759</v>
      </c>
      <c r="AJ57" s="1"/>
      <c r="AK57" s="1">
        <v>38</v>
      </c>
      <c r="AL57" s="1">
        <v>188</v>
      </c>
      <c r="AM57" s="1"/>
      <c r="AN57" s="1">
        <v>3</v>
      </c>
      <c r="AO57" s="1">
        <v>596</v>
      </c>
      <c r="AP57" s="1"/>
      <c r="AQ57" s="1">
        <v>12</v>
      </c>
      <c r="AR57" s="1">
        <v>616</v>
      </c>
      <c r="AS57" s="1"/>
      <c r="AT57" s="1">
        <v>55</v>
      </c>
      <c r="AU57" s="1">
        <v>106</v>
      </c>
      <c r="AV57" s="1"/>
      <c r="AW57" s="1">
        <v>2</v>
      </c>
      <c r="AX57" s="1">
        <v>64</v>
      </c>
      <c r="AY57" s="1"/>
      <c r="AZ57" s="1">
        <v>0</v>
      </c>
      <c r="BA57" s="1">
        <v>676</v>
      </c>
      <c r="BB57" s="1">
        <v>123</v>
      </c>
      <c r="BC57" s="1">
        <v>23</v>
      </c>
      <c r="BD57" s="1">
        <v>59</v>
      </c>
      <c r="BE57" s="1"/>
      <c r="BF57" s="1">
        <v>1</v>
      </c>
      <c r="BG57" s="1">
        <v>261</v>
      </c>
      <c r="BH57" s="1">
        <v>144</v>
      </c>
      <c r="BI57" s="1">
        <v>13</v>
      </c>
      <c r="BJ57" s="1">
        <v>302</v>
      </c>
      <c r="BK57" s="1"/>
      <c r="BL57" s="1">
        <v>11</v>
      </c>
      <c r="BM57" s="1">
        <v>2927</v>
      </c>
      <c r="BN57" s="1">
        <v>548</v>
      </c>
      <c r="BO57" s="1">
        <v>263</v>
      </c>
      <c r="BP57" s="1">
        <v>78</v>
      </c>
      <c r="BQ57" s="1">
        <v>62</v>
      </c>
      <c r="BR57" s="1">
        <v>4</v>
      </c>
      <c r="BS57" s="1">
        <v>4967</v>
      </c>
      <c r="BT57" s="1"/>
      <c r="BU57" s="1">
        <v>284</v>
      </c>
      <c r="BV57" s="1">
        <v>1723</v>
      </c>
      <c r="BW57" s="1">
        <v>175</v>
      </c>
      <c r="BX57" s="1">
        <v>94</v>
      </c>
      <c r="BY57" s="1">
        <v>171</v>
      </c>
      <c r="BZ57" s="1">
        <v>92</v>
      </c>
      <c r="CA57" s="1">
        <v>5</v>
      </c>
      <c r="CB57" s="1">
        <v>3113</v>
      </c>
      <c r="CC57" s="1"/>
      <c r="CD57" s="1">
        <v>91</v>
      </c>
      <c r="CE57" s="1"/>
      <c r="CF57" s="1"/>
      <c r="CG57" s="1"/>
      <c r="CH57" s="1">
        <v>26666</v>
      </c>
      <c r="CI57" s="1">
        <v>3493</v>
      </c>
      <c r="CJ57" s="1">
        <v>1302</v>
      </c>
    </row>
    <row r="58" spans="1:88">
      <c r="A58" s="19" t="s">
        <v>400</v>
      </c>
      <c r="B58" s="1">
        <v>907</v>
      </c>
      <c r="C58" s="1">
        <v>105</v>
      </c>
      <c r="D58" s="1">
        <v>65</v>
      </c>
      <c r="E58" s="1">
        <v>343</v>
      </c>
      <c r="F58" s="1"/>
      <c r="G58" s="1">
        <v>8</v>
      </c>
      <c r="H58" s="1">
        <v>943</v>
      </c>
      <c r="I58" s="1">
        <v>500</v>
      </c>
      <c r="J58" s="1">
        <v>23</v>
      </c>
      <c r="K58" s="1">
        <v>24</v>
      </c>
      <c r="L58" s="1"/>
      <c r="M58" s="1"/>
      <c r="N58" s="1">
        <v>79</v>
      </c>
      <c r="O58" s="1"/>
      <c r="P58" s="1">
        <v>3</v>
      </c>
      <c r="Q58" s="1">
        <v>1515</v>
      </c>
      <c r="R58" s="1"/>
      <c r="S58" s="1">
        <v>55</v>
      </c>
      <c r="T58" s="1">
        <v>781</v>
      </c>
      <c r="U58" s="1">
        <v>623</v>
      </c>
      <c r="V58" s="1">
        <v>25</v>
      </c>
      <c r="W58" s="1">
        <v>912</v>
      </c>
      <c r="X58" s="1">
        <v>711</v>
      </c>
      <c r="Y58" s="1">
        <v>37</v>
      </c>
      <c r="Z58" s="1">
        <v>80</v>
      </c>
      <c r="AA58" s="1"/>
      <c r="AB58" s="1">
        <v>1</v>
      </c>
      <c r="AC58" s="1">
        <v>4528</v>
      </c>
      <c r="AD58" s="1">
        <v>520</v>
      </c>
      <c r="AE58" s="1">
        <v>196</v>
      </c>
      <c r="AF58" s="1">
        <v>106</v>
      </c>
      <c r="AG58" s="1"/>
      <c r="AH58" s="1">
        <v>3</v>
      </c>
      <c r="AI58" s="1">
        <v>764</v>
      </c>
      <c r="AJ58" s="1"/>
      <c r="AK58" s="1">
        <v>39</v>
      </c>
      <c r="AL58" s="1">
        <v>189</v>
      </c>
      <c r="AM58" s="1"/>
      <c r="AN58" s="1">
        <v>3</v>
      </c>
      <c r="AO58" s="1">
        <v>599</v>
      </c>
      <c r="AP58" s="1"/>
      <c r="AQ58" s="1">
        <v>13</v>
      </c>
      <c r="AR58" s="1">
        <v>625</v>
      </c>
      <c r="AS58" s="1"/>
      <c r="AT58" s="1">
        <v>56</v>
      </c>
      <c r="AU58" s="1">
        <v>106</v>
      </c>
      <c r="AV58" s="1"/>
      <c r="AW58" s="1">
        <v>2</v>
      </c>
      <c r="AX58" s="1">
        <v>65</v>
      </c>
      <c r="AY58" s="1"/>
      <c r="AZ58" s="1">
        <v>0</v>
      </c>
      <c r="BA58" s="1">
        <v>680</v>
      </c>
      <c r="BB58" s="1">
        <v>138</v>
      </c>
      <c r="BC58" s="1">
        <v>25</v>
      </c>
      <c r="BD58" s="1">
        <v>60</v>
      </c>
      <c r="BE58" s="1"/>
      <c r="BF58" s="1">
        <v>1</v>
      </c>
      <c r="BG58" s="1">
        <v>265</v>
      </c>
      <c r="BH58" s="1">
        <v>154</v>
      </c>
      <c r="BI58" s="1">
        <v>14</v>
      </c>
      <c r="BJ58" s="1">
        <v>308</v>
      </c>
      <c r="BK58" s="1"/>
      <c r="BL58" s="1">
        <v>11</v>
      </c>
      <c r="BM58" s="1">
        <v>2953</v>
      </c>
      <c r="BN58" s="1">
        <v>568</v>
      </c>
      <c r="BO58" s="1">
        <v>269</v>
      </c>
      <c r="BP58" s="1">
        <v>78</v>
      </c>
      <c r="BQ58" s="1">
        <v>62</v>
      </c>
      <c r="BR58" s="1">
        <v>5</v>
      </c>
      <c r="BS58" s="1">
        <v>4996</v>
      </c>
      <c r="BT58" s="1"/>
      <c r="BU58" s="1">
        <v>297</v>
      </c>
      <c r="BV58" s="1">
        <v>1740</v>
      </c>
      <c r="BW58" s="1">
        <v>178</v>
      </c>
      <c r="BX58" s="1">
        <v>95</v>
      </c>
      <c r="BY58" s="1">
        <v>171</v>
      </c>
      <c r="BZ58" s="1">
        <v>94</v>
      </c>
      <c r="CA58" s="1">
        <v>6</v>
      </c>
      <c r="CB58" s="1">
        <v>3148</v>
      </c>
      <c r="CC58" s="1"/>
      <c r="CD58" s="1">
        <v>95</v>
      </c>
      <c r="CE58" s="1"/>
      <c r="CF58" s="1"/>
      <c r="CG58" s="1"/>
      <c r="CH58" s="1">
        <v>26965</v>
      </c>
      <c r="CI58" s="1">
        <v>3653</v>
      </c>
      <c r="CJ58" s="1">
        <v>1347</v>
      </c>
    </row>
    <row r="59" spans="1:88">
      <c r="A59" s="19" t="s">
        <v>426</v>
      </c>
      <c r="B59" s="1">
        <v>930</v>
      </c>
      <c r="C59" s="1">
        <v>106</v>
      </c>
      <c r="D59" s="1">
        <v>67</v>
      </c>
      <c r="E59" s="1">
        <v>350</v>
      </c>
      <c r="F59" s="1"/>
      <c r="G59" s="1">
        <v>9</v>
      </c>
      <c r="H59" s="1">
        <v>960</v>
      </c>
      <c r="I59" s="1">
        <v>540</v>
      </c>
      <c r="J59" s="1">
        <v>24</v>
      </c>
      <c r="K59" s="1">
        <v>24</v>
      </c>
      <c r="L59" s="1"/>
      <c r="M59" s="1"/>
      <c r="N59" s="1">
        <v>82</v>
      </c>
      <c r="O59" s="1"/>
      <c r="P59" s="1">
        <v>3</v>
      </c>
      <c r="Q59" s="1">
        <v>1553</v>
      </c>
      <c r="R59" s="1"/>
      <c r="S59" s="1">
        <v>67</v>
      </c>
      <c r="T59" s="1">
        <v>794</v>
      </c>
      <c r="U59" s="1">
        <v>632</v>
      </c>
      <c r="V59" s="1">
        <v>25</v>
      </c>
      <c r="W59" s="1">
        <v>918</v>
      </c>
      <c r="X59" s="1">
        <v>720</v>
      </c>
      <c r="Y59" s="1">
        <v>37</v>
      </c>
      <c r="Z59" s="1">
        <v>81</v>
      </c>
      <c r="AA59" s="1"/>
      <c r="AB59" s="1">
        <v>1</v>
      </c>
      <c r="AC59" s="1">
        <v>4588</v>
      </c>
      <c r="AD59" s="1">
        <v>532</v>
      </c>
      <c r="AE59" s="1">
        <v>202</v>
      </c>
      <c r="AF59" s="1">
        <v>108</v>
      </c>
      <c r="AG59" s="1"/>
      <c r="AH59" s="1">
        <v>3</v>
      </c>
      <c r="AI59" s="1">
        <v>770</v>
      </c>
      <c r="AJ59" s="1"/>
      <c r="AK59" s="1">
        <v>40</v>
      </c>
      <c r="AL59" s="1">
        <v>191</v>
      </c>
      <c r="AM59" s="1"/>
      <c r="AN59" s="1">
        <v>3</v>
      </c>
      <c r="AO59" s="1">
        <v>607</v>
      </c>
      <c r="AP59" s="1"/>
      <c r="AQ59" s="1">
        <v>14</v>
      </c>
      <c r="AR59" s="1">
        <v>636</v>
      </c>
      <c r="AS59" s="1"/>
      <c r="AT59" s="1">
        <v>59</v>
      </c>
      <c r="AU59" s="1">
        <v>107</v>
      </c>
      <c r="AV59" s="1"/>
      <c r="AW59" s="1">
        <v>3</v>
      </c>
      <c r="AX59" s="1">
        <v>66</v>
      </c>
      <c r="AY59" s="1"/>
      <c r="AZ59" s="1">
        <v>0</v>
      </c>
      <c r="BA59" s="1">
        <v>683</v>
      </c>
      <c r="BB59" s="1">
        <v>144</v>
      </c>
      <c r="BC59" s="1">
        <v>27</v>
      </c>
      <c r="BD59" s="1">
        <v>60</v>
      </c>
      <c r="BE59" s="1"/>
      <c r="BF59" s="1">
        <v>1</v>
      </c>
      <c r="BG59" s="1">
        <v>266</v>
      </c>
      <c r="BH59" s="1">
        <v>161</v>
      </c>
      <c r="BI59" s="1">
        <v>14</v>
      </c>
      <c r="BJ59" s="1">
        <v>321</v>
      </c>
      <c r="BK59" s="1"/>
      <c r="BL59" s="1">
        <v>12</v>
      </c>
      <c r="BM59" s="1">
        <v>2977</v>
      </c>
      <c r="BN59" s="1">
        <v>580</v>
      </c>
      <c r="BO59" s="1">
        <v>270</v>
      </c>
      <c r="BP59" s="1">
        <v>78</v>
      </c>
      <c r="BQ59" s="1">
        <v>66</v>
      </c>
      <c r="BR59" s="1">
        <v>5</v>
      </c>
      <c r="BS59" s="1">
        <v>5028</v>
      </c>
      <c r="BT59" s="1"/>
      <c r="BU59" s="1">
        <v>302</v>
      </c>
      <c r="BV59" s="1">
        <v>1758</v>
      </c>
      <c r="BW59" s="1">
        <v>184</v>
      </c>
      <c r="BX59" s="1">
        <v>99</v>
      </c>
      <c r="BY59" s="1">
        <v>172</v>
      </c>
      <c r="BZ59" s="1">
        <v>96</v>
      </c>
      <c r="CA59" s="1">
        <v>6</v>
      </c>
      <c r="CB59" s="1">
        <v>3171</v>
      </c>
      <c r="CC59" s="1"/>
      <c r="CD59" s="1">
        <v>99</v>
      </c>
      <c r="CE59" s="1"/>
      <c r="CF59" s="1"/>
      <c r="CG59" s="1"/>
      <c r="CH59" s="1">
        <v>27279</v>
      </c>
      <c r="CI59" s="1">
        <v>3761</v>
      </c>
      <c r="CJ59" s="1">
        <v>1392</v>
      </c>
    </row>
    <row r="60" spans="1:88">
      <c r="A60" s="19" t="s">
        <v>427</v>
      </c>
      <c r="B60" s="1">
        <v>956</v>
      </c>
      <c r="C60" s="1">
        <v>109</v>
      </c>
      <c r="D60" s="1">
        <v>69</v>
      </c>
      <c r="E60" s="1">
        <v>353</v>
      </c>
      <c r="F60" s="1"/>
      <c r="G60" s="1">
        <v>10</v>
      </c>
      <c r="H60" s="1">
        <v>987</v>
      </c>
      <c r="I60" s="1"/>
      <c r="J60" s="1">
        <v>25</v>
      </c>
      <c r="K60" s="1"/>
      <c r="L60" s="1"/>
      <c r="M60" s="1"/>
      <c r="N60" s="1"/>
      <c r="O60" s="1"/>
      <c r="P60" s="1"/>
      <c r="Q60" s="1">
        <v>1586</v>
      </c>
      <c r="R60" s="1"/>
      <c r="S60" s="1">
        <v>69</v>
      </c>
      <c r="T60" s="1">
        <v>798</v>
      </c>
      <c r="U60" s="1">
        <v>636</v>
      </c>
      <c r="V60" s="1">
        <v>25</v>
      </c>
      <c r="W60" s="1">
        <v>924</v>
      </c>
      <c r="X60" s="1">
        <v>753</v>
      </c>
      <c r="Y60" s="1">
        <v>40</v>
      </c>
      <c r="Z60" s="1">
        <v>81</v>
      </c>
      <c r="AA60" s="1"/>
      <c r="AB60" s="1">
        <v>1</v>
      </c>
      <c r="AC60" s="1">
        <v>4637</v>
      </c>
      <c r="AD60" s="1">
        <v>553</v>
      </c>
      <c r="AE60" s="1">
        <v>206</v>
      </c>
      <c r="AF60" s="1">
        <v>111</v>
      </c>
      <c r="AG60" s="1"/>
      <c r="AH60" s="1">
        <v>3</v>
      </c>
      <c r="AI60" s="1">
        <v>773</v>
      </c>
      <c r="AJ60" s="1"/>
      <c r="AK60" s="1">
        <v>40</v>
      </c>
      <c r="AL60" s="1">
        <v>192</v>
      </c>
      <c r="AM60" s="1"/>
      <c r="AN60" s="1">
        <v>3</v>
      </c>
      <c r="AO60" s="1">
        <v>623</v>
      </c>
      <c r="AP60" s="1"/>
      <c r="AQ60" s="1">
        <v>15</v>
      </c>
      <c r="AR60" s="1">
        <v>639</v>
      </c>
      <c r="AS60" s="1"/>
      <c r="AT60" s="1">
        <v>59</v>
      </c>
      <c r="AU60" s="1">
        <v>108</v>
      </c>
      <c r="AV60" s="1"/>
      <c r="AW60" s="1">
        <v>3</v>
      </c>
      <c r="AX60" s="1"/>
      <c r="AY60" s="1"/>
      <c r="AZ60" s="1"/>
      <c r="BA60" s="1">
        <v>699</v>
      </c>
      <c r="BB60" s="1">
        <v>150</v>
      </c>
      <c r="BC60" s="1">
        <v>27</v>
      </c>
      <c r="BD60" s="1">
        <v>61</v>
      </c>
      <c r="BE60" s="1"/>
      <c r="BF60" s="1">
        <v>1</v>
      </c>
      <c r="BG60" s="1">
        <v>266</v>
      </c>
      <c r="BH60" s="1">
        <v>176</v>
      </c>
      <c r="BI60" s="1">
        <v>14</v>
      </c>
      <c r="BJ60" s="1">
        <v>332</v>
      </c>
      <c r="BK60" s="1"/>
      <c r="BL60" s="1">
        <v>13</v>
      </c>
      <c r="BM60" s="1">
        <v>2994</v>
      </c>
      <c r="BN60" s="1">
        <v>606</v>
      </c>
      <c r="BO60" s="1">
        <v>277</v>
      </c>
      <c r="BP60" s="1">
        <v>78</v>
      </c>
      <c r="BQ60" s="1">
        <v>69</v>
      </c>
      <c r="BR60" s="1">
        <v>5</v>
      </c>
      <c r="BS60" s="1">
        <v>5050</v>
      </c>
      <c r="BT60" s="1"/>
      <c r="BU60" s="1">
        <v>310</v>
      </c>
      <c r="BV60" s="1">
        <v>1767</v>
      </c>
      <c r="BW60" s="1">
        <v>185</v>
      </c>
      <c r="BX60" s="1">
        <v>104</v>
      </c>
      <c r="BY60" s="1">
        <v>174</v>
      </c>
      <c r="BZ60" s="1">
        <v>99</v>
      </c>
      <c r="CA60" s="1">
        <v>7</v>
      </c>
      <c r="CB60" s="1">
        <v>3211</v>
      </c>
      <c r="CC60" s="1"/>
      <c r="CD60" s="1">
        <v>105</v>
      </c>
      <c r="CE60" s="1"/>
      <c r="CF60" s="1"/>
      <c r="CG60" s="1"/>
      <c r="CH60" s="1">
        <v>27400</v>
      </c>
      <c r="CI60" s="1">
        <v>3336</v>
      </c>
      <c r="CJ60" s="1">
        <v>1431</v>
      </c>
    </row>
    <row r="61" spans="1:88">
      <c r="A61" s="19" t="s">
        <v>428</v>
      </c>
      <c r="B61" s="1">
        <v>980</v>
      </c>
      <c r="C61" s="1">
        <v>113</v>
      </c>
      <c r="D61" s="1">
        <v>71</v>
      </c>
      <c r="E61" s="1">
        <v>355</v>
      </c>
      <c r="F61" s="1"/>
      <c r="G61" s="1">
        <v>11</v>
      </c>
      <c r="H61" s="1">
        <v>1003</v>
      </c>
      <c r="I61" s="1"/>
      <c r="J61" s="1">
        <v>25</v>
      </c>
      <c r="K61" s="1">
        <v>24</v>
      </c>
      <c r="L61" s="1"/>
      <c r="M61" s="1"/>
      <c r="N61" s="1"/>
      <c r="O61" s="1"/>
      <c r="P61" s="1"/>
      <c r="Q61" s="1">
        <v>1599</v>
      </c>
      <c r="R61" s="1"/>
      <c r="S61" s="1">
        <v>69</v>
      </c>
      <c r="T61" s="1">
        <v>803</v>
      </c>
      <c r="U61" s="1">
        <v>653</v>
      </c>
      <c r="V61" s="1">
        <v>25</v>
      </c>
      <c r="W61" s="1">
        <v>927</v>
      </c>
      <c r="X61" s="1">
        <v>764</v>
      </c>
      <c r="Y61" s="1">
        <v>40</v>
      </c>
      <c r="Z61" s="1">
        <v>81</v>
      </c>
      <c r="AA61" s="1"/>
      <c r="AB61" s="1">
        <v>1</v>
      </c>
      <c r="AC61" s="1">
        <v>4648</v>
      </c>
      <c r="AD61" s="1">
        <v>558</v>
      </c>
      <c r="AE61" s="1">
        <v>208</v>
      </c>
      <c r="AF61" s="1">
        <v>111</v>
      </c>
      <c r="AG61" s="1"/>
      <c r="AH61" s="1">
        <v>3</v>
      </c>
      <c r="AI61" s="1">
        <v>778</v>
      </c>
      <c r="AJ61" s="1"/>
      <c r="AK61" s="1">
        <v>41</v>
      </c>
      <c r="AL61" s="1">
        <v>192</v>
      </c>
      <c r="AM61" s="1"/>
      <c r="AN61" s="1">
        <v>5</v>
      </c>
      <c r="AO61" s="1">
        <v>626</v>
      </c>
      <c r="AP61" s="1"/>
      <c r="AQ61" s="1">
        <v>15</v>
      </c>
      <c r="AR61" s="1">
        <v>640</v>
      </c>
      <c r="AS61" s="1"/>
      <c r="AT61" s="1">
        <v>60</v>
      </c>
      <c r="AU61" s="1">
        <v>108</v>
      </c>
      <c r="AV61" s="1"/>
      <c r="AW61" s="1">
        <v>3</v>
      </c>
      <c r="AX61" s="1"/>
      <c r="AY61" s="1"/>
      <c r="AZ61" s="1"/>
      <c r="BA61" s="1">
        <v>705</v>
      </c>
      <c r="BB61" s="1">
        <v>150</v>
      </c>
      <c r="BC61" s="1">
        <v>27</v>
      </c>
      <c r="BD61" s="1">
        <v>62</v>
      </c>
      <c r="BE61" s="1"/>
      <c r="BF61" s="1">
        <v>1</v>
      </c>
      <c r="BG61" s="1">
        <v>268</v>
      </c>
      <c r="BH61" s="1">
        <v>180</v>
      </c>
      <c r="BI61" s="1">
        <v>15</v>
      </c>
      <c r="BJ61" s="1">
        <v>333</v>
      </c>
      <c r="BK61" s="1"/>
      <c r="BL61" s="1">
        <v>13</v>
      </c>
      <c r="BM61" s="1">
        <v>3032</v>
      </c>
      <c r="BN61" s="1">
        <v>616</v>
      </c>
      <c r="BO61" s="1">
        <v>281</v>
      </c>
      <c r="BP61" s="1">
        <v>78</v>
      </c>
      <c r="BQ61" s="1">
        <v>69</v>
      </c>
      <c r="BR61" s="1">
        <v>5</v>
      </c>
      <c r="BS61" s="1">
        <v>5061</v>
      </c>
      <c r="BT61" s="1"/>
      <c r="BU61" s="1">
        <v>315</v>
      </c>
      <c r="BV61" s="1">
        <v>1774</v>
      </c>
      <c r="BW61" s="1">
        <v>204</v>
      </c>
      <c r="BX61" s="1">
        <v>107</v>
      </c>
      <c r="BY61" s="1">
        <v>175</v>
      </c>
      <c r="BZ61" s="1">
        <v>99</v>
      </c>
      <c r="CA61" s="1">
        <v>7</v>
      </c>
      <c r="CB61" s="1">
        <v>3238</v>
      </c>
      <c r="CC61" s="1"/>
      <c r="CD61" s="1">
        <v>105</v>
      </c>
      <c r="CE61" s="1"/>
      <c r="CF61" s="1"/>
      <c r="CG61" s="1"/>
      <c r="CH61" s="1">
        <v>27601</v>
      </c>
      <c r="CI61" s="1">
        <v>3406</v>
      </c>
      <c r="CJ61" s="1">
        <v>1453</v>
      </c>
    </row>
    <row r="62" spans="1:88">
      <c r="A62" s="19" t="s">
        <v>429</v>
      </c>
      <c r="B62" s="1">
        <v>989</v>
      </c>
      <c r="C62" s="1">
        <v>113</v>
      </c>
      <c r="D62" s="1">
        <v>72</v>
      </c>
      <c r="E62" s="1">
        <v>355</v>
      </c>
      <c r="F62" s="1"/>
      <c r="G62" s="1">
        <v>11</v>
      </c>
      <c r="H62" s="1">
        <v>1012</v>
      </c>
      <c r="I62" s="1">
        <v>640</v>
      </c>
      <c r="J62" s="1">
        <v>28</v>
      </c>
      <c r="K62" s="1">
        <v>24</v>
      </c>
      <c r="L62" s="1"/>
      <c r="M62" s="1"/>
      <c r="N62" s="1">
        <v>86</v>
      </c>
      <c r="O62" s="1"/>
      <c r="P62" s="1">
        <v>3</v>
      </c>
      <c r="Q62" s="1">
        <v>1613</v>
      </c>
      <c r="R62" s="1"/>
      <c r="S62" s="1">
        <v>73</v>
      </c>
      <c r="T62" s="1">
        <v>806</v>
      </c>
      <c r="U62" s="1">
        <v>664</v>
      </c>
      <c r="V62" s="1">
        <v>25</v>
      </c>
      <c r="W62" s="1">
        <v>928</v>
      </c>
      <c r="X62" s="1">
        <v>770</v>
      </c>
      <c r="Y62" s="1">
        <v>42</v>
      </c>
      <c r="Z62" s="1">
        <v>81</v>
      </c>
      <c r="AA62" s="1"/>
      <c r="AB62" s="1">
        <v>1</v>
      </c>
      <c r="AC62" s="1">
        <v>4675</v>
      </c>
      <c r="AD62" s="1">
        <v>561</v>
      </c>
      <c r="AE62" s="1">
        <v>210</v>
      </c>
      <c r="AF62" s="1">
        <v>114</v>
      </c>
      <c r="AG62" s="1"/>
      <c r="AH62" s="1">
        <v>5</v>
      </c>
      <c r="AI62" s="1">
        <v>785</v>
      </c>
      <c r="AJ62" s="1"/>
      <c r="AK62" s="1">
        <v>42</v>
      </c>
      <c r="AL62" s="1">
        <v>195</v>
      </c>
      <c r="AM62" s="1"/>
      <c r="AN62" s="1">
        <v>6</v>
      </c>
      <c r="AO62" s="1">
        <v>633</v>
      </c>
      <c r="AP62" s="1"/>
      <c r="AQ62" s="1">
        <v>15</v>
      </c>
      <c r="AR62" s="1">
        <v>651</v>
      </c>
      <c r="AS62" s="1"/>
      <c r="AT62" s="1">
        <v>62</v>
      </c>
      <c r="AU62" s="1">
        <v>108</v>
      </c>
      <c r="AV62" s="1"/>
      <c r="AW62" s="1">
        <v>3</v>
      </c>
      <c r="AX62" s="1">
        <v>67</v>
      </c>
      <c r="AY62" s="1"/>
      <c r="AZ62" s="1">
        <v>0</v>
      </c>
      <c r="BA62" s="1">
        <v>711</v>
      </c>
      <c r="BB62" s="1">
        <v>159</v>
      </c>
      <c r="BC62" s="1">
        <v>27</v>
      </c>
      <c r="BD62" s="1">
        <v>63</v>
      </c>
      <c r="BE62" s="1"/>
      <c r="BF62" s="1">
        <v>1</v>
      </c>
      <c r="BG62" s="1">
        <v>272</v>
      </c>
      <c r="BH62" s="1">
        <v>180</v>
      </c>
      <c r="BI62" s="1">
        <v>15</v>
      </c>
      <c r="BJ62" s="1">
        <v>335</v>
      </c>
      <c r="BK62" s="1"/>
      <c r="BL62" s="1">
        <v>13</v>
      </c>
      <c r="BM62" s="1">
        <v>3058</v>
      </c>
      <c r="BN62" s="1">
        <v>616</v>
      </c>
      <c r="BO62" s="1">
        <v>288</v>
      </c>
      <c r="BP62" s="1">
        <v>78</v>
      </c>
      <c r="BQ62" s="1">
        <v>69</v>
      </c>
      <c r="BR62" s="1">
        <v>5</v>
      </c>
      <c r="BS62" s="1">
        <v>5093</v>
      </c>
      <c r="BT62" s="1"/>
      <c r="BU62" s="1">
        <v>326</v>
      </c>
      <c r="BV62" s="1">
        <v>1790</v>
      </c>
      <c r="BW62" s="1">
        <v>206</v>
      </c>
      <c r="BX62" s="1">
        <v>110</v>
      </c>
      <c r="BY62" s="1">
        <v>175</v>
      </c>
      <c r="BZ62" s="1">
        <v>99</v>
      </c>
      <c r="CA62" s="1">
        <v>7</v>
      </c>
      <c r="CB62" s="1">
        <v>3254</v>
      </c>
      <c r="CC62" s="1"/>
      <c r="CD62" s="1">
        <v>107</v>
      </c>
      <c r="CE62" s="1"/>
      <c r="CF62" s="1"/>
      <c r="CG62" s="1"/>
      <c r="CH62" s="1">
        <v>27951</v>
      </c>
      <c r="CI62" s="1">
        <v>4077</v>
      </c>
      <c r="CJ62" s="1">
        <v>1497</v>
      </c>
    </row>
    <row r="63" spans="1:88">
      <c r="A63" s="19" t="s">
        <v>430</v>
      </c>
      <c r="B63" s="1">
        <v>995</v>
      </c>
      <c r="C63" s="1">
        <v>115</v>
      </c>
      <c r="D63" s="1">
        <v>74</v>
      </c>
      <c r="E63" s="1">
        <v>359</v>
      </c>
      <c r="F63" s="1"/>
      <c r="G63" s="1">
        <v>11</v>
      </c>
      <c r="H63" s="1">
        <v>1017</v>
      </c>
      <c r="I63" s="1">
        <v>680</v>
      </c>
      <c r="J63" s="1">
        <v>29</v>
      </c>
      <c r="K63" s="1">
        <v>24</v>
      </c>
      <c r="L63" s="1"/>
      <c r="M63" s="1"/>
      <c r="N63" s="1">
        <v>86</v>
      </c>
      <c r="O63" s="1"/>
      <c r="P63" s="1">
        <v>3</v>
      </c>
      <c r="Q63" s="1">
        <v>1622</v>
      </c>
      <c r="R63" s="1"/>
      <c r="S63" s="1">
        <v>77</v>
      </c>
      <c r="T63" s="1">
        <v>809</v>
      </c>
      <c r="U63" s="1">
        <v>679</v>
      </c>
      <c r="V63" s="1">
        <v>26</v>
      </c>
      <c r="W63" s="1">
        <v>928</v>
      </c>
      <c r="X63" s="1">
        <v>781</v>
      </c>
      <c r="Y63" s="1">
        <v>44</v>
      </c>
      <c r="Z63" s="1">
        <v>81</v>
      </c>
      <c r="AA63" s="1"/>
      <c r="AB63" s="1">
        <v>1</v>
      </c>
      <c r="AC63" s="1">
        <v>4701</v>
      </c>
      <c r="AD63" s="1">
        <v>581</v>
      </c>
      <c r="AE63" s="1">
        <v>214</v>
      </c>
      <c r="AF63" s="1">
        <v>115</v>
      </c>
      <c r="AG63" s="1"/>
      <c r="AH63" s="1">
        <v>6</v>
      </c>
      <c r="AI63" s="1">
        <v>787</v>
      </c>
      <c r="AJ63" s="1"/>
      <c r="AK63" s="1">
        <v>43</v>
      </c>
      <c r="AL63" s="1">
        <v>195</v>
      </c>
      <c r="AM63" s="1"/>
      <c r="AN63" s="1">
        <v>6</v>
      </c>
      <c r="AO63" s="1">
        <v>643</v>
      </c>
      <c r="AP63" s="1"/>
      <c r="AQ63" s="1">
        <v>15</v>
      </c>
      <c r="AR63" s="1">
        <v>656</v>
      </c>
      <c r="AS63" s="1"/>
      <c r="AT63" s="1">
        <v>63</v>
      </c>
      <c r="AU63" s="1">
        <v>108</v>
      </c>
      <c r="AV63" s="1"/>
      <c r="AW63" s="1">
        <v>3</v>
      </c>
      <c r="AX63" s="1">
        <v>67</v>
      </c>
      <c r="AY63" s="1"/>
      <c r="AZ63" s="1">
        <v>0</v>
      </c>
      <c r="BA63" s="1">
        <v>718</v>
      </c>
      <c r="BB63" s="1">
        <v>159</v>
      </c>
      <c r="BC63" s="1">
        <v>29</v>
      </c>
      <c r="BD63" s="1">
        <v>63</v>
      </c>
      <c r="BE63" s="1"/>
      <c r="BF63" s="1">
        <v>2</v>
      </c>
      <c r="BG63" s="1">
        <v>276</v>
      </c>
      <c r="BH63" s="1">
        <v>192</v>
      </c>
      <c r="BI63" s="1">
        <v>16</v>
      </c>
      <c r="BJ63" s="1">
        <v>339</v>
      </c>
      <c r="BK63" s="1"/>
      <c r="BL63" s="1">
        <v>13</v>
      </c>
      <c r="BM63" s="1">
        <v>3065</v>
      </c>
      <c r="BN63" s="1">
        <v>639</v>
      </c>
      <c r="BO63" s="1">
        <v>291</v>
      </c>
      <c r="BP63" s="1">
        <v>78</v>
      </c>
      <c r="BQ63" s="1">
        <v>69</v>
      </c>
      <c r="BR63" s="1">
        <v>5</v>
      </c>
      <c r="BS63" s="1">
        <v>5125</v>
      </c>
      <c r="BT63" s="1"/>
      <c r="BU63" s="1">
        <v>334</v>
      </c>
      <c r="BV63" s="1">
        <v>1796</v>
      </c>
      <c r="BW63" s="1">
        <v>210</v>
      </c>
      <c r="BX63" s="1">
        <v>114</v>
      </c>
      <c r="BY63" s="1">
        <v>176</v>
      </c>
      <c r="BZ63" s="1">
        <v>99</v>
      </c>
      <c r="CA63" s="1">
        <v>8</v>
      </c>
      <c r="CB63" s="1">
        <v>3280</v>
      </c>
      <c r="CC63" s="1"/>
      <c r="CD63" s="1">
        <v>109</v>
      </c>
      <c r="CE63" s="1"/>
      <c r="CF63" s="1"/>
      <c r="CG63" s="1"/>
      <c r="CH63" s="1">
        <v>28109</v>
      </c>
      <c r="CI63" s="1">
        <v>4204</v>
      </c>
      <c r="CJ63" s="1">
        <v>1536</v>
      </c>
    </row>
    <row r="64" spans="1:88">
      <c r="A64" s="19" t="s">
        <v>438</v>
      </c>
      <c r="B64" s="1">
        <v>1006</v>
      </c>
      <c r="C64" s="1">
        <v>116</v>
      </c>
      <c r="D64" s="1">
        <v>76</v>
      </c>
      <c r="E64" s="1">
        <v>368</v>
      </c>
      <c r="F64" s="1"/>
      <c r="G64" s="1">
        <v>11</v>
      </c>
      <c r="H64" s="1">
        <v>1026</v>
      </c>
      <c r="I64" s="1">
        <v>710</v>
      </c>
      <c r="J64" s="1">
        <v>31</v>
      </c>
      <c r="K64" s="1">
        <v>24</v>
      </c>
      <c r="L64" s="1"/>
      <c r="M64" s="1"/>
      <c r="N64" s="1">
        <v>87</v>
      </c>
      <c r="O64" s="1"/>
      <c r="P64" s="1">
        <v>3</v>
      </c>
      <c r="Q64" s="1">
        <v>1643</v>
      </c>
      <c r="R64" s="1"/>
      <c r="S64" s="1">
        <v>77</v>
      </c>
      <c r="T64" s="1">
        <v>811</v>
      </c>
      <c r="U64" s="1">
        <v>683</v>
      </c>
      <c r="V64" s="1">
        <v>26</v>
      </c>
      <c r="W64" s="1">
        <v>928</v>
      </c>
      <c r="X64" s="1">
        <v>786</v>
      </c>
      <c r="Y64" s="1">
        <v>45</v>
      </c>
      <c r="Z64" s="1">
        <v>81</v>
      </c>
      <c r="AA64" s="1"/>
      <c r="AB64" s="1">
        <v>1</v>
      </c>
      <c r="AC64" s="1">
        <v>4722</v>
      </c>
      <c r="AD64" s="1">
        <v>589</v>
      </c>
      <c r="AE64" s="1">
        <v>219</v>
      </c>
      <c r="AF64" s="1">
        <v>117</v>
      </c>
      <c r="AG64" s="1"/>
      <c r="AH64" s="1">
        <v>6</v>
      </c>
      <c r="AI64" s="1">
        <v>791</v>
      </c>
      <c r="AJ64" s="1"/>
      <c r="AK64" s="1">
        <v>43</v>
      </c>
      <c r="AL64" s="1">
        <v>196</v>
      </c>
      <c r="AM64" s="1"/>
      <c r="AN64" s="1">
        <v>6</v>
      </c>
      <c r="AO64" s="1">
        <v>648</v>
      </c>
      <c r="AP64" s="1"/>
      <c r="AQ64" s="1">
        <v>15</v>
      </c>
      <c r="AR64" s="1">
        <v>662</v>
      </c>
      <c r="AS64" s="1"/>
      <c r="AT64" s="1">
        <v>64</v>
      </c>
      <c r="AU64" s="1">
        <v>108</v>
      </c>
      <c r="AV64" s="1"/>
      <c r="AW64" s="1">
        <v>3</v>
      </c>
      <c r="AX64" s="1">
        <v>67</v>
      </c>
      <c r="AY64" s="1"/>
      <c r="AZ64" s="1">
        <v>0</v>
      </c>
      <c r="BA64" s="1">
        <v>724</v>
      </c>
      <c r="BB64" s="1">
        <v>162</v>
      </c>
      <c r="BC64" s="1">
        <v>29</v>
      </c>
      <c r="BD64" s="1">
        <v>63</v>
      </c>
      <c r="BE64" s="1"/>
      <c r="BF64" s="1">
        <v>3</v>
      </c>
      <c r="BG64" s="1">
        <v>282</v>
      </c>
      <c r="BH64" s="1">
        <v>194</v>
      </c>
      <c r="BI64" s="1">
        <v>16</v>
      </c>
      <c r="BJ64" s="1">
        <v>340</v>
      </c>
      <c r="BK64" s="1"/>
      <c r="BL64" s="1">
        <v>14</v>
      </c>
      <c r="BM64" s="1">
        <v>3089</v>
      </c>
      <c r="BN64" s="1">
        <v>661</v>
      </c>
      <c r="BO64" s="1">
        <v>295</v>
      </c>
      <c r="BP64" s="1">
        <v>78</v>
      </c>
      <c r="BQ64" s="1">
        <v>69</v>
      </c>
      <c r="BR64" s="1">
        <v>5</v>
      </c>
      <c r="BS64" s="1">
        <v>5146</v>
      </c>
      <c r="BT64" s="1"/>
      <c r="BU64" s="1">
        <v>338</v>
      </c>
      <c r="BV64" s="1">
        <v>1801</v>
      </c>
      <c r="BW64" s="1">
        <v>210</v>
      </c>
      <c r="BX64" s="1">
        <v>117</v>
      </c>
      <c r="BY64" s="1">
        <v>176</v>
      </c>
      <c r="BZ64" s="1">
        <v>131</v>
      </c>
      <c r="CA64" s="1">
        <v>8</v>
      </c>
      <c r="CB64" s="1">
        <v>3320</v>
      </c>
      <c r="CC64" s="1"/>
      <c r="CD64" s="1">
        <v>110</v>
      </c>
      <c r="CE64" s="1"/>
      <c r="CF64" s="1"/>
      <c r="CG64" s="1"/>
      <c r="CH64" s="1">
        <v>28304</v>
      </c>
      <c r="CI64" s="1">
        <v>4311</v>
      </c>
      <c r="CJ64" s="1">
        <v>1561</v>
      </c>
    </row>
    <row r="65" spans="1:88">
      <c r="A65" s="19" t="s">
        <v>439</v>
      </c>
      <c r="B65" s="1">
        <v>1014</v>
      </c>
      <c r="C65" s="1">
        <v>118</v>
      </c>
      <c r="D65" s="1">
        <v>76</v>
      </c>
      <c r="E65" s="1">
        <v>375</v>
      </c>
      <c r="F65" s="1"/>
      <c r="G65" s="1">
        <v>12</v>
      </c>
      <c r="H65" s="1">
        <v>1037</v>
      </c>
      <c r="I65" s="1">
        <v>750</v>
      </c>
      <c r="J65" s="1">
        <v>31</v>
      </c>
      <c r="K65" s="1">
        <v>25</v>
      </c>
      <c r="L65" s="1"/>
      <c r="M65" s="1"/>
      <c r="N65" s="1">
        <v>88</v>
      </c>
      <c r="O65" s="1"/>
      <c r="P65" s="1">
        <v>3</v>
      </c>
      <c r="Q65" s="1">
        <v>1670</v>
      </c>
      <c r="R65" s="1"/>
      <c r="S65" s="1">
        <v>79</v>
      </c>
      <c r="T65" s="1">
        <v>811</v>
      </c>
      <c r="U65" s="1">
        <v>692</v>
      </c>
      <c r="V65" s="1">
        <v>26</v>
      </c>
      <c r="W65" s="1">
        <v>931</v>
      </c>
      <c r="X65" s="1">
        <v>793</v>
      </c>
      <c r="Y65" s="1">
        <v>45</v>
      </c>
      <c r="Z65" s="1">
        <v>81</v>
      </c>
      <c r="AA65" s="1"/>
      <c r="AB65" s="1">
        <v>1</v>
      </c>
      <c r="AC65" s="1">
        <v>4733</v>
      </c>
      <c r="AD65" s="1">
        <v>592</v>
      </c>
      <c r="AE65" s="1">
        <v>222</v>
      </c>
      <c r="AF65" s="1">
        <v>117</v>
      </c>
      <c r="AG65" s="1"/>
      <c r="AH65" s="1">
        <v>6</v>
      </c>
      <c r="AI65" s="1">
        <v>794</v>
      </c>
      <c r="AJ65" s="1"/>
      <c r="AK65" s="1">
        <v>43</v>
      </c>
      <c r="AL65" s="1">
        <v>196</v>
      </c>
      <c r="AM65" s="1"/>
      <c r="AN65" s="1">
        <v>6</v>
      </c>
      <c r="AO65" s="1">
        <v>654</v>
      </c>
      <c r="AP65" s="1"/>
      <c r="AQ65" s="1">
        <v>15</v>
      </c>
      <c r="AR65" s="1">
        <v>669</v>
      </c>
      <c r="AS65" s="1"/>
      <c r="AT65" s="1"/>
      <c r="AU65" s="1">
        <v>108</v>
      </c>
      <c r="AV65" s="1"/>
      <c r="AW65" s="1">
        <v>3</v>
      </c>
      <c r="AX65" s="1">
        <v>68</v>
      </c>
      <c r="AY65" s="1"/>
      <c r="AZ65" s="1">
        <v>0</v>
      </c>
      <c r="BA65" s="1">
        <v>736</v>
      </c>
      <c r="BB65" s="1">
        <v>170</v>
      </c>
      <c r="BC65" s="1">
        <v>31</v>
      </c>
      <c r="BD65" s="1">
        <v>65</v>
      </c>
      <c r="BE65" s="1"/>
      <c r="BF65" s="1">
        <v>3</v>
      </c>
      <c r="BG65" s="1">
        <v>282</v>
      </c>
      <c r="BH65" s="1">
        <v>198</v>
      </c>
      <c r="BI65" s="1">
        <v>16</v>
      </c>
      <c r="BJ65" s="1">
        <v>353</v>
      </c>
      <c r="BK65" s="1"/>
      <c r="BL65" s="1">
        <v>14</v>
      </c>
      <c r="BM65" s="1">
        <v>3106</v>
      </c>
      <c r="BN65" s="1">
        <v>676</v>
      </c>
      <c r="BO65" s="1">
        <v>298</v>
      </c>
      <c r="BP65" s="1">
        <v>78</v>
      </c>
      <c r="BQ65" s="1">
        <v>69</v>
      </c>
      <c r="BR65" s="1">
        <v>5</v>
      </c>
      <c r="BS65" s="1">
        <v>5180</v>
      </c>
      <c r="BT65" s="1"/>
      <c r="BU65" s="1">
        <v>347</v>
      </c>
      <c r="BV65" s="1">
        <v>1801</v>
      </c>
      <c r="BW65" s="1">
        <v>211</v>
      </c>
      <c r="BX65" s="1">
        <v>120</v>
      </c>
      <c r="BY65" s="1">
        <v>178</v>
      </c>
      <c r="BZ65" s="1">
        <v>133</v>
      </c>
      <c r="CA65" s="1">
        <v>8</v>
      </c>
      <c r="CB65" s="1">
        <v>3337</v>
      </c>
      <c r="CC65" s="1"/>
      <c r="CD65" s="1">
        <v>113</v>
      </c>
      <c r="CE65" s="1"/>
      <c r="CF65" s="1"/>
      <c r="CG65" s="1"/>
      <c r="CH65" s="1">
        <v>28487</v>
      </c>
      <c r="CI65" s="1">
        <v>4402</v>
      </c>
      <c r="CJ65" s="1">
        <v>1523</v>
      </c>
    </row>
    <row r="66" spans="1:88">
      <c r="A66" s="19" t="s">
        <v>447</v>
      </c>
      <c r="B66" s="1">
        <v>1021</v>
      </c>
      <c r="C66" s="1">
        <v>119</v>
      </c>
      <c r="D66" s="1">
        <v>76</v>
      </c>
      <c r="E66" s="1">
        <v>376</v>
      </c>
      <c r="F66" s="1"/>
      <c r="G66" s="1">
        <v>14</v>
      </c>
      <c r="H66" s="1">
        <v>1052</v>
      </c>
      <c r="I66" s="1">
        <v>780</v>
      </c>
      <c r="J66" s="1">
        <v>31</v>
      </c>
      <c r="K66" s="1">
        <v>25</v>
      </c>
      <c r="L66" s="1"/>
      <c r="M66" s="1"/>
      <c r="N66" s="1">
        <v>88</v>
      </c>
      <c r="O66" s="1"/>
      <c r="P66" s="1">
        <v>3</v>
      </c>
      <c r="Q66" s="1">
        <v>1694</v>
      </c>
      <c r="R66" s="1"/>
      <c r="S66" s="1">
        <v>82</v>
      </c>
      <c r="T66" s="1">
        <v>813</v>
      </c>
      <c r="U66" s="1">
        <v>698</v>
      </c>
      <c r="V66" s="1">
        <v>30</v>
      </c>
      <c r="W66" s="1">
        <v>936</v>
      </c>
      <c r="X66" s="1">
        <v>800</v>
      </c>
      <c r="Y66" s="1">
        <v>46</v>
      </c>
      <c r="Z66" s="1">
        <v>82</v>
      </c>
      <c r="AA66" s="1"/>
      <c r="AB66" s="1">
        <v>1</v>
      </c>
      <c r="AC66" s="1"/>
      <c r="AD66" s="1">
        <v>600</v>
      </c>
      <c r="AE66" s="1"/>
      <c r="AF66" s="1">
        <v>117</v>
      </c>
      <c r="AG66" s="1"/>
      <c r="AH66" s="1">
        <v>7</v>
      </c>
      <c r="AI66" s="1">
        <v>799</v>
      </c>
      <c r="AJ66" s="1"/>
      <c r="AK66" s="1">
        <v>43</v>
      </c>
      <c r="AL66" s="1">
        <v>196</v>
      </c>
      <c r="AM66" s="1"/>
      <c r="AN66" s="1">
        <v>6</v>
      </c>
      <c r="AO66" s="1">
        <v>660</v>
      </c>
      <c r="AP66" s="1"/>
      <c r="AQ66" s="1">
        <v>16</v>
      </c>
      <c r="AR66" s="1"/>
      <c r="AS66" s="1"/>
      <c r="AT66" s="1"/>
      <c r="AU66" s="1">
        <v>108</v>
      </c>
      <c r="AV66" s="1"/>
      <c r="AW66" s="1">
        <v>3</v>
      </c>
      <c r="AX66" s="1">
        <v>71</v>
      </c>
      <c r="AY66" s="1"/>
      <c r="AZ66" s="1">
        <v>0</v>
      </c>
      <c r="BA66" s="1">
        <v>745</v>
      </c>
      <c r="BB66" s="1">
        <v>175</v>
      </c>
      <c r="BC66" s="1">
        <v>31</v>
      </c>
      <c r="BD66" s="1">
        <v>70</v>
      </c>
      <c r="BE66" s="1"/>
      <c r="BF66" s="1">
        <v>3</v>
      </c>
      <c r="BG66" s="1">
        <v>284</v>
      </c>
      <c r="BH66" s="1">
        <v>206</v>
      </c>
      <c r="BI66" s="1">
        <v>16</v>
      </c>
      <c r="BJ66" s="1">
        <v>358</v>
      </c>
      <c r="BK66" s="1"/>
      <c r="BL66" s="1">
        <v>14</v>
      </c>
      <c r="BM66" s="1">
        <v>3121</v>
      </c>
      <c r="BN66" s="1">
        <v>682</v>
      </c>
      <c r="BO66" s="1">
        <v>299</v>
      </c>
      <c r="BP66" s="1">
        <v>78</v>
      </c>
      <c r="BQ66" s="1">
        <v>69</v>
      </c>
      <c r="BR66" s="1">
        <v>5</v>
      </c>
      <c r="BS66" s="1">
        <v>5201</v>
      </c>
      <c r="BT66" s="1"/>
      <c r="BU66" s="1">
        <v>349</v>
      </c>
      <c r="BV66" s="1">
        <v>1808</v>
      </c>
      <c r="BW66" s="1">
        <v>218</v>
      </c>
      <c r="BX66" s="1">
        <v>126</v>
      </c>
      <c r="BY66" s="1">
        <v>180</v>
      </c>
      <c r="BZ66" s="1">
        <v>133</v>
      </c>
      <c r="CA66" s="1">
        <v>8</v>
      </c>
      <c r="CB66" s="1">
        <v>3366</v>
      </c>
      <c r="CC66" s="1"/>
      <c r="CD66" s="1">
        <v>114</v>
      </c>
      <c r="CE66" s="1"/>
      <c r="CF66" s="1"/>
      <c r="CG66" s="1"/>
      <c r="CH66" s="1">
        <v>23249</v>
      </c>
      <c r="CI66" s="1">
        <v>4480</v>
      </c>
      <c r="CJ66" s="1">
        <v>1323</v>
      </c>
    </row>
    <row r="67" spans="1:88">
      <c r="A67" s="19" t="s">
        <v>453</v>
      </c>
      <c r="B67" s="1">
        <v>1029</v>
      </c>
      <c r="C67" s="1">
        <v>119</v>
      </c>
      <c r="D67" s="1">
        <v>76</v>
      </c>
      <c r="E67" s="1">
        <v>379</v>
      </c>
      <c r="F67" s="1"/>
      <c r="G67" s="1">
        <v>14</v>
      </c>
      <c r="H67" s="1"/>
      <c r="I67" s="1"/>
      <c r="J67" s="1"/>
      <c r="K67" s="1">
        <v>25</v>
      </c>
      <c r="L67" s="1"/>
      <c r="M67" s="1"/>
      <c r="N67" s="1"/>
      <c r="O67" s="1"/>
      <c r="P67" s="1"/>
      <c r="Q67" s="1">
        <v>1708</v>
      </c>
      <c r="R67" s="1"/>
      <c r="S67" s="1">
        <v>83</v>
      </c>
      <c r="T67" s="1">
        <v>816</v>
      </c>
      <c r="U67" s="1">
        <v>710</v>
      </c>
      <c r="V67" s="1">
        <v>30</v>
      </c>
      <c r="W67" s="1"/>
      <c r="X67" s="1"/>
      <c r="Y67" s="1"/>
      <c r="Z67" s="1">
        <v>82</v>
      </c>
      <c r="AA67" s="1"/>
      <c r="AB67" s="1">
        <v>1</v>
      </c>
      <c r="AC67" s="1"/>
      <c r="AD67" s="1"/>
      <c r="AE67" s="1"/>
      <c r="AF67" s="1">
        <v>120</v>
      </c>
      <c r="AG67" s="1"/>
      <c r="AH67" s="1">
        <v>7</v>
      </c>
      <c r="AI67" s="1">
        <v>800</v>
      </c>
      <c r="AJ67" s="1"/>
      <c r="AK67" s="1">
        <v>43</v>
      </c>
      <c r="AL67" s="1">
        <v>196</v>
      </c>
      <c r="AM67" s="1"/>
      <c r="AN67" s="1">
        <v>6</v>
      </c>
      <c r="AO67" s="1">
        <v>667</v>
      </c>
      <c r="AP67" s="1"/>
      <c r="AQ67" s="1">
        <v>16</v>
      </c>
      <c r="AR67" s="1"/>
      <c r="AS67" s="1"/>
      <c r="AT67" s="1"/>
      <c r="AU67" s="1">
        <v>108</v>
      </c>
      <c r="AV67" s="1"/>
      <c r="AW67" s="1">
        <v>3</v>
      </c>
      <c r="AX67" s="1"/>
      <c r="AY67" s="1"/>
      <c r="AZ67" s="1"/>
      <c r="BA67" s="1">
        <v>753</v>
      </c>
      <c r="BB67" s="1"/>
      <c r="BC67" s="1">
        <v>31</v>
      </c>
      <c r="BD67" s="1">
        <v>71</v>
      </c>
      <c r="BE67" s="1"/>
      <c r="BF67" s="1">
        <v>5</v>
      </c>
      <c r="BG67" s="1">
        <v>287</v>
      </c>
      <c r="BH67" s="1">
        <v>215</v>
      </c>
      <c r="BI67" s="1">
        <v>17</v>
      </c>
      <c r="BJ67" s="1">
        <v>359</v>
      </c>
      <c r="BK67" s="1"/>
      <c r="BL67" s="1">
        <v>14</v>
      </c>
      <c r="BM67" s="1">
        <v>3142</v>
      </c>
      <c r="BN67" s="1">
        <v>698</v>
      </c>
      <c r="BO67" s="1">
        <v>304</v>
      </c>
      <c r="BP67" s="1">
        <v>78</v>
      </c>
      <c r="BQ67" s="1">
        <v>69</v>
      </c>
      <c r="BR67" s="1">
        <v>5</v>
      </c>
      <c r="BS67" s="1">
        <v>5212</v>
      </c>
      <c r="BT67" s="1"/>
      <c r="BU67" s="1">
        <v>354</v>
      </c>
      <c r="BV67" s="1">
        <v>1825</v>
      </c>
      <c r="BW67" s="1">
        <v>218</v>
      </c>
      <c r="BX67" s="1">
        <v>128</v>
      </c>
      <c r="BY67" s="1">
        <v>181</v>
      </c>
      <c r="BZ67" s="1">
        <v>133</v>
      </c>
      <c r="CA67" s="1">
        <v>8</v>
      </c>
      <c r="CB67" s="1">
        <v>3397</v>
      </c>
      <c r="CC67" s="1"/>
      <c r="CD67" s="1">
        <v>115</v>
      </c>
      <c r="CE67" s="1"/>
      <c r="CF67" s="1"/>
      <c r="CG67" s="1"/>
      <c r="CH67" s="1">
        <v>21235</v>
      </c>
      <c r="CI67" s="1">
        <v>2162</v>
      </c>
      <c r="CJ67" s="1">
        <v>1260</v>
      </c>
    </row>
    <row r="68" spans="1:88">
      <c r="A68" s="19" t="s">
        <v>469</v>
      </c>
      <c r="B68" s="1">
        <v>1033</v>
      </c>
      <c r="C68" s="1">
        <v>120</v>
      </c>
      <c r="D68" s="1">
        <v>77</v>
      </c>
      <c r="E68" s="1">
        <v>380</v>
      </c>
      <c r="F68" s="1"/>
      <c r="G68" s="1">
        <v>15</v>
      </c>
      <c r="H68" s="1"/>
      <c r="I68" s="1"/>
      <c r="J68" s="1"/>
      <c r="K68" s="1"/>
      <c r="L68" s="1"/>
      <c r="M68" s="1"/>
      <c r="N68" s="1"/>
      <c r="O68" s="1"/>
      <c r="P68" s="1"/>
      <c r="Q68" s="1">
        <v>1714</v>
      </c>
      <c r="R68" s="1"/>
      <c r="S68" s="1">
        <v>83</v>
      </c>
      <c r="T68" s="1">
        <v>816</v>
      </c>
      <c r="U68" s="1">
        <v>724</v>
      </c>
      <c r="V68" s="1">
        <v>30</v>
      </c>
      <c r="W68" s="1"/>
      <c r="X68" s="1"/>
      <c r="Y68" s="1"/>
      <c r="Z68" s="1">
        <v>82</v>
      </c>
      <c r="AA68" s="1"/>
      <c r="AB68" s="1">
        <v>1</v>
      </c>
      <c r="AC68" s="1"/>
      <c r="AD68" s="1"/>
      <c r="AE68" s="1"/>
      <c r="AF68" s="1">
        <v>120</v>
      </c>
      <c r="AG68" s="1"/>
      <c r="AH68" s="1">
        <v>7</v>
      </c>
      <c r="AI68" s="1">
        <v>802</v>
      </c>
      <c r="AJ68" s="1"/>
      <c r="AK68" s="1">
        <v>43</v>
      </c>
      <c r="AL68" s="1">
        <v>196</v>
      </c>
      <c r="AM68" s="1"/>
      <c r="AN68" s="1">
        <v>6</v>
      </c>
      <c r="AO68" s="1">
        <v>670</v>
      </c>
      <c r="AP68" s="1"/>
      <c r="AQ68" s="1">
        <v>16</v>
      </c>
      <c r="AR68" s="1"/>
      <c r="AS68" s="1"/>
      <c r="AT68" s="1"/>
      <c r="AU68" s="1">
        <v>110</v>
      </c>
      <c r="AV68" s="1"/>
      <c r="AW68" s="1">
        <v>3</v>
      </c>
      <c r="AX68" s="1"/>
      <c r="AY68" s="1"/>
      <c r="AZ68" s="1"/>
      <c r="BA68" s="1">
        <v>761</v>
      </c>
      <c r="BB68" s="1">
        <v>176</v>
      </c>
      <c r="BC68" s="1">
        <v>31</v>
      </c>
      <c r="BD68" s="1">
        <v>72</v>
      </c>
      <c r="BE68" s="1"/>
      <c r="BF68" s="1">
        <v>5</v>
      </c>
      <c r="BG68" s="1">
        <v>293</v>
      </c>
      <c r="BH68" s="1">
        <v>216</v>
      </c>
      <c r="BI68" s="1">
        <v>18</v>
      </c>
      <c r="BJ68" s="1">
        <v>360</v>
      </c>
      <c r="BK68" s="1"/>
      <c r="BL68" s="1">
        <v>16</v>
      </c>
      <c r="BM68" s="1">
        <v>3161</v>
      </c>
      <c r="BN68" s="1">
        <v>704</v>
      </c>
      <c r="BO68" s="1">
        <v>306</v>
      </c>
      <c r="BP68" s="1">
        <v>80</v>
      </c>
      <c r="BQ68" s="1">
        <v>69</v>
      </c>
      <c r="BR68" s="1">
        <v>5</v>
      </c>
      <c r="BS68" s="1">
        <v>5212</v>
      </c>
      <c r="BT68" s="1"/>
      <c r="BU68" s="1">
        <v>355</v>
      </c>
      <c r="BV68" s="1">
        <v>1830</v>
      </c>
      <c r="BW68" s="1">
        <v>218</v>
      </c>
      <c r="BX68" s="1">
        <v>129</v>
      </c>
      <c r="BY68" s="1"/>
      <c r="BZ68" s="1"/>
      <c r="CA68" s="1"/>
      <c r="CB68" s="1">
        <v>3400</v>
      </c>
      <c r="CC68" s="1"/>
      <c r="CD68" s="1">
        <v>115</v>
      </c>
      <c r="CE68" s="1"/>
      <c r="CF68" s="1"/>
      <c r="CG68" s="1"/>
      <c r="CH68" s="1">
        <v>21092</v>
      </c>
      <c r="CI68" s="1">
        <v>2227</v>
      </c>
      <c r="CJ68" s="1">
        <v>1261</v>
      </c>
    </row>
    <row r="69" spans="1:88">
      <c r="A69" s="19" t="s">
        <v>470</v>
      </c>
      <c r="B69" s="1">
        <v>1040</v>
      </c>
      <c r="C69" s="1">
        <v>120</v>
      </c>
      <c r="D69" s="1">
        <v>78</v>
      </c>
      <c r="E69" s="1">
        <v>382</v>
      </c>
      <c r="F69" s="1"/>
      <c r="G69" s="1">
        <v>15</v>
      </c>
      <c r="H69" s="1"/>
      <c r="I69" s="1"/>
      <c r="J69" s="1"/>
      <c r="K69" s="1">
        <v>25</v>
      </c>
      <c r="L69" s="1"/>
      <c r="M69" s="1"/>
      <c r="N69" s="1">
        <v>94</v>
      </c>
      <c r="O69" s="1"/>
      <c r="P69" s="1">
        <v>3</v>
      </c>
      <c r="Q69" s="1">
        <v>1722</v>
      </c>
      <c r="R69" s="1"/>
      <c r="S69" s="1">
        <v>83</v>
      </c>
      <c r="T69" s="1"/>
      <c r="U69" s="1"/>
      <c r="V69" s="1"/>
      <c r="W69" s="1"/>
      <c r="X69" s="1"/>
      <c r="Y69" s="1"/>
      <c r="Z69" s="1"/>
      <c r="AA69" s="1"/>
      <c r="AB69" s="1"/>
      <c r="AC69" s="1"/>
      <c r="AD69" s="1"/>
      <c r="AE69" s="1"/>
      <c r="AF69" s="1">
        <v>121</v>
      </c>
      <c r="AG69" s="1"/>
      <c r="AH69" s="1">
        <v>7</v>
      </c>
      <c r="AI69" s="1"/>
      <c r="AJ69" s="1"/>
      <c r="AK69" s="1"/>
      <c r="AL69" s="1"/>
      <c r="AM69" s="1"/>
      <c r="AN69" s="1"/>
      <c r="AO69" s="1">
        <v>674</v>
      </c>
      <c r="AP69" s="1"/>
      <c r="AQ69" s="1">
        <v>16</v>
      </c>
      <c r="AR69" s="1"/>
      <c r="AS69" s="1"/>
      <c r="AT69" s="1"/>
      <c r="AU69" s="1"/>
      <c r="AV69" s="1"/>
      <c r="AW69" s="1"/>
      <c r="AX69" s="1"/>
      <c r="AY69" s="1"/>
      <c r="AZ69" s="1"/>
      <c r="BA69" s="1">
        <v>767</v>
      </c>
      <c r="BB69" s="1">
        <v>176</v>
      </c>
      <c r="BC69" s="1">
        <v>31</v>
      </c>
      <c r="BD69" s="1">
        <v>73</v>
      </c>
      <c r="BE69" s="1"/>
      <c r="BF69" s="1">
        <v>5</v>
      </c>
      <c r="BG69" s="1"/>
      <c r="BH69" s="1"/>
      <c r="BI69" s="1"/>
      <c r="BJ69" s="1">
        <v>360</v>
      </c>
      <c r="BK69" s="1"/>
      <c r="BL69" s="1">
        <v>17</v>
      </c>
      <c r="BM69" s="1">
        <v>3169</v>
      </c>
      <c r="BN69" s="1">
        <v>704</v>
      </c>
      <c r="BO69" s="1">
        <v>311</v>
      </c>
      <c r="BP69" s="1"/>
      <c r="BQ69" s="1"/>
      <c r="BR69" s="1"/>
      <c r="BS69" s="1"/>
      <c r="BT69" s="1"/>
      <c r="BU69" s="1"/>
      <c r="BV69" s="1"/>
      <c r="BW69" s="1"/>
      <c r="BX69" s="1"/>
      <c r="BY69" s="1"/>
      <c r="BZ69" s="1"/>
      <c r="CA69" s="1"/>
      <c r="CB69" s="1"/>
      <c r="CC69" s="1"/>
      <c r="CD69" s="1"/>
      <c r="CE69" s="1"/>
      <c r="CF69" s="1"/>
      <c r="CG69" s="1"/>
      <c r="CH69" s="1">
        <v>8427</v>
      </c>
      <c r="CI69" s="1">
        <v>1000</v>
      </c>
      <c r="CJ69" s="1">
        <v>566</v>
      </c>
    </row>
    <row r="70" spans="1:88">
      <c r="A70" s="19" t="s">
        <v>320</v>
      </c>
      <c r="B70" s="1">
        <v>27207</v>
      </c>
      <c r="C70" s="1">
        <v>2438</v>
      </c>
      <c r="D70" s="1">
        <v>1655</v>
      </c>
      <c r="E70" s="1">
        <v>9831</v>
      </c>
      <c r="F70" s="1"/>
      <c r="G70" s="1">
        <v>221</v>
      </c>
      <c r="H70" s="1">
        <v>22677</v>
      </c>
      <c r="I70" s="1">
        <v>6415</v>
      </c>
      <c r="J70" s="1">
        <v>489</v>
      </c>
      <c r="K70" s="1">
        <v>588</v>
      </c>
      <c r="L70" s="1"/>
      <c r="M70" s="1"/>
      <c r="N70" s="1">
        <v>2090</v>
      </c>
      <c r="O70" s="1"/>
      <c r="P70" s="1">
        <v>84</v>
      </c>
      <c r="Q70" s="1">
        <v>46247</v>
      </c>
      <c r="R70" s="1"/>
      <c r="S70" s="1">
        <v>1535</v>
      </c>
      <c r="T70" s="1">
        <v>24668</v>
      </c>
      <c r="U70" s="1">
        <v>15011</v>
      </c>
      <c r="V70" s="1">
        <v>670</v>
      </c>
      <c r="W70" s="1">
        <v>27403</v>
      </c>
      <c r="X70" s="1">
        <v>16722</v>
      </c>
      <c r="Y70" s="1">
        <v>940</v>
      </c>
      <c r="Z70" s="1">
        <v>2467</v>
      </c>
      <c r="AA70" s="1">
        <v>7</v>
      </c>
      <c r="AB70" s="1">
        <v>19</v>
      </c>
      <c r="AC70" s="1">
        <v>124221</v>
      </c>
      <c r="AD70" s="1">
        <v>11925</v>
      </c>
      <c r="AE70" s="1">
        <v>4153</v>
      </c>
      <c r="AF70" s="1">
        <v>3041</v>
      </c>
      <c r="AG70" s="1"/>
      <c r="AH70" s="1">
        <v>99</v>
      </c>
      <c r="AI70" s="1">
        <v>24311</v>
      </c>
      <c r="AJ70" s="1"/>
      <c r="AK70" s="1">
        <v>1087</v>
      </c>
      <c r="AL70" s="1">
        <v>6050</v>
      </c>
      <c r="AM70" s="1"/>
      <c r="AN70" s="1">
        <v>76</v>
      </c>
      <c r="AO70" s="1">
        <v>18375</v>
      </c>
      <c r="AP70" s="1"/>
      <c r="AQ70" s="1">
        <v>351</v>
      </c>
      <c r="AR70" s="1">
        <v>17406</v>
      </c>
      <c r="AS70" s="1"/>
      <c r="AT70" s="1">
        <v>1147</v>
      </c>
      <c r="AU70" s="1">
        <v>3219</v>
      </c>
      <c r="AV70" s="1"/>
      <c r="AW70" s="1">
        <v>38</v>
      </c>
      <c r="AX70" s="1">
        <v>1234</v>
      </c>
      <c r="AY70" s="1">
        <v>1</v>
      </c>
      <c r="AZ70" s="1">
        <v>0</v>
      </c>
      <c r="BA70" s="1">
        <v>19843</v>
      </c>
      <c r="BB70" s="1">
        <v>2991</v>
      </c>
      <c r="BC70" s="1">
        <v>589</v>
      </c>
      <c r="BD70" s="1">
        <v>2002</v>
      </c>
      <c r="BE70" s="1"/>
      <c r="BF70" s="1">
        <v>47</v>
      </c>
      <c r="BG70" s="1">
        <v>6994</v>
      </c>
      <c r="BH70" s="1">
        <v>3854</v>
      </c>
      <c r="BI70" s="1">
        <v>301</v>
      </c>
      <c r="BJ70" s="1">
        <v>9059</v>
      </c>
      <c r="BK70" s="1"/>
      <c r="BL70" s="1">
        <v>287</v>
      </c>
      <c r="BM70" s="1">
        <v>96603</v>
      </c>
      <c r="BN70" s="1">
        <v>14005</v>
      </c>
      <c r="BO70" s="1">
        <v>7401</v>
      </c>
      <c r="BP70" s="1">
        <v>2279</v>
      </c>
      <c r="BQ70" s="1">
        <v>1370</v>
      </c>
      <c r="BR70" s="1">
        <v>97</v>
      </c>
      <c r="BS70" s="1">
        <v>164432</v>
      </c>
      <c r="BT70" s="1"/>
      <c r="BU70" s="1">
        <v>7448</v>
      </c>
      <c r="BV70" s="1">
        <v>54200</v>
      </c>
      <c r="BW70" s="1">
        <v>4021</v>
      </c>
      <c r="BX70" s="1">
        <v>2569</v>
      </c>
      <c r="BY70" s="1">
        <v>5275</v>
      </c>
      <c r="BZ70" s="1">
        <v>2275</v>
      </c>
      <c r="CA70" s="1">
        <v>123</v>
      </c>
      <c r="CB70" s="1">
        <v>96442</v>
      </c>
      <c r="CC70" s="1"/>
      <c r="CD70" s="1">
        <v>2303</v>
      </c>
      <c r="CE70" s="1"/>
      <c r="CF70" s="1"/>
      <c r="CG70" s="1"/>
      <c r="CH70" s="1">
        <v>818164</v>
      </c>
      <c r="CI70" s="1">
        <v>81035</v>
      </c>
      <c r="CJ70" s="1">
        <v>33729</v>
      </c>
    </row>
  </sheetData>
  <pageMargins left="0.7" right="0.7" top="0.78740157499999996" bottom="0.78740157499999996"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972D-0B3E-4092-BD86-0F51E3C7EA42}">
  <dimension ref="A3:AE69"/>
  <sheetViews>
    <sheetView topLeftCell="B1" workbookViewId="0">
      <selection activeCell="AF8" sqref="AF8"/>
    </sheetView>
  </sheetViews>
  <sheetFormatPr baseColWidth="10" defaultRowHeight="14.5"/>
  <cols>
    <col min="1" max="1" width="26.36328125" bestFit="1" customWidth="1"/>
    <col min="2" max="2" width="22" bestFit="1" customWidth="1"/>
    <col min="3" max="3" width="3.08984375" bestFit="1" customWidth="1"/>
    <col min="4" max="4" width="3.26953125" bestFit="1" customWidth="1"/>
    <col min="5" max="5" width="2.54296875" bestFit="1" customWidth="1"/>
    <col min="6" max="6" width="3.08984375" bestFit="1" customWidth="1"/>
    <col min="7" max="7" width="2.90625" bestFit="1" customWidth="1"/>
    <col min="8" max="9" width="2.81640625" bestFit="1" customWidth="1"/>
    <col min="10" max="10" width="2.54296875" bestFit="1" customWidth="1"/>
    <col min="11" max="11" width="3.81640625" bestFit="1" customWidth="1"/>
    <col min="12" max="12" width="2.90625" bestFit="1" customWidth="1"/>
    <col min="13" max="13" width="3.1796875" bestFit="1" customWidth="1"/>
    <col min="14" max="14" width="2.7265625" bestFit="1" customWidth="1"/>
    <col min="15" max="15" width="2.90625" bestFit="1" customWidth="1"/>
    <col min="16" max="16" width="3.08984375" bestFit="1" customWidth="1"/>
    <col min="17" max="17" width="3.90625" bestFit="1" customWidth="1"/>
    <col min="18" max="18" width="4" bestFit="1" customWidth="1"/>
    <col min="19" max="20" width="3" bestFit="1" customWidth="1"/>
    <col min="21" max="21" width="2.81640625" bestFit="1" customWidth="1"/>
    <col min="22" max="22" width="3.08984375" bestFit="1" customWidth="1"/>
    <col min="23" max="23" width="3.81640625" bestFit="1" customWidth="1"/>
    <col min="24" max="24" width="3.1796875" bestFit="1" customWidth="1"/>
    <col min="25" max="26" width="3.81640625" bestFit="1" customWidth="1"/>
    <col min="27" max="27" width="3.08984375" bestFit="1" customWidth="1"/>
    <col min="28" max="28" width="3.81640625" bestFit="1" customWidth="1"/>
    <col min="29" max="29" width="5.6328125" bestFit="1" customWidth="1"/>
    <col min="30" max="30" width="14.36328125" bestFit="1" customWidth="1"/>
    <col min="31" max="31" width="27.36328125" bestFit="1" customWidth="1"/>
    <col min="32" max="32" width="26.36328125" bestFit="1" customWidth="1"/>
    <col min="33" max="33" width="27.36328125" bestFit="1" customWidth="1"/>
    <col min="34" max="34" width="26.36328125" bestFit="1" customWidth="1"/>
    <col min="35" max="35" width="27.36328125" bestFit="1" customWidth="1"/>
    <col min="36" max="36" width="26.36328125" bestFit="1" customWidth="1"/>
    <col min="37" max="37" width="27.36328125" bestFit="1" customWidth="1"/>
    <col min="38" max="38" width="26.36328125" bestFit="1" customWidth="1"/>
    <col min="39" max="39" width="27.36328125" bestFit="1" customWidth="1"/>
    <col min="40" max="40" width="26.36328125" bestFit="1" customWidth="1"/>
    <col min="41" max="41" width="27.36328125" bestFit="1" customWidth="1"/>
    <col min="42" max="42" width="26.36328125" bestFit="1" customWidth="1"/>
    <col min="43" max="43" width="27.36328125" bestFit="1" customWidth="1"/>
    <col min="44" max="44" width="26.36328125" bestFit="1" customWidth="1"/>
    <col min="45" max="45" width="27.36328125" bestFit="1" customWidth="1"/>
    <col min="46" max="46" width="26.36328125" bestFit="1" customWidth="1"/>
    <col min="47" max="47" width="27.36328125" bestFit="1" customWidth="1"/>
    <col min="48" max="48" width="26.36328125" bestFit="1" customWidth="1"/>
    <col min="49" max="49" width="27.36328125" bestFit="1" customWidth="1"/>
    <col min="50" max="50" width="26.36328125" bestFit="1" customWidth="1"/>
    <col min="51" max="51" width="27.36328125" bestFit="1" customWidth="1"/>
    <col min="52" max="52" width="26.36328125" bestFit="1" customWidth="1"/>
    <col min="53" max="53" width="27.36328125" bestFit="1" customWidth="1"/>
    <col min="54" max="54" width="26.36328125" bestFit="1" customWidth="1"/>
    <col min="55" max="55" width="27.36328125" bestFit="1" customWidth="1"/>
    <col min="56" max="56" width="26.36328125" bestFit="1" customWidth="1"/>
    <col min="57" max="57" width="27.36328125" bestFit="1" customWidth="1"/>
    <col min="58" max="58" width="33.90625" bestFit="1" customWidth="1"/>
    <col min="59" max="59" width="34.90625" bestFit="1" customWidth="1"/>
    <col min="60" max="72" width="2.81640625" bestFit="1" customWidth="1"/>
    <col min="73" max="73" width="5.6328125" bestFit="1" customWidth="1"/>
    <col min="74" max="74" width="10.81640625" bestFit="1" customWidth="1"/>
    <col min="75" max="75" width="5.6328125" bestFit="1" customWidth="1"/>
    <col min="76" max="76" width="10.08984375" bestFit="1" customWidth="1"/>
    <col min="77" max="77" width="4.90625" bestFit="1" customWidth="1"/>
    <col min="78" max="79" width="1.81640625" bestFit="1" customWidth="1"/>
    <col min="80" max="80" width="5.6328125" bestFit="1" customWidth="1"/>
    <col min="81" max="81" width="10.6328125" bestFit="1" customWidth="1"/>
    <col min="82" max="82" width="4.7265625" bestFit="1" customWidth="1"/>
    <col min="83" max="89" width="1.81640625" bestFit="1" customWidth="1"/>
    <col min="90" max="112" width="2.81640625" bestFit="1" customWidth="1"/>
    <col min="113" max="113" width="5.6328125" bestFit="1" customWidth="1"/>
    <col min="114" max="114" width="10.453125" bestFit="1" customWidth="1"/>
    <col min="115" max="115" width="4.54296875" bestFit="1" customWidth="1"/>
    <col min="116" max="121" width="1.81640625" bestFit="1" customWidth="1"/>
    <col min="122" max="133" width="2.81640625" bestFit="1" customWidth="1"/>
    <col min="134" max="134" width="5.6328125" bestFit="1" customWidth="1"/>
    <col min="135" max="135" width="10.26953125" bestFit="1" customWidth="1"/>
    <col min="136" max="136" width="4.6328125" bestFit="1" customWidth="1"/>
    <col min="137" max="139" width="1.81640625" bestFit="1" customWidth="1"/>
    <col min="140" max="159" width="2.81640625" bestFit="1" customWidth="1"/>
    <col min="160" max="160" width="5.6328125" bestFit="1" customWidth="1"/>
    <col min="161" max="161" width="10.36328125" bestFit="1" customWidth="1"/>
    <col min="162" max="162" width="4.36328125" bestFit="1" customWidth="1"/>
    <col min="163" max="163" width="5.6328125" bestFit="1" customWidth="1"/>
    <col min="164" max="164" width="10.08984375" bestFit="1" customWidth="1"/>
    <col min="165" max="165" width="4.90625" bestFit="1" customWidth="1"/>
    <col min="166" max="172" width="1.81640625" bestFit="1" customWidth="1"/>
    <col min="173" max="185" width="2.81640625" bestFit="1" customWidth="1"/>
    <col min="186" max="205" width="3.81640625" bestFit="1" customWidth="1"/>
    <col min="206" max="206" width="5.6328125" bestFit="1" customWidth="1"/>
    <col min="207" max="207" width="10.6328125" bestFit="1" customWidth="1"/>
    <col min="208" max="208" width="4.7265625" bestFit="1" customWidth="1"/>
    <col min="209" max="214" width="1.81640625" bestFit="1" customWidth="1"/>
    <col min="215" max="215" width="10.453125" bestFit="1" customWidth="1"/>
    <col min="216" max="216" width="5" bestFit="1" customWidth="1"/>
    <col min="217" max="223" width="1.81640625" bestFit="1" customWidth="1"/>
    <col min="224" max="241" width="2.81640625" bestFit="1" customWidth="1"/>
    <col min="242" max="242" width="10.7265625" bestFit="1" customWidth="1"/>
    <col min="243" max="243" width="4.54296875" bestFit="1" customWidth="1"/>
    <col min="244" max="247" width="1.81640625" bestFit="1" customWidth="1"/>
    <col min="248" max="248" width="10.26953125" bestFit="1" customWidth="1"/>
    <col min="249" max="249" width="4.7265625" bestFit="1" customWidth="1"/>
    <col min="250" max="256" width="1.81640625" bestFit="1" customWidth="1"/>
    <col min="257" max="263" width="2.81640625" bestFit="1" customWidth="1"/>
    <col min="264" max="264" width="5.6328125" bestFit="1" customWidth="1"/>
    <col min="265" max="265" width="10.453125" bestFit="1" customWidth="1"/>
    <col min="266" max="266" width="4.90625" bestFit="1" customWidth="1"/>
    <col min="267" max="272" width="1.81640625" bestFit="1" customWidth="1"/>
    <col min="273" max="297" width="2.81640625" bestFit="1" customWidth="1"/>
    <col min="298" max="298" width="5.6328125" bestFit="1" customWidth="1"/>
    <col min="299" max="299" width="10.6328125" bestFit="1" customWidth="1"/>
    <col min="300" max="300" width="5.7265625" bestFit="1" customWidth="1"/>
    <col min="301" max="302" width="1.81640625" bestFit="1" customWidth="1"/>
    <col min="303" max="303" width="5.6328125" bestFit="1" customWidth="1"/>
    <col min="304" max="304" width="11.453125" bestFit="1" customWidth="1"/>
    <col min="305" max="305" width="5.81640625" bestFit="1" customWidth="1"/>
    <col min="306" max="306" width="5.6328125" bestFit="1" customWidth="1"/>
    <col min="307" max="307" width="11.54296875" bestFit="1" customWidth="1"/>
    <col min="308" max="308" width="4.81640625" bestFit="1" customWidth="1"/>
    <col min="309" max="313" width="1.81640625" bestFit="1" customWidth="1"/>
    <col min="314" max="325" width="2.81640625" bestFit="1" customWidth="1"/>
    <col min="326" max="326" width="5.6328125" bestFit="1" customWidth="1"/>
    <col min="327" max="327" width="10.54296875" bestFit="1" customWidth="1"/>
    <col min="328" max="328" width="4.81640625" bestFit="1" customWidth="1"/>
    <col min="329" max="332" width="1.81640625" bestFit="1" customWidth="1"/>
    <col min="333" max="333" width="10.54296875" bestFit="1" customWidth="1"/>
    <col min="334" max="334" width="4.54296875" bestFit="1" customWidth="1"/>
    <col min="335" max="341" width="1.81640625" bestFit="1" customWidth="1"/>
    <col min="342" max="350" width="2.81640625" bestFit="1" customWidth="1"/>
    <col min="351" max="351" width="5.6328125" bestFit="1" customWidth="1"/>
    <col min="352" max="352" width="10.26953125" bestFit="1" customWidth="1"/>
    <col min="353" max="353" width="4.90625" bestFit="1" customWidth="1"/>
    <col min="354" max="359" width="1.81640625" bestFit="1" customWidth="1"/>
    <col min="360" max="366" width="2.81640625" bestFit="1" customWidth="1"/>
    <col min="367" max="367" width="5.6328125" bestFit="1" customWidth="1"/>
    <col min="368" max="368" width="10.6328125" bestFit="1" customWidth="1"/>
    <col min="369" max="369" width="4.1796875" bestFit="1" customWidth="1"/>
    <col min="370" max="372" width="1.81640625" bestFit="1" customWidth="1"/>
    <col min="373" max="385" width="2.81640625" bestFit="1" customWidth="1"/>
    <col min="386" max="414" width="3.81640625" bestFit="1" customWidth="1"/>
    <col min="415" max="415" width="5.6328125" bestFit="1" customWidth="1"/>
    <col min="416" max="416" width="9.90625" bestFit="1" customWidth="1"/>
    <col min="417" max="417" width="5" bestFit="1" customWidth="1"/>
    <col min="418" max="420" width="1.81640625" bestFit="1" customWidth="1"/>
    <col min="421" max="421" width="5.6328125" bestFit="1" customWidth="1"/>
    <col min="422" max="422" width="10.7265625" bestFit="1" customWidth="1"/>
    <col min="423" max="423" width="5.08984375" bestFit="1" customWidth="1"/>
    <col min="424" max="428" width="1.81640625" bestFit="1" customWidth="1"/>
    <col min="429" max="441" width="2.81640625" bestFit="1" customWidth="1"/>
    <col min="442" max="468" width="3.81640625" bestFit="1" customWidth="1"/>
    <col min="469" max="469" width="5.6328125" bestFit="1" customWidth="1"/>
    <col min="470" max="470" width="10.81640625" bestFit="1" customWidth="1"/>
    <col min="471" max="471" width="4.7265625" bestFit="1" customWidth="1"/>
    <col min="472" max="477" width="1.81640625" bestFit="1" customWidth="1"/>
    <col min="478" max="504" width="2.81640625" bestFit="1" customWidth="1"/>
    <col min="505" max="513" width="3.81640625" bestFit="1" customWidth="1"/>
    <col min="514" max="514" width="10.453125" bestFit="1" customWidth="1"/>
    <col min="515" max="515" width="4.90625" bestFit="1" customWidth="1"/>
    <col min="516" max="523" width="1.81640625" bestFit="1" customWidth="1"/>
    <col min="524" max="524" width="10.6328125" bestFit="1" customWidth="1"/>
    <col min="525" max="525" width="4.90625" bestFit="1" customWidth="1"/>
    <col min="526" max="531" width="1.81640625" bestFit="1" customWidth="1"/>
    <col min="532" max="555" width="2.81640625" bestFit="1" customWidth="1"/>
    <col min="556" max="562" width="3.81640625" bestFit="1" customWidth="1"/>
    <col min="563" max="563" width="5.6328125" bestFit="1" customWidth="1"/>
    <col min="564" max="564" width="10.6328125" bestFit="1" customWidth="1"/>
    <col min="565" max="565" width="7.453125" bestFit="1" customWidth="1"/>
    <col min="566" max="566" width="13.1796875" bestFit="1" customWidth="1"/>
    <col min="567" max="567" width="14.36328125" bestFit="1" customWidth="1"/>
  </cols>
  <sheetData>
    <row r="3" spans="1:30">
      <c r="A3" s="18" t="s">
        <v>473</v>
      </c>
      <c r="B3" s="18" t="s">
        <v>369</v>
      </c>
    </row>
    <row r="4" spans="1:30">
      <c r="A4" s="18" t="s">
        <v>319</v>
      </c>
      <c r="B4" t="s">
        <v>56</v>
      </c>
      <c r="C4" t="s">
        <v>83</v>
      </c>
      <c r="D4" t="s">
        <v>34</v>
      </c>
      <c r="E4" t="s">
        <v>38</v>
      </c>
      <c r="F4" t="s">
        <v>41</v>
      </c>
      <c r="G4" t="s">
        <v>44</v>
      </c>
      <c r="H4" t="s">
        <v>47</v>
      </c>
      <c r="I4" t="s">
        <v>50</v>
      </c>
      <c r="J4" t="s">
        <v>53</v>
      </c>
      <c r="K4" t="s">
        <v>58</v>
      </c>
      <c r="L4" t="s">
        <v>61</v>
      </c>
      <c r="M4" t="s">
        <v>63</v>
      </c>
      <c r="N4" t="s">
        <v>66</v>
      </c>
      <c r="O4" t="s">
        <v>68</v>
      </c>
      <c r="P4" t="s">
        <v>71</v>
      </c>
      <c r="Q4" t="s">
        <v>73</v>
      </c>
      <c r="R4" t="s">
        <v>75</v>
      </c>
      <c r="S4" t="s">
        <v>78</v>
      </c>
      <c r="T4" t="s">
        <v>81</v>
      </c>
      <c r="U4" t="s">
        <v>86</v>
      </c>
      <c r="V4" t="s">
        <v>88</v>
      </c>
      <c r="W4" t="s">
        <v>91</v>
      </c>
      <c r="X4" t="s">
        <v>94</v>
      </c>
      <c r="Y4" t="s">
        <v>97</v>
      </c>
      <c r="Z4" t="s">
        <v>100</v>
      </c>
      <c r="AA4" t="s">
        <v>102</v>
      </c>
      <c r="AB4" t="s">
        <v>104</v>
      </c>
      <c r="AC4" t="s">
        <v>468</v>
      </c>
      <c r="AD4" t="s">
        <v>320</v>
      </c>
    </row>
    <row r="5" spans="1:30">
      <c r="A5" s="19" t="s">
        <v>468</v>
      </c>
      <c r="B5" s="1"/>
      <c r="C5" s="1"/>
      <c r="D5" s="1"/>
      <c r="E5" s="1"/>
      <c r="F5" s="1"/>
      <c r="G5" s="1"/>
      <c r="H5" s="1"/>
      <c r="I5" s="1"/>
      <c r="J5" s="1"/>
      <c r="K5" s="1"/>
      <c r="L5" s="1"/>
      <c r="M5" s="1"/>
      <c r="N5" s="1"/>
      <c r="O5" s="1"/>
      <c r="P5" s="1"/>
      <c r="Q5" s="1"/>
      <c r="R5" s="1"/>
      <c r="S5" s="1"/>
      <c r="T5" s="1"/>
      <c r="U5" s="1"/>
      <c r="V5" s="1"/>
      <c r="W5" s="1"/>
      <c r="X5" s="1"/>
      <c r="Y5" s="1"/>
      <c r="Z5" s="1"/>
      <c r="AA5" s="1"/>
      <c r="AB5" s="1"/>
      <c r="AC5" s="1"/>
      <c r="AD5" s="1"/>
    </row>
    <row r="6" spans="1:30">
      <c r="A6" s="19" t="s">
        <v>321</v>
      </c>
      <c r="B6" s="1"/>
      <c r="C6" s="1"/>
      <c r="D6" s="1"/>
      <c r="E6" s="1"/>
      <c r="F6" s="1"/>
      <c r="G6" s="1"/>
      <c r="H6" s="1"/>
      <c r="I6" s="1"/>
      <c r="J6" s="1"/>
      <c r="K6" s="1">
        <v>0</v>
      </c>
      <c r="L6" s="1"/>
      <c r="M6" s="1"/>
      <c r="N6" s="1"/>
      <c r="O6" s="1"/>
      <c r="P6" s="1"/>
      <c r="Q6" s="1"/>
      <c r="R6" s="1"/>
      <c r="S6" s="1"/>
      <c r="T6" s="1"/>
      <c r="U6" s="1"/>
      <c r="V6" s="1"/>
      <c r="W6" s="1"/>
      <c r="X6" s="1"/>
      <c r="Y6" s="1"/>
      <c r="Z6" s="1"/>
      <c r="AA6" s="1"/>
      <c r="AB6" s="1"/>
      <c r="AC6" s="1"/>
      <c r="AD6" s="1">
        <v>0</v>
      </c>
    </row>
    <row r="7" spans="1:30">
      <c r="A7" s="19" t="s">
        <v>322</v>
      </c>
      <c r="B7" s="1"/>
      <c r="C7" s="1"/>
      <c r="D7" s="1"/>
      <c r="E7" s="1"/>
      <c r="F7" s="1"/>
      <c r="G7" s="1"/>
      <c r="H7" s="1"/>
      <c r="I7" s="1"/>
      <c r="J7" s="1"/>
      <c r="K7" s="1">
        <v>0</v>
      </c>
      <c r="L7" s="1"/>
      <c r="M7" s="1"/>
      <c r="N7" s="1"/>
      <c r="O7" s="1"/>
      <c r="P7" s="1"/>
      <c r="Q7" s="1"/>
      <c r="R7" s="1"/>
      <c r="S7" s="1"/>
      <c r="T7" s="1"/>
      <c r="U7" s="1"/>
      <c r="V7" s="1"/>
      <c r="W7" s="1"/>
      <c r="X7" s="1"/>
      <c r="Y7" s="1"/>
      <c r="Z7" s="1"/>
      <c r="AA7" s="1"/>
      <c r="AB7" s="1"/>
      <c r="AC7" s="1"/>
      <c r="AD7" s="1">
        <v>0</v>
      </c>
    </row>
    <row r="8" spans="1:30">
      <c r="A8" s="19" t="s">
        <v>323</v>
      </c>
      <c r="B8" s="1"/>
      <c r="C8" s="1"/>
      <c r="D8" s="1"/>
      <c r="E8" s="1"/>
      <c r="F8" s="1"/>
      <c r="G8" s="1"/>
      <c r="H8" s="1"/>
      <c r="I8" s="1"/>
      <c r="J8" s="1"/>
      <c r="K8" s="1">
        <v>0</v>
      </c>
      <c r="L8" s="1"/>
      <c r="M8" s="1"/>
      <c r="N8" s="1">
        <v>0</v>
      </c>
      <c r="O8" s="1"/>
      <c r="P8" s="1"/>
      <c r="Q8" s="1"/>
      <c r="R8" s="1"/>
      <c r="S8" s="1"/>
      <c r="T8" s="1"/>
      <c r="U8" s="1"/>
      <c r="V8" s="1"/>
      <c r="W8" s="1"/>
      <c r="X8" s="1"/>
      <c r="Y8" s="1"/>
      <c r="Z8" s="1"/>
      <c r="AA8" s="1"/>
      <c r="AB8" s="1"/>
      <c r="AC8" s="1"/>
      <c r="AD8" s="1">
        <v>0</v>
      </c>
    </row>
    <row r="9" spans="1:30">
      <c r="A9" s="19" t="s">
        <v>324</v>
      </c>
      <c r="B9" s="1"/>
      <c r="C9" s="1"/>
      <c r="D9" s="1"/>
      <c r="E9" s="1"/>
      <c r="F9" s="1"/>
      <c r="G9" s="1"/>
      <c r="H9" s="1"/>
      <c r="I9" s="1"/>
      <c r="J9" s="1"/>
      <c r="K9" s="1">
        <v>0</v>
      </c>
      <c r="L9" s="1"/>
      <c r="M9" s="1"/>
      <c r="N9" s="1">
        <v>0</v>
      </c>
      <c r="O9" s="1"/>
      <c r="P9" s="1"/>
      <c r="Q9" s="1"/>
      <c r="R9" s="1"/>
      <c r="S9" s="1"/>
      <c r="T9" s="1"/>
      <c r="U9" s="1"/>
      <c r="V9" s="1"/>
      <c r="W9" s="1"/>
      <c r="X9" s="1"/>
      <c r="Y9" s="1"/>
      <c r="Z9" s="1">
        <v>0</v>
      </c>
      <c r="AA9" s="1"/>
      <c r="AB9" s="1"/>
      <c r="AC9" s="1"/>
      <c r="AD9" s="1">
        <v>0</v>
      </c>
    </row>
    <row r="10" spans="1:30">
      <c r="A10" s="19" t="s">
        <v>325</v>
      </c>
      <c r="B10" s="1"/>
      <c r="C10" s="1"/>
      <c r="D10" s="1"/>
      <c r="E10" s="1"/>
      <c r="F10" s="1"/>
      <c r="G10" s="1"/>
      <c r="H10" s="1"/>
      <c r="I10" s="1"/>
      <c r="J10" s="1"/>
      <c r="K10" s="1">
        <v>0</v>
      </c>
      <c r="L10" s="1"/>
      <c r="M10" s="1"/>
      <c r="N10" s="1">
        <v>0</v>
      </c>
      <c r="O10" s="1"/>
      <c r="P10" s="1"/>
      <c r="Q10" s="1"/>
      <c r="R10" s="1"/>
      <c r="S10" s="1"/>
      <c r="T10" s="1"/>
      <c r="U10" s="1"/>
      <c r="V10" s="1"/>
      <c r="W10" s="1"/>
      <c r="X10" s="1"/>
      <c r="Y10" s="1"/>
      <c r="Z10" s="1">
        <v>0</v>
      </c>
      <c r="AA10" s="1">
        <v>0</v>
      </c>
      <c r="AB10" s="1"/>
      <c r="AC10" s="1"/>
      <c r="AD10" s="1">
        <v>0</v>
      </c>
    </row>
    <row r="11" spans="1:30">
      <c r="A11" s="19" t="s">
        <v>326</v>
      </c>
      <c r="B11" s="1"/>
      <c r="C11" s="1"/>
      <c r="D11" s="1"/>
      <c r="E11" s="1"/>
      <c r="F11" s="1"/>
      <c r="G11" s="1"/>
      <c r="H11" s="1"/>
      <c r="I11" s="1"/>
      <c r="J11" s="1"/>
      <c r="K11" s="1">
        <v>0</v>
      </c>
      <c r="L11" s="1"/>
      <c r="M11" s="1"/>
      <c r="N11" s="1">
        <v>0</v>
      </c>
      <c r="O11" s="1"/>
      <c r="P11" s="1"/>
      <c r="Q11" s="1"/>
      <c r="R11" s="1"/>
      <c r="S11" s="1"/>
      <c r="T11" s="1"/>
      <c r="U11" s="1"/>
      <c r="V11" s="1"/>
      <c r="W11" s="1"/>
      <c r="X11" s="1"/>
      <c r="Y11" s="1"/>
      <c r="Z11" s="1">
        <v>0</v>
      </c>
      <c r="AA11" s="1">
        <v>0</v>
      </c>
      <c r="AB11" s="1"/>
      <c r="AC11" s="1"/>
      <c r="AD11" s="1">
        <v>0</v>
      </c>
    </row>
    <row r="12" spans="1:30">
      <c r="A12" s="19" t="s">
        <v>327</v>
      </c>
      <c r="B12" s="1"/>
      <c r="C12" s="1"/>
      <c r="D12" s="1"/>
      <c r="E12" s="1"/>
      <c r="F12" s="1"/>
      <c r="G12" s="1"/>
      <c r="H12" s="1"/>
      <c r="I12" s="1"/>
      <c r="J12" s="1"/>
      <c r="K12" s="1">
        <v>0</v>
      </c>
      <c r="L12" s="1"/>
      <c r="M12" s="1"/>
      <c r="N12" s="1">
        <v>0</v>
      </c>
      <c r="O12" s="1"/>
      <c r="P12" s="1"/>
      <c r="Q12" s="1"/>
      <c r="R12" s="1"/>
      <c r="S12" s="1"/>
      <c r="T12" s="1"/>
      <c r="U12" s="1"/>
      <c r="V12" s="1"/>
      <c r="W12" s="1"/>
      <c r="X12" s="1"/>
      <c r="Y12" s="1"/>
      <c r="Z12" s="1">
        <v>0</v>
      </c>
      <c r="AA12" s="1">
        <v>0</v>
      </c>
      <c r="AB12" s="1"/>
      <c r="AC12" s="1"/>
      <c r="AD12" s="1">
        <v>0</v>
      </c>
    </row>
    <row r="13" spans="1:30">
      <c r="A13" s="19" t="s">
        <v>328</v>
      </c>
      <c r="B13" s="1"/>
      <c r="C13" s="1"/>
      <c r="D13" s="1"/>
      <c r="E13" s="1"/>
      <c r="F13" s="1"/>
      <c r="G13" s="1"/>
      <c r="H13" s="1"/>
      <c r="I13" s="1"/>
      <c r="J13" s="1"/>
      <c r="K13" s="1">
        <v>0</v>
      </c>
      <c r="L13" s="1"/>
      <c r="M13" s="1"/>
      <c r="N13" s="1">
        <v>0</v>
      </c>
      <c r="O13" s="1"/>
      <c r="P13" s="1"/>
      <c r="Q13" s="1"/>
      <c r="R13" s="1"/>
      <c r="S13" s="1"/>
      <c r="T13" s="1"/>
      <c r="U13" s="1"/>
      <c r="V13" s="1"/>
      <c r="W13" s="1"/>
      <c r="X13" s="1"/>
      <c r="Y13" s="1"/>
      <c r="Z13" s="1">
        <v>0</v>
      </c>
      <c r="AA13" s="1">
        <v>0</v>
      </c>
      <c r="AB13" s="1"/>
      <c r="AC13" s="1"/>
      <c r="AD13" s="1">
        <v>0</v>
      </c>
    </row>
    <row r="14" spans="1:30">
      <c r="A14" s="19" t="s">
        <v>329</v>
      </c>
      <c r="B14" s="1"/>
      <c r="C14" s="1"/>
      <c r="D14" s="1"/>
      <c r="E14" s="1"/>
      <c r="F14" s="1"/>
      <c r="G14" s="1"/>
      <c r="H14" s="1"/>
      <c r="I14" s="1"/>
      <c r="J14" s="1"/>
      <c r="K14" s="1">
        <v>0</v>
      </c>
      <c r="L14" s="1"/>
      <c r="M14" s="1"/>
      <c r="N14" s="1">
        <v>0</v>
      </c>
      <c r="O14" s="1"/>
      <c r="P14" s="1"/>
      <c r="Q14" s="1"/>
      <c r="R14" s="1"/>
      <c r="S14" s="1"/>
      <c r="T14" s="1"/>
      <c r="U14" s="1"/>
      <c r="V14" s="1"/>
      <c r="W14" s="1"/>
      <c r="X14" s="1"/>
      <c r="Y14" s="1"/>
      <c r="Z14" s="1">
        <v>0</v>
      </c>
      <c r="AA14" s="1">
        <v>0</v>
      </c>
      <c r="AB14" s="1"/>
      <c r="AC14" s="1"/>
      <c r="AD14" s="1">
        <v>0</v>
      </c>
    </row>
    <row r="15" spans="1:30">
      <c r="A15" s="19" t="s">
        <v>330</v>
      </c>
      <c r="B15" s="1"/>
      <c r="C15" s="1"/>
      <c r="D15" s="1"/>
      <c r="E15" s="1"/>
      <c r="F15" s="1"/>
      <c r="G15" s="1"/>
      <c r="H15" s="1"/>
      <c r="I15" s="1"/>
      <c r="J15" s="1"/>
      <c r="K15" s="1">
        <v>0</v>
      </c>
      <c r="L15" s="1"/>
      <c r="M15" s="1"/>
      <c r="N15" s="1">
        <v>0</v>
      </c>
      <c r="O15" s="1"/>
      <c r="P15" s="1"/>
      <c r="Q15" s="1"/>
      <c r="R15" s="1"/>
      <c r="S15" s="1"/>
      <c r="T15" s="1"/>
      <c r="U15" s="1"/>
      <c r="V15" s="1"/>
      <c r="W15" s="1"/>
      <c r="X15" s="1"/>
      <c r="Y15" s="1"/>
      <c r="Z15" s="1">
        <v>0</v>
      </c>
      <c r="AA15" s="1">
        <v>0</v>
      </c>
      <c r="AB15" s="1"/>
      <c r="AC15" s="1"/>
      <c r="AD15" s="1">
        <v>0</v>
      </c>
    </row>
    <row r="16" spans="1:30">
      <c r="A16" s="19" t="s">
        <v>331</v>
      </c>
      <c r="B16" s="1"/>
      <c r="C16" s="1"/>
      <c r="D16" s="1"/>
      <c r="E16" s="1"/>
      <c r="F16" s="1"/>
      <c r="G16" s="1"/>
      <c r="H16" s="1"/>
      <c r="I16" s="1"/>
      <c r="J16" s="1"/>
      <c r="K16" s="1">
        <v>0</v>
      </c>
      <c r="L16" s="1"/>
      <c r="M16" s="1"/>
      <c r="N16" s="1">
        <v>0</v>
      </c>
      <c r="O16" s="1"/>
      <c r="P16" s="1"/>
      <c r="Q16" s="1"/>
      <c r="R16" s="1"/>
      <c r="S16" s="1"/>
      <c r="T16" s="1"/>
      <c r="U16" s="1"/>
      <c r="V16" s="1"/>
      <c r="W16" s="1"/>
      <c r="X16" s="1"/>
      <c r="Y16" s="1">
        <v>1</v>
      </c>
      <c r="Z16" s="1">
        <v>0</v>
      </c>
      <c r="AA16" s="1">
        <v>0</v>
      </c>
      <c r="AB16" s="1"/>
      <c r="AC16" s="1"/>
      <c r="AD16" s="1">
        <v>1</v>
      </c>
    </row>
    <row r="17" spans="1:30">
      <c r="A17" s="19" t="s">
        <v>332</v>
      </c>
      <c r="B17" s="1"/>
      <c r="C17" s="1"/>
      <c r="D17" s="1"/>
      <c r="E17" s="1"/>
      <c r="F17" s="1"/>
      <c r="G17" s="1"/>
      <c r="H17" s="1"/>
      <c r="I17" s="1"/>
      <c r="J17" s="1"/>
      <c r="K17" s="1">
        <v>0</v>
      </c>
      <c r="L17" s="1"/>
      <c r="M17" s="1"/>
      <c r="N17" s="1">
        <v>0</v>
      </c>
      <c r="O17" s="1"/>
      <c r="P17" s="1"/>
      <c r="Q17" s="1"/>
      <c r="R17" s="1"/>
      <c r="S17" s="1"/>
      <c r="T17" s="1"/>
      <c r="U17" s="1"/>
      <c r="V17" s="1"/>
      <c r="W17" s="1"/>
      <c r="X17" s="1"/>
      <c r="Y17" s="1">
        <v>1</v>
      </c>
      <c r="Z17" s="1">
        <v>0</v>
      </c>
      <c r="AA17" s="1">
        <v>0</v>
      </c>
      <c r="AB17" s="1"/>
      <c r="AC17" s="1"/>
      <c r="AD17" s="1">
        <v>1</v>
      </c>
    </row>
    <row r="18" spans="1:30">
      <c r="A18" s="19" t="s">
        <v>333</v>
      </c>
      <c r="B18" s="1"/>
      <c r="C18" s="1"/>
      <c r="D18" s="1"/>
      <c r="E18" s="1"/>
      <c r="F18" s="1"/>
      <c r="G18" s="1"/>
      <c r="H18" s="1">
        <v>1</v>
      </c>
      <c r="I18" s="1"/>
      <c r="J18" s="1"/>
      <c r="K18" s="1">
        <v>0</v>
      </c>
      <c r="L18" s="1"/>
      <c r="M18" s="1"/>
      <c r="N18" s="1">
        <v>0</v>
      </c>
      <c r="O18" s="1"/>
      <c r="P18" s="1"/>
      <c r="Q18" s="1"/>
      <c r="R18" s="1"/>
      <c r="S18" s="1"/>
      <c r="T18" s="1"/>
      <c r="U18" s="1"/>
      <c r="V18" s="1"/>
      <c r="W18" s="1"/>
      <c r="X18" s="1"/>
      <c r="Y18" s="1">
        <v>1</v>
      </c>
      <c r="Z18" s="1">
        <v>0</v>
      </c>
      <c r="AA18" s="1">
        <v>0</v>
      </c>
      <c r="AB18" s="1"/>
      <c r="AC18" s="1"/>
      <c r="AD18" s="1">
        <v>2</v>
      </c>
    </row>
    <row r="19" spans="1:30">
      <c r="A19" s="19" t="s">
        <v>334</v>
      </c>
      <c r="B19" s="1"/>
      <c r="C19" s="1"/>
      <c r="D19" s="1"/>
      <c r="E19" s="1"/>
      <c r="F19" s="1"/>
      <c r="G19" s="1"/>
      <c r="H19" s="1">
        <v>1</v>
      </c>
      <c r="I19" s="1"/>
      <c r="J19" s="1"/>
      <c r="K19" s="1">
        <v>0</v>
      </c>
      <c r="L19" s="1"/>
      <c r="M19" s="1"/>
      <c r="N19" s="1">
        <v>0</v>
      </c>
      <c r="O19" s="1"/>
      <c r="P19" s="1"/>
      <c r="Q19" s="1"/>
      <c r="R19" s="1"/>
      <c r="S19" s="1"/>
      <c r="T19" s="1"/>
      <c r="U19" s="1"/>
      <c r="V19" s="1"/>
      <c r="W19" s="1"/>
      <c r="X19" s="1"/>
      <c r="Y19" s="1">
        <v>1</v>
      </c>
      <c r="Z19" s="1">
        <v>0</v>
      </c>
      <c r="AA19" s="1">
        <v>0</v>
      </c>
      <c r="AB19" s="1"/>
      <c r="AC19" s="1"/>
      <c r="AD19" s="1">
        <v>2</v>
      </c>
    </row>
    <row r="20" spans="1:30">
      <c r="A20" s="19" t="s">
        <v>335</v>
      </c>
      <c r="B20" s="1"/>
      <c r="C20" s="1"/>
      <c r="D20" s="1"/>
      <c r="E20" s="1"/>
      <c r="F20" s="1"/>
      <c r="G20" s="1"/>
      <c r="H20" s="1">
        <v>1</v>
      </c>
      <c r="I20" s="1"/>
      <c r="J20" s="1"/>
      <c r="K20" s="1">
        <v>1</v>
      </c>
      <c r="L20" s="1">
        <v>0</v>
      </c>
      <c r="M20" s="1"/>
      <c r="N20" s="1">
        <v>0</v>
      </c>
      <c r="O20" s="1"/>
      <c r="P20" s="1"/>
      <c r="Q20" s="1"/>
      <c r="R20" s="1"/>
      <c r="S20" s="1"/>
      <c r="T20" s="1"/>
      <c r="U20" s="1"/>
      <c r="V20" s="1"/>
      <c r="W20" s="1">
        <v>1</v>
      </c>
      <c r="X20" s="1"/>
      <c r="Y20" s="1">
        <v>1</v>
      </c>
      <c r="Z20" s="1">
        <v>0</v>
      </c>
      <c r="AA20" s="1">
        <v>0</v>
      </c>
      <c r="AB20" s="1"/>
      <c r="AC20" s="1"/>
      <c r="AD20" s="1">
        <v>4</v>
      </c>
    </row>
    <row r="21" spans="1:30">
      <c r="A21" s="19" t="s">
        <v>336</v>
      </c>
      <c r="B21" s="1">
        <v>0</v>
      </c>
      <c r="C21" s="1"/>
      <c r="D21" s="1"/>
      <c r="E21" s="1"/>
      <c r="F21" s="1"/>
      <c r="G21" s="1"/>
      <c r="H21" s="1">
        <v>2</v>
      </c>
      <c r="I21" s="1"/>
      <c r="J21" s="1"/>
      <c r="K21" s="1">
        <v>1</v>
      </c>
      <c r="L21" s="1">
        <v>0</v>
      </c>
      <c r="M21" s="1"/>
      <c r="N21" s="1">
        <v>0</v>
      </c>
      <c r="O21" s="1"/>
      <c r="P21" s="1"/>
      <c r="Q21" s="1"/>
      <c r="R21" s="1"/>
      <c r="S21" s="1"/>
      <c r="T21" s="1">
        <v>0</v>
      </c>
      <c r="U21" s="1"/>
      <c r="V21" s="1"/>
      <c r="W21" s="1"/>
      <c r="X21" s="1"/>
      <c r="Y21" s="1">
        <v>1</v>
      </c>
      <c r="Z21" s="1">
        <v>0</v>
      </c>
      <c r="AA21" s="1">
        <v>0</v>
      </c>
      <c r="AB21" s="1"/>
      <c r="AC21" s="1"/>
      <c r="AD21" s="1">
        <v>4</v>
      </c>
    </row>
    <row r="22" spans="1:30">
      <c r="A22" s="19" t="s">
        <v>337</v>
      </c>
      <c r="B22" s="1">
        <v>0</v>
      </c>
      <c r="C22" s="1"/>
      <c r="D22" s="1"/>
      <c r="E22" s="1"/>
      <c r="F22" s="1"/>
      <c r="G22" s="1"/>
      <c r="H22" s="1">
        <v>2</v>
      </c>
      <c r="I22" s="1">
        <v>1</v>
      </c>
      <c r="J22" s="1"/>
      <c r="K22" s="1">
        <v>2</v>
      </c>
      <c r="L22" s="1">
        <v>0</v>
      </c>
      <c r="M22" s="1"/>
      <c r="N22" s="1">
        <v>0</v>
      </c>
      <c r="O22" s="1"/>
      <c r="P22" s="1"/>
      <c r="Q22" s="1"/>
      <c r="R22" s="1"/>
      <c r="S22" s="1"/>
      <c r="T22" s="1">
        <v>0</v>
      </c>
      <c r="U22" s="1"/>
      <c r="V22" s="1"/>
      <c r="W22" s="1"/>
      <c r="X22" s="1"/>
      <c r="Y22" s="1">
        <v>3</v>
      </c>
      <c r="Z22" s="1">
        <v>0</v>
      </c>
      <c r="AA22" s="1">
        <v>0</v>
      </c>
      <c r="AB22" s="1"/>
      <c r="AC22" s="1"/>
      <c r="AD22" s="1">
        <v>8</v>
      </c>
    </row>
    <row r="23" spans="1:30">
      <c r="A23" s="19" t="s">
        <v>338</v>
      </c>
      <c r="B23" s="1">
        <v>0</v>
      </c>
      <c r="C23" s="1"/>
      <c r="D23" s="1"/>
      <c r="E23" s="1"/>
      <c r="F23" s="1"/>
      <c r="G23" s="1"/>
      <c r="H23" s="1">
        <v>2</v>
      </c>
      <c r="I23" s="1">
        <v>1</v>
      </c>
      <c r="J23" s="1"/>
      <c r="K23" s="1">
        <v>2</v>
      </c>
      <c r="L23" s="1">
        <v>0</v>
      </c>
      <c r="M23" s="1"/>
      <c r="N23" s="1">
        <v>0</v>
      </c>
      <c r="O23" s="1"/>
      <c r="P23" s="1"/>
      <c r="Q23" s="1"/>
      <c r="R23" s="1"/>
      <c r="S23" s="1"/>
      <c r="T23" s="1">
        <v>0</v>
      </c>
      <c r="U23" s="1"/>
      <c r="V23" s="1"/>
      <c r="W23" s="1"/>
      <c r="X23" s="1"/>
      <c r="Y23" s="1">
        <v>3</v>
      </c>
      <c r="Z23" s="1">
        <v>1</v>
      </c>
      <c r="AA23" s="1">
        <v>0</v>
      </c>
      <c r="AB23" s="1"/>
      <c r="AC23" s="1"/>
      <c r="AD23" s="1">
        <v>9</v>
      </c>
    </row>
    <row r="24" spans="1:30">
      <c r="A24" s="19" t="s">
        <v>339</v>
      </c>
      <c r="B24" s="1">
        <v>0</v>
      </c>
      <c r="C24" s="1"/>
      <c r="D24" s="1"/>
      <c r="E24" s="1"/>
      <c r="F24" s="1"/>
      <c r="G24" s="1"/>
      <c r="H24" s="1">
        <v>2</v>
      </c>
      <c r="I24" s="1">
        <v>1</v>
      </c>
      <c r="J24" s="1"/>
      <c r="K24" s="1">
        <v>2</v>
      </c>
      <c r="L24" s="1">
        <v>0</v>
      </c>
      <c r="M24" s="1"/>
      <c r="N24" s="1">
        <v>0</v>
      </c>
      <c r="O24" s="1"/>
      <c r="P24" s="1"/>
      <c r="Q24" s="1"/>
      <c r="R24" s="1"/>
      <c r="S24" s="1"/>
      <c r="T24" s="1">
        <v>0</v>
      </c>
      <c r="U24" s="1"/>
      <c r="V24" s="1"/>
      <c r="W24" s="1">
        <v>3</v>
      </c>
      <c r="X24" s="1"/>
      <c r="Y24" s="1">
        <v>4</v>
      </c>
      <c r="Z24" s="1">
        <v>1</v>
      </c>
      <c r="AA24" s="1">
        <v>0</v>
      </c>
      <c r="AB24" s="1"/>
      <c r="AC24" s="1"/>
      <c r="AD24" s="1">
        <v>13</v>
      </c>
    </row>
    <row r="25" spans="1:30">
      <c r="A25" s="19" t="s">
        <v>340</v>
      </c>
      <c r="B25" s="1">
        <v>0</v>
      </c>
      <c r="C25" s="1"/>
      <c r="D25" s="1"/>
      <c r="E25" s="1"/>
      <c r="F25" s="1"/>
      <c r="G25" s="1"/>
      <c r="H25" s="1">
        <v>2</v>
      </c>
      <c r="I25" s="1"/>
      <c r="J25" s="1"/>
      <c r="K25" s="1">
        <v>4</v>
      </c>
      <c r="L25" s="1">
        <v>0</v>
      </c>
      <c r="M25" s="1"/>
      <c r="N25" s="1">
        <v>0</v>
      </c>
      <c r="O25" s="1"/>
      <c r="P25" s="1"/>
      <c r="Q25" s="1"/>
      <c r="R25" s="1"/>
      <c r="S25" s="1"/>
      <c r="T25" s="1">
        <v>0</v>
      </c>
      <c r="U25" s="1"/>
      <c r="V25" s="1"/>
      <c r="W25" s="1">
        <v>6</v>
      </c>
      <c r="X25" s="1"/>
      <c r="Y25" s="1">
        <v>5</v>
      </c>
      <c r="Z25" s="1">
        <v>2</v>
      </c>
      <c r="AA25" s="1">
        <v>0</v>
      </c>
      <c r="AB25" s="1">
        <v>1</v>
      </c>
      <c r="AC25" s="1"/>
      <c r="AD25" s="1">
        <v>20</v>
      </c>
    </row>
    <row r="26" spans="1:30">
      <c r="A26" s="19" t="s">
        <v>341</v>
      </c>
      <c r="B26" s="1">
        <v>0</v>
      </c>
      <c r="C26" s="1"/>
      <c r="D26" s="1"/>
      <c r="E26" s="1"/>
      <c r="F26" s="1"/>
      <c r="G26" s="1">
        <v>1</v>
      </c>
      <c r="H26" s="1">
        <v>2</v>
      </c>
      <c r="I26" s="1">
        <v>4</v>
      </c>
      <c r="J26" s="1"/>
      <c r="K26" s="1">
        <v>4</v>
      </c>
      <c r="L26" s="1">
        <v>0</v>
      </c>
      <c r="M26" s="1"/>
      <c r="N26" s="1">
        <v>0</v>
      </c>
      <c r="O26" s="1"/>
      <c r="P26" s="1"/>
      <c r="Q26" s="1"/>
      <c r="R26" s="1"/>
      <c r="S26" s="1"/>
      <c r="T26" s="1">
        <v>0</v>
      </c>
      <c r="U26" s="1"/>
      <c r="V26" s="1"/>
      <c r="W26" s="1">
        <v>8</v>
      </c>
      <c r="X26" s="1"/>
      <c r="Y26" s="1">
        <v>7</v>
      </c>
      <c r="Z26" s="1">
        <v>3</v>
      </c>
      <c r="AA26" s="1">
        <v>0</v>
      </c>
      <c r="AB26" s="1">
        <v>1</v>
      </c>
      <c r="AC26" s="1"/>
      <c r="AD26" s="1">
        <v>30</v>
      </c>
    </row>
    <row r="27" spans="1:30">
      <c r="A27" s="19" t="s">
        <v>342</v>
      </c>
      <c r="B27" s="1">
        <v>0</v>
      </c>
      <c r="C27" s="1"/>
      <c r="D27" s="1"/>
      <c r="E27" s="1"/>
      <c r="F27" s="1"/>
      <c r="G27" s="1"/>
      <c r="H27" s="1">
        <v>2</v>
      </c>
      <c r="I27" s="1">
        <v>4</v>
      </c>
      <c r="J27" s="1"/>
      <c r="K27" s="1">
        <v>5</v>
      </c>
      <c r="L27" s="1">
        <v>0</v>
      </c>
      <c r="M27" s="1">
        <v>1</v>
      </c>
      <c r="N27" s="1">
        <v>0</v>
      </c>
      <c r="O27" s="1"/>
      <c r="P27" s="1">
        <v>1</v>
      </c>
      <c r="Q27" s="1"/>
      <c r="R27" s="1"/>
      <c r="S27" s="1"/>
      <c r="T27" s="1">
        <v>0</v>
      </c>
      <c r="U27" s="1"/>
      <c r="V27" s="1"/>
      <c r="W27" s="1">
        <v>10</v>
      </c>
      <c r="X27" s="1"/>
      <c r="Y27" s="1">
        <v>9</v>
      </c>
      <c r="Z27" s="1">
        <v>3</v>
      </c>
      <c r="AA27" s="1">
        <v>0</v>
      </c>
      <c r="AB27" s="1">
        <v>1</v>
      </c>
      <c r="AC27" s="1"/>
      <c r="AD27" s="1">
        <v>36</v>
      </c>
    </row>
    <row r="28" spans="1:30">
      <c r="A28" s="19" t="s">
        <v>343</v>
      </c>
      <c r="B28" s="1">
        <v>0</v>
      </c>
      <c r="C28" s="1"/>
      <c r="D28" s="1"/>
      <c r="E28" s="1"/>
      <c r="F28" s="1"/>
      <c r="G28" s="1">
        <v>1</v>
      </c>
      <c r="H28" s="1">
        <v>2</v>
      </c>
      <c r="I28" s="1">
        <v>4</v>
      </c>
      <c r="J28" s="1"/>
      <c r="K28" s="1">
        <v>6</v>
      </c>
      <c r="L28" s="1">
        <v>0</v>
      </c>
      <c r="M28" s="1">
        <v>1</v>
      </c>
      <c r="N28" s="1">
        <v>0</v>
      </c>
      <c r="O28" s="1"/>
      <c r="P28" s="1">
        <v>2</v>
      </c>
      <c r="Q28" s="1"/>
      <c r="R28" s="1"/>
      <c r="S28" s="1"/>
      <c r="T28" s="1">
        <v>0</v>
      </c>
      <c r="U28" s="1"/>
      <c r="V28" s="1"/>
      <c r="W28" s="1">
        <v>14</v>
      </c>
      <c r="X28" s="1"/>
      <c r="Y28" s="1">
        <v>12</v>
      </c>
      <c r="Z28" s="1">
        <v>4</v>
      </c>
      <c r="AA28" s="1">
        <v>0</v>
      </c>
      <c r="AB28" s="1">
        <v>2</v>
      </c>
      <c r="AC28" s="1"/>
      <c r="AD28" s="1">
        <v>48</v>
      </c>
    </row>
    <row r="29" spans="1:30">
      <c r="A29" s="19" t="s">
        <v>344</v>
      </c>
      <c r="B29" s="1">
        <v>1</v>
      </c>
      <c r="C29" s="1"/>
      <c r="D29" s="1"/>
      <c r="E29" s="1"/>
      <c r="F29" s="1"/>
      <c r="G29" s="1">
        <v>1</v>
      </c>
      <c r="H29" s="1">
        <v>2</v>
      </c>
      <c r="I29" s="1">
        <v>4</v>
      </c>
      <c r="J29" s="1"/>
      <c r="K29" s="1">
        <v>7</v>
      </c>
      <c r="L29" s="1">
        <v>0</v>
      </c>
      <c r="M29" s="1">
        <v>2</v>
      </c>
      <c r="N29" s="1">
        <v>0</v>
      </c>
      <c r="O29" s="1"/>
      <c r="P29" s="1">
        <v>3</v>
      </c>
      <c r="Q29" s="1"/>
      <c r="R29" s="1"/>
      <c r="S29" s="1"/>
      <c r="T29" s="1">
        <v>0</v>
      </c>
      <c r="U29" s="1"/>
      <c r="V29" s="1"/>
      <c r="W29" s="1">
        <v>15</v>
      </c>
      <c r="X29" s="1"/>
      <c r="Y29" s="1">
        <v>13</v>
      </c>
      <c r="Z29" s="1">
        <v>6</v>
      </c>
      <c r="AA29" s="1">
        <v>0</v>
      </c>
      <c r="AB29" s="1">
        <v>3</v>
      </c>
      <c r="AC29" s="1"/>
      <c r="AD29" s="1">
        <v>57</v>
      </c>
    </row>
    <row r="30" spans="1:30">
      <c r="A30" s="19" t="s">
        <v>345</v>
      </c>
      <c r="B30" s="1">
        <v>1</v>
      </c>
      <c r="C30" s="1"/>
      <c r="D30" s="1">
        <v>1</v>
      </c>
      <c r="E30" s="1"/>
      <c r="F30" s="1"/>
      <c r="G30" s="1">
        <v>2</v>
      </c>
      <c r="H30" s="1">
        <v>3</v>
      </c>
      <c r="I30" s="1">
        <v>4</v>
      </c>
      <c r="J30" s="1"/>
      <c r="K30" s="1">
        <v>9</v>
      </c>
      <c r="L30" s="1">
        <v>0</v>
      </c>
      <c r="M30" s="1">
        <v>3</v>
      </c>
      <c r="N30" s="1">
        <v>0</v>
      </c>
      <c r="O30" s="1"/>
      <c r="P30" s="1">
        <v>3</v>
      </c>
      <c r="Q30" s="1"/>
      <c r="R30" s="1"/>
      <c r="S30" s="1"/>
      <c r="T30" s="1">
        <v>0</v>
      </c>
      <c r="U30" s="1"/>
      <c r="V30" s="1"/>
      <c r="W30" s="1">
        <v>22</v>
      </c>
      <c r="X30" s="1"/>
      <c r="Y30" s="1">
        <v>19</v>
      </c>
      <c r="Z30" s="1">
        <v>7</v>
      </c>
      <c r="AA30" s="1">
        <v>0</v>
      </c>
      <c r="AB30" s="1">
        <v>4</v>
      </c>
      <c r="AC30" s="1"/>
      <c r="AD30" s="1">
        <v>78</v>
      </c>
    </row>
    <row r="31" spans="1:30">
      <c r="A31" s="19" t="s">
        <v>346</v>
      </c>
      <c r="B31" s="1">
        <v>2</v>
      </c>
      <c r="C31" s="1"/>
      <c r="D31" s="1"/>
      <c r="E31" s="1"/>
      <c r="F31" s="1">
        <v>1</v>
      </c>
      <c r="G31" s="1">
        <v>3</v>
      </c>
      <c r="H31" s="1">
        <v>3</v>
      </c>
      <c r="I31" s="1">
        <v>5</v>
      </c>
      <c r="J31" s="1"/>
      <c r="K31" s="1">
        <v>9</v>
      </c>
      <c r="L31" s="1">
        <v>0</v>
      </c>
      <c r="M31" s="1">
        <v>4</v>
      </c>
      <c r="N31" s="1">
        <v>0</v>
      </c>
      <c r="O31" s="1">
        <v>1</v>
      </c>
      <c r="P31" s="1">
        <v>4</v>
      </c>
      <c r="Q31" s="1"/>
      <c r="R31" s="1"/>
      <c r="S31" s="1"/>
      <c r="T31" s="1">
        <v>0</v>
      </c>
      <c r="U31" s="1"/>
      <c r="V31" s="1"/>
      <c r="W31" s="1">
        <v>28</v>
      </c>
      <c r="X31" s="1"/>
      <c r="Y31" s="1">
        <v>22</v>
      </c>
      <c r="Z31" s="1">
        <v>10</v>
      </c>
      <c r="AA31" s="1">
        <v>0</v>
      </c>
      <c r="AB31" s="1">
        <v>5</v>
      </c>
      <c r="AC31" s="1"/>
      <c r="AD31" s="1">
        <v>97</v>
      </c>
    </row>
    <row r="32" spans="1:30">
      <c r="A32" s="19" t="s">
        <v>347</v>
      </c>
      <c r="B32" s="1">
        <v>3</v>
      </c>
      <c r="C32" s="1"/>
      <c r="D32" s="1">
        <v>1</v>
      </c>
      <c r="E32" s="1"/>
      <c r="F32" s="1"/>
      <c r="G32" s="1"/>
      <c r="H32" s="1">
        <v>3</v>
      </c>
      <c r="I32" s="1">
        <v>5</v>
      </c>
      <c r="J32" s="1"/>
      <c r="K32" s="1">
        <v>10</v>
      </c>
      <c r="L32" s="1">
        <v>0</v>
      </c>
      <c r="M32" s="1">
        <v>4</v>
      </c>
      <c r="N32" s="1">
        <v>0</v>
      </c>
      <c r="O32" s="1">
        <v>1</v>
      </c>
      <c r="P32" s="1">
        <v>4</v>
      </c>
      <c r="Q32" s="1"/>
      <c r="R32" s="1"/>
      <c r="S32" s="1"/>
      <c r="T32" s="1">
        <v>0</v>
      </c>
      <c r="U32" s="1"/>
      <c r="V32" s="1"/>
      <c r="W32" s="1">
        <v>37</v>
      </c>
      <c r="X32" s="1"/>
      <c r="Y32" s="1">
        <v>24</v>
      </c>
      <c r="Z32" s="1">
        <v>11</v>
      </c>
      <c r="AA32" s="1">
        <v>0</v>
      </c>
      <c r="AB32" s="1">
        <v>6</v>
      </c>
      <c r="AC32" s="1"/>
      <c r="AD32" s="1">
        <v>109</v>
      </c>
    </row>
    <row r="33" spans="1:30">
      <c r="A33" s="19" t="s">
        <v>348</v>
      </c>
      <c r="B33" s="1">
        <v>4</v>
      </c>
      <c r="C33" s="1">
        <v>1</v>
      </c>
      <c r="D33" s="1">
        <v>1</v>
      </c>
      <c r="E33" s="1"/>
      <c r="F33" s="1">
        <v>1</v>
      </c>
      <c r="G33" s="1">
        <v>5</v>
      </c>
      <c r="H33" s="1">
        <v>3</v>
      </c>
      <c r="I33" s="1">
        <v>5</v>
      </c>
      <c r="J33" s="1"/>
      <c r="K33" s="1">
        <v>16</v>
      </c>
      <c r="L33" s="1">
        <v>0</v>
      </c>
      <c r="M33" s="1">
        <v>5</v>
      </c>
      <c r="N33" s="1">
        <v>0</v>
      </c>
      <c r="O33" s="1">
        <v>1</v>
      </c>
      <c r="P33" s="1">
        <v>5</v>
      </c>
      <c r="Q33" s="1"/>
      <c r="R33" s="1"/>
      <c r="S33" s="1">
        <v>1</v>
      </c>
      <c r="T33" s="1">
        <v>0</v>
      </c>
      <c r="U33" s="1"/>
      <c r="V33" s="1"/>
      <c r="W33" s="1">
        <v>48</v>
      </c>
      <c r="X33" s="1"/>
      <c r="Y33" s="1">
        <v>28</v>
      </c>
      <c r="Z33" s="1">
        <v>13</v>
      </c>
      <c r="AA33" s="1">
        <v>0</v>
      </c>
      <c r="AB33" s="1">
        <v>6</v>
      </c>
      <c r="AC33" s="1"/>
      <c r="AD33" s="1">
        <v>143</v>
      </c>
    </row>
    <row r="34" spans="1:30">
      <c r="A34" s="19" t="s">
        <v>349</v>
      </c>
      <c r="B34" s="1">
        <v>5</v>
      </c>
      <c r="C34" s="1">
        <v>1</v>
      </c>
      <c r="D34" s="1">
        <v>2</v>
      </c>
      <c r="E34" s="1"/>
      <c r="F34" s="1">
        <v>2</v>
      </c>
      <c r="G34" s="1">
        <v>6</v>
      </c>
      <c r="H34" s="1">
        <v>4</v>
      </c>
      <c r="I34" s="1">
        <v>5</v>
      </c>
      <c r="J34" s="1"/>
      <c r="K34" s="1">
        <v>17</v>
      </c>
      <c r="L34" s="1">
        <v>0</v>
      </c>
      <c r="M34" s="1">
        <v>6</v>
      </c>
      <c r="N34" s="1">
        <v>0</v>
      </c>
      <c r="O34" s="1">
        <v>2</v>
      </c>
      <c r="P34" s="1">
        <v>6</v>
      </c>
      <c r="Q34" s="1"/>
      <c r="R34" s="1"/>
      <c r="S34" s="1"/>
      <c r="T34" s="1">
        <v>0</v>
      </c>
      <c r="U34" s="1">
        <v>0</v>
      </c>
      <c r="V34" s="1">
        <v>1</v>
      </c>
      <c r="W34" s="1">
        <v>53</v>
      </c>
      <c r="X34" s="1"/>
      <c r="Y34" s="1">
        <v>32</v>
      </c>
      <c r="Z34" s="1">
        <v>14</v>
      </c>
      <c r="AA34" s="1">
        <v>0</v>
      </c>
      <c r="AB34" s="1">
        <v>8</v>
      </c>
      <c r="AC34" s="1"/>
      <c r="AD34" s="1">
        <v>164</v>
      </c>
    </row>
    <row r="35" spans="1:30">
      <c r="A35" s="19" t="s">
        <v>350</v>
      </c>
      <c r="B35" s="1">
        <v>6</v>
      </c>
      <c r="C35" s="1">
        <v>1</v>
      </c>
      <c r="D35" s="1">
        <v>2</v>
      </c>
      <c r="E35" s="1"/>
      <c r="F35" s="1">
        <v>2</v>
      </c>
      <c r="G35" s="1">
        <v>6</v>
      </c>
      <c r="H35" s="1">
        <v>5</v>
      </c>
      <c r="I35" s="1">
        <v>8</v>
      </c>
      <c r="J35" s="1"/>
      <c r="K35" s="1">
        <v>24</v>
      </c>
      <c r="L35" s="1">
        <v>0</v>
      </c>
      <c r="M35" s="1">
        <v>8</v>
      </c>
      <c r="N35" s="1">
        <v>0</v>
      </c>
      <c r="O35" s="1">
        <v>2</v>
      </c>
      <c r="P35" s="1">
        <v>9</v>
      </c>
      <c r="Q35" s="1"/>
      <c r="R35" s="1"/>
      <c r="S35" s="1">
        <v>1</v>
      </c>
      <c r="T35" s="1">
        <v>0</v>
      </c>
      <c r="U35" s="1">
        <v>0</v>
      </c>
      <c r="V35" s="1">
        <v>1</v>
      </c>
      <c r="W35" s="1">
        <v>60</v>
      </c>
      <c r="X35" s="1"/>
      <c r="Y35" s="1">
        <v>40</v>
      </c>
      <c r="Z35" s="1">
        <v>15</v>
      </c>
      <c r="AA35" s="1">
        <v>0</v>
      </c>
      <c r="AB35" s="1">
        <v>10</v>
      </c>
      <c r="AC35" s="1"/>
      <c r="AD35" s="1">
        <v>200</v>
      </c>
    </row>
    <row r="36" spans="1:30">
      <c r="A36" s="19" t="s">
        <v>351</v>
      </c>
      <c r="B36" s="1">
        <v>11</v>
      </c>
      <c r="C36" s="1">
        <v>1</v>
      </c>
      <c r="D36" s="1">
        <v>2</v>
      </c>
      <c r="E36" s="1"/>
      <c r="F36" s="1">
        <v>2</v>
      </c>
      <c r="G36" s="1">
        <v>7</v>
      </c>
      <c r="H36" s="1">
        <v>5</v>
      </c>
      <c r="I36" s="1">
        <v>12</v>
      </c>
      <c r="J36" s="1"/>
      <c r="K36" s="1">
        <v>26</v>
      </c>
      <c r="L36" s="1">
        <v>0</v>
      </c>
      <c r="M36" s="1">
        <v>8</v>
      </c>
      <c r="N36" s="1">
        <v>0</v>
      </c>
      <c r="O36" s="1">
        <v>3</v>
      </c>
      <c r="P36" s="1">
        <v>12</v>
      </c>
      <c r="Q36" s="1"/>
      <c r="R36" s="1"/>
      <c r="S36" s="1">
        <v>2</v>
      </c>
      <c r="T36" s="1">
        <v>0</v>
      </c>
      <c r="U36" s="1">
        <v>0</v>
      </c>
      <c r="V36" s="1">
        <v>1</v>
      </c>
      <c r="W36" s="1">
        <v>67</v>
      </c>
      <c r="X36" s="1"/>
      <c r="Y36" s="1">
        <v>57</v>
      </c>
      <c r="Z36" s="1">
        <v>17</v>
      </c>
      <c r="AA36" s="1">
        <v>0</v>
      </c>
      <c r="AB36" s="1">
        <v>13</v>
      </c>
      <c r="AC36" s="1"/>
      <c r="AD36" s="1">
        <v>246</v>
      </c>
    </row>
    <row r="37" spans="1:30">
      <c r="A37" s="19" t="s">
        <v>352</v>
      </c>
      <c r="B37" s="1">
        <v>14</v>
      </c>
      <c r="C37" s="1">
        <v>1</v>
      </c>
      <c r="D37" s="1">
        <v>3</v>
      </c>
      <c r="E37" s="1"/>
      <c r="F37" s="1">
        <v>2</v>
      </c>
      <c r="G37" s="1">
        <v>8</v>
      </c>
      <c r="H37" s="1">
        <v>5</v>
      </c>
      <c r="I37" s="1">
        <v>13</v>
      </c>
      <c r="J37" s="1"/>
      <c r="K37" s="1">
        <v>33</v>
      </c>
      <c r="L37" s="1">
        <v>0</v>
      </c>
      <c r="M37" s="1">
        <v>9</v>
      </c>
      <c r="N37" s="1">
        <v>0</v>
      </c>
      <c r="O37" s="1">
        <v>3</v>
      </c>
      <c r="P37" s="1">
        <v>13</v>
      </c>
      <c r="Q37" s="1"/>
      <c r="R37" s="1"/>
      <c r="S37" s="1"/>
      <c r="T37" s="1">
        <v>0</v>
      </c>
      <c r="U37" s="1">
        <v>1</v>
      </c>
      <c r="V37" s="1">
        <v>2</v>
      </c>
      <c r="W37" s="1">
        <v>76</v>
      </c>
      <c r="X37" s="1"/>
      <c r="Y37" s="1">
        <v>61</v>
      </c>
      <c r="Z37" s="1">
        <v>21</v>
      </c>
      <c r="AA37" s="1">
        <v>0</v>
      </c>
      <c r="AB37" s="1">
        <v>15</v>
      </c>
      <c r="AC37" s="1"/>
      <c r="AD37" s="1">
        <v>280</v>
      </c>
    </row>
    <row r="38" spans="1:30">
      <c r="A38" s="19" t="s">
        <v>353</v>
      </c>
      <c r="B38" s="1">
        <v>15</v>
      </c>
      <c r="C38" s="1">
        <v>1</v>
      </c>
      <c r="D38" s="1"/>
      <c r="E38" s="1"/>
      <c r="F38" s="1">
        <v>2</v>
      </c>
      <c r="G38" s="1">
        <v>9</v>
      </c>
      <c r="H38" s="1">
        <v>6</v>
      </c>
      <c r="I38" s="1">
        <v>13</v>
      </c>
      <c r="J38" s="1"/>
      <c r="K38" s="1">
        <v>41</v>
      </c>
      <c r="L38" s="1">
        <v>1</v>
      </c>
      <c r="M38" s="1">
        <v>12</v>
      </c>
      <c r="N38" s="1">
        <v>0</v>
      </c>
      <c r="O38" s="1">
        <v>4</v>
      </c>
      <c r="P38" s="1">
        <v>15</v>
      </c>
      <c r="Q38" s="1"/>
      <c r="R38" s="1"/>
      <c r="S38" s="1">
        <v>5</v>
      </c>
      <c r="T38" s="1">
        <v>0</v>
      </c>
      <c r="U38" s="1">
        <v>1</v>
      </c>
      <c r="V38" s="1">
        <v>2</v>
      </c>
      <c r="W38" s="1">
        <v>87</v>
      </c>
      <c r="X38" s="1"/>
      <c r="Y38" s="1">
        <v>72</v>
      </c>
      <c r="Z38" s="1">
        <v>25</v>
      </c>
      <c r="AA38" s="1">
        <v>1</v>
      </c>
      <c r="AB38" s="1">
        <v>19</v>
      </c>
      <c r="AC38" s="1"/>
      <c r="AD38" s="1">
        <v>331</v>
      </c>
    </row>
    <row r="39" spans="1:30">
      <c r="A39" s="19" t="s">
        <v>354</v>
      </c>
      <c r="B39" s="1">
        <v>15</v>
      </c>
      <c r="C39" s="1">
        <v>2</v>
      </c>
      <c r="D39" s="1"/>
      <c r="E39" s="1"/>
      <c r="F39" s="1">
        <v>2</v>
      </c>
      <c r="G39" s="1">
        <v>10</v>
      </c>
      <c r="H39" s="1">
        <v>6</v>
      </c>
      <c r="I39" s="1">
        <v>15</v>
      </c>
      <c r="J39" s="1"/>
      <c r="K39" s="1">
        <v>49</v>
      </c>
      <c r="L39" s="1">
        <v>1</v>
      </c>
      <c r="M39" s="1">
        <v>15</v>
      </c>
      <c r="N39" s="1">
        <v>0</v>
      </c>
      <c r="O39" s="1">
        <v>5</v>
      </c>
      <c r="P39" s="1">
        <v>18</v>
      </c>
      <c r="Q39" s="1"/>
      <c r="R39" s="1"/>
      <c r="S39" s="1">
        <v>5</v>
      </c>
      <c r="T39" s="1">
        <v>0</v>
      </c>
      <c r="U39" s="1">
        <v>2</v>
      </c>
      <c r="V39" s="1">
        <v>2</v>
      </c>
      <c r="W39" s="1">
        <v>93</v>
      </c>
      <c r="X39" s="1"/>
      <c r="Y39" s="1">
        <v>81</v>
      </c>
      <c r="Z39" s="1">
        <v>31</v>
      </c>
      <c r="AA39" s="1">
        <v>1</v>
      </c>
      <c r="AB39" s="1">
        <v>22</v>
      </c>
      <c r="AC39" s="1"/>
      <c r="AD39" s="1">
        <v>375</v>
      </c>
    </row>
    <row r="40" spans="1:30">
      <c r="A40" s="19" t="s">
        <v>355</v>
      </c>
      <c r="B40" s="1">
        <v>17</v>
      </c>
      <c r="C40" s="1"/>
      <c r="D40" s="1">
        <v>8</v>
      </c>
      <c r="E40" s="1"/>
      <c r="F40" s="1">
        <v>2</v>
      </c>
      <c r="G40" s="1">
        <v>13</v>
      </c>
      <c r="H40" s="1">
        <v>7</v>
      </c>
      <c r="I40" s="1">
        <v>15</v>
      </c>
      <c r="J40" s="1"/>
      <c r="K40" s="1">
        <v>58</v>
      </c>
      <c r="L40" s="1">
        <v>2</v>
      </c>
      <c r="M40" s="1">
        <v>19</v>
      </c>
      <c r="N40" s="1">
        <v>0</v>
      </c>
      <c r="O40" s="1">
        <v>6</v>
      </c>
      <c r="P40" s="1">
        <v>20</v>
      </c>
      <c r="Q40" s="1"/>
      <c r="R40" s="1"/>
      <c r="S40" s="1">
        <v>5</v>
      </c>
      <c r="T40" s="1">
        <v>0</v>
      </c>
      <c r="U40" s="1">
        <v>2</v>
      </c>
      <c r="V40" s="1">
        <v>2</v>
      </c>
      <c r="W40" s="1">
        <v>105</v>
      </c>
      <c r="X40" s="1"/>
      <c r="Y40" s="1">
        <v>93</v>
      </c>
      <c r="Z40" s="1">
        <v>35</v>
      </c>
      <c r="AA40" s="1">
        <v>1</v>
      </c>
      <c r="AB40" s="1">
        <v>24</v>
      </c>
      <c r="AC40" s="1"/>
      <c r="AD40" s="1">
        <v>434</v>
      </c>
    </row>
    <row r="41" spans="1:30">
      <c r="A41" s="19" t="s">
        <v>356</v>
      </c>
      <c r="B41" s="1">
        <v>20</v>
      </c>
      <c r="C41" s="1">
        <v>2</v>
      </c>
      <c r="D41" s="1">
        <v>11</v>
      </c>
      <c r="E41" s="1"/>
      <c r="F41" s="1">
        <v>2</v>
      </c>
      <c r="G41" s="1">
        <v>16</v>
      </c>
      <c r="H41" s="1">
        <v>10</v>
      </c>
      <c r="I41" s="1">
        <v>16</v>
      </c>
      <c r="J41" s="1"/>
      <c r="K41" s="1">
        <v>66</v>
      </c>
      <c r="L41" s="1">
        <v>2</v>
      </c>
      <c r="M41" s="1">
        <v>23</v>
      </c>
      <c r="N41" s="1">
        <v>0</v>
      </c>
      <c r="O41" s="1">
        <v>7</v>
      </c>
      <c r="P41" s="1">
        <v>22</v>
      </c>
      <c r="Q41" s="1"/>
      <c r="R41" s="1"/>
      <c r="S41" s="1">
        <v>7</v>
      </c>
      <c r="T41" s="1">
        <v>1</v>
      </c>
      <c r="U41" s="1">
        <v>4</v>
      </c>
      <c r="V41" s="1">
        <v>3</v>
      </c>
      <c r="W41" s="1">
        <v>120</v>
      </c>
      <c r="X41" s="1"/>
      <c r="Y41" s="1">
        <v>105</v>
      </c>
      <c r="Z41" s="1">
        <v>37</v>
      </c>
      <c r="AA41" s="1">
        <v>1</v>
      </c>
      <c r="AB41" s="1">
        <v>27</v>
      </c>
      <c r="AC41" s="1"/>
      <c r="AD41" s="1">
        <v>502</v>
      </c>
    </row>
    <row r="42" spans="1:30">
      <c r="A42" s="19" t="s">
        <v>357</v>
      </c>
      <c r="B42" s="1">
        <v>23</v>
      </c>
      <c r="C42" s="1">
        <v>3</v>
      </c>
      <c r="D42" s="1">
        <v>11</v>
      </c>
      <c r="E42" s="1"/>
      <c r="F42" s="1">
        <v>3</v>
      </c>
      <c r="G42" s="1">
        <v>20</v>
      </c>
      <c r="H42" s="1">
        <v>11</v>
      </c>
      <c r="I42" s="1">
        <v>18</v>
      </c>
      <c r="J42" s="1"/>
      <c r="K42" s="1">
        <v>75</v>
      </c>
      <c r="L42" s="1">
        <v>2</v>
      </c>
      <c r="M42" s="1">
        <v>26</v>
      </c>
      <c r="N42" s="1">
        <v>0</v>
      </c>
      <c r="O42" s="1">
        <v>7</v>
      </c>
      <c r="P42" s="1">
        <v>24</v>
      </c>
      <c r="Q42" s="1"/>
      <c r="R42" s="1"/>
      <c r="S42" s="1">
        <v>7</v>
      </c>
      <c r="T42" s="1">
        <v>1</v>
      </c>
      <c r="U42" s="1">
        <v>4</v>
      </c>
      <c r="V42" s="1">
        <v>4</v>
      </c>
      <c r="W42" s="1">
        <v>132</v>
      </c>
      <c r="X42" s="1">
        <v>1</v>
      </c>
      <c r="Y42" s="1">
        <v>116</v>
      </c>
      <c r="Z42" s="1">
        <v>40</v>
      </c>
      <c r="AA42" s="1">
        <v>1</v>
      </c>
      <c r="AB42" s="1">
        <v>36</v>
      </c>
      <c r="AC42" s="1"/>
      <c r="AD42" s="1">
        <v>565</v>
      </c>
    </row>
    <row r="43" spans="1:30">
      <c r="A43" s="19" t="s">
        <v>358</v>
      </c>
      <c r="B43" s="1">
        <v>26</v>
      </c>
      <c r="C43" s="1">
        <v>3</v>
      </c>
      <c r="D43" s="1">
        <v>12</v>
      </c>
      <c r="E43" s="1"/>
      <c r="F43" s="1">
        <v>3</v>
      </c>
      <c r="G43" s="1">
        <v>23</v>
      </c>
      <c r="H43" s="1">
        <v>12</v>
      </c>
      <c r="I43" s="1">
        <v>19</v>
      </c>
      <c r="J43" s="1"/>
      <c r="K43" s="1">
        <v>83</v>
      </c>
      <c r="L43" s="1">
        <v>2</v>
      </c>
      <c r="M43" s="1">
        <v>28</v>
      </c>
      <c r="N43" s="1">
        <v>0</v>
      </c>
      <c r="O43" s="1">
        <v>7</v>
      </c>
      <c r="P43" s="1">
        <v>27</v>
      </c>
      <c r="Q43" s="1"/>
      <c r="R43" s="1"/>
      <c r="S43" s="1">
        <v>8</v>
      </c>
      <c r="T43" s="1">
        <v>1</v>
      </c>
      <c r="U43" s="1">
        <v>4</v>
      </c>
      <c r="V43" s="1">
        <v>4</v>
      </c>
      <c r="W43" s="1">
        <v>141</v>
      </c>
      <c r="X43" s="1">
        <v>1</v>
      </c>
      <c r="Y43" s="1">
        <v>135</v>
      </c>
      <c r="Z43" s="1">
        <v>47</v>
      </c>
      <c r="AA43" s="1">
        <v>1</v>
      </c>
      <c r="AB43" s="1">
        <v>39</v>
      </c>
      <c r="AC43" s="1"/>
      <c r="AD43" s="1">
        <v>626</v>
      </c>
    </row>
    <row r="44" spans="1:30">
      <c r="A44" s="19" t="s">
        <v>359</v>
      </c>
      <c r="B44" s="1">
        <v>31</v>
      </c>
      <c r="C44" s="1">
        <v>3</v>
      </c>
      <c r="D44" s="1">
        <v>12</v>
      </c>
      <c r="E44" s="1"/>
      <c r="F44" s="1">
        <v>3</v>
      </c>
      <c r="G44" s="1">
        <v>26</v>
      </c>
      <c r="H44" s="1">
        <v>14</v>
      </c>
      <c r="I44" s="1">
        <v>21</v>
      </c>
      <c r="J44" s="1"/>
      <c r="K44" s="1">
        <v>90</v>
      </c>
      <c r="L44" s="1">
        <v>2</v>
      </c>
      <c r="M44" s="1">
        <v>30</v>
      </c>
      <c r="N44" s="1">
        <v>0</v>
      </c>
      <c r="O44" s="1">
        <v>7</v>
      </c>
      <c r="P44" s="1">
        <v>28</v>
      </c>
      <c r="Q44" s="1"/>
      <c r="R44" s="1"/>
      <c r="S44" s="1">
        <v>8</v>
      </c>
      <c r="T44" s="1">
        <v>1</v>
      </c>
      <c r="U44" s="1">
        <v>4</v>
      </c>
      <c r="V44" s="1">
        <v>5</v>
      </c>
      <c r="W44" s="1">
        <v>155</v>
      </c>
      <c r="X44" s="1">
        <v>1</v>
      </c>
      <c r="Y44" s="1">
        <v>153</v>
      </c>
      <c r="Z44" s="1">
        <v>51</v>
      </c>
      <c r="AA44" s="1">
        <v>1</v>
      </c>
      <c r="AB44" s="1">
        <v>41</v>
      </c>
      <c r="AC44" s="1"/>
      <c r="AD44" s="1">
        <v>687</v>
      </c>
    </row>
    <row r="45" spans="1:30">
      <c r="A45" s="19" t="s">
        <v>360</v>
      </c>
      <c r="B45" s="1">
        <v>37</v>
      </c>
      <c r="C45" s="1">
        <v>3</v>
      </c>
      <c r="D45" s="1"/>
      <c r="E45" s="1"/>
      <c r="F45" s="1">
        <v>3</v>
      </c>
      <c r="G45" s="1">
        <v>28</v>
      </c>
      <c r="H45" s="1">
        <v>19</v>
      </c>
      <c r="I45" s="1">
        <v>24</v>
      </c>
      <c r="J45" s="1">
        <v>1</v>
      </c>
      <c r="K45" s="1">
        <v>103</v>
      </c>
      <c r="L45" s="1">
        <v>2</v>
      </c>
      <c r="M45" s="1">
        <v>30</v>
      </c>
      <c r="N45" s="1">
        <v>0</v>
      </c>
      <c r="O45" s="1">
        <v>7</v>
      </c>
      <c r="P45" s="1">
        <v>30</v>
      </c>
      <c r="Q45" s="1"/>
      <c r="R45" s="1"/>
      <c r="S45" s="1">
        <v>9</v>
      </c>
      <c r="T45" s="1">
        <v>1</v>
      </c>
      <c r="U45" s="1">
        <v>5</v>
      </c>
      <c r="V45" s="1">
        <v>5</v>
      </c>
      <c r="W45" s="1">
        <v>165</v>
      </c>
      <c r="X45" s="1">
        <v>1</v>
      </c>
      <c r="Y45" s="1">
        <v>164</v>
      </c>
      <c r="Z45" s="1">
        <v>53</v>
      </c>
      <c r="AA45" s="1">
        <v>2</v>
      </c>
      <c r="AB45" s="1">
        <v>49</v>
      </c>
      <c r="AC45" s="1"/>
      <c r="AD45" s="1">
        <v>741</v>
      </c>
    </row>
    <row r="46" spans="1:30">
      <c r="A46" s="19" t="s">
        <v>361</v>
      </c>
      <c r="B46" s="1">
        <v>40</v>
      </c>
      <c r="C46" s="1">
        <v>3</v>
      </c>
      <c r="D46" s="1"/>
      <c r="E46" s="1"/>
      <c r="F46" s="1">
        <v>3</v>
      </c>
      <c r="G46" s="1">
        <v>28</v>
      </c>
      <c r="H46" s="1">
        <v>19</v>
      </c>
      <c r="I46" s="1">
        <v>26</v>
      </c>
      <c r="J46" s="1">
        <v>1</v>
      </c>
      <c r="K46" s="1">
        <v>110</v>
      </c>
      <c r="L46" s="1">
        <v>2</v>
      </c>
      <c r="M46" s="1">
        <v>33</v>
      </c>
      <c r="N46" s="1">
        <v>0</v>
      </c>
      <c r="O46" s="1">
        <v>9</v>
      </c>
      <c r="P46" s="1">
        <v>30</v>
      </c>
      <c r="Q46" s="1"/>
      <c r="R46" s="1"/>
      <c r="S46" s="1">
        <v>9</v>
      </c>
      <c r="T46" s="1">
        <v>1</v>
      </c>
      <c r="U46" s="1">
        <v>5</v>
      </c>
      <c r="V46" s="1">
        <v>7</v>
      </c>
      <c r="W46" s="1">
        <v>177</v>
      </c>
      <c r="X46" s="1">
        <v>2</v>
      </c>
      <c r="Y46" s="1">
        <v>176</v>
      </c>
      <c r="Z46" s="1">
        <v>57</v>
      </c>
      <c r="AA46" s="1">
        <v>2</v>
      </c>
      <c r="AB46" s="1">
        <v>53</v>
      </c>
      <c r="AC46" s="1"/>
      <c r="AD46" s="1">
        <v>793</v>
      </c>
    </row>
    <row r="47" spans="1:30">
      <c r="A47" s="19" t="s">
        <v>362</v>
      </c>
      <c r="B47" s="1">
        <v>41</v>
      </c>
      <c r="C47" s="1">
        <v>3</v>
      </c>
      <c r="D47" s="1">
        <v>13</v>
      </c>
      <c r="E47" s="1"/>
      <c r="F47" s="1">
        <v>3</v>
      </c>
      <c r="G47" s="1">
        <v>31</v>
      </c>
      <c r="H47" s="1">
        <v>19</v>
      </c>
      <c r="I47" s="1">
        <v>26</v>
      </c>
      <c r="J47" s="1"/>
      <c r="K47" s="1">
        <v>121</v>
      </c>
      <c r="L47" s="1">
        <v>2</v>
      </c>
      <c r="M47" s="1">
        <v>34</v>
      </c>
      <c r="N47" s="1">
        <v>0</v>
      </c>
      <c r="O47" s="1">
        <v>9</v>
      </c>
      <c r="P47" s="1">
        <v>34</v>
      </c>
      <c r="Q47" s="1"/>
      <c r="R47" s="1">
        <v>0</v>
      </c>
      <c r="S47" s="1">
        <v>11</v>
      </c>
      <c r="T47" s="1">
        <v>1</v>
      </c>
      <c r="U47" s="1">
        <v>6</v>
      </c>
      <c r="V47" s="1">
        <v>7</v>
      </c>
      <c r="W47" s="1">
        <v>189</v>
      </c>
      <c r="X47" s="1">
        <v>2</v>
      </c>
      <c r="Y47" s="1">
        <v>192</v>
      </c>
      <c r="Z47" s="1">
        <v>60</v>
      </c>
      <c r="AA47" s="1">
        <v>3</v>
      </c>
      <c r="AB47" s="1">
        <v>55</v>
      </c>
      <c r="AC47" s="1"/>
      <c r="AD47" s="1">
        <v>862</v>
      </c>
    </row>
    <row r="48" spans="1:30">
      <c r="A48" s="19" t="s">
        <v>363</v>
      </c>
      <c r="B48" s="1">
        <v>44</v>
      </c>
      <c r="C48" s="1">
        <v>3</v>
      </c>
      <c r="D48" s="1">
        <v>16</v>
      </c>
      <c r="E48" s="1"/>
      <c r="F48" s="1">
        <v>3</v>
      </c>
      <c r="G48" s="1">
        <v>33</v>
      </c>
      <c r="H48" s="1">
        <v>19</v>
      </c>
      <c r="I48" s="1">
        <v>28</v>
      </c>
      <c r="J48" s="1">
        <v>1</v>
      </c>
      <c r="K48" s="1">
        <v>132</v>
      </c>
      <c r="L48" s="1">
        <v>2</v>
      </c>
      <c r="M48" s="1">
        <v>35</v>
      </c>
      <c r="N48" s="1">
        <v>0</v>
      </c>
      <c r="O48" s="1">
        <v>9</v>
      </c>
      <c r="P48" s="1">
        <v>37</v>
      </c>
      <c r="Q48" s="1"/>
      <c r="R48" s="1">
        <v>0</v>
      </c>
      <c r="S48" s="1">
        <v>13</v>
      </c>
      <c r="T48" s="1">
        <v>1</v>
      </c>
      <c r="U48" s="1">
        <v>7</v>
      </c>
      <c r="V48" s="1">
        <v>8</v>
      </c>
      <c r="W48" s="1">
        <v>198</v>
      </c>
      <c r="X48" s="1">
        <v>2</v>
      </c>
      <c r="Y48" s="1">
        <v>204</v>
      </c>
      <c r="Z48" s="1">
        <v>68</v>
      </c>
      <c r="AA48" s="1">
        <v>3</v>
      </c>
      <c r="AB48" s="1">
        <v>57</v>
      </c>
      <c r="AC48" s="1"/>
      <c r="AD48" s="1">
        <v>923</v>
      </c>
    </row>
    <row r="49" spans="1:30">
      <c r="A49" s="19" t="s">
        <v>364</v>
      </c>
      <c r="B49" s="1">
        <v>45</v>
      </c>
      <c r="C49" s="1">
        <v>3</v>
      </c>
      <c r="D49" s="1">
        <v>16</v>
      </c>
      <c r="E49" s="1"/>
      <c r="F49" s="1">
        <v>3</v>
      </c>
      <c r="G49" s="1">
        <v>37</v>
      </c>
      <c r="H49" s="1">
        <v>21</v>
      </c>
      <c r="I49" s="1">
        <v>31</v>
      </c>
      <c r="J49" s="1"/>
      <c r="K49" s="1">
        <v>145</v>
      </c>
      <c r="L49" s="1">
        <v>2</v>
      </c>
      <c r="M49" s="1">
        <v>35</v>
      </c>
      <c r="N49" s="1">
        <v>1</v>
      </c>
      <c r="O49" s="1">
        <v>9</v>
      </c>
      <c r="P49" s="1">
        <v>40</v>
      </c>
      <c r="Q49" s="1"/>
      <c r="R49" s="1">
        <v>0</v>
      </c>
      <c r="S49" s="1">
        <v>15</v>
      </c>
      <c r="T49" s="1">
        <v>1</v>
      </c>
      <c r="U49" s="1">
        <v>7</v>
      </c>
      <c r="V49" s="1">
        <v>8</v>
      </c>
      <c r="W49" s="1">
        <v>211</v>
      </c>
      <c r="X49" s="1">
        <v>4</v>
      </c>
      <c r="Y49" s="1">
        <v>216</v>
      </c>
      <c r="Z49" s="1">
        <v>71</v>
      </c>
      <c r="AA49" s="1">
        <v>3</v>
      </c>
      <c r="AB49" s="1">
        <v>65</v>
      </c>
      <c r="AC49" s="1"/>
      <c r="AD49" s="1">
        <v>989</v>
      </c>
    </row>
    <row r="50" spans="1:30">
      <c r="A50" s="19" t="s">
        <v>365</v>
      </c>
      <c r="B50" s="1">
        <v>46</v>
      </c>
      <c r="C50" s="1">
        <v>5</v>
      </c>
      <c r="D50" s="1">
        <v>17</v>
      </c>
      <c r="E50" s="1"/>
      <c r="F50" s="1">
        <v>3</v>
      </c>
      <c r="G50" s="1">
        <v>38</v>
      </c>
      <c r="H50" s="1">
        <v>21</v>
      </c>
      <c r="I50" s="1">
        <v>33</v>
      </c>
      <c r="J50" s="1"/>
      <c r="K50" s="1">
        <v>154</v>
      </c>
      <c r="L50" s="1">
        <v>2</v>
      </c>
      <c r="M50" s="1">
        <v>36</v>
      </c>
      <c r="N50" s="1">
        <v>1</v>
      </c>
      <c r="O50" s="1">
        <v>9</v>
      </c>
      <c r="P50" s="1">
        <v>42</v>
      </c>
      <c r="Q50" s="1"/>
      <c r="R50" s="1">
        <v>0</v>
      </c>
      <c r="S50" s="1">
        <v>16</v>
      </c>
      <c r="T50" s="1">
        <v>1</v>
      </c>
      <c r="U50" s="1">
        <v>9</v>
      </c>
      <c r="V50" s="1">
        <v>8</v>
      </c>
      <c r="W50" s="1">
        <v>219</v>
      </c>
      <c r="X50" s="1">
        <v>4</v>
      </c>
      <c r="Y50" s="1">
        <v>230</v>
      </c>
      <c r="Z50" s="1">
        <v>77</v>
      </c>
      <c r="AA50" s="1">
        <v>3</v>
      </c>
      <c r="AB50" s="1">
        <v>66</v>
      </c>
      <c r="AC50" s="1"/>
      <c r="AD50" s="1">
        <v>1040</v>
      </c>
    </row>
    <row r="51" spans="1:30">
      <c r="A51" s="19" t="s">
        <v>366</v>
      </c>
      <c r="B51" s="1">
        <v>49</v>
      </c>
      <c r="C51" s="1">
        <v>5</v>
      </c>
      <c r="D51" s="1">
        <v>18</v>
      </c>
      <c r="E51" s="1"/>
      <c r="F51" s="1">
        <v>3</v>
      </c>
      <c r="G51" s="1">
        <v>42</v>
      </c>
      <c r="H51" s="1">
        <v>22</v>
      </c>
      <c r="I51" s="1">
        <v>33</v>
      </c>
      <c r="J51" s="1">
        <v>1</v>
      </c>
      <c r="K51" s="1">
        <v>164</v>
      </c>
      <c r="L51" s="1">
        <v>2</v>
      </c>
      <c r="M51" s="1">
        <v>36</v>
      </c>
      <c r="N51" s="1">
        <v>3</v>
      </c>
      <c r="O51" s="1">
        <v>9</v>
      </c>
      <c r="P51" s="1">
        <v>42</v>
      </c>
      <c r="Q51" s="1"/>
      <c r="R51" s="1"/>
      <c r="S51" s="1">
        <v>17</v>
      </c>
      <c r="T51" s="1">
        <v>1</v>
      </c>
      <c r="U51" s="1">
        <v>10</v>
      </c>
      <c r="V51" s="1">
        <v>8</v>
      </c>
      <c r="W51" s="1">
        <v>227</v>
      </c>
      <c r="X51" s="1">
        <v>4</v>
      </c>
      <c r="Y51" s="1">
        <v>237</v>
      </c>
      <c r="Z51" s="1">
        <v>83</v>
      </c>
      <c r="AA51" s="1">
        <v>3</v>
      </c>
      <c r="AB51" s="1">
        <v>71</v>
      </c>
      <c r="AC51" s="1"/>
      <c r="AD51" s="1">
        <v>1090</v>
      </c>
    </row>
    <row r="52" spans="1:30">
      <c r="A52" s="19" t="s">
        <v>367</v>
      </c>
      <c r="B52" s="1">
        <v>53</v>
      </c>
      <c r="C52" s="1">
        <v>6</v>
      </c>
      <c r="D52" s="1">
        <v>18</v>
      </c>
      <c r="E52" s="1"/>
      <c r="F52" s="1">
        <v>3</v>
      </c>
      <c r="G52" s="1">
        <v>44</v>
      </c>
      <c r="H52" s="1">
        <v>22</v>
      </c>
      <c r="I52" s="1">
        <v>33</v>
      </c>
      <c r="J52" s="1">
        <v>1</v>
      </c>
      <c r="K52" s="1">
        <v>172</v>
      </c>
      <c r="L52" s="1">
        <v>2</v>
      </c>
      <c r="M52" s="1">
        <v>36</v>
      </c>
      <c r="N52" s="1">
        <v>3</v>
      </c>
      <c r="O52" s="1">
        <v>10</v>
      </c>
      <c r="P52" s="1">
        <v>44</v>
      </c>
      <c r="Q52" s="1">
        <v>1</v>
      </c>
      <c r="R52" s="1"/>
      <c r="S52" s="1">
        <v>18</v>
      </c>
      <c r="T52" s="1">
        <v>1</v>
      </c>
      <c r="U52" s="1">
        <v>10</v>
      </c>
      <c r="V52" s="1">
        <v>8</v>
      </c>
      <c r="W52" s="1">
        <v>229</v>
      </c>
      <c r="X52" s="1">
        <v>4</v>
      </c>
      <c r="Y52" s="1">
        <v>243</v>
      </c>
      <c r="Z52" s="1">
        <v>85</v>
      </c>
      <c r="AA52" s="1">
        <v>4</v>
      </c>
      <c r="AB52" s="1">
        <v>77</v>
      </c>
      <c r="AC52" s="1"/>
      <c r="AD52" s="1">
        <v>1127</v>
      </c>
    </row>
    <row r="53" spans="1:30">
      <c r="A53" s="19" t="s">
        <v>368</v>
      </c>
      <c r="B53" s="1">
        <v>54</v>
      </c>
      <c r="C53" s="1">
        <v>7</v>
      </c>
      <c r="D53" s="1">
        <v>18</v>
      </c>
      <c r="E53" s="1"/>
      <c r="F53" s="1"/>
      <c r="G53" s="1">
        <v>49</v>
      </c>
      <c r="H53" s="1">
        <v>23</v>
      </c>
      <c r="I53" s="1">
        <v>33</v>
      </c>
      <c r="J53" s="1">
        <v>1</v>
      </c>
      <c r="K53" s="1">
        <v>178</v>
      </c>
      <c r="L53" s="1">
        <v>2</v>
      </c>
      <c r="M53" s="1">
        <v>36</v>
      </c>
      <c r="N53" s="1">
        <v>3</v>
      </c>
      <c r="O53" s="1">
        <v>10</v>
      </c>
      <c r="P53" s="1">
        <v>49</v>
      </c>
      <c r="Q53" s="1">
        <v>1</v>
      </c>
      <c r="R53" s="1"/>
      <c r="S53" s="1">
        <v>21</v>
      </c>
      <c r="T53" s="1">
        <v>1</v>
      </c>
      <c r="U53" s="1">
        <v>11</v>
      </c>
      <c r="V53" s="1">
        <v>8</v>
      </c>
      <c r="W53" s="1">
        <v>244</v>
      </c>
      <c r="X53" s="1">
        <v>4</v>
      </c>
      <c r="Y53" s="1">
        <v>251</v>
      </c>
      <c r="Z53" s="1">
        <v>91</v>
      </c>
      <c r="AA53" s="1">
        <v>5</v>
      </c>
      <c r="AB53" s="1">
        <v>79</v>
      </c>
      <c r="AC53" s="1"/>
      <c r="AD53" s="1">
        <v>1179</v>
      </c>
    </row>
    <row r="54" spans="1:30">
      <c r="A54" s="19" t="s">
        <v>375</v>
      </c>
      <c r="B54" s="1">
        <v>55</v>
      </c>
      <c r="C54" s="1">
        <v>7</v>
      </c>
      <c r="D54" s="1">
        <v>19</v>
      </c>
      <c r="E54" s="1"/>
      <c r="F54" s="1">
        <v>3</v>
      </c>
      <c r="G54" s="1">
        <v>49</v>
      </c>
      <c r="H54" s="1">
        <v>24</v>
      </c>
      <c r="I54" s="1">
        <v>34</v>
      </c>
      <c r="J54" s="1">
        <v>1</v>
      </c>
      <c r="K54" s="1">
        <v>181</v>
      </c>
      <c r="L54" s="1">
        <v>2</v>
      </c>
      <c r="M54" s="1">
        <v>37</v>
      </c>
      <c r="N54" s="1">
        <v>3</v>
      </c>
      <c r="O54" s="1">
        <v>10</v>
      </c>
      <c r="P54" s="1">
        <v>51</v>
      </c>
      <c r="Q54" s="1">
        <v>1</v>
      </c>
      <c r="R54" s="1"/>
      <c r="S54" s="1">
        <v>21</v>
      </c>
      <c r="T54" s="1">
        <v>1</v>
      </c>
      <c r="U54" s="1">
        <v>12</v>
      </c>
      <c r="V54" s="1">
        <v>8</v>
      </c>
      <c r="W54" s="1">
        <v>251</v>
      </c>
      <c r="X54" s="1">
        <v>4</v>
      </c>
      <c r="Y54" s="1">
        <v>257</v>
      </c>
      <c r="Z54" s="1">
        <v>93</v>
      </c>
      <c r="AA54" s="1">
        <v>5</v>
      </c>
      <c r="AB54" s="1">
        <v>83</v>
      </c>
      <c r="AC54" s="1"/>
      <c r="AD54" s="1">
        <v>1212</v>
      </c>
    </row>
    <row r="55" spans="1:30">
      <c r="A55" s="19" t="s">
        <v>386</v>
      </c>
      <c r="B55" s="1">
        <v>57</v>
      </c>
      <c r="C55" s="1">
        <v>8</v>
      </c>
      <c r="D55" s="1">
        <v>19</v>
      </c>
      <c r="E55" s="1"/>
      <c r="F55" s="1">
        <v>3</v>
      </c>
      <c r="G55" s="1">
        <v>49</v>
      </c>
      <c r="H55" s="1">
        <v>25</v>
      </c>
      <c r="I55" s="1">
        <v>34</v>
      </c>
      <c r="J55" s="1"/>
      <c r="K55" s="1">
        <v>186</v>
      </c>
      <c r="L55" s="1">
        <v>2</v>
      </c>
      <c r="M55" s="1">
        <v>37</v>
      </c>
      <c r="N55" s="1">
        <v>3</v>
      </c>
      <c r="O55" s="1">
        <v>11</v>
      </c>
      <c r="P55" s="1">
        <v>54</v>
      </c>
      <c r="Q55" s="1">
        <v>1</v>
      </c>
      <c r="R55" s="1">
        <v>0</v>
      </c>
      <c r="S55" s="1">
        <v>21</v>
      </c>
      <c r="T55" s="1">
        <v>1</v>
      </c>
      <c r="U55" s="1">
        <v>13</v>
      </c>
      <c r="V55" s="1">
        <v>10</v>
      </c>
      <c r="W55" s="1">
        <v>258</v>
      </c>
      <c r="X55" s="1">
        <v>4</v>
      </c>
      <c r="Y55" s="1">
        <v>267</v>
      </c>
      <c r="Z55" s="1">
        <v>94</v>
      </c>
      <c r="AA55" s="1">
        <v>5</v>
      </c>
      <c r="AB55" s="1">
        <v>87</v>
      </c>
      <c r="AC55" s="1"/>
      <c r="AD55" s="1">
        <v>1249</v>
      </c>
    </row>
    <row r="56" spans="1:30">
      <c r="A56" s="19" t="s">
        <v>393</v>
      </c>
      <c r="B56" s="1">
        <v>63</v>
      </c>
      <c r="C56" s="1">
        <v>8</v>
      </c>
      <c r="D56" s="1">
        <v>22</v>
      </c>
      <c r="E56" s="1"/>
      <c r="F56" s="1">
        <v>3</v>
      </c>
      <c r="G56" s="1">
        <v>53</v>
      </c>
      <c r="H56" s="1">
        <v>25</v>
      </c>
      <c r="I56" s="1">
        <v>36</v>
      </c>
      <c r="J56" s="1">
        <v>1</v>
      </c>
      <c r="K56" s="1">
        <v>190</v>
      </c>
      <c r="L56" s="1">
        <v>2</v>
      </c>
      <c r="M56" s="1">
        <v>38</v>
      </c>
      <c r="N56" s="1">
        <v>3</v>
      </c>
      <c r="O56" s="1">
        <v>12</v>
      </c>
      <c r="P56" s="1">
        <v>55</v>
      </c>
      <c r="Q56" s="1">
        <v>2</v>
      </c>
      <c r="R56" s="1">
        <v>0</v>
      </c>
      <c r="S56" s="1">
        <v>23</v>
      </c>
      <c r="T56" s="1">
        <v>1</v>
      </c>
      <c r="U56" s="1">
        <v>13</v>
      </c>
      <c r="V56" s="1">
        <v>11</v>
      </c>
      <c r="W56" s="1">
        <v>263</v>
      </c>
      <c r="X56" s="1">
        <v>4</v>
      </c>
      <c r="Y56" s="1">
        <v>284</v>
      </c>
      <c r="Z56" s="1">
        <v>94</v>
      </c>
      <c r="AA56" s="1">
        <v>5</v>
      </c>
      <c r="AB56" s="1">
        <v>91</v>
      </c>
      <c r="AC56" s="1"/>
      <c r="AD56" s="1">
        <v>1302</v>
      </c>
    </row>
    <row r="57" spans="1:30">
      <c r="A57" s="19" t="s">
        <v>400</v>
      </c>
      <c r="B57" s="1">
        <v>65</v>
      </c>
      <c r="C57" s="1">
        <v>8</v>
      </c>
      <c r="D57" s="1">
        <v>23</v>
      </c>
      <c r="E57" s="1"/>
      <c r="F57" s="1">
        <v>3</v>
      </c>
      <c r="G57" s="1">
        <v>55</v>
      </c>
      <c r="H57" s="1">
        <v>25</v>
      </c>
      <c r="I57" s="1">
        <v>37</v>
      </c>
      <c r="J57" s="1">
        <v>1</v>
      </c>
      <c r="K57" s="1">
        <v>196</v>
      </c>
      <c r="L57" s="1">
        <v>3</v>
      </c>
      <c r="M57" s="1">
        <v>39</v>
      </c>
      <c r="N57" s="1">
        <v>3</v>
      </c>
      <c r="O57" s="1">
        <v>13</v>
      </c>
      <c r="P57" s="1">
        <v>56</v>
      </c>
      <c r="Q57" s="1">
        <v>2</v>
      </c>
      <c r="R57" s="1">
        <v>0</v>
      </c>
      <c r="S57" s="1">
        <v>25</v>
      </c>
      <c r="T57" s="1">
        <v>1</v>
      </c>
      <c r="U57" s="1">
        <v>14</v>
      </c>
      <c r="V57" s="1">
        <v>11</v>
      </c>
      <c r="W57" s="1">
        <v>269</v>
      </c>
      <c r="X57" s="1">
        <v>5</v>
      </c>
      <c r="Y57" s="1">
        <v>297</v>
      </c>
      <c r="Z57" s="1">
        <v>95</v>
      </c>
      <c r="AA57" s="1">
        <v>6</v>
      </c>
      <c r="AB57" s="1">
        <v>95</v>
      </c>
      <c r="AC57" s="1"/>
      <c r="AD57" s="1">
        <v>1347</v>
      </c>
    </row>
    <row r="58" spans="1:30">
      <c r="A58" s="19" t="s">
        <v>426</v>
      </c>
      <c r="B58" s="1">
        <v>67</v>
      </c>
      <c r="C58" s="1">
        <v>9</v>
      </c>
      <c r="D58" s="1">
        <v>24</v>
      </c>
      <c r="E58" s="1"/>
      <c r="F58" s="1">
        <v>3</v>
      </c>
      <c r="G58" s="1">
        <v>67</v>
      </c>
      <c r="H58" s="1">
        <v>25</v>
      </c>
      <c r="I58" s="1">
        <v>37</v>
      </c>
      <c r="J58" s="1">
        <v>1</v>
      </c>
      <c r="K58" s="1">
        <v>202</v>
      </c>
      <c r="L58" s="1">
        <v>3</v>
      </c>
      <c r="M58" s="1">
        <v>40</v>
      </c>
      <c r="N58" s="1">
        <v>3</v>
      </c>
      <c r="O58" s="1">
        <v>14</v>
      </c>
      <c r="P58" s="1">
        <v>59</v>
      </c>
      <c r="Q58" s="1">
        <v>3</v>
      </c>
      <c r="R58" s="1">
        <v>0</v>
      </c>
      <c r="S58" s="1">
        <v>27</v>
      </c>
      <c r="T58" s="1">
        <v>1</v>
      </c>
      <c r="U58" s="1">
        <v>14</v>
      </c>
      <c r="V58" s="1">
        <v>12</v>
      </c>
      <c r="W58" s="1">
        <v>270</v>
      </c>
      <c r="X58" s="1">
        <v>5</v>
      </c>
      <c r="Y58" s="1">
        <v>302</v>
      </c>
      <c r="Z58" s="1">
        <v>99</v>
      </c>
      <c r="AA58" s="1">
        <v>6</v>
      </c>
      <c r="AB58" s="1">
        <v>99</v>
      </c>
      <c r="AC58" s="1"/>
      <c r="AD58" s="1">
        <v>1392</v>
      </c>
    </row>
    <row r="59" spans="1:30">
      <c r="A59" s="19" t="s">
        <v>427</v>
      </c>
      <c r="B59" s="1">
        <v>69</v>
      </c>
      <c r="C59" s="1">
        <v>10</v>
      </c>
      <c r="D59" s="1">
        <v>25</v>
      </c>
      <c r="E59" s="1"/>
      <c r="F59" s="1"/>
      <c r="G59" s="1">
        <v>69</v>
      </c>
      <c r="H59" s="1">
        <v>25</v>
      </c>
      <c r="I59" s="1">
        <v>40</v>
      </c>
      <c r="J59" s="1">
        <v>1</v>
      </c>
      <c r="K59" s="1">
        <v>206</v>
      </c>
      <c r="L59" s="1">
        <v>3</v>
      </c>
      <c r="M59" s="1">
        <v>40</v>
      </c>
      <c r="N59" s="1">
        <v>3</v>
      </c>
      <c r="O59" s="1">
        <v>15</v>
      </c>
      <c r="P59" s="1">
        <v>59</v>
      </c>
      <c r="Q59" s="1">
        <v>3</v>
      </c>
      <c r="R59" s="1"/>
      <c r="S59" s="1">
        <v>27</v>
      </c>
      <c r="T59" s="1">
        <v>1</v>
      </c>
      <c r="U59" s="1">
        <v>14</v>
      </c>
      <c r="V59" s="1">
        <v>13</v>
      </c>
      <c r="W59" s="1">
        <v>277</v>
      </c>
      <c r="X59" s="1">
        <v>5</v>
      </c>
      <c r="Y59" s="1">
        <v>310</v>
      </c>
      <c r="Z59" s="1">
        <v>104</v>
      </c>
      <c r="AA59" s="1">
        <v>7</v>
      </c>
      <c r="AB59" s="1">
        <v>105</v>
      </c>
      <c r="AC59" s="1"/>
      <c r="AD59" s="1">
        <v>1431</v>
      </c>
    </row>
    <row r="60" spans="1:30">
      <c r="A60" s="19" t="s">
        <v>428</v>
      </c>
      <c r="B60" s="1">
        <v>71</v>
      </c>
      <c r="C60" s="1">
        <v>11</v>
      </c>
      <c r="D60" s="1">
        <v>25</v>
      </c>
      <c r="E60" s="1"/>
      <c r="F60" s="1"/>
      <c r="G60" s="1">
        <v>69</v>
      </c>
      <c r="H60" s="1">
        <v>25</v>
      </c>
      <c r="I60" s="1">
        <v>40</v>
      </c>
      <c r="J60" s="1">
        <v>1</v>
      </c>
      <c r="K60" s="1">
        <v>208</v>
      </c>
      <c r="L60" s="1">
        <v>3</v>
      </c>
      <c r="M60" s="1">
        <v>41</v>
      </c>
      <c r="N60" s="1">
        <v>5</v>
      </c>
      <c r="O60" s="1">
        <v>15</v>
      </c>
      <c r="P60" s="1">
        <v>60</v>
      </c>
      <c r="Q60" s="1">
        <v>3</v>
      </c>
      <c r="R60" s="1"/>
      <c r="S60" s="1">
        <v>27</v>
      </c>
      <c r="T60" s="1">
        <v>1</v>
      </c>
      <c r="U60" s="1">
        <v>15</v>
      </c>
      <c r="V60" s="1">
        <v>13</v>
      </c>
      <c r="W60" s="1">
        <v>281</v>
      </c>
      <c r="X60" s="1">
        <v>5</v>
      </c>
      <c r="Y60" s="1">
        <v>315</v>
      </c>
      <c r="Z60" s="1">
        <v>107</v>
      </c>
      <c r="AA60" s="1">
        <v>7</v>
      </c>
      <c r="AB60" s="1">
        <v>105</v>
      </c>
      <c r="AC60" s="1"/>
      <c r="AD60" s="1">
        <v>1453</v>
      </c>
    </row>
    <row r="61" spans="1:30">
      <c r="A61" s="19" t="s">
        <v>429</v>
      </c>
      <c r="B61" s="1">
        <v>72</v>
      </c>
      <c r="C61" s="1">
        <v>11</v>
      </c>
      <c r="D61" s="1">
        <v>28</v>
      </c>
      <c r="E61" s="1"/>
      <c r="F61" s="1">
        <v>3</v>
      </c>
      <c r="G61" s="1">
        <v>73</v>
      </c>
      <c r="H61" s="1">
        <v>25</v>
      </c>
      <c r="I61" s="1">
        <v>42</v>
      </c>
      <c r="J61" s="1">
        <v>1</v>
      </c>
      <c r="K61" s="1">
        <v>210</v>
      </c>
      <c r="L61" s="1">
        <v>5</v>
      </c>
      <c r="M61" s="1">
        <v>42</v>
      </c>
      <c r="N61" s="1">
        <v>6</v>
      </c>
      <c r="O61" s="1">
        <v>15</v>
      </c>
      <c r="P61" s="1">
        <v>62</v>
      </c>
      <c r="Q61" s="1">
        <v>3</v>
      </c>
      <c r="R61" s="1">
        <v>0</v>
      </c>
      <c r="S61" s="1">
        <v>27</v>
      </c>
      <c r="T61" s="1">
        <v>1</v>
      </c>
      <c r="U61" s="1">
        <v>15</v>
      </c>
      <c r="V61" s="1">
        <v>13</v>
      </c>
      <c r="W61" s="1">
        <v>288</v>
      </c>
      <c r="X61" s="1">
        <v>5</v>
      </c>
      <c r="Y61" s="1">
        <v>326</v>
      </c>
      <c r="Z61" s="1">
        <v>110</v>
      </c>
      <c r="AA61" s="1">
        <v>7</v>
      </c>
      <c r="AB61" s="1">
        <v>107</v>
      </c>
      <c r="AC61" s="1"/>
      <c r="AD61" s="1">
        <v>1497</v>
      </c>
    </row>
    <row r="62" spans="1:30">
      <c r="A62" s="19" t="s">
        <v>430</v>
      </c>
      <c r="B62" s="1">
        <v>74</v>
      </c>
      <c r="C62" s="1">
        <v>11</v>
      </c>
      <c r="D62" s="1">
        <v>29</v>
      </c>
      <c r="E62" s="1"/>
      <c r="F62" s="1">
        <v>3</v>
      </c>
      <c r="G62" s="1">
        <v>77</v>
      </c>
      <c r="H62" s="1">
        <v>26</v>
      </c>
      <c r="I62" s="1">
        <v>44</v>
      </c>
      <c r="J62" s="1">
        <v>1</v>
      </c>
      <c r="K62" s="1">
        <v>214</v>
      </c>
      <c r="L62" s="1">
        <v>6</v>
      </c>
      <c r="M62" s="1">
        <v>43</v>
      </c>
      <c r="N62" s="1">
        <v>6</v>
      </c>
      <c r="O62" s="1">
        <v>15</v>
      </c>
      <c r="P62" s="1">
        <v>63</v>
      </c>
      <c r="Q62" s="1">
        <v>3</v>
      </c>
      <c r="R62" s="1">
        <v>0</v>
      </c>
      <c r="S62" s="1">
        <v>29</v>
      </c>
      <c r="T62" s="1">
        <v>2</v>
      </c>
      <c r="U62" s="1">
        <v>16</v>
      </c>
      <c r="V62" s="1">
        <v>13</v>
      </c>
      <c r="W62" s="1">
        <v>291</v>
      </c>
      <c r="X62" s="1">
        <v>5</v>
      </c>
      <c r="Y62" s="1">
        <v>334</v>
      </c>
      <c r="Z62" s="1">
        <v>114</v>
      </c>
      <c r="AA62" s="1">
        <v>8</v>
      </c>
      <c r="AB62" s="1">
        <v>109</v>
      </c>
      <c r="AC62" s="1"/>
      <c r="AD62" s="1">
        <v>1536</v>
      </c>
    </row>
    <row r="63" spans="1:30">
      <c r="A63" s="19" t="s">
        <v>438</v>
      </c>
      <c r="B63" s="1">
        <v>76</v>
      </c>
      <c r="C63" s="1">
        <v>11</v>
      </c>
      <c r="D63" s="1">
        <v>31</v>
      </c>
      <c r="E63" s="1"/>
      <c r="F63" s="1">
        <v>3</v>
      </c>
      <c r="G63" s="1">
        <v>77</v>
      </c>
      <c r="H63" s="1">
        <v>26</v>
      </c>
      <c r="I63" s="1">
        <v>45</v>
      </c>
      <c r="J63" s="1">
        <v>1</v>
      </c>
      <c r="K63" s="1">
        <v>219</v>
      </c>
      <c r="L63" s="1">
        <v>6</v>
      </c>
      <c r="M63" s="1">
        <v>43</v>
      </c>
      <c r="N63" s="1">
        <v>6</v>
      </c>
      <c r="O63" s="1">
        <v>15</v>
      </c>
      <c r="P63" s="1">
        <v>64</v>
      </c>
      <c r="Q63" s="1">
        <v>3</v>
      </c>
      <c r="R63" s="1">
        <v>0</v>
      </c>
      <c r="S63" s="1">
        <v>29</v>
      </c>
      <c r="T63" s="1">
        <v>3</v>
      </c>
      <c r="U63" s="1">
        <v>16</v>
      </c>
      <c r="V63" s="1">
        <v>14</v>
      </c>
      <c r="W63" s="1">
        <v>295</v>
      </c>
      <c r="X63" s="1">
        <v>5</v>
      </c>
      <c r="Y63" s="1">
        <v>338</v>
      </c>
      <c r="Z63" s="1">
        <v>117</v>
      </c>
      <c r="AA63" s="1">
        <v>8</v>
      </c>
      <c r="AB63" s="1">
        <v>110</v>
      </c>
      <c r="AC63" s="1"/>
      <c r="AD63" s="1">
        <v>1561</v>
      </c>
    </row>
    <row r="64" spans="1:30">
      <c r="A64" s="19" t="s">
        <v>439</v>
      </c>
      <c r="B64" s="1">
        <v>76</v>
      </c>
      <c r="C64" s="1">
        <v>12</v>
      </c>
      <c r="D64" s="1">
        <v>31</v>
      </c>
      <c r="E64" s="1"/>
      <c r="F64" s="1">
        <v>3</v>
      </c>
      <c r="G64" s="1">
        <v>79</v>
      </c>
      <c r="H64" s="1">
        <v>26</v>
      </c>
      <c r="I64" s="1">
        <v>45</v>
      </c>
      <c r="J64" s="1">
        <v>1</v>
      </c>
      <c r="K64" s="1">
        <v>222</v>
      </c>
      <c r="L64" s="1">
        <v>6</v>
      </c>
      <c r="M64" s="1">
        <v>43</v>
      </c>
      <c r="N64" s="1">
        <v>6</v>
      </c>
      <c r="O64" s="1">
        <v>15</v>
      </c>
      <c r="P64" s="1"/>
      <c r="Q64" s="1">
        <v>3</v>
      </c>
      <c r="R64" s="1">
        <v>0</v>
      </c>
      <c r="S64" s="1">
        <v>31</v>
      </c>
      <c r="T64" s="1">
        <v>3</v>
      </c>
      <c r="U64" s="1">
        <v>16</v>
      </c>
      <c r="V64" s="1">
        <v>14</v>
      </c>
      <c r="W64" s="1">
        <v>298</v>
      </c>
      <c r="X64" s="1">
        <v>5</v>
      </c>
      <c r="Y64" s="1">
        <v>347</v>
      </c>
      <c r="Z64" s="1">
        <v>120</v>
      </c>
      <c r="AA64" s="1">
        <v>8</v>
      </c>
      <c r="AB64" s="1">
        <v>113</v>
      </c>
      <c r="AC64" s="1"/>
      <c r="AD64" s="1">
        <v>1523</v>
      </c>
    </row>
    <row r="65" spans="1:31">
      <c r="A65" s="19" t="s">
        <v>447</v>
      </c>
      <c r="B65" s="1">
        <v>76</v>
      </c>
      <c r="C65" s="1">
        <v>14</v>
      </c>
      <c r="D65" s="1">
        <v>31</v>
      </c>
      <c r="E65" s="1"/>
      <c r="F65" s="1">
        <v>3</v>
      </c>
      <c r="G65" s="1">
        <v>82</v>
      </c>
      <c r="H65" s="1">
        <v>30</v>
      </c>
      <c r="I65" s="1">
        <v>46</v>
      </c>
      <c r="J65" s="1">
        <v>1</v>
      </c>
      <c r="K65" s="1"/>
      <c r="L65" s="1">
        <v>7</v>
      </c>
      <c r="M65" s="1">
        <v>43</v>
      </c>
      <c r="N65" s="1">
        <v>6</v>
      </c>
      <c r="O65" s="1">
        <v>16</v>
      </c>
      <c r="P65" s="1"/>
      <c r="Q65" s="1">
        <v>3</v>
      </c>
      <c r="R65" s="1">
        <v>0</v>
      </c>
      <c r="S65" s="1">
        <v>31</v>
      </c>
      <c r="T65" s="1">
        <v>3</v>
      </c>
      <c r="U65" s="1">
        <v>16</v>
      </c>
      <c r="V65" s="1">
        <v>14</v>
      </c>
      <c r="W65" s="1">
        <v>299</v>
      </c>
      <c r="X65" s="1">
        <v>5</v>
      </c>
      <c r="Y65" s="1">
        <v>349</v>
      </c>
      <c r="Z65" s="1">
        <v>126</v>
      </c>
      <c r="AA65" s="1">
        <v>8</v>
      </c>
      <c r="AB65" s="1">
        <v>114</v>
      </c>
      <c r="AC65" s="1"/>
      <c r="AD65" s="1">
        <v>1323</v>
      </c>
    </row>
    <row r="66" spans="1:31">
      <c r="A66" s="19" t="s">
        <v>453</v>
      </c>
      <c r="B66" s="1">
        <v>76</v>
      </c>
      <c r="C66" s="1">
        <v>14</v>
      </c>
      <c r="D66" s="1"/>
      <c r="E66" s="1"/>
      <c r="F66" s="1"/>
      <c r="G66" s="1">
        <v>83</v>
      </c>
      <c r="H66" s="1">
        <v>30</v>
      </c>
      <c r="I66" s="1"/>
      <c r="J66" s="1">
        <v>1</v>
      </c>
      <c r="K66" s="1"/>
      <c r="L66" s="1">
        <v>7</v>
      </c>
      <c r="M66" s="1">
        <v>43</v>
      </c>
      <c r="N66" s="1">
        <v>6</v>
      </c>
      <c r="O66" s="1">
        <v>16</v>
      </c>
      <c r="P66" s="1"/>
      <c r="Q66" s="1">
        <v>3</v>
      </c>
      <c r="R66" s="1"/>
      <c r="S66" s="1">
        <v>31</v>
      </c>
      <c r="T66" s="1">
        <v>5</v>
      </c>
      <c r="U66" s="1">
        <v>17</v>
      </c>
      <c r="V66" s="1">
        <v>14</v>
      </c>
      <c r="W66" s="1">
        <v>304</v>
      </c>
      <c r="X66" s="1">
        <v>5</v>
      </c>
      <c r="Y66" s="1">
        <v>354</v>
      </c>
      <c r="Z66" s="1">
        <v>128</v>
      </c>
      <c r="AA66" s="1">
        <v>8</v>
      </c>
      <c r="AB66" s="1">
        <v>115</v>
      </c>
      <c r="AC66" s="1"/>
      <c r="AD66" s="1">
        <v>1260</v>
      </c>
    </row>
    <row r="67" spans="1:31">
      <c r="A67" s="19" t="s">
        <v>469</v>
      </c>
      <c r="B67" s="1">
        <v>77</v>
      </c>
      <c r="C67" s="1">
        <v>15</v>
      </c>
      <c r="D67" s="1"/>
      <c r="E67" s="1"/>
      <c r="F67" s="1"/>
      <c r="G67" s="1">
        <v>83</v>
      </c>
      <c r="H67" s="1">
        <v>30</v>
      </c>
      <c r="I67" s="1"/>
      <c r="J67" s="1">
        <v>1</v>
      </c>
      <c r="K67" s="1"/>
      <c r="L67" s="1">
        <v>7</v>
      </c>
      <c r="M67" s="1">
        <v>43</v>
      </c>
      <c r="N67" s="1">
        <v>6</v>
      </c>
      <c r="O67" s="1">
        <v>16</v>
      </c>
      <c r="P67" s="1"/>
      <c r="Q67" s="1">
        <v>3</v>
      </c>
      <c r="R67" s="1"/>
      <c r="S67" s="1">
        <v>31</v>
      </c>
      <c r="T67" s="1">
        <v>5</v>
      </c>
      <c r="U67" s="1">
        <v>18</v>
      </c>
      <c r="V67" s="1">
        <v>16</v>
      </c>
      <c r="W67" s="1">
        <v>306</v>
      </c>
      <c r="X67" s="1">
        <v>5</v>
      </c>
      <c r="Y67" s="1">
        <v>355</v>
      </c>
      <c r="Z67" s="1">
        <v>129</v>
      </c>
      <c r="AA67" s="1"/>
      <c r="AB67" s="1">
        <v>115</v>
      </c>
      <c r="AC67" s="1"/>
      <c r="AD67" s="1">
        <v>1261</v>
      </c>
    </row>
    <row r="68" spans="1:31">
      <c r="A68" s="19" t="s">
        <v>470</v>
      </c>
      <c r="B68" s="1">
        <v>78</v>
      </c>
      <c r="C68" s="1">
        <v>15</v>
      </c>
      <c r="D68" s="1"/>
      <c r="E68" s="1"/>
      <c r="F68" s="1">
        <v>3</v>
      </c>
      <c r="G68" s="1">
        <v>83</v>
      </c>
      <c r="H68" s="1"/>
      <c r="I68" s="1"/>
      <c r="J68" s="1"/>
      <c r="K68" s="1"/>
      <c r="L68" s="1">
        <v>7</v>
      </c>
      <c r="M68" s="1"/>
      <c r="N68" s="1"/>
      <c r="O68" s="1">
        <v>16</v>
      </c>
      <c r="P68" s="1"/>
      <c r="Q68" s="1"/>
      <c r="R68" s="1"/>
      <c r="S68" s="1">
        <v>31</v>
      </c>
      <c r="T68" s="1">
        <v>5</v>
      </c>
      <c r="U68" s="1"/>
      <c r="V68" s="1">
        <v>17</v>
      </c>
      <c r="W68" s="1">
        <v>311</v>
      </c>
      <c r="X68" s="1"/>
      <c r="Y68" s="1"/>
      <c r="Z68" s="1"/>
      <c r="AA68" s="1"/>
      <c r="AB68" s="1"/>
      <c r="AC68" s="1"/>
      <c r="AD68" s="1">
        <v>566</v>
      </c>
      <c r="AE68" s="48" t="s">
        <v>477</v>
      </c>
    </row>
    <row r="69" spans="1:31">
      <c r="AE69" s="49">
        <f>MAX(AD:AD)</f>
        <v>1561</v>
      </c>
    </row>
  </sheetData>
  <pageMargins left="0.7" right="0.7" top="0.78740157499999996" bottom="0.78740157499999996"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AC869-7734-49F6-AFC0-7591D7A644DE}">
  <dimension ref="A1:AF28"/>
  <sheetViews>
    <sheetView workbookViewId="0">
      <selection sqref="A1:AF28"/>
    </sheetView>
  </sheetViews>
  <sheetFormatPr baseColWidth="10" defaultRowHeight="14.5"/>
  <cols>
    <col min="1" max="2" width="14.90625" bestFit="1" customWidth="1"/>
    <col min="3" max="3" width="9.54296875" bestFit="1" customWidth="1"/>
    <col min="4" max="4" width="20.6328125" bestFit="1" customWidth="1"/>
    <col min="5" max="5" width="21.36328125" bestFit="1" customWidth="1"/>
    <col min="6" max="6" width="16.54296875" bestFit="1" customWidth="1"/>
    <col min="7" max="7" width="9.81640625" bestFit="1" customWidth="1"/>
    <col min="8" max="8" width="8.81640625" bestFit="1" customWidth="1"/>
    <col min="9" max="9" width="17.1796875" bestFit="1" customWidth="1"/>
    <col min="10" max="10" width="28.90625" bestFit="1" customWidth="1"/>
    <col min="11" max="11" width="20.1796875" bestFit="1" customWidth="1"/>
    <col min="12" max="12" width="11.7265625" bestFit="1" customWidth="1"/>
    <col min="13" max="13" width="18.26953125" bestFit="1" customWidth="1"/>
    <col min="14" max="14" width="32.26953125" bestFit="1" customWidth="1"/>
    <col min="15" max="15" width="17.6328125" bestFit="1" customWidth="1"/>
    <col min="16" max="16" width="10.1796875" bestFit="1" customWidth="1"/>
    <col min="17" max="17" width="18.7265625" bestFit="1" customWidth="1"/>
    <col min="18" max="18" width="8.81640625" bestFit="1" customWidth="1"/>
    <col min="19" max="19" width="15.1796875" bestFit="1" customWidth="1"/>
    <col min="20" max="20" width="14" bestFit="1" customWidth="1"/>
    <col min="21" max="21" width="31.26953125" bestFit="1" customWidth="1"/>
    <col min="22" max="22" width="26.7265625" bestFit="1" customWidth="1"/>
    <col min="23" max="23" width="15.7265625" bestFit="1" customWidth="1"/>
    <col min="24" max="24" width="16.6328125" bestFit="1" customWidth="1"/>
    <col min="25" max="25" width="12.81640625" bestFit="1" customWidth="1"/>
    <col min="26" max="26" width="19.7265625" bestFit="1" customWidth="1"/>
    <col min="27" max="27" width="13.36328125" bestFit="1" customWidth="1"/>
    <col min="28" max="28" width="27.90625" bestFit="1" customWidth="1"/>
    <col min="29" max="29" width="23.6328125" bestFit="1" customWidth="1"/>
    <col min="30" max="30" width="80.7265625" bestFit="1" customWidth="1"/>
    <col min="31" max="31" width="10.54296875" bestFit="1" customWidth="1"/>
    <col min="32" max="32" width="5.08984375" bestFit="1" customWidth="1"/>
    <col min="33" max="33" width="17.7265625" bestFit="1" customWidth="1"/>
    <col min="34" max="34" width="10.54296875" bestFit="1" customWidth="1"/>
    <col min="35" max="35" width="18.1796875" bestFit="1" customWidth="1"/>
    <col min="36" max="36" width="21.36328125" bestFit="1" customWidth="1"/>
    <col min="37" max="37" width="14.1796875" bestFit="1" customWidth="1"/>
    <col min="38" max="38" width="18.453125" bestFit="1" customWidth="1"/>
    <col min="39" max="39" width="17.453125" bestFit="1" customWidth="1"/>
    <col min="40" max="40" width="14.7265625" bestFit="1" customWidth="1"/>
    <col min="41" max="41" width="26.26953125" bestFit="1" customWidth="1"/>
    <col min="42" max="42" width="17.6328125" bestFit="1" customWidth="1"/>
    <col min="43" max="43" width="11.54296875" bestFit="1" customWidth="1"/>
    <col min="44" max="44" width="15.6328125" bestFit="1" customWidth="1"/>
    <col min="45" max="45" width="29.54296875" bestFit="1" customWidth="1"/>
    <col min="46" max="46" width="15.1796875" bestFit="1" customWidth="1"/>
    <col min="47" max="47" width="11.54296875" bestFit="1" customWidth="1"/>
    <col min="48" max="48" width="16.36328125" bestFit="1" customWidth="1"/>
    <col min="49" max="49" width="11.54296875" bestFit="1" customWidth="1"/>
    <col min="50" max="50" width="12.81640625" bestFit="1" customWidth="1"/>
    <col min="51" max="51" width="11.6328125" bestFit="1" customWidth="1"/>
    <col min="52" max="52" width="28.90625" bestFit="1" customWidth="1"/>
    <col min="53" max="53" width="24.26953125" bestFit="1" customWidth="1"/>
    <col min="54" max="54" width="13.1796875" bestFit="1" customWidth="1"/>
    <col min="55" max="55" width="14.1796875" bestFit="1" customWidth="1"/>
    <col min="56" max="56" width="11.54296875" bestFit="1" customWidth="1"/>
    <col min="57" max="57" width="17.36328125" bestFit="1" customWidth="1"/>
    <col min="58" max="58" width="11.54296875" bestFit="1" customWidth="1"/>
    <col min="59" max="59" width="25.26953125" bestFit="1" customWidth="1"/>
    <col min="60" max="60" width="21.08984375" bestFit="1" customWidth="1"/>
    <col min="61" max="61" width="80.7265625" bestFit="1" customWidth="1"/>
    <col min="62" max="63" width="11.54296875" bestFit="1" customWidth="1"/>
    <col min="64" max="64" width="7.1796875" bestFit="1" customWidth="1"/>
    <col min="65" max="66" width="4.1796875" bestFit="1" customWidth="1"/>
    <col min="67" max="67" width="8.7265625" bestFit="1" customWidth="1"/>
    <col min="68" max="69" width="11.6328125" bestFit="1" customWidth="1"/>
    <col min="70" max="70" width="6.1796875" bestFit="1" customWidth="1"/>
    <col min="71" max="74" width="11.6328125" bestFit="1" customWidth="1"/>
    <col min="75" max="75" width="10.6328125" bestFit="1" customWidth="1"/>
    <col min="76" max="77" width="5.1796875" bestFit="1" customWidth="1"/>
    <col min="78" max="78" width="11.6328125" bestFit="1" customWidth="1"/>
    <col min="79" max="79" width="6.1796875" bestFit="1" customWidth="1"/>
    <col min="80" max="80" width="11.6328125" bestFit="1" customWidth="1"/>
    <col min="81" max="82" width="10.90625" bestFit="1" customWidth="1"/>
    <col min="83" max="83" width="80.7265625" bestFit="1" customWidth="1"/>
    <col min="84" max="85" width="5.1796875" bestFit="1" customWidth="1"/>
    <col min="86" max="86" width="10.6328125" bestFit="1" customWidth="1"/>
    <col min="87" max="87" width="9.6328125" bestFit="1" customWidth="1"/>
    <col min="88" max="88" width="10.54296875" bestFit="1" customWidth="1"/>
    <col min="89" max="89" width="7.08984375" bestFit="1" customWidth="1"/>
    <col min="90" max="90" width="9.08984375" bestFit="1" customWidth="1"/>
    <col min="91" max="91" width="10.54296875" customWidth="1"/>
    <col min="92" max="92" width="5.08984375" bestFit="1" customWidth="1"/>
    <col min="93" max="93" width="8.6328125" bestFit="1" customWidth="1"/>
    <col min="94" max="94" width="7.6328125" bestFit="1" customWidth="1"/>
    <col min="95" max="95" width="6.08984375" bestFit="1" customWidth="1"/>
    <col min="96" max="96" width="4.08984375" bestFit="1" customWidth="1"/>
    <col min="97" max="105" width="5.08984375" bestFit="1" customWidth="1"/>
    <col min="106" max="106" width="6.08984375" bestFit="1" customWidth="1"/>
    <col min="107" max="108" width="11.6328125" bestFit="1" customWidth="1"/>
    <col min="109" max="109" width="80.7265625" bestFit="1" customWidth="1"/>
    <col min="110" max="111" width="5.08984375" bestFit="1" customWidth="1"/>
  </cols>
  <sheetData>
    <row r="1" spans="1:32">
      <c r="A1" t="s">
        <v>1</v>
      </c>
      <c r="B1" t="s">
        <v>17</v>
      </c>
      <c r="C1" t="s">
        <v>2</v>
      </c>
      <c r="D1" t="s">
        <v>18</v>
      </c>
      <c r="E1" t="s">
        <v>19</v>
      </c>
      <c r="F1" t="s">
        <v>20</v>
      </c>
      <c r="G1" t="s">
        <v>21</v>
      </c>
      <c r="H1" t="s">
        <v>22</v>
      </c>
      <c r="I1" t="s">
        <v>3</v>
      </c>
      <c r="J1" t="s">
        <v>23</v>
      </c>
      <c r="K1" t="s">
        <v>24</v>
      </c>
      <c r="L1" t="s">
        <v>300</v>
      </c>
      <c r="M1" t="s">
        <v>9</v>
      </c>
      <c r="N1" t="s">
        <v>26</v>
      </c>
      <c r="O1" t="s">
        <v>27</v>
      </c>
      <c r="P1" t="s">
        <v>12</v>
      </c>
      <c r="Q1" t="s">
        <v>28</v>
      </c>
      <c r="R1" t="s">
        <v>13</v>
      </c>
      <c r="S1" t="s">
        <v>11</v>
      </c>
      <c r="T1" t="s">
        <v>29</v>
      </c>
      <c r="U1" t="s">
        <v>30</v>
      </c>
      <c r="V1" t="s">
        <v>387</v>
      </c>
      <c r="W1" t="s">
        <v>301</v>
      </c>
      <c r="X1" t="s">
        <v>31</v>
      </c>
      <c r="Y1" t="s">
        <v>32</v>
      </c>
      <c r="Z1" t="s">
        <v>25</v>
      </c>
      <c r="AA1" t="s">
        <v>373</v>
      </c>
      <c r="AB1" t="s">
        <v>14</v>
      </c>
      <c r="AC1" t="s">
        <v>15</v>
      </c>
      <c r="AD1" t="s">
        <v>33</v>
      </c>
      <c r="AE1" t="s">
        <v>478</v>
      </c>
      <c r="AF1" t="s">
        <v>482</v>
      </c>
    </row>
    <row r="2" spans="1:32">
      <c r="A2" s="3">
        <v>43949.293912037036</v>
      </c>
      <c r="B2" s="3">
        <v>43948.53125</v>
      </c>
      <c r="C2" s="1" t="s">
        <v>16</v>
      </c>
      <c r="D2" s="1" t="s">
        <v>34</v>
      </c>
      <c r="E2" s="1" t="s">
        <v>35</v>
      </c>
      <c r="F2">
        <v>1</v>
      </c>
      <c r="G2">
        <v>47.409660000000002</v>
      </c>
      <c r="H2">
        <v>8.1568799999999992</v>
      </c>
      <c r="J2">
        <v>1088</v>
      </c>
      <c r="K2">
        <v>1088</v>
      </c>
      <c r="L2">
        <v>2</v>
      </c>
      <c r="M2">
        <v>42</v>
      </c>
      <c r="N2">
        <v>162.15</v>
      </c>
      <c r="O2">
        <v>4.9180000000000001</v>
      </c>
      <c r="P2">
        <v>830</v>
      </c>
      <c r="Q2">
        <v>0</v>
      </c>
      <c r="R2">
        <v>33</v>
      </c>
      <c r="S2">
        <v>15</v>
      </c>
      <c r="T2">
        <v>14</v>
      </c>
      <c r="V2" s="1" t="s">
        <v>36</v>
      </c>
      <c r="W2" s="1" t="s">
        <v>36</v>
      </c>
      <c r="X2" s="1" t="s">
        <v>36</v>
      </c>
      <c r="Z2">
        <v>36</v>
      </c>
      <c r="AA2">
        <v>2</v>
      </c>
      <c r="AB2">
        <v>47.860965999999998</v>
      </c>
      <c r="AC2">
        <v>21.093558000000002</v>
      </c>
      <c r="AD2" s="1" t="s">
        <v>479</v>
      </c>
      <c r="AE2" s="1" t="s">
        <v>36</v>
      </c>
      <c r="AF2" s="1" t="s">
        <v>36</v>
      </c>
    </row>
    <row r="3" spans="1:32">
      <c r="A3" s="3">
        <v>43949.293912037036</v>
      </c>
      <c r="B3" s="3">
        <v>43948.375</v>
      </c>
      <c r="C3" s="1" t="s">
        <v>16</v>
      </c>
      <c r="D3" s="1" t="s">
        <v>38</v>
      </c>
      <c r="E3" s="1" t="s">
        <v>39</v>
      </c>
      <c r="F3">
        <v>16</v>
      </c>
      <c r="G3">
        <v>47.317264000000002</v>
      </c>
      <c r="H3">
        <v>9.4167539999999992</v>
      </c>
      <c r="J3">
        <v>25</v>
      </c>
      <c r="K3">
        <v>25</v>
      </c>
      <c r="L3">
        <v>0</v>
      </c>
      <c r="M3">
        <v>1</v>
      </c>
      <c r="N3">
        <v>155.28</v>
      </c>
      <c r="Q3">
        <v>0</v>
      </c>
      <c r="V3" s="1" t="s">
        <v>36</v>
      </c>
      <c r="W3" s="1" t="s">
        <v>36</v>
      </c>
      <c r="X3" s="1" t="s">
        <v>36</v>
      </c>
      <c r="Z3">
        <v>0</v>
      </c>
      <c r="AB3">
        <v>84.898740000000004</v>
      </c>
      <c r="AC3">
        <v>0</v>
      </c>
      <c r="AD3" s="1" t="s">
        <v>40</v>
      </c>
      <c r="AE3" s="1" t="s">
        <v>36</v>
      </c>
      <c r="AF3" s="1" t="s">
        <v>36</v>
      </c>
    </row>
    <row r="4" spans="1:32">
      <c r="A4" s="3">
        <v>43949.293912037036</v>
      </c>
      <c r="B4" s="3">
        <v>43948.34375</v>
      </c>
      <c r="C4" s="1" t="s">
        <v>16</v>
      </c>
      <c r="D4" s="1" t="s">
        <v>41</v>
      </c>
      <c r="E4" s="1" t="s">
        <v>42</v>
      </c>
      <c r="F4">
        <v>15</v>
      </c>
      <c r="G4">
        <v>47.416351999999996</v>
      </c>
      <c r="H4">
        <v>9.3679100000000002</v>
      </c>
      <c r="J4">
        <v>94</v>
      </c>
      <c r="K4">
        <v>94</v>
      </c>
      <c r="L4">
        <v>-2</v>
      </c>
      <c r="M4">
        <v>2</v>
      </c>
      <c r="N4">
        <v>170.29</v>
      </c>
      <c r="O4">
        <v>5.4349999999999996</v>
      </c>
      <c r="Q4">
        <v>0</v>
      </c>
      <c r="R4">
        <v>3</v>
      </c>
      <c r="S4">
        <v>2</v>
      </c>
      <c r="V4" s="1" t="s">
        <v>36</v>
      </c>
      <c r="W4" s="1" t="s">
        <v>36</v>
      </c>
      <c r="X4" s="1" t="s">
        <v>36</v>
      </c>
      <c r="Z4">
        <v>6</v>
      </c>
      <c r="AA4">
        <v>0</v>
      </c>
      <c r="AB4">
        <v>38.963842999999997</v>
      </c>
      <c r="AD4" s="1" t="s">
        <v>43</v>
      </c>
      <c r="AE4" s="1" t="s">
        <v>36</v>
      </c>
      <c r="AF4" s="1" t="s">
        <v>36</v>
      </c>
    </row>
    <row r="5" spans="1:32">
      <c r="A5" s="3">
        <v>43949.293912037036</v>
      </c>
      <c r="B5" s="3">
        <v>43948.25</v>
      </c>
      <c r="C5" s="1" t="s">
        <v>16</v>
      </c>
      <c r="D5" s="1" t="s">
        <v>44</v>
      </c>
      <c r="E5" s="1" t="s">
        <v>45</v>
      </c>
      <c r="F5">
        <v>2</v>
      </c>
      <c r="G5">
        <v>46.823608</v>
      </c>
      <c r="H5">
        <v>7.6366670000000001</v>
      </c>
      <c r="J5">
        <v>1722</v>
      </c>
      <c r="K5">
        <v>1722</v>
      </c>
      <c r="L5">
        <v>0</v>
      </c>
      <c r="M5">
        <v>54</v>
      </c>
      <c r="N5">
        <v>167.01</v>
      </c>
      <c r="O5">
        <v>8.0500000000000007</v>
      </c>
      <c r="Q5">
        <v>0</v>
      </c>
      <c r="R5">
        <v>83</v>
      </c>
      <c r="S5">
        <v>10</v>
      </c>
      <c r="T5">
        <v>9</v>
      </c>
      <c r="V5" s="1" t="s">
        <v>36</v>
      </c>
      <c r="W5" s="1" t="s">
        <v>36</v>
      </c>
      <c r="X5" s="1" t="s">
        <v>36</v>
      </c>
      <c r="Z5">
        <v>8</v>
      </c>
      <c r="AA5">
        <v>0</v>
      </c>
      <c r="AB5">
        <v>73.797837999999999</v>
      </c>
      <c r="AC5">
        <v>46.188142999999997</v>
      </c>
      <c r="AD5" s="1" t="s">
        <v>46</v>
      </c>
      <c r="AE5" s="1" t="s">
        <v>36</v>
      </c>
      <c r="AF5" s="1" t="s">
        <v>36</v>
      </c>
    </row>
    <row r="6" spans="1:32">
      <c r="A6" s="3">
        <v>43949.293912037036</v>
      </c>
      <c r="B6" s="3">
        <v>43948.041666666664</v>
      </c>
      <c r="C6" s="1" t="s">
        <v>16</v>
      </c>
      <c r="D6" s="1" t="s">
        <v>47</v>
      </c>
      <c r="E6" s="1" t="s">
        <v>48</v>
      </c>
      <c r="F6">
        <v>13</v>
      </c>
      <c r="G6">
        <v>47.45176</v>
      </c>
      <c r="H6">
        <v>7.7024140000000001</v>
      </c>
      <c r="J6">
        <v>816</v>
      </c>
      <c r="K6">
        <v>816</v>
      </c>
      <c r="L6">
        <v>-3</v>
      </c>
      <c r="M6">
        <v>24</v>
      </c>
      <c r="N6">
        <v>284.32</v>
      </c>
      <c r="O6">
        <v>10.452999999999999</v>
      </c>
      <c r="P6">
        <v>738</v>
      </c>
      <c r="Q6">
        <v>0</v>
      </c>
      <c r="R6">
        <v>30</v>
      </c>
      <c r="S6">
        <v>1</v>
      </c>
      <c r="T6">
        <v>0</v>
      </c>
      <c r="V6" s="1" t="s">
        <v>36</v>
      </c>
      <c r="W6" s="1" t="s">
        <v>36</v>
      </c>
      <c r="X6" s="1" t="s">
        <v>36</v>
      </c>
      <c r="Z6">
        <v>0</v>
      </c>
      <c r="AA6">
        <v>0</v>
      </c>
      <c r="AB6">
        <v>563.87345600000003</v>
      </c>
      <c r="AC6">
        <v>24.218836</v>
      </c>
      <c r="AD6" s="1" t="s">
        <v>49</v>
      </c>
      <c r="AE6" s="1" t="s">
        <v>36</v>
      </c>
      <c r="AF6" s="1" t="s">
        <v>36</v>
      </c>
    </row>
    <row r="7" spans="1:32">
      <c r="A7" s="3">
        <v>43949.293912037036</v>
      </c>
      <c r="B7" s="3">
        <v>43948.354166666664</v>
      </c>
      <c r="C7" s="1" t="s">
        <v>16</v>
      </c>
      <c r="D7" s="1" t="s">
        <v>50</v>
      </c>
      <c r="E7" s="1" t="s">
        <v>51</v>
      </c>
      <c r="F7">
        <v>12</v>
      </c>
      <c r="G7">
        <v>47.564869000000002</v>
      </c>
      <c r="H7">
        <v>7.615259</v>
      </c>
      <c r="I7">
        <v>235</v>
      </c>
      <c r="J7">
        <v>941</v>
      </c>
      <c r="K7">
        <v>941</v>
      </c>
      <c r="L7">
        <v>0</v>
      </c>
      <c r="M7">
        <v>40</v>
      </c>
      <c r="N7">
        <v>485.3</v>
      </c>
      <c r="O7">
        <v>23.724</v>
      </c>
      <c r="P7">
        <v>815</v>
      </c>
      <c r="Q7">
        <v>0</v>
      </c>
      <c r="R7">
        <v>46</v>
      </c>
      <c r="S7">
        <v>7</v>
      </c>
      <c r="U7">
        <v>514</v>
      </c>
      <c r="V7" s="1" t="s">
        <v>36</v>
      </c>
      <c r="W7" s="1" t="s">
        <v>36</v>
      </c>
      <c r="X7" s="1" t="s">
        <v>36</v>
      </c>
      <c r="Z7">
        <v>1</v>
      </c>
      <c r="AA7">
        <v>0</v>
      </c>
      <c r="AB7">
        <v>249.129075</v>
      </c>
      <c r="AC7">
        <v>157.68463600000001</v>
      </c>
      <c r="AD7" s="1" t="s">
        <v>480</v>
      </c>
      <c r="AE7" s="1" t="s">
        <v>36</v>
      </c>
      <c r="AF7" s="1" t="s">
        <v>36</v>
      </c>
    </row>
    <row r="8" spans="1:32">
      <c r="A8" s="3">
        <v>43949.293912037036</v>
      </c>
      <c r="B8" s="3">
        <v>43948.041666666664</v>
      </c>
      <c r="C8" s="1" t="s">
        <v>16</v>
      </c>
      <c r="D8" s="1" t="s">
        <v>53</v>
      </c>
      <c r="E8" s="1" t="s">
        <v>54</v>
      </c>
      <c r="F8">
        <v>0</v>
      </c>
      <c r="G8">
        <v>47.166666999999997</v>
      </c>
      <c r="H8">
        <v>9.509722</v>
      </c>
      <c r="I8">
        <v>900</v>
      </c>
      <c r="J8">
        <v>82</v>
      </c>
      <c r="K8">
        <v>82</v>
      </c>
      <c r="N8">
        <v>212.44</v>
      </c>
      <c r="O8">
        <v>2.5910000000000002</v>
      </c>
      <c r="P8">
        <v>1</v>
      </c>
      <c r="Q8">
        <v>0</v>
      </c>
      <c r="R8">
        <v>1</v>
      </c>
      <c r="V8" s="1" t="s">
        <v>36</v>
      </c>
      <c r="W8" s="1" t="s">
        <v>36</v>
      </c>
      <c r="X8" s="1" t="s">
        <v>36</v>
      </c>
      <c r="Z8">
        <v>0</v>
      </c>
      <c r="AA8">
        <v>0</v>
      </c>
      <c r="AB8">
        <v>282.45393200000001</v>
      </c>
      <c r="AD8" s="1" t="s">
        <v>485</v>
      </c>
      <c r="AE8" s="1" t="s">
        <v>36</v>
      </c>
      <c r="AF8" s="1" t="s">
        <v>36</v>
      </c>
    </row>
    <row r="9" spans="1:32">
      <c r="A9" s="3">
        <v>43949.293912037036</v>
      </c>
      <c r="B9" s="3">
        <v>43948.041666666664</v>
      </c>
      <c r="C9" s="1" t="s">
        <v>16</v>
      </c>
      <c r="D9" s="1" t="s">
        <v>56</v>
      </c>
      <c r="E9" s="1" t="s">
        <v>57</v>
      </c>
      <c r="F9">
        <v>10</v>
      </c>
      <c r="G9">
        <v>46.718390999999997</v>
      </c>
      <c r="H9">
        <v>7.0740080000000001</v>
      </c>
      <c r="I9">
        <v>30</v>
      </c>
      <c r="J9">
        <v>1040</v>
      </c>
      <c r="K9">
        <v>1040</v>
      </c>
      <c r="L9">
        <v>1</v>
      </c>
      <c r="M9">
        <v>55</v>
      </c>
      <c r="N9">
        <v>330.05</v>
      </c>
      <c r="O9">
        <v>24.754000000000001</v>
      </c>
      <c r="P9">
        <v>120</v>
      </c>
      <c r="Q9">
        <v>0</v>
      </c>
      <c r="R9">
        <v>78</v>
      </c>
      <c r="S9">
        <v>5</v>
      </c>
      <c r="V9" s="1" t="s">
        <v>36</v>
      </c>
      <c r="W9" s="1" t="s">
        <v>36</v>
      </c>
      <c r="X9" s="1" t="s">
        <v>36</v>
      </c>
      <c r="Z9">
        <v>7</v>
      </c>
      <c r="AA9">
        <v>1</v>
      </c>
      <c r="AB9">
        <v>104.268278</v>
      </c>
      <c r="AC9">
        <v>133.42332999999999</v>
      </c>
      <c r="AD9" s="1" t="s">
        <v>459</v>
      </c>
      <c r="AE9" s="1" t="s">
        <v>36</v>
      </c>
      <c r="AF9" s="1" t="s">
        <v>36</v>
      </c>
    </row>
    <row r="10" spans="1:32">
      <c r="A10" s="3">
        <v>43949.293912037036</v>
      </c>
      <c r="B10" s="3">
        <v>43948.416666666664</v>
      </c>
      <c r="C10" s="1" t="s">
        <v>16</v>
      </c>
      <c r="D10" s="1" t="s">
        <v>58</v>
      </c>
      <c r="E10" s="1" t="s">
        <v>59</v>
      </c>
      <c r="F10">
        <v>25</v>
      </c>
      <c r="G10">
        <v>46.220528000000002</v>
      </c>
      <c r="H10">
        <v>6.1329349999999998</v>
      </c>
      <c r="I10">
        <v>24255</v>
      </c>
      <c r="J10">
        <v>4760</v>
      </c>
      <c r="K10">
        <v>4760</v>
      </c>
      <c r="L10">
        <v>-1</v>
      </c>
      <c r="M10">
        <v>270</v>
      </c>
      <c r="N10">
        <v>961.23</v>
      </c>
      <c r="O10">
        <v>48.262999999999998</v>
      </c>
      <c r="P10">
        <v>610</v>
      </c>
      <c r="Q10">
        <v>0</v>
      </c>
      <c r="R10">
        <v>239</v>
      </c>
      <c r="S10">
        <v>26</v>
      </c>
      <c r="T10">
        <v>24</v>
      </c>
      <c r="V10" s="1" t="s">
        <v>36</v>
      </c>
      <c r="W10" s="1" t="s">
        <v>36</v>
      </c>
      <c r="X10" s="1" t="s">
        <v>36</v>
      </c>
      <c r="Y10">
        <v>15</v>
      </c>
      <c r="Z10">
        <v>0</v>
      </c>
      <c r="AA10">
        <v>0</v>
      </c>
      <c r="AB10">
        <v>237.34846400000001</v>
      </c>
      <c r="AC10">
        <v>67.278161999999995</v>
      </c>
      <c r="AD10" s="1" t="s">
        <v>60</v>
      </c>
      <c r="AE10" s="1" t="s">
        <v>36</v>
      </c>
      <c r="AF10" s="1" t="s">
        <v>36</v>
      </c>
    </row>
    <row r="11" spans="1:32">
      <c r="A11" s="3">
        <v>43949.293912037036</v>
      </c>
      <c r="B11" s="3">
        <v>43948.479166666664</v>
      </c>
      <c r="C11" s="1" t="s">
        <v>16</v>
      </c>
      <c r="D11" s="1" t="s">
        <v>61</v>
      </c>
      <c r="E11" s="1" t="s">
        <v>62</v>
      </c>
      <c r="F11">
        <v>8</v>
      </c>
      <c r="G11">
        <v>46.931042000000005</v>
      </c>
      <c r="H11">
        <v>9.0657510000000006</v>
      </c>
      <c r="J11">
        <v>121</v>
      </c>
      <c r="K11">
        <v>121</v>
      </c>
      <c r="L11">
        <v>0</v>
      </c>
      <c r="M11">
        <v>3</v>
      </c>
      <c r="N11">
        <v>300.25</v>
      </c>
      <c r="O11">
        <v>17.37</v>
      </c>
      <c r="Q11">
        <v>0</v>
      </c>
      <c r="R11">
        <v>7</v>
      </c>
      <c r="V11" s="1" t="s">
        <v>36</v>
      </c>
      <c r="W11" s="1" t="s">
        <v>36</v>
      </c>
      <c r="X11" s="1" t="s">
        <v>36</v>
      </c>
      <c r="Z11">
        <v>1</v>
      </c>
      <c r="AA11">
        <v>0</v>
      </c>
      <c r="AB11">
        <v>103.095934</v>
      </c>
      <c r="AC11">
        <v>22.482780999999999</v>
      </c>
      <c r="AD11" s="1" t="s">
        <v>446</v>
      </c>
      <c r="AE11" s="1" t="s">
        <v>36</v>
      </c>
      <c r="AF11" s="1" t="s">
        <v>36</v>
      </c>
    </row>
    <row r="12" spans="1:32">
      <c r="A12" s="3">
        <v>43949.293912037036</v>
      </c>
      <c r="B12" s="3">
        <v>43947.041666666664</v>
      </c>
      <c r="C12" s="1" t="s">
        <v>16</v>
      </c>
      <c r="D12" s="1" t="s">
        <v>63</v>
      </c>
      <c r="E12" s="1" t="s">
        <v>64</v>
      </c>
      <c r="F12">
        <v>1</v>
      </c>
      <c r="G12">
        <v>46.656247999999998</v>
      </c>
      <c r="H12">
        <v>9.6281979999999994</v>
      </c>
      <c r="J12">
        <v>802</v>
      </c>
      <c r="K12">
        <v>802</v>
      </c>
      <c r="L12">
        <v>0</v>
      </c>
      <c r="M12">
        <v>28</v>
      </c>
      <c r="N12">
        <v>405.26</v>
      </c>
      <c r="O12">
        <v>21.728000000000002</v>
      </c>
      <c r="Q12">
        <v>0</v>
      </c>
      <c r="R12">
        <v>43</v>
      </c>
      <c r="V12" s="1" t="s">
        <v>36</v>
      </c>
      <c r="W12" s="1" t="s">
        <v>36</v>
      </c>
      <c r="X12" s="1" t="s">
        <v>36</v>
      </c>
      <c r="Z12">
        <v>2</v>
      </c>
      <c r="AA12">
        <v>0</v>
      </c>
      <c r="AB12">
        <v>183.56302500000001</v>
      </c>
      <c r="AD12" s="1" t="s">
        <v>65</v>
      </c>
      <c r="AE12" s="1" t="s">
        <v>36</v>
      </c>
      <c r="AF12" s="1" t="s">
        <v>36</v>
      </c>
    </row>
    <row r="13" spans="1:32">
      <c r="A13" s="3">
        <v>43949.293912037036</v>
      </c>
      <c r="B13" s="3">
        <v>43948.041666666664</v>
      </c>
      <c r="C13" s="1" t="s">
        <v>16</v>
      </c>
      <c r="D13" s="1" t="s">
        <v>66</v>
      </c>
      <c r="E13" s="1" t="s">
        <v>67</v>
      </c>
      <c r="F13">
        <v>26</v>
      </c>
      <c r="G13">
        <v>47.350743999999999</v>
      </c>
      <c r="H13">
        <v>7.1561070000000004</v>
      </c>
      <c r="J13">
        <v>196</v>
      </c>
      <c r="K13">
        <v>196</v>
      </c>
      <c r="L13">
        <v>-2</v>
      </c>
      <c r="M13">
        <v>9</v>
      </c>
      <c r="N13">
        <v>267.39</v>
      </c>
      <c r="O13">
        <v>9.5500000000000007</v>
      </c>
      <c r="Q13">
        <v>0</v>
      </c>
      <c r="R13">
        <v>7</v>
      </c>
      <c r="S13">
        <v>4</v>
      </c>
      <c r="V13" s="1" t="s">
        <v>36</v>
      </c>
      <c r="W13" s="1" t="s">
        <v>36</v>
      </c>
      <c r="X13" s="1" t="s">
        <v>36</v>
      </c>
      <c r="Z13">
        <v>0</v>
      </c>
      <c r="AA13">
        <v>1</v>
      </c>
      <c r="AC13">
        <v>22.482780999999999</v>
      </c>
      <c r="AD13" s="1" t="s">
        <v>483</v>
      </c>
      <c r="AE13" s="1" t="s">
        <v>36</v>
      </c>
      <c r="AF13" s="1" t="s">
        <v>36</v>
      </c>
    </row>
    <row r="14" spans="1:32">
      <c r="A14" s="3">
        <v>43949.293912037036</v>
      </c>
      <c r="B14" s="3">
        <v>43948.416666666664</v>
      </c>
      <c r="C14" s="1" t="s">
        <v>16</v>
      </c>
      <c r="D14" s="1" t="s">
        <v>68</v>
      </c>
      <c r="E14" s="1" t="s">
        <v>69</v>
      </c>
      <c r="F14">
        <v>3</v>
      </c>
      <c r="G14">
        <v>47.067762999999999</v>
      </c>
      <c r="H14">
        <v>8.1102000000000007</v>
      </c>
      <c r="J14">
        <v>674</v>
      </c>
      <c r="K14">
        <v>674</v>
      </c>
      <c r="L14">
        <v>6</v>
      </c>
      <c r="M14">
        <v>32</v>
      </c>
      <c r="N14">
        <v>165.81</v>
      </c>
      <c r="O14">
        <v>3.9359999999999999</v>
      </c>
      <c r="Q14">
        <v>0</v>
      </c>
      <c r="R14">
        <v>16</v>
      </c>
      <c r="S14">
        <v>7</v>
      </c>
      <c r="V14" s="1" t="s">
        <v>36</v>
      </c>
      <c r="W14" s="1" t="s">
        <v>36</v>
      </c>
      <c r="X14" s="1" t="s">
        <v>36</v>
      </c>
      <c r="Z14">
        <v>4</v>
      </c>
      <c r="AA14">
        <v>0</v>
      </c>
      <c r="AB14">
        <v>88.098309</v>
      </c>
      <c r="AC14">
        <v>53.700268000000001</v>
      </c>
      <c r="AD14" s="1" t="s">
        <v>70</v>
      </c>
      <c r="AE14" s="1" t="s">
        <v>36</v>
      </c>
      <c r="AF14" s="1" t="s">
        <v>36</v>
      </c>
    </row>
    <row r="15" spans="1:32">
      <c r="A15" s="3">
        <v>43949.293912037036</v>
      </c>
      <c r="B15" s="3">
        <v>43948.041666666664</v>
      </c>
      <c r="C15" s="1" t="s">
        <v>16</v>
      </c>
      <c r="D15" s="1" t="s">
        <v>71</v>
      </c>
      <c r="E15" s="1" t="s">
        <v>72</v>
      </c>
      <c r="F15">
        <v>24</v>
      </c>
      <c r="G15">
        <v>46.995533999999999</v>
      </c>
      <c r="H15">
        <v>6.7801260000000001</v>
      </c>
      <c r="J15">
        <v>674</v>
      </c>
      <c r="K15">
        <v>674</v>
      </c>
      <c r="L15">
        <v>-4</v>
      </c>
      <c r="M15">
        <v>28</v>
      </c>
      <c r="N15">
        <v>378.65</v>
      </c>
      <c r="O15">
        <v>36.517000000000003</v>
      </c>
      <c r="Q15">
        <v>0</v>
      </c>
      <c r="R15">
        <v>65</v>
      </c>
      <c r="S15">
        <v>3</v>
      </c>
      <c r="T15">
        <v>3</v>
      </c>
      <c r="V15" s="1" t="s">
        <v>36</v>
      </c>
      <c r="W15" s="1" t="s">
        <v>36</v>
      </c>
      <c r="X15" s="1" t="s">
        <v>36</v>
      </c>
      <c r="Z15">
        <v>0</v>
      </c>
      <c r="AA15">
        <v>0</v>
      </c>
      <c r="AB15">
        <v>210.61747</v>
      </c>
      <c r="AD15" s="1" t="s">
        <v>434</v>
      </c>
      <c r="AE15" s="1" t="s">
        <v>36</v>
      </c>
      <c r="AF15" s="1" t="s">
        <v>36</v>
      </c>
    </row>
    <row r="16" spans="1:32">
      <c r="A16" s="3">
        <v>43949.293912037036</v>
      </c>
      <c r="B16" s="3">
        <v>43948.041666666664</v>
      </c>
      <c r="C16" s="1" t="s">
        <v>16</v>
      </c>
      <c r="D16" s="1" t="s">
        <v>73</v>
      </c>
      <c r="E16" s="1" t="s">
        <v>74</v>
      </c>
      <c r="F16">
        <v>7</v>
      </c>
      <c r="G16">
        <v>46.926755</v>
      </c>
      <c r="H16">
        <v>8.4053020000000007</v>
      </c>
      <c r="J16">
        <v>110</v>
      </c>
      <c r="K16">
        <v>110</v>
      </c>
      <c r="L16">
        <v>-1</v>
      </c>
      <c r="M16">
        <v>2</v>
      </c>
      <c r="N16">
        <v>255.81</v>
      </c>
      <c r="O16">
        <v>6.9770000000000003</v>
      </c>
      <c r="Q16">
        <v>0</v>
      </c>
      <c r="R16">
        <v>3</v>
      </c>
      <c r="S16">
        <v>0</v>
      </c>
      <c r="V16" s="1" t="s">
        <v>36</v>
      </c>
      <c r="W16" s="1" t="s">
        <v>36</v>
      </c>
      <c r="X16" s="1" t="s">
        <v>36</v>
      </c>
      <c r="Z16">
        <v>0</v>
      </c>
      <c r="AA16">
        <v>0</v>
      </c>
      <c r="AB16">
        <v>188.877307</v>
      </c>
      <c r="AD16" s="1" t="s">
        <v>409</v>
      </c>
      <c r="AE16" s="1" t="s">
        <v>36</v>
      </c>
      <c r="AF16" s="1" t="s">
        <v>36</v>
      </c>
    </row>
    <row r="17" spans="1:32">
      <c r="A17" s="3">
        <v>43949.293912037036</v>
      </c>
      <c r="B17" s="3">
        <v>43948.5625</v>
      </c>
      <c r="C17" s="1" t="s">
        <v>16</v>
      </c>
      <c r="D17" s="1" t="s">
        <v>75</v>
      </c>
      <c r="E17" s="1" t="s">
        <v>76</v>
      </c>
      <c r="F17">
        <v>6</v>
      </c>
      <c r="G17">
        <v>46.804527</v>
      </c>
      <c r="H17">
        <v>8.1443170000000009</v>
      </c>
      <c r="I17">
        <v>6</v>
      </c>
      <c r="J17">
        <v>75</v>
      </c>
      <c r="K17">
        <v>75</v>
      </c>
      <c r="L17">
        <v>0</v>
      </c>
      <c r="M17">
        <v>0</v>
      </c>
      <c r="N17">
        <v>199.47</v>
      </c>
      <c r="O17">
        <v>0</v>
      </c>
      <c r="P17">
        <v>1</v>
      </c>
      <c r="Q17">
        <v>0</v>
      </c>
      <c r="R17">
        <v>0</v>
      </c>
      <c r="V17" s="1" t="s">
        <v>36</v>
      </c>
      <c r="W17" s="1" t="s">
        <v>36</v>
      </c>
      <c r="X17" s="1" t="s">
        <v>36</v>
      </c>
      <c r="Z17">
        <v>4</v>
      </c>
      <c r="AA17">
        <v>0</v>
      </c>
      <c r="AB17">
        <v>30.725836000000001</v>
      </c>
      <c r="AC17">
        <v>0</v>
      </c>
      <c r="AD17" s="1" t="s">
        <v>77</v>
      </c>
      <c r="AE17" s="1" t="s">
        <v>36</v>
      </c>
      <c r="AF17" s="1" t="s">
        <v>36</v>
      </c>
    </row>
    <row r="18" spans="1:32">
      <c r="A18" s="3">
        <v>43949.293912037036</v>
      </c>
      <c r="B18" s="3">
        <v>43948.041666666664</v>
      </c>
      <c r="C18" s="1" t="s">
        <v>16</v>
      </c>
      <c r="D18" s="1" t="s">
        <v>78</v>
      </c>
      <c r="E18" s="1" t="s">
        <v>79</v>
      </c>
      <c r="F18">
        <v>17</v>
      </c>
      <c r="G18">
        <v>47.183199999999999</v>
      </c>
      <c r="H18">
        <v>9.2747440000000001</v>
      </c>
      <c r="J18">
        <v>767</v>
      </c>
      <c r="K18">
        <v>767</v>
      </c>
      <c r="L18">
        <v>1</v>
      </c>
      <c r="M18">
        <v>39</v>
      </c>
      <c r="N18">
        <v>151.97</v>
      </c>
      <c r="O18">
        <v>6.1420000000000003</v>
      </c>
      <c r="P18">
        <v>176</v>
      </c>
      <c r="Q18">
        <v>0</v>
      </c>
      <c r="R18">
        <v>31</v>
      </c>
      <c r="S18">
        <v>2</v>
      </c>
      <c r="V18" s="1" t="s">
        <v>36</v>
      </c>
      <c r="W18" s="1" t="s">
        <v>36</v>
      </c>
      <c r="X18" s="1" t="s">
        <v>36</v>
      </c>
      <c r="Z18">
        <v>6</v>
      </c>
      <c r="AA18">
        <v>0</v>
      </c>
      <c r="AB18">
        <v>60.069527000000001</v>
      </c>
      <c r="AC18">
        <v>51.966779000000002</v>
      </c>
      <c r="AD18" s="1" t="s">
        <v>80</v>
      </c>
      <c r="AE18" s="1" t="s">
        <v>36</v>
      </c>
      <c r="AF18" s="1" t="s">
        <v>36</v>
      </c>
    </row>
    <row r="19" spans="1:32">
      <c r="A19" s="3">
        <v>43949.293912037036</v>
      </c>
      <c r="B19" s="3">
        <v>43948.3125</v>
      </c>
      <c r="C19" s="1" t="s">
        <v>16</v>
      </c>
      <c r="D19" s="1" t="s">
        <v>81</v>
      </c>
      <c r="E19" s="1" t="s">
        <v>82</v>
      </c>
      <c r="F19">
        <v>14</v>
      </c>
      <c r="G19">
        <v>47.713569999999997</v>
      </c>
      <c r="H19">
        <v>8.5916700000000006</v>
      </c>
      <c r="J19">
        <v>73</v>
      </c>
      <c r="K19">
        <v>73</v>
      </c>
      <c r="L19">
        <v>3</v>
      </c>
      <c r="M19">
        <v>12</v>
      </c>
      <c r="N19">
        <v>89.68</v>
      </c>
      <c r="O19">
        <v>6.1429999999999998</v>
      </c>
      <c r="Q19">
        <v>0</v>
      </c>
      <c r="R19">
        <v>5</v>
      </c>
      <c r="S19">
        <v>3</v>
      </c>
      <c r="V19" s="1" t="s">
        <v>36</v>
      </c>
      <c r="W19" s="1" t="s">
        <v>36</v>
      </c>
      <c r="X19" s="1" t="s">
        <v>36</v>
      </c>
      <c r="Z19">
        <v>1</v>
      </c>
      <c r="AA19">
        <v>0</v>
      </c>
      <c r="AB19">
        <v>23.524470000000001</v>
      </c>
      <c r="AC19">
        <v>6.7845769999999996</v>
      </c>
      <c r="AD19" s="1" t="s">
        <v>460</v>
      </c>
      <c r="AE19" s="1" t="s">
        <v>36</v>
      </c>
      <c r="AF19" s="1" t="s">
        <v>36</v>
      </c>
    </row>
    <row r="20" spans="1:32">
      <c r="A20" s="3">
        <v>43949.293912037036</v>
      </c>
      <c r="B20" s="3">
        <v>43949.041666666664</v>
      </c>
      <c r="C20" s="1" t="s">
        <v>16</v>
      </c>
      <c r="D20" s="1" t="s">
        <v>83</v>
      </c>
      <c r="E20" s="1" t="s">
        <v>84</v>
      </c>
      <c r="F20">
        <v>11</v>
      </c>
      <c r="G20">
        <v>47.304135000000002</v>
      </c>
      <c r="H20">
        <v>7.6393880000000003</v>
      </c>
      <c r="J20">
        <v>383</v>
      </c>
      <c r="K20">
        <v>383</v>
      </c>
      <c r="L20">
        <v>0</v>
      </c>
      <c r="M20">
        <v>13</v>
      </c>
      <c r="N20">
        <v>141.12</v>
      </c>
      <c r="O20">
        <v>5.5270000000000001</v>
      </c>
      <c r="Q20">
        <v>0</v>
      </c>
      <c r="R20">
        <v>15</v>
      </c>
      <c r="V20" s="1" t="s">
        <v>36</v>
      </c>
      <c r="W20" s="1" t="s">
        <v>36</v>
      </c>
      <c r="X20" s="1" t="s">
        <v>36</v>
      </c>
      <c r="Z20">
        <v>1</v>
      </c>
      <c r="AA20">
        <v>0</v>
      </c>
      <c r="AB20">
        <v>164.183142</v>
      </c>
      <c r="AC20">
        <v>15.531419</v>
      </c>
      <c r="AD20" s="1" t="s">
        <v>448</v>
      </c>
      <c r="AE20" s="1" t="s">
        <v>36</v>
      </c>
      <c r="AF20" s="1" t="s">
        <v>36</v>
      </c>
    </row>
    <row r="21" spans="1:32">
      <c r="A21" s="3">
        <v>43949.293912037036</v>
      </c>
      <c r="B21" s="3">
        <v>43948.333333333336</v>
      </c>
      <c r="C21" s="1" t="s">
        <v>16</v>
      </c>
      <c r="D21" s="1" t="s">
        <v>86</v>
      </c>
      <c r="E21" s="1" t="s">
        <v>87</v>
      </c>
      <c r="F21">
        <v>5</v>
      </c>
      <c r="G21">
        <v>47.061787000000002</v>
      </c>
      <c r="H21">
        <v>8.7565849999999994</v>
      </c>
      <c r="I21">
        <v>10</v>
      </c>
      <c r="J21">
        <v>293</v>
      </c>
      <c r="K21">
        <v>293</v>
      </c>
      <c r="L21">
        <v>0</v>
      </c>
      <c r="M21">
        <v>1</v>
      </c>
      <c r="N21">
        <v>186.27</v>
      </c>
      <c r="O21">
        <v>11.443</v>
      </c>
      <c r="P21">
        <v>216</v>
      </c>
      <c r="Q21">
        <v>0</v>
      </c>
      <c r="R21">
        <v>18</v>
      </c>
      <c r="V21" s="1" t="s">
        <v>36</v>
      </c>
      <c r="W21" s="1" t="s">
        <v>36</v>
      </c>
      <c r="X21" s="1" t="s">
        <v>36</v>
      </c>
      <c r="Z21">
        <v>0</v>
      </c>
      <c r="AA21">
        <v>0</v>
      </c>
      <c r="AB21">
        <v>90.570683000000002</v>
      </c>
      <c r="AC21">
        <v>29.424745999999999</v>
      </c>
      <c r="AD21" s="1" t="s">
        <v>461</v>
      </c>
      <c r="AE21" s="1" t="s">
        <v>36</v>
      </c>
      <c r="AF21" s="1" t="s">
        <v>36</v>
      </c>
    </row>
    <row r="22" spans="1:32">
      <c r="A22" s="3">
        <v>43949.293912037036</v>
      </c>
      <c r="B22" s="3">
        <v>43948.041666666664</v>
      </c>
      <c r="C22" s="1" t="s">
        <v>16</v>
      </c>
      <c r="D22" s="1" t="s">
        <v>88</v>
      </c>
      <c r="E22" s="1" t="s">
        <v>89</v>
      </c>
      <c r="F22">
        <v>1</v>
      </c>
      <c r="G22">
        <v>47.568714999999997</v>
      </c>
      <c r="H22">
        <v>9.0919570000000007</v>
      </c>
      <c r="I22">
        <v>276</v>
      </c>
      <c r="J22">
        <v>360</v>
      </c>
      <c r="K22">
        <v>360</v>
      </c>
      <c r="L22">
        <v>0</v>
      </c>
      <c r="M22">
        <v>21</v>
      </c>
      <c r="N22">
        <v>131.47999999999999</v>
      </c>
      <c r="O22">
        <v>6.2089999999999996</v>
      </c>
      <c r="Q22">
        <v>0</v>
      </c>
      <c r="R22">
        <v>17</v>
      </c>
      <c r="S22">
        <v>8</v>
      </c>
      <c r="V22" s="1" t="s">
        <v>36</v>
      </c>
      <c r="W22" s="1" t="s">
        <v>36</v>
      </c>
      <c r="X22" s="1" t="s">
        <v>36</v>
      </c>
      <c r="Z22">
        <v>0</v>
      </c>
      <c r="AA22">
        <v>1</v>
      </c>
      <c r="AB22">
        <v>60.633870999999999</v>
      </c>
      <c r="AC22">
        <v>17.850263000000002</v>
      </c>
      <c r="AD22" s="1" t="s">
        <v>90</v>
      </c>
      <c r="AE22" s="1" t="s">
        <v>36</v>
      </c>
      <c r="AF22" s="1" t="s">
        <v>36</v>
      </c>
    </row>
    <row r="23" spans="1:32">
      <c r="A23" s="3">
        <v>43949.293912037036</v>
      </c>
      <c r="B23" s="3">
        <v>43948.25</v>
      </c>
      <c r="C23" s="1" t="s">
        <v>16</v>
      </c>
      <c r="D23" s="1" t="s">
        <v>91</v>
      </c>
      <c r="E23" s="1" t="s">
        <v>92</v>
      </c>
      <c r="F23">
        <v>21</v>
      </c>
      <c r="G23">
        <v>46.295617</v>
      </c>
      <c r="H23">
        <v>8.8089239999999993</v>
      </c>
      <c r="J23">
        <v>3169</v>
      </c>
      <c r="K23">
        <v>3169</v>
      </c>
      <c r="L23">
        <v>-4</v>
      </c>
      <c r="M23">
        <v>188</v>
      </c>
      <c r="N23">
        <v>895.96</v>
      </c>
      <c r="O23">
        <v>87.927999999999997</v>
      </c>
      <c r="P23">
        <v>709</v>
      </c>
      <c r="Q23">
        <v>0</v>
      </c>
      <c r="R23">
        <v>311</v>
      </c>
      <c r="S23">
        <v>34</v>
      </c>
      <c r="T23">
        <v>25</v>
      </c>
      <c r="V23" s="1" t="s">
        <v>36</v>
      </c>
      <c r="W23" s="1" t="s">
        <v>36</v>
      </c>
      <c r="X23" s="1" t="s">
        <v>36</v>
      </c>
      <c r="Z23">
        <v>8</v>
      </c>
      <c r="AA23">
        <v>5</v>
      </c>
      <c r="AB23">
        <v>135.546211</v>
      </c>
      <c r="AC23">
        <v>65.61712</v>
      </c>
      <c r="AD23" s="1" t="s">
        <v>481</v>
      </c>
      <c r="AE23" s="1" t="s">
        <v>36</v>
      </c>
      <c r="AF23" s="1" t="s">
        <v>36</v>
      </c>
    </row>
    <row r="24" spans="1:32">
      <c r="A24" s="3">
        <v>43949.293912037036</v>
      </c>
      <c r="B24" s="3">
        <v>43948.5</v>
      </c>
      <c r="C24" s="1" t="s">
        <v>16</v>
      </c>
      <c r="D24" s="1" t="s">
        <v>94</v>
      </c>
      <c r="E24" s="1" t="s">
        <v>95</v>
      </c>
      <c r="F24">
        <v>4</v>
      </c>
      <c r="G24">
        <v>46.771849000000003</v>
      </c>
      <c r="H24">
        <v>8.6285860000000003</v>
      </c>
      <c r="I24">
        <v>85</v>
      </c>
      <c r="J24">
        <v>83</v>
      </c>
      <c r="K24">
        <v>83</v>
      </c>
      <c r="L24">
        <v>1</v>
      </c>
      <c r="M24">
        <v>4</v>
      </c>
      <c r="N24">
        <v>228.65</v>
      </c>
      <c r="O24">
        <v>13.773999999999999</v>
      </c>
      <c r="P24">
        <v>69</v>
      </c>
      <c r="Q24">
        <v>0</v>
      </c>
      <c r="R24">
        <v>5</v>
      </c>
      <c r="V24" s="1" t="s">
        <v>36</v>
      </c>
      <c r="W24" s="1" t="s">
        <v>36</v>
      </c>
      <c r="X24" s="1" t="s">
        <v>36</v>
      </c>
      <c r="Z24">
        <v>3</v>
      </c>
      <c r="AA24">
        <v>0</v>
      </c>
      <c r="AB24">
        <v>55.780405000000002</v>
      </c>
      <c r="AD24" s="1" t="s">
        <v>96</v>
      </c>
      <c r="AE24" s="1" t="s">
        <v>36</v>
      </c>
      <c r="AF24" s="1" t="s">
        <v>36</v>
      </c>
    </row>
    <row r="25" spans="1:32">
      <c r="A25" s="3">
        <v>43949.293912037036</v>
      </c>
      <c r="B25" s="3">
        <v>43947.041666666664</v>
      </c>
      <c r="C25" s="1" t="s">
        <v>16</v>
      </c>
      <c r="D25" s="1" t="s">
        <v>97</v>
      </c>
      <c r="E25" s="1" t="s">
        <v>98</v>
      </c>
      <c r="F25">
        <v>22</v>
      </c>
      <c r="G25">
        <v>46.570090999999998</v>
      </c>
      <c r="H25">
        <v>6.5578090000000007</v>
      </c>
      <c r="J25">
        <v>5212</v>
      </c>
      <c r="K25">
        <v>5212</v>
      </c>
      <c r="L25">
        <v>7</v>
      </c>
      <c r="M25">
        <v>192</v>
      </c>
      <c r="N25">
        <v>657.17</v>
      </c>
      <c r="O25">
        <v>44.761000000000003</v>
      </c>
      <c r="Q25">
        <v>0</v>
      </c>
      <c r="R25">
        <v>355</v>
      </c>
      <c r="S25">
        <v>38</v>
      </c>
      <c r="V25" s="1" t="s">
        <v>36</v>
      </c>
      <c r="W25" s="1" t="s">
        <v>36</v>
      </c>
      <c r="X25" s="1" t="s">
        <v>36</v>
      </c>
      <c r="Z25">
        <v>0</v>
      </c>
      <c r="AA25">
        <v>1</v>
      </c>
      <c r="AB25">
        <v>205.88773599999999</v>
      </c>
      <c r="AC25">
        <v>56.836962999999997</v>
      </c>
      <c r="AD25" s="1" t="s">
        <v>99</v>
      </c>
      <c r="AE25" s="1" t="s">
        <v>36</v>
      </c>
      <c r="AF25" s="1" t="s">
        <v>36</v>
      </c>
    </row>
    <row r="26" spans="1:32">
      <c r="A26" s="3">
        <v>43949.293912037036</v>
      </c>
      <c r="B26" s="3">
        <v>43948.541666666664</v>
      </c>
      <c r="C26" s="1" t="s">
        <v>16</v>
      </c>
      <c r="D26" s="1" t="s">
        <v>100</v>
      </c>
      <c r="E26" s="1" t="s">
        <v>101</v>
      </c>
      <c r="F26">
        <v>23</v>
      </c>
      <c r="G26">
        <v>46.209567</v>
      </c>
      <c r="H26">
        <v>7.6046589999999998</v>
      </c>
      <c r="J26">
        <v>1836</v>
      </c>
      <c r="K26">
        <v>1836</v>
      </c>
      <c r="L26">
        <v>-1</v>
      </c>
      <c r="M26">
        <v>68</v>
      </c>
      <c r="N26">
        <v>537.63</v>
      </c>
      <c r="O26">
        <v>38.652999999999999</v>
      </c>
      <c r="P26">
        <v>220</v>
      </c>
      <c r="Q26">
        <v>0</v>
      </c>
      <c r="R26">
        <v>132</v>
      </c>
      <c r="S26">
        <v>15</v>
      </c>
      <c r="T26">
        <v>10</v>
      </c>
      <c r="V26" s="1" t="s">
        <v>36</v>
      </c>
      <c r="W26" s="1" t="s">
        <v>36</v>
      </c>
      <c r="X26" s="1" t="s">
        <v>36</v>
      </c>
      <c r="Z26">
        <v>0</v>
      </c>
      <c r="AA26">
        <v>1</v>
      </c>
      <c r="AB26">
        <v>197.10865100000001</v>
      </c>
      <c r="AC26">
        <v>30.911697</v>
      </c>
      <c r="AD26" s="1" t="s">
        <v>484</v>
      </c>
      <c r="AE26" s="1" t="s">
        <v>36</v>
      </c>
      <c r="AF26" s="1" t="s">
        <v>36</v>
      </c>
    </row>
    <row r="27" spans="1:32">
      <c r="A27" s="3">
        <v>43949.293912037036</v>
      </c>
      <c r="B27" s="3">
        <v>43946.25</v>
      </c>
      <c r="C27" s="1" t="s">
        <v>16</v>
      </c>
      <c r="D27" s="1" t="s">
        <v>102</v>
      </c>
      <c r="E27" s="1" t="s">
        <v>103</v>
      </c>
      <c r="F27">
        <v>9</v>
      </c>
      <c r="G27">
        <v>47.157296000000002</v>
      </c>
      <c r="H27">
        <v>8.5372939999999993</v>
      </c>
      <c r="J27">
        <v>181</v>
      </c>
      <c r="K27">
        <v>181</v>
      </c>
      <c r="L27">
        <v>0</v>
      </c>
      <c r="M27">
        <v>6</v>
      </c>
      <c r="N27">
        <v>144.34</v>
      </c>
      <c r="O27">
        <v>6.38</v>
      </c>
      <c r="P27">
        <v>133</v>
      </c>
      <c r="Q27">
        <v>0</v>
      </c>
      <c r="R27">
        <v>8</v>
      </c>
      <c r="S27">
        <v>3</v>
      </c>
      <c r="V27" s="1" t="s">
        <v>36</v>
      </c>
      <c r="W27" s="1" t="s">
        <v>36</v>
      </c>
      <c r="X27" s="1" t="s">
        <v>36</v>
      </c>
      <c r="Z27">
        <v>1</v>
      </c>
      <c r="AA27">
        <v>0</v>
      </c>
      <c r="AB27">
        <v>102.807096</v>
      </c>
      <c r="AC27">
        <v>25.954464999999999</v>
      </c>
      <c r="AD27" s="1" t="s">
        <v>440</v>
      </c>
      <c r="AE27" s="1" t="s">
        <v>36</v>
      </c>
      <c r="AF27" s="1" t="s">
        <v>36</v>
      </c>
    </row>
    <row r="28" spans="1:32">
      <c r="A28" s="3">
        <v>43949.293912037036</v>
      </c>
      <c r="B28" s="3">
        <v>43948.520833333336</v>
      </c>
      <c r="C28" s="1" t="s">
        <v>16</v>
      </c>
      <c r="D28" s="1" t="s">
        <v>104</v>
      </c>
      <c r="E28" s="1" t="s">
        <v>105</v>
      </c>
      <c r="F28">
        <v>1</v>
      </c>
      <c r="G28">
        <v>47.412750000000003</v>
      </c>
      <c r="H28">
        <v>8.6550799999999999</v>
      </c>
      <c r="J28">
        <v>3418</v>
      </c>
      <c r="K28">
        <v>3418</v>
      </c>
      <c r="L28">
        <v>-2</v>
      </c>
      <c r="M28">
        <v>73</v>
      </c>
      <c r="N28">
        <v>227.22</v>
      </c>
      <c r="O28">
        <v>7.6449999999999996</v>
      </c>
      <c r="Q28">
        <v>0</v>
      </c>
      <c r="R28">
        <v>115</v>
      </c>
      <c r="S28">
        <v>24</v>
      </c>
      <c r="T28">
        <v>24</v>
      </c>
      <c r="V28" s="1" t="s">
        <v>36</v>
      </c>
      <c r="W28" s="1" t="s">
        <v>36</v>
      </c>
      <c r="X28" s="1" t="s">
        <v>36</v>
      </c>
      <c r="Z28">
        <v>18</v>
      </c>
      <c r="AA28">
        <v>0</v>
      </c>
      <c r="AB28">
        <v>119.13511099999999</v>
      </c>
      <c r="AC28">
        <v>77.966220000000007</v>
      </c>
      <c r="AD28" s="1" t="s">
        <v>106</v>
      </c>
      <c r="AE28" s="1" t="s">
        <v>36</v>
      </c>
      <c r="AF28" s="1" t="s">
        <v>36</v>
      </c>
    </row>
  </sheetData>
  <phoneticPr fontId="28" type="noConversion"/>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1494E-C381-4567-A473-CAF48053BEF2}">
  <dimension ref="A1:K1324"/>
  <sheetViews>
    <sheetView workbookViewId="0">
      <selection sqref="A1:K1323"/>
    </sheetView>
  </sheetViews>
  <sheetFormatPr baseColWidth="10" defaultRowHeight="14.5"/>
  <cols>
    <col min="1" max="1" width="9.90625" bestFit="1" customWidth="1"/>
    <col min="2" max="2" width="7.90625" bestFit="1" customWidth="1"/>
    <col min="3" max="3" width="27" bestFit="1" customWidth="1"/>
    <col min="4" max="4" width="15.6328125" bestFit="1" customWidth="1"/>
    <col min="5" max="5" width="13.90625" bestFit="1" customWidth="1"/>
    <col min="6" max="6" width="14.36328125" bestFit="1" customWidth="1"/>
    <col min="7" max="7" width="13.1796875" bestFit="1" customWidth="1"/>
    <col min="8" max="8" width="14" bestFit="1" customWidth="1"/>
    <col min="9" max="9" width="17.36328125" bestFit="1" customWidth="1"/>
    <col min="10" max="10" width="18.1796875" bestFit="1" customWidth="1"/>
    <col min="11" max="11" width="80.7265625" bestFit="1" customWidth="1"/>
  </cols>
  <sheetData>
    <row r="1" spans="1:11">
      <c r="A1" t="s">
        <v>0</v>
      </c>
      <c r="B1" t="s">
        <v>107</v>
      </c>
      <c r="C1" t="s">
        <v>454</v>
      </c>
      <c r="D1" t="s">
        <v>455</v>
      </c>
      <c r="E1" t="s">
        <v>456</v>
      </c>
      <c r="F1" t="s">
        <v>466</v>
      </c>
      <c r="G1" t="s">
        <v>467</v>
      </c>
      <c r="H1" t="s">
        <v>29</v>
      </c>
      <c r="I1" t="s">
        <v>457</v>
      </c>
      <c r="J1" t="s">
        <v>458</v>
      </c>
      <c r="K1" t="s">
        <v>33</v>
      </c>
    </row>
    <row r="2" spans="1:11">
      <c r="A2" s="2">
        <v>43886</v>
      </c>
      <c r="B2" s="4"/>
      <c r="C2" s="1" t="s">
        <v>58</v>
      </c>
      <c r="D2">
        <v>72</v>
      </c>
      <c r="E2">
        <v>0</v>
      </c>
      <c r="F2">
        <v>0</v>
      </c>
      <c r="G2">
        <v>0</v>
      </c>
      <c r="H2">
        <v>0</v>
      </c>
      <c r="J2">
        <v>0</v>
      </c>
      <c r="K2" s="1" t="s">
        <v>60</v>
      </c>
    </row>
    <row r="3" spans="1:11">
      <c r="A3" s="2">
        <v>43886</v>
      </c>
      <c r="B3" s="4"/>
      <c r="C3" s="1" t="s">
        <v>91</v>
      </c>
      <c r="E3">
        <v>1</v>
      </c>
      <c r="K3" s="1" t="s">
        <v>108</v>
      </c>
    </row>
    <row r="4" spans="1:11">
      <c r="A4" s="2">
        <v>43887</v>
      </c>
      <c r="B4" s="4"/>
      <c r="C4" s="1" t="s">
        <v>58</v>
      </c>
      <c r="D4">
        <v>177</v>
      </c>
      <c r="E4">
        <v>1</v>
      </c>
      <c r="F4">
        <v>1</v>
      </c>
      <c r="G4">
        <v>0</v>
      </c>
      <c r="H4">
        <v>0</v>
      </c>
      <c r="J4">
        <v>0</v>
      </c>
      <c r="K4" s="1" t="s">
        <v>60</v>
      </c>
    </row>
    <row r="5" spans="1:11">
      <c r="A5" s="2">
        <v>43887</v>
      </c>
      <c r="B5" s="4"/>
      <c r="C5" s="1" t="s">
        <v>91</v>
      </c>
      <c r="K5" s="1" t="s">
        <v>36</v>
      </c>
    </row>
    <row r="6" spans="1:11">
      <c r="A6" s="2">
        <v>43888</v>
      </c>
      <c r="B6" s="4"/>
      <c r="C6" s="1" t="s">
        <v>53</v>
      </c>
      <c r="D6">
        <v>3</v>
      </c>
      <c r="K6" s="1" t="s">
        <v>110</v>
      </c>
    </row>
    <row r="7" spans="1:11">
      <c r="A7" s="2">
        <v>43888</v>
      </c>
      <c r="B7" s="4"/>
      <c r="C7" s="1" t="s">
        <v>58</v>
      </c>
      <c r="D7">
        <v>325</v>
      </c>
      <c r="E7">
        <v>1</v>
      </c>
      <c r="F7">
        <v>1</v>
      </c>
      <c r="G7">
        <v>0</v>
      </c>
      <c r="H7">
        <v>0</v>
      </c>
      <c r="J7">
        <v>0</v>
      </c>
      <c r="K7" s="1" t="s">
        <v>60</v>
      </c>
    </row>
    <row r="8" spans="1:11">
      <c r="A8" s="2">
        <v>43888</v>
      </c>
      <c r="B8" s="4"/>
      <c r="C8" s="1" t="s">
        <v>66</v>
      </c>
      <c r="E8">
        <v>1</v>
      </c>
      <c r="F8">
        <v>1</v>
      </c>
      <c r="G8">
        <v>0</v>
      </c>
      <c r="J8">
        <v>0</v>
      </c>
      <c r="K8" s="1" t="s">
        <v>483</v>
      </c>
    </row>
    <row r="9" spans="1:11">
      <c r="A9" s="2">
        <v>43888</v>
      </c>
      <c r="B9" s="4"/>
      <c r="C9" s="1" t="s">
        <v>91</v>
      </c>
      <c r="K9" s="1" t="s">
        <v>36</v>
      </c>
    </row>
    <row r="10" spans="1:11">
      <c r="A10" s="2">
        <v>43888</v>
      </c>
      <c r="B10" s="4">
        <v>0.60416666666666663</v>
      </c>
      <c r="C10" s="1" t="s">
        <v>104</v>
      </c>
      <c r="E10">
        <v>2</v>
      </c>
      <c r="K10" s="1" t="s">
        <v>106</v>
      </c>
    </row>
    <row r="11" spans="1:11">
      <c r="A11" s="2">
        <v>43888</v>
      </c>
      <c r="B11" s="4">
        <v>0.80347222222222225</v>
      </c>
      <c r="C11" s="1" t="s">
        <v>50</v>
      </c>
      <c r="E11">
        <v>1</v>
      </c>
      <c r="K11" s="1" t="s">
        <v>109</v>
      </c>
    </row>
    <row r="12" spans="1:11">
      <c r="A12" s="2">
        <v>43889</v>
      </c>
      <c r="B12" s="4"/>
      <c r="C12" s="1" t="s">
        <v>44</v>
      </c>
      <c r="E12">
        <v>1</v>
      </c>
      <c r="K12" s="1" t="s">
        <v>112</v>
      </c>
    </row>
    <row r="13" spans="1:11">
      <c r="A13" s="2">
        <v>43889</v>
      </c>
      <c r="B13" s="4"/>
      <c r="C13" s="1" t="s">
        <v>47</v>
      </c>
      <c r="E13">
        <v>1</v>
      </c>
      <c r="K13" s="1" t="s">
        <v>113</v>
      </c>
    </row>
    <row r="14" spans="1:11">
      <c r="A14" s="2">
        <v>43889</v>
      </c>
      <c r="B14" s="4"/>
      <c r="C14" s="1" t="s">
        <v>58</v>
      </c>
      <c r="D14">
        <v>532</v>
      </c>
      <c r="E14">
        <v>4</v>
      </c>
      <c r="F14">
        <v>2</v>
      </c>
      <c r="G14">
        <v>0</v>
      </c>
      <c r="H14">
        <v>0</v>
      </c>
      <c r="J14">
        <v>0</v>
      </c>
      <c r="K14" s="1" t="s">
        <v>60</v>
      </c>
    </row>
    <row r="15" spans="1:11">
      <c r="A15" s="2">
        <v>43889</v>
      </c>
      <c r="B15" s="4"/>
      <c r="C15" s="1" t="s">
        <v>66</v>
      </c>
      <c r="E15">
        <v>1</v>
      </c>
      <c r="F15">
        <v>1</v>
      </c>
      <c r="G15">
        <v>0</v>
      </c>
      <c r="J15">
        <v>0</v>
      </c>
      <c r="K15" s="1" t="s">
        <v>483</v>
      </c>
    </row>
    <row r="16" spans="1:11">
      <c r="A16" s="2">
        <v>43889</v>
      </c>
      <c r="B16" s="4"/>
      <c r="C16" s="1" t="s">
        <v>91</v>
      </c>
      <c r="K16" s="1" t="s">
        <v>36</v>
      </c>
    </row>
    <row r="17" spans="1:11">
      <c r="A17" s="2">
        <v>43889</v>
      </c>
      <c r="B17" s="4"/>
      <c r="C17" s="1" t="s">
        <v>97</v>
      </c>
      <c r="F17">
        <v>4</v>
      </c>
      <c r="K17" s="1" t="s">
        <v>115</v>
      </c>
    </row>
    <row r="18" spans="1:11">
      <c r="A18" s="2">
        <v>43889</v>
      </c>
      <c r="B18" s="4"/>
      <c r="C18" s="1" t="s">
        <v>100</v>
      </c>
      <c r="E18">
        <v>1</v>
      </c>
      <c r="F18">
        <v>5</v>
      </c>
      <c r="G18">
        <v>0</v>
      </c>
      <c r="H18">
        <v>0</v>
      </c>
      <c r="J18">
        <v>0</v>
      </c>
      <c r="K18" s="1" t="s">
        <v>484</v>
      </c>
    </row>
    <row r="19" spans="1:11">
      <c r="A19" s="2">
        <v>43889</v>
      </c>
      <c r="B19" s="4">
        <v>0.42708333333333331</v>
      </c>
      <c r="C19" s="1" t="s">
        <v>50</v>
      </c>
      <c r="E19">
        <v>1</v>
      </c>
      <c r="K19" s="1" t="s">
        <v>114</v>
      </c>
    </row>
    <row r="20" spans="1:11">
      <c r="A20" s="2">
        <v>43889</v>
      </c>
      <c r="B20" s="4">
        <v>0.60416666666666663</v>
      </c>
      <c r="C20" s="1" t="s">
        <v>104</v>
      </c>
      <c r="E20">
        <v>2</v>
      </c>
      <c r="K20" s="1" t="s">
        <v>106</v>
      </c>
    </row>
    <row r="21" spans="1:11">
      <c r="A21" s="2">
        <v>43889</v>
      </c>
      <c r="B21" s="4">
        <v>0.625</v>
      </c>
      <c r="C21" s="1" t="s">
        <v>34</v>
      </c>
      <c r="E21">
        <v>1</v>
      </c>
      <c r="K21" s="1" t="s">
        <v>111</v>
      </c>
    </row>
    <row r="22" spans="1:11">
      <c r="A22" s="2">
        <v>43890</v>
      </c>
      <c r="B22" s="4"/>
      <c r="C22" s="1" t="s">
        <v>47</v>
      </c>
      <c r="E22">
        <v>2</v>
      </c>
      <c r="F22">
        <v>1</v>
      </c>
      <c r="K22" s="1" t="s">
        <v>116</v>
      </c>
    </row>
    <row r="23" spans="1:11">
      <c r="A23" s="2">
        <v>43890</v>
      </c>
      <c r="B23" s="4"/>
      <c r="C23" s="1" t="s">
        <v>58</v>
      </c>
      <c r="D23">
        <v>672</v>
      </c>
      <c r="E23">
        <v>6</v>
      </c>
      <c r="F23">
        <v>3</v>
      </c>
      <c r="G23">
        <v>0</v>
      </c>
      <c r="H23">
        <v>0</v>
      </c>
      <c r="J23">
        <v>0</v>
      </c>
      <c r="K23" s="1" t="s">
        <v>60</v>
      </c>
    </row>
    <row r="24" spans="1:11">
      <c r="A24" s="2">
        <v>43890</v>
      </c>
      <c r="B24" s="4"/>
      <c r="C24" s="1" t="s">
        <v>66</v>
      </c>
      <c r="E24">
        <v>1</v>
      </c>
      <c r="F24">
        <v>1</v>
      </c>
      <c r="G24">
        <v>0</v>
      </c>
      <c r="J24">
        <v>0</v>
      </c>
      <c r="K24" s="1" t="s">
        <v>483</v>
      </c>
    </row>
    <row r="25" spans="1:11">
      <c r="A25" s="2">
        <v>43890</v>
      </c>
      <c r="B25" s="4"/>
      <c r="C25" s="1" t="s">
        <v>91</v>
      </c>
      <c r="K25" s="1" t="s">
        <v>36</v>
      </c>
    </row>
    <row r="26" spans="1:11">
      <c r="A26" s="2">
        <v>43890</v>
      </c>
      <c r="B26" s="4"/>
      <c r="C26" s="1" t="s">
        <v>97</v>
      </c>
      <c r="F26">
        <v>4</v>
      </c>
      <c r="K26" s="1" t="s">
        <v>115</v>
      </c>
    </row>
    <row r="27" spans="1:11">
      <c r="A27" s="2">
        <v>43890</v>
      </c>
      <c r="B27" s="4"/>
      <c r="C27" s="1" t="s">
        <v>100</v>
      </c>
      <c r="E27">
        <v>1</v>
      </c>
      <c r="F27">
        <v>5</v>
      </c>
      <c r="G27">
        <v>0</v>
      </c>
      <c r="H27">
        <v>0</v>
      </c>
      <c r="J27">
        <v>0</v>
      </c>
      <c r="K27" s="1" t="s">
        <v>484</v>
      </c>
    </row>
    <row r="28" spans="1:11">
      <c r="A28" s="2">
        <v>43890</v>
      </c>
      <c r="B28" s="4">
        <v>0.33333333333333331</v>
      </c>
      <c r="C28" s="1" t="s">
        <v>102</v>
      </c>
      <c r="E28">
        <v>0</v>
      </c>
      <c r="F28">
        <v>0</v>
      </c>
      <c r="G28">
        <v>0</v>
      </c>
      <c r="J28">
        <v>0</v>
      </c>
      <c r="K28" s="1" t="s">
        <v>440</v>
      </c>
    </row>
    <row r="29" spans="1:11">
      <c r="A29" s="2">
        <v>43890</v>
      </c>
      <c r="B29" s="4">
        <v>0.60416666666666663</v>
      </c>
      <c r="C29" s="1" t="s">
        <v>104</v>
      </c>
      <c r="E29">
        <v>6</v>
      </c>
      <c r="K29" s="1" t="s">
        <v>106</v>
      </c>
    </row>
    <row r="30" spans="1:11">
      <c r="A30" s="2">
        <v>43890</v>
      </c>
      <c r="B30" s="4">
        <v>0.64097222222222228</v>
      </c>
      <c r="C30" s="1" t="s">
        <v>50</v>
      </c>
      <c r="E30">
        <v>1</v>
      </c>
      <c r="K30" s="1" t="s">
        <v>117</v>
      </c>
    </row>
    <row r="31" spans="1:11">
      <c r="A31" s="2">
        <v>43891</v>
      </c>
      <c r="B31" s="4"/>
      <c r="C31" s="1" t="s">
        <v>44</v>
      </c>
      <c r="E31">
        <v>2</v>
      </c>
      <c r="K31" s="1" t="s">
        <v>118</v>
      </c>
    </row>
    <row r="32" spans="1:11">
      <c r="A32" s="2">
        <v>43891</v>
      </c>
      <c r="B32" s="4"/>
      <c r="C32" s="1" t="s">
        <v>47</v>
      </c>
      <c r="E32">
        <v>2</v>
      </c>
      <c r="F32">
        <v>1</v>
      </c>
      <c r="K32" s="1" t="s">
        <v>36</v>
      </c>
    </row>
    <row r="33" spans="1:11">
      <c r="A33" s="2">
        <v>43891</v>
      </c>
      <c r="B33" s="4"/>
      <c r="C33" s="1" t="s">
        <v>56</v>
      </c>
      <c r="D33">
        <v>30</v>
      </c>
      <c r="E33">
        <v>1</v>
      </c>
      <c r="K33" s="1" t="s">
        <v>120</v>
      </c>
    </row>
    <row r="34" spans="1:11">
      <c r="A34" s="2">
        <v>43891</v>
      </c>
      <c r="B34" s="4"/>
      <c r="C34" s="1" t="s">
        <v>58</v>
      </c>
      <c r="D34">
        <v>778</v>
      </c>
      <c r="E34">
        <v>8</v>
      </c>
      <c r="F34">
        <v>3</v>
      </c>
      <c r="G34">
        <v>0</v>
      </c>
      <c r="H34">
        <v>0</v>
      </c>
      <c r="J34">
        <v>0</v>
      </c>
      <c r="K34" s="1" t="s">
        <v>60</v>
      </c>
    </row>
    <row r="35" spans="1:11">
      <c r="A35" s="2">
        <v>43891</v>
      </c>
      <c r="B35" s="4"/>
      <c r="C35" s="1" t="s">
        <v>66</v>
      </c>
      <c r="E35">
        <v>1</v>
      </c>
      <c r="F35">
        <v>1</v>
      </c>
      <c r="G35">
        <v>0</v>
      </c>
      <c r="J35">
        <v>0</v>
      </c>
      <c r="K35" s="1" t="s">
        <v>483</v>
      </c>
    </row>
    <row r="36" spans="1:11">
      <c r="A36" s="2">
        <v>43891</v>
      </c>
      <c r="B36" s="4"/>
      <c r="C36" s="1" t="s">
        <v>71</v>
      </c>
      <c r="E36">
        <v>1</v>
      </c>
      <c r="K36" s="1" t="s">
        <v>434</v>
      </c>
    </row>
    <row r="37" spans="1:11">
      <c r="A37" s="2">
        <v>43891</v>
      </c>
      <c r="B37" s="4"/>
      <c r="C37" s="1" t="s">
        <v>91</v>
      </c>
      <c r="K37" s="1" t="s">
        <v>36</v>
      </c>
    </row>
    <row r="38" spans="1:11">
      <c r="A38" s="2">
        <v>43891</v>
      </c>
      <c r="B38" s="4"/>
      <c r="C38" s="1" t="s">
        <v>97</v>
      </c>
      <c r="F38">
        <v>4</v>
      </c>
      <c r="K38" s="1" t="s">
        <v>115</v>
      </c>
    </row>
    <row r="39" spans="1:11">
      <c r="A39" s="2">
        <v>43891</v>
      </c>
      <c r="B39" s="4"/>
      <c r="C39" s="1" t="s">
        <v>100</v>
      </c>
      <c r="E39">
        <v>2</v>
      </c>
      <c r="F39">
        <v>6</v>
      </c>
      <c r="G39">
        <v>0</v>
      </c>
      <c r="H39">
        <v>0</v>
      </c>
      <c r="J39">
        <v>0</v>
      </c>
      <c r="K39" s="1" t="s">
        <v>484</v>
      </c>
    </row>
    <row r="40" spans="1:11">
      <c r="A40" s="2">
        <v>43891</v>
      </c>
      <c r="B40" s="4">
        <v>0.33333333333333331</v>
      </c>
      <c r="C40" s="1" t="s">
        <v>102</v>
      </c>
      <c r="E40">
        <v>0</v>
      </c>
      <c r="F40">
        <v>0</v>
      </c>
      <c r="G40">
        <v>0</v>
      </c>
      <c r="I40">
        <v>0</v>
      </c>
      <c r="J40">
        <v>0</v>
      </c>
      <c r="K40" s="1" t="s">
        <v>440</v>
      </c>
    </row>
    <row r="41" spans="1:11">
      <c r="A41" s="2">
        <v>43891</v>
      </c>
      <c r="B41" s="4">
        <v>0.60416666666666663</v>
      </c>
      <c r="C41" s="1" t="s">
        <v>104</v>
      </c>
      <c r="E41">
        <v>7</v>
      </c>
      <c r="K41" s="1" t="s">
        <v>106</v>
      </c>
    </row>
    <row r="42" spans="1:11">
      <c r="A42" s="2">
        <v>43891</v>
      </c>
      <c r="B42" s="4">
        <v>0.72847222222222219</v>
      </c>
      <c r="C42" s="1" t="s">
        <v>50</v>
      </c>
      <c r="E42">
        <v>1</v>
      </c>
      <c r="K42" s="1" t="s">
        <v>119</v>
      </c>
    </row>
    <row r="43" spans="1:11">
      <c r="A43" s="2">
        <v>43892</v>
      </c>
      <c r="B43" s="4"/>
      <c r="C43" s="1" t="s">
        <v>44</v>
      </c>
      <c r="E43">
        <v>4</v>
      </c>
      <c r="K43" s="1" t="s">
        <v>122</v>
      </c>
    </row>
    <row r="44" spans="1:11">
      <c r="A44" s="2">
        <v>43892</v>
      </c>
      <c r="B44" s="4"/>
      <c r="C44" s="1" t="s">
        <v>47</v>
      </c>
      <c r="E44">
        <v>2</v>
      </c>
      <c r="F44">
        <v>1</v>
      </c>
      <c r="K44" s="1" t="s">
        <v>36</v>
      </c>
    </row>
    <row r="45" spans="1:11">
      <c r="A45" s="2">
        <v>43892</v>
      </c>
      <c r="B45" s="4"/>
      <c r="C45" s="1" t="s">
        <v>56</v>
      </c>
      <c r="E45">
        <v>2</v>
      </c>
      <c r="K45" s="1" t="s">
        <v>124</v>
      </c>
    </row>
    <row r="46" spans="1:11">
      <c r="A46" s="2">
        <v>43892</v>
      </c>
      <c r="B46" s="4"/>
      <c r="C46" s="1" t="s">
        <v>58</v>
      </c>
      <c r="D46">
        <v>865</v>
      </c>
      <c r="E46">
        <v>8</v>
      </c>
      <c r="F46">
        <v>3</v>
      </c>
      <c r="G46">
        <v>0</v>
      </c>
      <c r="H46">
        <v>0</v>
      </c>
      <c r="J46">
        <v>0</v>
      </c>
      <c r="K46" s="1" t="s">
        <v>60</v>
      </c>
    </row>
    <row r="47" spans="1:11">
      <c r="A47" s="2">
        <v>43892</v>
      </c>
      <c r="B47" s="4"/>
      <c r="C47" s="1" t="s">
        <v>66</v>
      </c>
      <c r="E47">
        <v>1</v>
      </c>
      <c r="F47">
        <v>1</v>
      </c>
      <c r="G47">
        <v>0</v>
      </c>
      <c r="J47">
        <v>0</v>
      </c>
      <c r="K47" s="1" t="s">
        <v>483</v>
      </c>
    </row>
    <row r="48" spans="1:11">
      <c r="A48" s="2">
        <v>43892</v>
      </c>
      <c r="B48" s="4"/>
      <c r="C48" s="1" t="s">
        <v>71</v>
      </c>
      <c r="E48">
        <v>1</v>
      </c>
      <c r="F48">
        <v>1</v>
      </c>
      <c r="K48" s="1" t="s">
        <v>434</v>
      </c>
    </row>
    <row r="49" spans="1:11">
      <c r="A49" s="2">
        <v>43892</v>
      </c>
      <c r="B49" s="4"/>
      <c r="C49" s="1" t="s">
        <v>78</v>
      </c>
      <c r="E49">
        <v>0</v>
      </c>
      <c r="K49" s="1" t="s">
        <v>125</v>
      </c>
    </row>
    <row r="50" spans="1:11">
      <c r="A50" s="2">
        <v>43892</v>
      </c>
      <c r="B50" s="4"/>
      <c r="C50" s="1" t="s">
        <v>91</v>
      </c>
      <c r="E50">
        <v>2</v>
      </c>
      <c r="K50" s="1" t="s">
        <v>126</v>
      </c>
    </row>
    <row r="51" spans="1:11">
      <c r="A51" s="2">
        <v>43892</v>
      </c>
      <c r="B51" s="4"/>
      <c r="C51" s="1" t="s">
        <v>97</v>
      </c>
      <c r="F51">
        <v>6</v>
      </c>
      <c r="K51" s="1" t="s">
        <v>115</v>
      </c>
    </row>
    <row r="52" spans="1:11">
      <c r="A52" s="2">
        <v>43892</v>
      </c>
      <c r="B52" s="4"/>
      <c r="C52" s="1" t="s">
        <v>100</v>
      </c>
      <c r="E52">
        <v>3</v>
      </c>
      <c r="F52">
        <v>9</v>
      </c>
      <c r="G52">
        <v>0</v>
      </c>
      <c r="H52">
        <v>0</v>
      </c>
      <c r="J52">
        <v>0</v>
      </c>
      <c r="K52" s="1" t="s">
        <v>484</v>
      </c>
    </row>
    <row r="53" spans="1:11">
      <c r="A53" s="2">
        <v>43892</v>
      </c>
      <c r="B53" s="4">
        <v>0.33333333333333331</v>
      </c>
      <c r="C53" s="1" t="s">
        <v>102</v>
      </c>
      <c r="E53">
        <v>0</v>
      </c>
      <c r="F53">
        <v>0</v>
      </c>
      <c r="G53">
        <v>0</v>
      </c>
      <c r="I53">
        <v>0</v>
      </c>
      <c r="J53">
        <v>0</v>
      </c>
      <c r="K53" s="1" t="s">
        <v>440</v>
      </c>
    </row>
    <row r="54" spans="1:11">
      <c r="A54" s="2">
        <v>43892</v>
      </c>
      <c r="B54" s="4">
        <v>0.60416666666666663</v>
      </c>
      <c r="C54" s="1" t="s">
        <v>104</v>
      </c>
      <c r="E54">
        <v>11</v>
      </c>
      <c r="K54" s="1" t="s">
        <v>106</v>
      </c>
    </row>
    <row r="55" spans="1:11">
      <c r="A55" s="2">
        <v>43892</v>
      </c>
      <c r="B55" s="4">
        <v>0.71875</v>
      </c>
      <c r="C55" s="1" t="s">
        <v>50</v>
      </c>
      <c r="D55">
        <v>235</v>
      </c>
      <c r="E55">
        <v>1</v>
      </c>
      <c r="K55" s="1" t="s">
        <v>123</v>
      </c>
    </row>
    <row r="56" spans="1:11">
      <c r="A56" s="2">
        <v>43892</v>
      </c>
      <c r="B56" s="4">
        <v>0.75</v>
      </c>
      <c r="C56" s="1" t="s">
        <v>34</v>
      </c>
      <c r="E56">
        <v>2</v>
      </c>
      <c r="K56" s="1" t="s">
        <v>121</v>
      </c>
    </row>
    <row r="57" spans="1:11">
      <c r="A57" s="2">
        <v>43893</v>
      </c>
      <c r="B57" s="4"/>
      <c r="C57" s="1" t="s">
        <v>47</v>
      </c>
      <c r="E57">
        <v>2</v>
      </c>
      <c r="F57">
        <v>1</v>
      </c>
      <c r="K57" s="1" t="s">
        <v>36</v>
      </c>
    </row>
    <row r="58" spans="1:11">
      <c r="A58" s="2">
        <v>43893</v>
      </c>
      <c r="B58" s="4"/>
      <c r="C58" s="1" t="s">
        <v>53</v>
      </c>
      <c r="D58">
        <v>14</v>
      </c>
      <c r="K58" s="1" t="s">
        <v>129</v>
      </c>
    </row>
    <row r="59" spans="1:11">
      <c r="A59" s="2">
        <v>43893</v>
      </c>
      <c r="B59" s="4"/>
      <c r="C59" s="1" t="s">
        <v>58</v>
      </c>
      <c r="D59">
        <v>974</v>
      </c>
      <c r="E59">
        <v>11</v>
      </c>
      <c r="F59">
        <v>4</v>
      </c>
      <c r="G59">
        <v>0</v>
      </c>
      <c r="H59">
        <v>0</v>
      </c>
      <c r="J59">
        <v>0</v>
      </c>
      <c r="K59" s="1" t="s">
        <v>60</v>
      </c>
    </row>
    <row r="60" spans="1:11">
      <c r="A60" s="2">
        <v>43893</v>
      </c>
      <c r="B60" s="4"/>
      <c r="C60" s="1" t="s">
        <v>66</v>
      </c>
      <c r="E60">
        <v>2</v>
      </c>
      <c r="F60">
        <v>1</v>
      </c>
      <c r="G60">
        <v>0</v>
      </c>
      <c r="J60">
        <v>0</v>
      </c>
      <c r="K60" s="1" t="s">
        <v>483</v>
      </c>
    </row>
    <row r="61" spans="1:11">
      <c r="A61" s="2">
        <v>43893</v>
      </c>
      <c r="B61" s="4"/>
      <c r="C61" s="1" t="s">
        <v>71</v>
      </c>
      <c r="E61">
        <v>1</v>
      </c>
      <c r="F61">
        <v>1</v>
      </c>
      <c r="K61" s="1" t="s">
        <v>434</v>
      </c>
    </row>
    <row r="62" spans="1:11">
      <c r="A62" s="2">
        <v>43893</v>
      </c>
      <c r="B62" s="4"/>
      <c r="C62" s="1" t="s">
        <v>86</v>
      </c>
      <c r="D62">
        <v>1</v>
      </c>
      <c r="E62">
        <v>1</v>
      </c>
      <c r="K62" s="1" t="s">
        <v>130</v>
      </c>
    </row>
    <row r="63" spans="1:11">
      <c r="A63" s="2">
        <v>43893</v>
      </c>
      <c r="B63" s="4"/>
      <c r="C63" s="1" t="s">
        <v>91</v>
      </c>
      <c r="E63">
        <v>4</v>
      </c>
      <c r="K63" s="1" t="s">
        <v>131</v>
      </c>
    </row>
    <row r="64" spans="1:11">
      <c r="A64" s="2">
        <v>43893</v>
      </c>
      <c r="B64" s="4"/>
      <c r="C64" s="1" t="s">
        <v>97</v>
      </c>
      <c r="F64">
        <v>8</v>
      </c>
      <c r="K64" s="1" t="s">
        <v>115</v>
      </c>
    </row>
    <row r="65" spans="1:11">
      <c r="A65" s="2">
        <v>43893</v>
      </c>
      <c r="B65" s="4"/>
      <c r="C65" s="1" t="s">
        <v>100</v>
      </c>
      <c r="E65">
        <v>3</v>
      </c>
      <c r="F65">
        <v>11</v>
      </c>
      <c r="G65">
        <v>0</v>
      </c>
      <c r="H65">
        <v>0</v>
      </c>
      <c r="J65">
        <v>0</v>
      </c>
      <c r="K65" s="1" t="s">
        <v>484</v>
      </c>
    </row>
    <row r="66" spans="1:11">
      <c r="A66" s="2">
        <v>43893</v>
      </c>
      <c r="B66" s="4">
        <v>0.33333333333333331</v>
      </c>
      <c r="C66" s="1" t="s">
        <v>102</v>
      </c>
      <c r="E66">
        <v>1</v>
      </c>
      <c r="F66">
        <v>0</v>
      </c>
      <c r="G66">
        <v>0</v>
      </c>
      <c r="I66">
        <v>0</v>
      </c>
      <c r="J66">
        <v>0</v>
      </c>
      <c r="K66" s="1" t="s">
        <v>440</v>
      </c>
    </row>
    <row r="67" spans="1:11">
      <c r="A67" s="2">
        <v>43893</v>
      </c>
      <c r="B67" s="4">
        <v>0.60416666666666663</v>
      </c>
      <c r="C67" s="1" t="s">
        <v>104</v>
      </c>
      <c r="E67">
        <v>14</v>
      </c>
      <c r="K67" s="1" t="s">
        <v>106</v>
      </c>
    </row>
    <row r="68" spans="1:11">
      <c r="A68" s="2">
        <v>43893</v>
      </c>
      <c r="B68" s="4">
        <v>0.625</v>
      </c>
      <c r="C68" s="1" t="s">
        <v>34</v>
      </c>
      <c r="E68">
        <v>6</v>
      </c>
      <c r="K68" s="1" t="s">
        <v>127</v>
      </c>
    </row>
    <row r="69" spans="1:11">
      <c r="A69" s="2">
        <v>43893</v>
      </c>
      <c r="B69" s="4">
        <v>0.72916666666666663</v>
      </c>
      <c r="C69" s="1" t="s">
        <v>50</v>
      </c>
      <c r="E69">
        <v>3</v>
      </c>
      <c r="K69" s="1" t="s">
        <v>128</v>
      </c>
    </row>
    <row r="70" spans="1:11">
      <c r="A70" s="2">
        <v>43894</v>
      </c>
      <c r="B70" s="4"/>
      <c r="C70" s="1" t="s">
        <v>44</v>
      </c>
      <c r="E70">
        <v>6</v>
      </c>
      <c r="K70" s="1" t="s">
        <v>133</v>
      </c>
    </row>
    <row r="71" spans="1:11">
      <c r="A71" s="2">
        <v>43894</v>
      </c>
      <c r="B71" s="4"/>
      <c r="C71" s="1" t="s">
        <v>47</v>
      </c>
      <c r="E71">
        <v>2</v>
      </c>
      <c r="F71">
        <v>1</v>
      </c>
      <c r="K71" s="1" t="s">
        <v>36</v>
      </c>
    </row>
    <row r="72" spans="1:11">
      <c r="A72" s="2">
        <v>43894</v>
      </c>
      <c r="B72" s="4"/>
      <c r="C72" s="1" t="s">
        <v>53</v>
      </c>
      <c r="D72">
        <v>16</v>
      </c>
      <c r="E72">
        <v>1</v>
      </c>
      <c r="K72" s="1" t="s">
        <v>135</v>
      </c>
    </row>
    <row r="73" spans="1:11">
      <c r="A73" s="2">
        <v>43894</v>
      </c>
      <c r="B73" s="4"/>
      <c r="C73" s="1" t="s">
        <v>56</v>
      </c>
      <c r="E73">
        <v>4</v>
      </c>
      <c r="K73" s="1" t="s">
        <v>136</v>
      </c>
    </row>
    <row r="74" spans="1:11">
      <c r="A74" s="2">
        <v>43894</v>
      </c>
      <c r="B74" s="4"/>
      <c r="C74" s="1" t="s">
        <v>58</v>
      </c>
      <c r="D74">
        <v>1081</v>
      </c>
      <c r="E74">
        <v>11</v>
      </c>
      <c r="F74">
        <v>4</v>
      </c>
      <c r="G74">
        <v>0</v>
      </c>
      <c r="H74">
        <v>0</v>
      </c>
      <c r="J74">
        <v>0</v>
      </c>
      <c r="K74" s="1" t="s">
        <v>60</v>
      </c>
    </row>
    <row r="75" spans="1:11">
      <c r="A75" s="2">
        <v>43894</v>
      </c>
      <c r="B75" s="4"/>
      <c r="C75" s="1" t="s">
        <v>66</v>
      </c>
      <c r="E75">
        <v>2</v>
      </c>
      <c r="F75">
        <v>1</v>
      </c>
      <c r="G75">
        <v>0</v>
      </c>
      <c r="J75">
        <v>0</v>
      </c>
      <c r="K75" s="1" t="s">
        <v>483</v>
      </c>
    </row>
    <row r="76" spans="1:11">
      <c r="A76" s="2">
        <v>43894</v>
      </c>
      <c r="B76" s="4"/>
      <c r="C76" s="1" t="s">
        <v>71</v>
      </c>
      <c r="E76">
        <v>8</v>
      </c>
      <c r="F76">
        <v>4</v>
      </c>
      <c r="K76" s="1" t="s">
        <v>434</v>
      </c>
    </row>
    <row r="77" spans="1:11">
      <c r="A77" s="2">
        <v>43894</v>
      </c>
      <c r="B77" s="4"/>
      <c r="C77" s="1" t="s">
        <v>86</v>
      </c>
      <c r="D77">
        <v>3</v>
      </c>
      <c r="E77">
        <v>3</v>
      </c>
      <c r="F77">
        <v>1</v>
      </c>
      <c r="K77" s="1" t="s">
        <v>130</v>
      </c>
    </row>
    <row r="78" spans="1:11">
      <c r="A78" s="2">
        <v>43894</v>
      </c>
      <c r="B78" s="4"/>
      <c r="C78" s="1" t="s">
        <v>91</v>
      </c>
      <c r="E78">
        <v>5</v>
      </c>
      <c r="K78" s="1" t="s">
        <v>139</v>
      </c>
    </row>
    <row r="79" spans="1:11">
      <c r="A79" s="2">
        <v>43894</v>
      </c>
      <c r="B79" s="4"/>
      <c r="C79" s="1" t="s">
        <v>97</v>
      </c>
      <c r="F79">
        <v>11</v>
      </c>
      <c r="G79">
        <v>1</v>
      </c>
      <c r="K79" s="1" t="s">
        <v>115</v>
      </c>
    </row>
    <row r="80" spans="1:11">
      <c r="A80" s="2">
        <v>43894</v>
      </c>
      <c r="B80" s="4"/>
      <c r="C80" s="1" t="s">
        <v>100</v>
      </c>
      <c r="E80">
        <v>4</v>
      </c>
      <c r="F80">
        <v>12</v>
      </c>
      <c r="G80">
        <v>0</v>
      </c>
      <c r="H80">
        <v>0</v>
      </c>
      <c r="J80">
        <v>0</v>
      </c>
      <c r="K80" s="1" t="s">
        <v>484</v>
      </c>
    </row>
    <row r="81" spans="1:11">
      <c r="A81" s="2">
        <v>43894</v>
      </c>
      <c r="B81" s="4">
        <v>0.27430555555555558</v>
      </c>
      <c r="C81" s="1" t="s">
        <v>78</v>
      </c>
      <c r="E81">
        <v>1</v>
      </c>
      <c r="K81" s="1" t="s">
        <v>138</v>
      </c>
    </row>
    <row r="82" spans="1:11">
      <c r="A82" s="2">
        <v>43894</v>
      </c>
      <c r="B82" s="4">
        <v>0.33333333333333331</v>
      </c>
      <c r="C82" s="1" t="s">
        <v>102</v>
      </c>
      <c r="E82">
        <v>1</v>
      </c>
      <c r="F82">
        <v>0</v>
      </c>
      <c r="G82">
        <v>0</v>
      </c>
      <c r="I82">
        <v>0</v>
      </c>
      <c r="J82">
        <v>0</v>
      </c>
      <c r="K82" s="1" t="s">
        <v>440</v>
      </c>
    </row>
    <row r="83" spans="1:11">
      <c r="A83" s="2">
        <v>43894</v>
      </c>
      <c r="B83" s="4">
        <v>0.60416666666666663</v>
      </c>
      <c r="C83" s="1" t="s">
        <v>104</v>
      </c>
      <c r="E83">
        <v>16</v>
      </c>
      <c r="K83" s="1" t="s">
        <v>106</v>
      </c>
    </row>
    <row r="84" spans="1:11">
      <c r="A84" s="2">
        <v>43894</v>
      </c>
      <c r="B84" s="4">
        <v>0.625</v>
      </c>
      <c r="C84" s="1" t="s">
        <v>34</v>
      </c>
      <c r="E84">
        <v>7</v>
      </c>
      <c r="K84" s="1" t="s">
        <v>132</v>
      </c>
    </row>
    <row r="85" spans="1:11">
      <c r="A85" s="2">
        <v>43894</v>
      </c>
      <c r="B85" s="4">
        <v>0.72222222222222221</v>
      </c>
      <c r="C85" s="1" t="s">
        <v>50</v>
      </c>
      <c r="E85">
        <v>3</v>
      </c>
      <c r="K85" s="1" t="s">
        <v>134</v>
      </c>
    </row>
    <row r="86" spans="1:11">
      <c r="A86" s="2">
        <v>43894</v>
      </c>
      <c r="B86" s="4">
        <v>0.75</v>
      </c>
      <c r="C86" s="1" t="s">
        <v>68</v>
      </c>
      <c r="E86">
        <v>0</v>
      </c>
      <c r="K86" s="1" t="s">
        <v>137</v>
      </c>
    </row>
    <row r="87" spans="1:11">
      <c r="A87" s="2">
        <v>43895</v>
      </c>
      <c r="B87" s="4"/>
      <c r="C87" s="1" t="s">
        <v>41</v>
      </c>
      <c r="E87">
        <v>1</v>
      </c>
      <c r="K87" s="1" t="s">
        <v>141</v>
      </c>
    </row>
    <row r="88" spans="1:11">
      <c r="A88" s="2">
        <v>43895</v>
      </c>
      <c r="B88" s="4"/>
      <c r="C88" s="1" t="s">
        <v>47</v>
      </c>
      <c r="E88">
        <v>6</v>
      </c>
      <c r="F88">
        <v>1</v>
      </c>
      <c r="K88" s="1" t="s">
        <v>142</v>
      </c>
    </row>
    <row r="89" spans="1:11">
      <c r="A89" s="2">
        <v>43895</v>
      </c>
      <c r="B89" s="4"/>
      <c r="C89" s="1" t="s">
        <v>53</v>
      </c>
      <c r="D89">
        <v>18</v>
      </c>
      <c r="E89">
        <v>1</v>
      </c>
      <c r="K89" s="1" t="s">
        <v>144</v>
      </c>
    </row>
    <row r="90" spans="1:11">
      <c r="A90" s="2">
        <v>43895</v>
      </c>
      <c r="B90" s="4"/>
      <c r="C90" s="1" t="s">
        <v>56</v>
      </c>
      <c r="E90">
        <v>6</v>
      </c>
      <c r="K90" s="1" t="s">
        <v>145</v>
      </c>
    </row>
    <row r="91" spans="1:11">
      <c r="A91" s="2">
        <v>43895</v>
      </c>
      <c r="B91" s="4"/>
      <c r="C91" s="1" t="s">
        <v>58</v>
      </c>
      <c r="D91">
        <v>1146</v>
      </c>
      <c r="E91">
        <v>15</v>
      </c>
      <c r="F91">
        <v>5</v>
      </c>
      <c r="G91">
        <v>0</v>
      </c>
      <c r="H91">
        <v>0</v>
      </c>
      <c r="J91">
        <v>0</v>
      </c>
      <c r="K91" s="1" t="s">
        <v>60</v>
      </c>
    </row>
    <row r="92" spans="1:11">
      <c r="A92" s="2">
        <v>43895</v>
      </c>
      <c r="B92" s="4"/>
      <c r="C92" s="1" t="s">
        <v>66</v>
      </c>
      <c r="E92">
        <v>4</v>
      </c>
      <c r="F92">
        <v>2</v>
      </c>
      <c r="G92">
        <v>0</v>
      </c>
      <c r="J92">
        <v>0</v>
      </c>
      <c r="K92" s="1" t="s">
        <v>483</v>
      </c>
    </row>
    <row r="93" spans="1:11">
      <c r="A93" s="2">
        <v>43895</v>
      </c>
      <c r="B93" s="4"/>
      <c r="C93" s="1" t="s">
        <v>71</v>
      </c>
      <c r="E93">
        <v>9</v>
      </c>
      <c r="F93">
        <v>4</v>
      </c>
      <c r="K93" s="1" t="s">
        <v>434</v>
      </c>
    </row>
    <row r="94" spans="1:11">
      <c r="A94" s="2">
        <v>43895</v>
      </c>
      <c r="B94" s="4"/>
      <c r="C94" s="1" t="s">
        <v>91</v>
      </c>
      <c r="E94">
        <v>18</v>
      </c>
      <c r="K94" s="1" t="s">
        <v>146</v>
      </c>
    </row>
    <row r="95" spans="1:11">
      <c r="A95" s="2">
        <v>43895</v>
      </c>
      <c r="B95" s="4"/>
      <c r="C95" s="1" t="s">
        <v>97</v>
      </c>
      <c r="F95">
        <v>14</v>
      </c>
      <c r="G95">
        <v>1</v>
      </c>
      <c r="K95" s="1" t="s">
        <v>115</v>
      </c>
    </row>
    <row r="96" spans="1:11">
      <c r="A96" s="2">
        <v>43895</v>
      </c>
      <c r="B96" s="4"/>
      <c r="C96" s="1" t="s">
        <v>100</v>
      </c>
      <c r="E96">
        <v>5</v>
      </c>
      <c r="F96">
        <v>10</v>
      </c>
      <c r="G96">
        <v>0</v>
      </c>
      <c r="H96">
        <v>0</v>
      </c>
      <c r="J96">
        <v>0</v>
      </c>
      <c r="K96" s="1" t="s">
        <v>484</v>
      </c>
    </row>
    <row r="97" spans="1:11">
      <c r="A97" s="2">
        <v>43895</v>
      </c>
      <c r="B97" s="4">
        <v>0.33333333333333331</v>
      </c>
      <c r="C97" s="1" t="s">
        <v>102</v>
      </c>
      <c r="E97">
        <v>2</v>
      </c>
      <c r="F97">
        <v>0</v>
      </c>
      <c r="G97">
        <v>0</v>
      </c>
      <c r="I97">
        <v>0</v>
      </c>
      <c r="J97">
        <v>0</v>
      </c>
      <c r="K97" s="1" t="s">
        <v>440</v>
      </c>
    </row>
    <row r="98" spans="1:11">
      <c r="A98" s="2">
        <v>43895</v>
      </c>
      <c r="B98" s="4">
        <v>0.60416666666666663</v>
      </c>
      <c r="C98" s="1" t="s">
        <v>104</v>
      </c>
      <c r="E98">
        <v>24</v>
      </c>
      <c r="K98" s="1" t="s">
        <v>106</v>
      </c>
    </row>
    <row r="99" spans="1:11">
      <c r="A99" s="2">
        <v>43895</v>
      </c>
      <c r="B99" s="4">
        <v>0.625</v>
      </c>
      <c r="C99" s="1" t="s">
        <v>34</v>
      </c>
      <c r="E99">
        <v>9</v>
      </c>
      <c r="K99" s="1" t="s">
        <v>140</v>
      </c>
    </row>
    <row r="100" spans="1:11">
      <c r="A100" s="2">
        <v>43895</v>
      </c>
      <c r="B100" s="4">
        <v>0.71875</v>
      </c>
      <c r="C100" s="1" t="s">
        <v>50</v>
      </c>
      <c r="E100">
        <v>8</v>
      </c>
      <c r="F100">
        <v>1</v>
      </c>
      <c r="K100" s="1" t="s">
        <v>143</v>
      </c>
    </row>
    <row r="101" spans="1:11">
      <c r="A101" s="2">
        <v>43896</v>
      </c>
      <c r="B101" s="4"/>
      <c r="C101" s="1" t="s">
        <v>44</v>
      </c>
      <c r="E101">
        <v>17</v>
      </c>
      <c r="K101" s="1" t="s">
        <v>148</v>
      </c>
    </row>
    <row r="102" spans="1:11">
      <c r="A102" s="2">
        <v>43896</v>
      </c>
      <c r="B102" s="4"/>
      <c r="C102" s="1" t="s">
        <v>47</v>
      </c>
      <c r="E102">
        <v>6</v>
      </c>
      <c r="F102">
        <v>4</v>
      </c>
      <c r="G102">
        <v>2</v>
      </c>
      <c r="K102" s="1" t="s">
        <v>36</v>
      </c>
    </row>
    <row r="103" spans="1:11">
      <c r="A103" s="2">
        <v>43896</v>
      </c>
      <c r="B103" s="4"/>
      <c r="C103" s="1" t="s">
        <v>53</v>
      </c>
      <c r="D103">
        <v>22</v>
      </c>
      <c r="E103">
        <v>1</v>
      </c>
      <c r="K103" s="1" t="s">
        <v>150</v>
      </c>
    </row>
    <row r="104" spans="1:11">
      <c r="A104" s="2">
        <v>43896</v>
      </c>
      <c r="B104" s="4"/>
      <c r="C104" s="1" t="s">
        <v>58</v>
      </c>
      <c r="D104">
        <v>1241</v>
      </c>
      <c r="E104">
        <v>19</v>
      </c>
      <c r="F104">
        <v>7</v>
      </c>
      <c r="G104">
        <v>0</v>
      </c>
      <c r="H104">
        <v>0</v>
      </c>
      <c r="J104">
        <v>0</v>
      </c>
      <c r="K104" s="1" t="s">
        <v>60</v>
      </c>
    </row>
    <row r="105" spans="1:11">
      <c r="A105" s="2">
        <v>43896</v>
      </c>
      <c r="B105" s="4"/>
      <c r="C105" s="1" t="s">
        <v>66</v>
      </c>
      <c r="E105">
        <v>4</v>
      </c>
      <c r="F105">
        <v>5</v>
      </c>
      <c r="G105">
        <v>0</v>
      </c>
      <c r="J105">
        <v>0</v>
      </c>
      <c r="K105" s="1" t="s">
        <v>483</v>
      </c>
    </row>
    <row r="106" spans="1:11">
      <c r="A106" s="2">
        <v>43896</v>
      </c>
      <c r="B106" s="4"/>
      <c r="C106" s="1" t="s">
        <v>71</v>
      </c>
      <c r="E106">
        <v>13</v>
      </c>
      <c r="F106">
        <v>2</v>
      </c>
      <c r="K106" s="1" t="s">
        <v>434</v>
      </c>
    </row>
    <row r="107" spans="1:11">
      <c r="A107" s="2">
        <v>43896</v>
      </c>
      <c r="B107" s="4"/>
      <c r="C107" s="1" t="s">
        <v>86</v>
      </c>
      <c r="D107">
        <v>6</v>
      </c>
      <c r="E107">
        <v>6</v>
      </c>
      <c r="K107" s="1" t="s">
        <v>153</v>
      </c>
    </row>
    <row r="108" spans="1:11">
      <c r="A108" s="2">
        <v>43896</v>
      </c>
      <c r="B108" s="4"/>
      <c r="C108" s="1" t="s">
        <v>91</v>
      </c>
      <c r="K108" s="1" t="s">
        <v>36</v>
      </c>
    </row>
    <row r="109" spans="1:11">
      <c r="A109" s="2">
        <v>43896</v>
      </c>
      <c r="B109" s="4"/>
      <c r="C109" s="1" t="s">
        <v>97</v>
      </c>
      <c r="E109">
        <v>23</v>
      </c>
      <c r="F109">
        <v>15</v>
      </c>
      <c r="G109">
        <v>2</v>
      </c>
      <c r="J109">
        <v>1</v>
      </c>
      <c r="K109" s="1" t="s">
        <v>115</v>
      </c>
    </row>
    <row r="110" spans="1:11">
      <c r="A110" s="2">
        <v>43896</v>
      </c>
      <c r="B110" s="4"/>
      <c r="C110" s="1" t="s">
        <v>100</v>
      </c>
      <c r="E110">
        <v>6</v>
      </c>
      <c r="F110">
        <v>11</v>
      </c>
      <c r="G110">
        <v>0</v>
      </c>
      <c r="H110">
        <v>0</v>
      </c>
      <c r="J110">
        <v>0</v>
      </c>
      <c r="K110" s="1" t="s">
        <v>484</v>
      </c>
    </row>
    <row r="111" spans="1:11">
      <c r="A111" s="2">
        <v>43896</v>
      </c>
      <c r="B111" s="4">
        <v>0.33333333333333331</v>
      </c>
      <c r="C111" s="1" t="s">
        <v>102</v>
      </c>
      <c r="E111">
        <v>3</v>
      </c>
      <c r="F111">
        <v>0</v>
      </c>
      <c r="G111">
        <v>0</v>
      </c>
      <c r="I111">
        <v>0</v>
      </c>
      <c r="J111">
        <v>0</v>
      </c>
      <c r="K111" s="1" t="s">
        <v>440</v>
      </c>
    </row>
    <row r="112" spans="1:11">
      <c r="A112" s="2">
        <v>43896</v>
      </c>
      <c r="B112" s="4">
        <v>0.5</v>
      </c>
      <c r="C112" s="1" t="s">
        <v>83</v>
      </c>
      <c r="E112">
        <v>1</v>
      </c>
      <c r="K112" s="1" t="s">
        <v>152</v>
      </c>
    </row>
    <row r="113" spans="1:11">
      <c r="A113" s="2">
        <v>43896</v>
      </c>
      <c r="B113" s="4">
        <v>0.58333333333333337</v>
      </c>
      <c r="C113" s="1" t="s">
        <v>50</v>
      </c>
      <c r="E113">
        <v>15</v>
      </c>
      <c r="F113">
        <v>1</v>
      </c>
      <c r="K113" s="1" t="s">
        <v>149</v>
      </c>
    </row>
    <row r="114" spans="1:11">
      <c r="A114" s="2">
        <v>43896</v>
      </c>
      <c r="B114" s="4">
        <v>0.60416666666666663</v>
      </c>
      <c r="C114" s="1" t="s">
        <v>104</v>
      </c>
      <c r="E114">
        <v>30</v>
      </c>
      <c r="K114" s="1" t="s">
        <v>106</v>
      </c>
    </row>
    <row r="115" spans="1:11">
      <c r="A115" s="2">
        <v>43896</v>
      </c>
      <c r="B115" s="4">
        <v>0.625</v>
      </c>
      <c r="C115" s="1" t="s">
        <v>34</v>
      </c>
      <c r="E115">
        <v>12</v>
      </c>
      <c r="I115">
        <v>1</v>
      </c>
      <c r="K115" s="1" t="s">
        <v>147</v>
      </c>
    </row>
    <row r="116" spans="1:11">
      <c r="A116" s="2">
        <v>43896</v>
      </c>
      <c r="B116" s="4">
        <v>0.65138888888888891</v>
      </c>
      <c r="C116" s="1" t="s">
        <v>78</v>
      </c>
      <c r="E116">
        <v>2</v>
      </c>
      <c r="K116" s="1" t="s">
        <v>151</v>
      </c>
    </row>
    <row r="117" spans="1:11">
      <c r="A117" s="2">
        <v>43897</v>
      </c>
      <c r="B117" s="4"/>
      <c r="C117" s="1" t="s">
        <v>47</v>
      </c>
      <c r="E117">
        <v>15</v>
      </c>
      <c r="F117">
        <v>4</v>
      </c>
      <c r="G117">
        <v>2</v>
      </c>
      <c r="K117" s="1" t="s">
        <v>154</v>
      </c>
    </row>
    <row r="118" spans="1:11">
      <c r="A118" s="2">
        <v>43897</v>
      </c>
      <c r="B118" s="4"/>
      <c r="C118" s="1" t="s">
        <v>58</v>
      </c>
      <c r="D118">
        <v>1316</v>
      </c>
      <c r="E118">
        <v>30</v>
      </c>
      <c r="F118">
        <v>7</v>
      </c>
      <c r="G118">
        <v>0</v>
      </c>
      <c r="H118">
        <v>0</v>
      </c>
      <c r="J118">
        <v>0</v>
      </c>
      <c r="K118" s="1" t="s">
        <v>60</v>
      </c>
    </row>
    <row r="119" spans="1:11">
      <c r="A119" s="2">
        <v>43897</v>
      </c>
      <c r="B119" s="4"/>
      <c r="C119" s="1" t="s">
        <v>66</v>
      </c>
      <c r="E119">
        <v>5</v>
      </c>
      <c r="F119">
        <v>5</v>
      </c>
      <c r="G119">
        <v>0</v>
      </c>
      <c r="J119">
        <v>0</v>
      </c>
      <c r="K119" s="1" t="s">
        <v>483</v>
      </c>
    </row>
    <row r="120" spans="1:11">
      <c r="A120" s="2">
        <v>43897</v>
      </c>
      <c r="B120" s="4"/>
      <c r="C120" s="1" t="s">
        <v>71</v>
      </c>
      <c r="E120">
        <v>18</v>
      </c>
      <c r="F120">
        <v>2</v>
      </c>
      <c r="K120" s="1" t="s">
        <v>434</v>
      </c>
    </row>
    <row r="121" spans="1:11">
      <c r="A121" s="2">
        <v>43897</v>
      </c>
      <c r="B121" s="4"/>
      <c r="C121" s="1" t="s">
        <v>91</v>
      </c>
      <c r="E121">
        <v>45</v>
      </c>
      <c r="K121" s="1" t="s">
        <v>156</v>
      </c>
    </row>
    <row r="122" spans="1:11">
      <c r="A122" s="2">
        <v>43897</v>
      </c>
      <c r="B122" s="4"/>
      <c r="C122" s="1" t="s">
        <v>97</v>
      </c>
      <c r="E122">
        <v>30</v>
      </c>
      <c r="F122">
        <v>16</v>
      </c>
      <c r="G122">
        <v>4</v>
      </c>
      <c r="J122">
        <v>1</v>
      </c>
      <c r="K122" s="1" t="s">
        <v>115</v>
      </c>
    </row>
    <row r="123" spans="1:11">
      <c r="A123" s="2">
        <v>43897</v>
      </c>
      <c r="B123" s="4"/>
      <c r="C123" s="1" t="s">
        <v>100</v>
      </c>
      <c r="E123">
        <v>7</v>
      </c>
      <c r="F123">
        <v>11</v>
      </c>
      <c r="G123">
        <v>0</v>
      </c>
      <c r="H123">
        <v>0</v>
      </c>
      <c r="J123">
        <v>0</v>
      </c>
      <c r="K123" s="1" t="s">
        <v>484</v>
      </c>
    </row>
    <row r="124" spans="1:11">
      <c r="A124" s="2">
        <v>43897</v>
      </c>
      <c r="B124" s="4">
        <v>0.33333333333333331</v>
      </c>
      <c r="C124" s="1" t="s">
        <v>102</v>
      </c>
      <c r="E124">
        <v>3</v>
      </c>
      <c r="F124">
        <v>0</v>
      </c>
      <c r="G124">
        <v>0</v>
      </c>
      <c r="I124">
        <v>0</v>
      </c>
      <c r="J124">
        <v>0</v>
      </c>
      <c r="K124" s="1" t="s">
        <v>440</v>
      </c>
    </row>
    <row r="125" spans="1:11">
      <c r="A125" s="2">
        <v>43897</v>
      </c>
      <c r="B125" s="4">
        <v>0.5</v>
      </c>
      <c r="C125" s="1" t="s">
        <v>50</v>
      </c>
      <c r="E125">
        <v>21</v>
      </c>
      <c r="F125">
        <v>1</v>
      </c>
      <c r="K125" s="1" t="s">
        <v>155</v>
      </c>
    </row>
    <row r="126" spans="1:11">
      <c r="A126" s="2">
        <v>43897</v>
      </c>
      <c r="B126" s="4">
        <v>0.60416666666666663</v>
      </c>
      <c r="C126" s="1" t="s">
        <v>104</v>
      </c>
      <c r="E126">
        <v>35</v>
      </c>
      <c r="K126" s="1" t="s">
        <v>106</v>
      </c>
    </row>
    <row r="127" spans="1:11">
      <c r="A127" s="2">
        <v>43898</v>
      </c>
      <c r="B127" s="4"/>
      <c r="C127" s="1" t="s">
        <v>47</v>
      </c>
      <c r="E127">
        <v>19</v>
      </c>
      <c r="F127">
        <v>4</v>
      </c>
      <c r="G127">
        <v>2</v>
      </c>
      <c r="J127">
        <v>1</v>
      </c>
      <c r="K127" s="1" t="s">
        <v>157</v>
      </c>
    </row>
    <row r="128" spans="1:11">
      <c r="A128" s="2">
        <v>43898</v>
      </c>
      <c r="B128" s="4"/>
      <c r="C128" s="1" t="s">
        <v>56</v>
      </c>
      <c r="E128">
        <v>8</v>
      </c>
      <c r="K128" s="1" t="s">
        <v>145</v>
      </c>
    </row>
    <row r="129" spans="1:11">
      <c r="A129" s="2">
        <v>43898</v>
      </c>
      <c r="B129" s="4"/>
      <c r="C129" s="1" t="s">
        <v>58</v>
      </c>
      <c r="D129">
        <v>1383</v>
      </c>
      <c r="E129">
        <v>38</v>
      </c>
      <c r="F129">
        <v>9</v>
      </c>
      <c r="G129">
        <v>0</v>
      </c>
      <c r="H129">
        <v>0</v>
      </c>
      <c r="J129">
        <v>0</v>
      </c>
      <c r="K129" s="1" t="s">
        <v>60</v>
      </c>
    </row>
    <row r="130" spans="1:11">
      <c r="A130" s="2">
        <v>43898</v>
      </c>
      <c r="B130" s="4"/>
      <c r="C130" s="1" t="s">
        <v>66</v>
      </c>
      <c r="E130">
        <v>5</v>
      </c>
      <c r="F130">
        <v>5</v>
      </c>
      <c r="G130">
        <v>0</v>
      </c>
      <c r="J130">
        <v>0</v>
      </c>
      <c r="K130" s="1" t="s">
        <v>483</v>
      </c>
    </row>
    <row r="131" spans="1:11">
      <c r="A131" s="2">
        <v>43898</v>
      </c>
      <c r="B131" s="4"/>
      <c r="C131" s="1" t="s">
        <v>71</v>
      </c>
      <c r="E131">
        <v>24</v>
      </c>
      <c r="F131">
        <v>3</v>
      </c>
      <c r="K131" s="1" t="s">
        <v>434</v>
      </c>
    </row>
    <row r="132" spans="1:11">
      <c r="A132" s="2">
        <v>43898</v>
      </c>
      <c r="B132" s="4"/>
      <c r="C132" s="1" t="s">
        <v>91</v>
      </c>
      <c r="E132">
        <v>58</v>
      </c>
      <c r="K132" s="1" t="s">
        <v>159</v>
      </c>
    </row>
    <row r="133" spans="1:11">
      <c r="A133" s="2">
        <v>43898</v>
      </c>
      <c r="B133" s="4"/>
      <c r="C133" s="1" t="s">
        <v>97</v>
      </c>
      <c r="E133">
        <v>40</v>
      </c>
      <c r="F133">
        <v>22</v>
      </c>
      <c r="G133">
        <v>3</v>
      </c>
      <c r="J133">
        <v>1</v>
      </c>
      <c r="K133" s="1" t="s">
        <v>115</v>
      </c>
    </row>
    <row r="134" spans="1:11">
      <c r="A134" s="2">
        <v>43898</v>
      </c>
      <c r="B134" s="4"/>
      <c r="C134" s="1" t="s">
        <v>100</v>
      </c>
      <c r="E134">
        <v>12</v>
      </c>
      <c r="F134">
        <v>15</v>
      </c>
      <c r="G134">
        <v>1</v>
      </c>
      <c r="H134">
        <v>1</v>
      </c>
      <c r="J134">
        <v>0</v>
      </c>
      <c r="K134" s="1" t="s">
        <v>484</v>
      </c>
    </row>
    <row r="135" spans="1:11">
      <c r="A135" s="2">
        <v>43898</v>
      </c>
      <c r="B135" s="4">
        <v>0.33333333333333331</v>
      </c>
      <c r="C135" s="1" t="s">
        <v>102</v>
      </c>
      <c r="E135">
        <v>3</v>
      </c>
      <c r="F135">
        <v>0</v>
      </c>
      <c r="G135">
        <v>0</v>
      </c>
      <c r="I135">
        <v>0</v>
      </c>
      <c r="J135">
        <v>0</v>
      </c>
      <c r="K135" s="1" t="s">
        <v>440</v>
      </c>
    </row>
    <row r="136" spans="1:11">
      <c r="A136" s="2">
        <v>43898</v>
      </c>
      <c r="B136" s="4">
        <v>0.5</v>
      </c>
      <c r="C136" s="1" t="s">
        <v>50</v>
      </c>
      <c r="E136">
        <v>24</v>
      </c>
      <c r="F136">
        <v>1</v>
      </c>
      <c r="K136" s="1" t="s">
        <v>158</v>
      </c>
    </row>
    <row r="137" spans="1:11">
      <c r="A137" s="2">
        <v>43898</v>
      </c>
      <c r="B137" s="4">
        <v>0.60416666666666663</v>
      </c>
      <c r="C137" s="1" t="s">
        <v>104</v>
      </c>
      <c r="E137">
        <v>41</v>
      </c>
      <c r="K137" s="1" t="s">
        <v>106</v>
      </c>
    </row>
    <row r="138" spans="1:11">
      <c r="A138" s="2">
        <v>43899</v>
      </c>
      <c r="B138" s="4"/>
      <c r="C138" s="1" t="s">
        <v>41</v>
      </c>
      <c r="E138">
        <v>2</v>
      </c>
      <c r="K138" s="1" t="s">
        <v>161</v>
      </c>
    </row>
    <row r="139" spans="1:11">
      <c r="A139" s="2">
        <v>43899</v>
      </c>
      <c r="B139" s="4"/>
      <c r="C139" s="1" t="s">
        <v>44</v>
      </c>
      <c r="E139">
        <v>34</v>
      </c>
      <c r="K139" s="1" t="s">
        <v>162</v>
      </c>
    </row>
    <row r="140" spans="1:11">
      <c r="A140" s="2">
        <v>43899</v>
      </c>
      <c r="B140" s="4"/>
      <c r="C140" s="1" t="s">
        <v>47</v>
      </c>
      <c r="E140">
        <v>20</v>
      </c>
      <c r="F140">
        <v>4</v>
      </c>
      <c r="G140">
        <v>4</v>
      </c>
      <c r="I140">
        <v>1</v>
      </c>
      <c r="J140">
        <v>1</v>
      </c>
      <c r="K140" s="1" t="s">
        <v>163</v>
      </c>
    </row>
    <row r="141" spans="1:11">
      <c r="A141" s="2">
        <v>43899</v>
      </c>
      <c r="B141" s="4"/>
      <c r="C141" s="1" t="s">
        <v>53</v>
      </c>
      <c r="D141">
        <v>24</v>
      </c>
      <c r="E141">
        <v>1</v>
      </c>
      <c r="K141" s="1" t="s">
        <v>165</v>
      </c>
    </row>
    <row r="142" spans="1:11">
      <c r="A142" s="2">
        <v>43899</v>
      </c>
      <c r="B142" s="4"/>
      <c r="C142" s="1" t="s">
        <v>56</v>
      </c>
      <c r="E142">
        <v>11</v>
      </c>
      <c r="K142" s="1" t="s">
        <v>145</v>
      </c>
    </row>
    <row r="143" spans="1:11">
      <c r="A143" s="2">
        <v>43899</v>
      </c>
      <c r="B143" s="4"/>
      <c r="C143" s="1" t="s">
        <v>58</v>
      </c>
      <c r="D143">
        <v>1488</v>
      </c>
      <c r="E143">
        <v>47</v>
      </c>
      <c r="F143">
        <v>13</v>
      </c>
      <c r="G143">
        <v>3</v>
      </c>
      <c r="H143">
        <v>1</v>
      </c>
      <c r="J143">
        <v>0</v>
      </c>
      <c r="K143" s="1" t="s">
        <v>60</v>
      </c>
    </row>
    <row r="144" spans="1:11">
      <c r="A144" s="2">
        <v>43899</v>
      </c>
      <c r="B144" s="4"/>
      <c r="C144" s="1" t="s">
        <v>66</v>
      </c>
      <c r="E144">
        <v>7</v>
      </c>
      <c r="F144">
        <v>5</v>
      </c>
      <c r="G144">
        <v>0</v>
      </c>
      <c r="J144">
        <v>0</v>
      </c>
      <c r="K144" s="1" t="s">
        <v>483</v>
      </c>
    </row>
    <row r="145" spans="1:11">
      <c r="A145" s="2">
        <v>43899</v>
      </c>
      <c r="B145" s="4"/>
      <c r="C145" s="1" t="s">
        <v>71</v>
      </c>
      <c r="E145">
        <v>27</v>
      </c>
      <c r="F145">
        <v>4</v>
      </c>
      <c r="K145" s="1" t="s">
        <v>434</v>
      </c>
    </row>
    <row r="146" spans="1:11">
      <c r="A146" s="2">
        <v>43899</v>
      </c>
      <c r="B146" s="4"/>
      <c r="C146" s="1" t="s">
        <v>91</v>
      </c>
      <c r="E146">
        <v>68</v>
      </c>
      <c r="K146" s="1" t="s">
        <v>166</v>
      </c>
    </row>
    <row r="147" spans="1:11">
      <c r="A147" s="2">
        <v>43899</v>
      </c>
      <c r="B147" s="4"/>
      <c r="C147" s="1" t="s">
        <v>97</v>
      </c>
      <c r="E147">
        <v>51</v>
      </c>
      <c r="F147">
        <v>29</v>
      </c>
      <c r="G147">
        <v>5</v>
      </c>
      <c r="J147">
        <v>1</v>
      </c>
      <c r="K147" s="1" t="s">
        <v>115</v>
      </c>
    </row>
    <row r="148" spans="1:11">
      <c r="A148" s="2">
        <v>43899</v>
      </c>
      <c r="B148" s="4"/>
      <c r="C148" s="1" t="s">
        <v>100</v>
      </c>
      <c r="E148">
        <v>17</v>
      </c>
      <c r="F148">
        <v>16</v>
      </c>
      <c r="G148">
        <v>1</v>
      </c>
      <c r="H148">
        <v>1</v>
      </c>
      <c r="J148">
        <v>0</v>
      </c>
      <c r="K148" s="1" t="s">
        <v>484</v>
      </c>
    </row>
    <row r="149" spans="1:11">
      <c r="A149" s="2">
        <v>43899</v>
      </c>
      <c r="B149" s="4">
        <v>0.33333333333333331</v>
      </c>
      <c r="C149" s="1" t="s">
        <v>102</v>
      </c>
      <c r="E149">
        <v>10</v>
      </c>
      <c r="F149">
        <v>0</v>
      </c>
      <c r="G149">
        <v>0</v>
      </c>
      <c r="I149">
        <v>0</v>
      </c>
      <c r="J149">
        <v>0</v>
      </c>
      <c r="K149" s="1" t="s">
        <v>440</v>
      </c>
    </row>
    <row r="150" spans="1:11">
      <c r="A150" s="2">
        <v>43899</v>
      </c>
      <c r="B150" s="4">
        <v>0.5</v>
      </c>
      <c r="C150" s="1" t="s">
        <v>50</v>
      </c>
      <c r="E150">
        <v>28</v>
      </c>
      <c r="F150">
        <v>1</v>
      </c>
      <c r="K150" s="1" t="s">
        <v>164</v>
      </c>
    </row>
    <row r="151" spans="1:11">
      <c r="A151" s="2">
        <v>43899</v>
      </c>
      <c r="B151" s="4">
        <v>0.60416666666666663</v>
      </c>
      <c r="C151" s="1" t="s">
        <v>104</v>
      </c>
      <c r="E151">
        <v>50</v>
      </c>
      <c r="K151" s="1" t="s">
        <v>106</v>
      </c>
    </row>
    <row r="152" spans="1:11">
      <c r="A152" s="2">
        <v>43899</v>
      </c>
      <c r="B152" s="4">
        <v>0.625</v>
      </c>
      <c r="C152" s="1" t="s">
        <v>34</v>
      </c>
      <c r="E152">
        <v>14</v>
      </c>
      <c r="I152">
        <v>2</v>
      </c>
      <c r="K152" s="1" t="s">
        <v>160</v>
      </c>
    </row>
    <row r="153" spans="1:11">
      <c r="A153" s="2">
        <v>43900</v>
      </c>
      <c r="B153" s="4"/>
      <c r="C153" s="1" t="s">
        <v>47</v>
      </c>
      <c r="E153">
        <v>22</v>
      </c>
      <c r="F153">
        <v>5</v>
      </c>
      <c r="G153">
        <v>1</v>
      </c>
      <c r="I153">
        <v>2</v>
      </c>
      <c r="J153">
        <v>1</v>
      </c>
      <c r="K153" s="1" t="s">
        <v>168</v>
      </c>
    </row>
    <row r="154" spans="1:11">
      <c r="A154" s="2">
        <v>43900</v>
      </c>
      <c r="B154" s="4"/>
      <c r="C154" s="1" t="s">
        <v>53</v>
      </c>
      <c r="D154">
        <v>37</v>
      </c>
      <c r="E154">
        <v>1</v>
      </c>
      <c r="K154" s="1" t="s">
        <v>170</v>
      </c>
    </row>
    <row r="155" spans="1:11">
      <c r="A155" s="2">
        <v>43900</v>
      </c>
      <c r="B155" s="4"/>
      <c r="C155" s="1" t="s">
        <v>58</v>
      </c>
      <c r="D155">
        <v>1688</v>
      </c>
      <c r="E155">
        <v>73</v>
      </c>
      <c r="F155">
        <v>18</v>
      </c>
      <c r="G155">
        <v>4</v>
      </c>
      <c r="H155">
        <v>1</v>
      </c>
      <c r="J155">
        <v>1</v>
      </c>
      <c r="K155" s="1" t="s">
        <v>60</v>
      </c>
    </row>
    <row r="156" spans="1:11">
      <c r="A156" s="2">
        <v>43900</v>
      </c>
      <c r="B156" s="4"/>
      <c r="C156" s="1" t="s">
        <v>61</v>
      </c>
      <c r="E156">
        <v>1</v>
      </c>
      <c r="F156">
        <v>0</v>
      </c>
      <c r="J156">
        <v>0</v>
      </c>
      <c r="K156" s="1" t="s">
        <v>446</v>
      </c>
    </row>
    <row r="157" spans="1:11">
      <c r="A157" s="2">
        <v>43900</v>
      </c>
      <c r="B157" s="4"/>
      <c r="C157" s="1" t="s">
        <v>66</v>
      </c>
      <c r="E157">
        <v>7</v>
      </c>
      <c r="F157">
        <v>5</v>
      </c>
      <c r="G157">
        <v>0</v>
      </c>
      <c r="J157">
        <v>0</v>
      </c>
      <c r="K157" s="1" t="s">
        <v>483</v>
      </c>
    </row>
    <row r="158" spans="1:11">
      <c r="A158" s="2">
        <v>43900</v>
      </c>
      <c r="B158" s="4"/>
      <c r="C158" s="1" t="s">
        <v>71</v>
      </c>
      <c r="E158">
        <v>31</v>
      </c>
      <c r="F158">
        <v>4</v>
      </c>
      <c r="K158" s="1" t="s">
        <v>434</v>
      </c>
    </row>
    <row r="159" spans="1:11">
      <c r="A159" s="2">
        <v>43900</v>
      </c>
      <c r="B159" s="4"/>
      <c r="C159" s="1" t="s">
        <v>91</v>
      </c>
      <c r="J159">
        <v>1</v>
      </c>
      <c r="K159" s="1" t="s">
        <v>171</v>
      </c>
    </row>
    <row r="160" spans="1:11">
      <c r="A160" s="2">
        <v>43900</v>
      </c>
      <c r="B160" s="4"/>
      <c r="C160" s="1" t="s">
        <v>97</v>
      </c>
      <c r="E160">
        <v>129</v>
      </c>
      <c r="F160">
        <v>48</v>
      </c>
      <c r="G160">
        <v>8</v>
      </c>
      <c r="J160">
        <v>1</v>
      </c>
      <c r="K160" s="1" t="s">
        <v>99</v>
      </c>
    </row>
    <row r="161" spans="1:11">
      <c r="A161" s="2">
        <v>43900</v>
      </c>
      <c r="B161" s="4"/>
      <c r="C161" s="1" t="s">
        <v>100</v>
      </c>
      <c r="E161">
        <v>22</v>
      </c>
      <c r="F161">
        <v>19</v>
      </c>
      <c r="G161">
        <v>1</v>
      </c>
      <c r="H161">
        <v>1</v>
      </c>
      <c r="I161">
        <v>3</v>
      </c>
      <c r="J161">
        <v>0</v>
      </c>
      <c r="K161" s="1" t="s">
        <v>484</v>
      </c>
    </row>
    <row r="162" spans="1:11">
      <c r="A162" s="2">
        <v>43900</v>
      </c>
      <c r="B162" s="4">
        <v>0.33333333333333331</v>
      </c>
      <c r="C162" s="1" t="s">
        <v>102</v>
      </c>
      <c r="E162">
        <v>10</v>
      </c>
      <c r="F162">
        <v>0</v>
      </c>
      <c r="G162">
        <v>0</v>
      </c>
      <c r="I162">
        <v>0</v>
      </c>
      <c r="J162">
        <v>0</v>
      </c>
      <c r="K162" s="1" t="s">
        <v>440</v>
      </c>
    </row>
    <row r="163" spans="1:11">
      <c r="A163" s="2">
        <v>43900</v>
      </c>
      <c r="B163" s="4">
        <v>0.5</v>
      </c>
      <c r="C163" s="1" t="s">
        <v>50</v>
      </c>
      <c r="E163">
        <v>33</v>
      </c>
      <c r="F163">
        <v>1</v>
      </c>
      <c r="K163" s="1" t="s">
        <v>169</v>
      </c>
    </row>
    <row r="164" spans="1:11">
      <c r="A164" s="2">
        <v>43900</v>
      </c>
      <c r="B164" s="4">
        <v>0.60416666666666663</v>
      </c>
      <c r="C164" s="1" t="s">
        <v>104</v>
      </c>
      <c r="E164">
        <v>63</v>
      </c>
      <c r="K164" s="1" t="s">
        <v>106</v>
      </c>
    </row>
    <row r="165" spans="1:11">
      <c r="A165" s="2">
        <v>43900</v>
      </c>
      <c r="B165" s="4">
        <v>0.625</v>
      </c>
      <c r="C165" s="1" t="s">
        <v>34</v>
      </c>
      <c r="E165">
        <v>17</v>
      </c>
      <c r="I165">
        <v>2</v>
      </c>
      <c r="K165" s="1" t="s">
        <v>167</v>
      </c>
    </row>
    <row r="166" spans="1:11">
      <c r="A166" s="2">
        <v>43901</v>
      </c>
      <c r="B166" s="4"/>
      <c r="C166" s="1" t="s">
        <v>47</v>
      </c>
      <c r="E166">
        <v>26</v>
      </c>
      <c r="F166">
        <v>3</v>
      </c>
      <c r="G166">
        <v>1</v>
      </c>
      <c r="I166">
        <v>2</v>
      </c>
      <c r="J166">
        <v>2</v>
      </c>
      <c r="K166" s="1" t="s">
        <v>173</v>
      </c>
    </row>
    <row r="167" spans="1:11">
      <c r="A167" s="2">
        <v>43901</v>
      </c>
      <c r="B167" s="4"/>
      <c r="C167" s="1" t="s">
        <v>53</v>
      </c>
      <c r="D167">
        <v>50</v>
      </c>
      <c r="E167">
        <v>3</v>
      </c>
      <c r="I167">
        <v>1</v>
      </c>
      <c r="K167" s="1" t="s">
        <v>175</v>
      </c>
    </row>
    <row r="168" spans="1:11">
      <c r="A168" s="2">
        <v>43901</v>
      </c>
      <c r="B168" s="4"/>
      <c r="C168" s="1" t="s">
        <v>56</v>
      </c>
      <c r="E168">
        <v>16</v>
      </c>
      <c r="J168">
        <v>0</v>
      </c>
      <c r="K168" s="1" t="s">
        <v>459</v>
      </c>
    </row>
    <row r="169" spans="1:11">
      <c r="A169" s="2">
        <v>43901</v>
      </c>
      <c r="B169" s="4"/>
      <c r="C169" s="1" t="s">
        <v>58</v>
      </c>
      <c r="D169">
        <v>1926</v>
      </c>
      <c r="E169">
        <v>84</v>
      </c>
      <c r="F169">
        <v>20</v>
      </c>
      <c r="G169">
        <v>6</v>
      </c>
      <c r="H169">
        <v>4</v>
      </c>
      <c r="J169">
        <v>1</v>
      </c>
      <c r="K169" s="1" t="s">
        <v>60</v>
      </c>
    </row>
    <row r="170" spans="1:11">
      <c r="A170" s="2">
        <v>43901</v>
      </c>
      <c r="B170" s="4"/>
      <c r="C170" s="1" t="s">
        <v>61</v>
      </c>
      <c r="E170">
        <v>1</v>
      </c>
      <c r="F170">
        <v>0</v>
      </c>
      <c r="J170">
        <v>0</v>
      </c>
      <c r="K170" s="1" t="s">
        <v>446</v>
      </c>
    </row>
    <row r="171" spans="1:11">
      <c r="A171" s="2">
        <v>43901</v>
      </c>
      <c r="B171" s="4"/>
      <c r="C171" s="1" t="s">
        <v>66</v>
      </c>
      <c r="E171">
        <v>7</v>
      </c>
      <c r="F171">
        <v>6</v>
      </c>
      <c r="G171">
        <v>0</v>
      </c>
      <c r="J171">
        <v>0</v>
      </c>
      <c r="K171" s="1" t="s">
        <v>483</v>
      </c>
    </row>
    <row r="172" spans="1:11">
      <c r="A172" s="2">
        <v>43901</v>
      </c>
      <c r="B172" s="4"/>
      <c r="C172" s="1" t="s">
        <v>71</v>
      </c>
      <c r="E172">
        <v>37</v>
      </c>
      <c r="F172">
        <v>6</v>
      </c>
      <c r="K172" s="1" t="s">
        <v>434</v>
      </c>
    </row>
    <row r="173" spans="1:11">
      <c r="A173" s="2">
        <v>43901</v>
      </c>
      <c r="B173" s="4"/>
      <c r="C173" s="1" t="s">
        <v>73</v>
      </c>
      <c r="E173">
        <v>4</v>
      </c>
      <c r="F173">
        <v>2</v>
      </c>
      <c r="K173" s="1" t="s">
        <v>409</v>
      </c>
    </row>
    <row r="174" spans="1:11">
      <c r="A174" s="2">
        <v>43901</v>
      </c>
      <c r="B174" s="4"/>
      <c r="C174" s="1" t="s">
        <v>81</v>
      </c>
      <c r="E174">
        <v>1</v>
      </c>
      <c r="J174">
        <v>0</v>
      </c>
      <c r="K174" s="1" t="s">
        <v>460</v>
      </c>
    </row>
    <row r="175" spans="1:11">
      <c r="A175" s="2">
        <v>43901</v>
      </c>
      <c r="B175" s="4"/>
      <c r="C175" s="1" t="s">
        <v>91</v>
      </c>
      <c r="K175" s="1" t="s">
        <v>36</v>
      </c>
    </row>
    <row r="176" spans="1:11">
      <c r="A176" s="2">
        <v>43901</v>
      </c>
      <c r="B176" s="4"/>
      <c r="C176" s="1" t="s">
        <v>97</v>
      </c>
      <c r="E176">
        <v>202</v>
      </c>
      <c r="F176">
        <v>51</v>
      </c>
      <c r="G176">
        <v>7</v>
      </c>
      <c r="J176">
        <v>1</v>
      </c>
      <c r="K176" s="1" t="s">
        <v>99</v>
      </c>
    </row>
    <row r="177" spans="1:11">
      <c r="A177" s="2">
        <v>43901</v>
      </c>
      <c r="B177" s="4"/>
      <c r="C177" s="1" t="s">
        <v>100</v>
      </c>
      <c r="E177">
        <v>30</v>
      </c>
      <c r="F177">
        <v>20</v>
      </c>
      <c r="G177">
        <v>1</v>
      </c>
      <c r="H177">
        <v>1</v>
      </c>
      <c r="J177">
        <v>0</v>
      </c>
      <c r="K177" s="1" t="s">
        <v>484</v>
      </c>
    </row>
    <row r="178" spans="1:11">
      <c r="A178" s="2">
        <v>43901</v>
      </c>
      <c r="B178" s="4">
        <v>0.33333333333333331</v>
      </c>
      <c r="C178" s="1" t="s">
        <v>102</v>
      </c>
      <c r="E178">
        <v>11</v>
      </c>
      <c r="F178">
        <v>0</v>
      </c>
      <c r="G178">
        <v>0</v>
      </c>
      <c r="I178">
        <v>0</v>
      </c>
      <c r="J178">
        <v>0</v>
      </c>
      <c r="K178" s="1" t="s">
        <v>440</v>
      </c>
    </row>
    <row r="179" spans="1:11">
      <c r="A179" s="2">
        <v>43901</v>
      </c>
      <c r="B179" s="4">
        <v>0.5</v>
      </c>
      <c r="C179" s="1" t="s">
        <v>50</v>
      </c>
      <c r="E179">
        <v>49</v>
      </c>
      <c r="F179">
        <v>13</v>
      </c>
      <c r="G179">
        <v>2</v>
      </c>
      <c r="I179">
        <v>4</v>
      </c>
      <c r="K179" s="1" t="s">
        <v>174</v>
      </c>
    </row>
    <row r="180" spans="1:11">
      <c r="A180" s="2">
        <v>43901</v>
      </c>
      <c r="B180" s="4">
        <v>0.60416666666666663</v>
      </c>
      <c r="C180" s="1" t="s">
        <v>104</v>
      </c>
      <c r="E180">
        <v>102</v>
      </c>
      <c r="K180" s="1" t="s">
        <v>106</v>
      </c>
    </row>
    <row r="181" spans="1:11">
      <c r="A181" s="2">
        <v>43901</v>
      </c>
      <c r="B181" s="4">
        <v>0.625</v>
      </c>
      <c r="C181" s="1" t="s">
        <v>34</v>
      </c>
      <c r="E181">
        <v>18</v>
      </c>
      <c r="I181">
        <v>2</v>
      </c>
      <c r="K181" s="1" t="s">
        <v>172</v>
      </c>
    </row>
    <row r="182" spans="1:11">
      <c r="A182" s="2">
        <v>43902</v>
      </c>
      <c r="B182" s="4"/>
      <c r="C182" s="1" t="s">
        <v>41</v>
      </c>
      <c r="E182">
        <v>5</v>
      </c>
      <c r="K182" s="1" t="s">
        <v>177</v>
      </c>
    </row>
    <row r="183" spans="1:11">
      <c r="A183" s="2">
        <v>43902</v>
      </c>
      <c r="B183" s="4"/>
      <c r="C183" s="1" t="s">
        <v>47</v>
      </c>
      <c r="E183">
        <v>26</v>
      </c>
      <c r="F183">
        <v>9</v>
      </c>
      <c r="G183">
        <v>3</v>
      </c>
      <c r="I183">
        <v>2</v>
      </c>
      <c r="J183">
        <v>2</v>
      </c>
      <c r="K183" s="1" t="s">
        <v>36</v>
      </c>
    </row>
    <row r="184" spans="1:11">
      <c r="A184" s="2">
        <v>43902</v>
      </c>
      <c r="B184" s="4"/>
      <c r="C184" s="1" t="s">
        <v>53</v>
      </c>
      <c r="D184">
        <v>57</v>
      </c>
      <c r="E184">
        <v>3</v>
      </c>
      <c r="I184">
        <v>1</v>
      </c>
      <c r="K184" s="1" t="s">
        <v>179</v>
      </c>
    </row>
    <row r="185" spans="1:11">
      <c r="A185" s="2">
        <v>43902</v>
      </c>
      <c r="B185" s="4"/>
      <c r="C185" s="1" t="s">
        <v>56</v>
      </c>
      <c r="E185">
        <v>22</v>
      </c>
      <c r="J185">
        <v>0</v>
      </c>
      <c r="K185" s="1" t="s">
        <v>459</v>
      </c>
    </row>
    <row r="186" spans="1:11">
      <c r="A186" s="2">
        <v>43902</v>
      </c>
      <c r="B186" s="4"/>
      <c r="C186" s="1" t="s">
        <v>58</v>
      </c>
      <c r="D186">
        <v>2277</v>
      </c>
      <c r="E186">
        <v>114</v>
      </c>
      <c r="F186">
        <v>23</v>
      </c>
      <c r="G186">
        <v>6</v>
      </c>
      <c r="H186">
        <v>4</v>
      </c>
      <c r="J186">
        <v>2</v>
      </c>
      <c r="K186" s="1" t="s">
        <v>60</v>
      </c>
    </row>
    <row r="187" spans="1:11">
      <c r="A187" s="2">
        <v>43902</v>
      </c>
      <c r="B187" s="4"/>
      <c r="C187" s="1" t="s">
        <v>61</v>
      </c>
      <c r="E187">
        <v>3</v>
      </c>
      <c r="F187">
        <v>0</v>
      </c>
      <c r="J187">
        <v>0</v>
      </c>
      <c r="K187" s="1" t="s">
        <v>446</v>
      </c>
    </row>
    <row r="188" spans="1:11">
      <c r="A188" s="2">
        <v>43902</v>
      </c>
      <c r="B188" s="4"/>
      <c r="C188" s="1" t="s">
        <v>66</v>
      </c>
      <c r="E188">
        <v>12</v>
      </c>
      <c r="F188">
        <v>6</v>
      </c>
      <c r="G188">
        <v>0</v>
      </c>
      <c r="J188">
        <v>0</v>
      </c>
      <c r="K188" s="1" t="s">
        <v>483</v>
      </c>
    </row>
    <row r="189" spans="1:11">
      <c r="A189" s="2">
        <v>43902</v>
      </c>
      <c r="B189" s="4"/>
      <c r="C189" s="1" t="s">
        <v>71</v>
      </c>
      <c r="E189">
        <v>46</v>
      </c>
      <c r="F189">
        <v>6</v>
      </c>
      <c r="K189" s="1" t="s">
        <v>434</v>
      </c>
    </row>
    <row r="190" spans="1:11">
      <c r="A190" s="2">
        <v>43902</v>
      </c>
      <c r="B190" s="4"/>
      <c r="C190" s="1" t="s">
        <v>73</v>
      </c>
      <c r="E190">
        <v>5</v>
      </c>
      <c r="F190">
        <v>5</v>
      </c>
      <c r="K190" s="1" t="s">
        <v>409</v>
      </c>
    </row>
    <row r="191" spans="1:11">
      <c r="A191" s="2">
        <v>43902</v>
      </c>
      <c r="B191" s="4"/>
      <c r="C191" s="1" t="s">
        <v>78</v>
      </c>
      <c r="E191">
        <v>15</v>
      </c>
      <c r="K191" s="1" t="s">
        <v>80</v>
      </c>
    </row>
    <row r="192" spans="1:11">
      <c r="A192" s="2">
        <v>43902</v>
      </c>
      <c r="B192" s="4"/>
      <c r="C192" s="1" t="s">
        <v>81</v>
      </c>
      <c r="E192">
        <v>1</v>
      </c>
      <c r="J192">
        <v>0</v>
      </c>
      <c r="K192" s="1" t="s">
        <v>460</v>
      </c>
    </row>
    <row r="193" spans="1:11">
      <c r="A193" s="2">
        <v>43902</v>
      </c>
      <c r="B193" s="4"/>
      <c r="C193" s="1" t="s">
        <v>91</v>
      </c>
      <c r="E193">
        <v>180</v>
      </c>
      <c r="K193" s="1" t="s">
        <v>180</v>
      </c>
    </row>
    <row r="194" spans="1:11">
      <c r="A194" s="2">
        <v>43902</v>
      </c>
      <c r="B194" s="4"/>
      <c r="C194" s="1" t="s">
        <v>94</v>
      </c>
      <c r="E194">
        <v>2</v>
      </c>
      <c r="K194" s="1" t="s">
        <v>36</v>
      </c>
    </row>
    <row r="195" spans="1:11">
      <c r="A195" s="2">
        <v>43902</v>
      </c>
      <c r="B195" s="4"/>
      <c r="C195" s="1" t="s">
        <v>97</v>
      </c>
      <c r="E195">
        <v>276</v>
      </c>
      <c r="F195">
        <v>55</v>
      </c>
      <c r="G195">
        <v>6</v>
      </c>
      <c r="J195">
        <v>3</v>
      </c>
      <c r="K195" s="1" t="s">
        <v>99</v>
      </c>
    </row>
    <row r="196" spans="1:11">
      <c r="A196" s="2">
        <v>43902</v>
      </c>
      <c r="B196" s="4"/>
      <c r="C196" s="1" t="s">
        <v>100</v>
      </c>
      <c r="E196">
        <v>53</v>
      </c>
      <c r="F196">
        <v>27</v>
      </c>
      <c r="G196">
        <v>1</v>
      </c>
      <c r="H196">
        <v>1</v>
      </c>
      <c r="J196">
        <v>0</v>
      </c>
      <c r="K196" s="1" t="s">
        <v>484</v>
      </c>
    </row>
    <row r="197" spans="1:11">
      <c r="A197" s="2">
        <v>43902</v>
      </c>
      <c r="B197" s="4">
        <v>0.33333333333333331</v>
      </c>
      <c r="C197" s="1" t="s">
        <v>102</v>
      </c>
      <c r="E197">
        <v>11</v>
      </c>
      <c r="F197">
        <v>0</v>
      </c>
      <c r="G197">
        <v>0</v>
      </c>
      <c r="I197">
        <v>0</v>
      </c>
      <c r="J197">
        <v>0</v>
      </c>
      <c r="K197" s="1" t="s">
        <v>440</v>
      </c>
    </row>
    <row r="198" spans="1:11">
      <c r="A198" s="2">
        <v>43902</v>
      </c>
      <c r="B198" s="4">
        <v>0.5</v>
      </c>
      <c r="C198" s="1" t="s">
        <v>50</v>
      </c>
      <c r="E198">
        <v>73</v>
      </c>
      <c r="F198">
        <v>13</v>
      </c>
      <c r="I198">
        <v>4</v>
      </c>
      <c r="J198">
        <v>1</v>
      </c>
      <c r="K198" s="1" t="s">
        <v>178</v>
      </c>
    </row>
    <row r="199" spans="1:11">
      <c r="A199" s="2">
        <v>43902</v>
      </c>
      <c r="B199" s="4">
        <v>0.60416666666666663</v>
      </c>
      <c r="C199" s="1" t="s">
        <v>104</v>
      </c>
      <c r="E199">
        <v>141</v>
      </c>
      <c r="K199" s="1" t="s">
        <v>106</v>
      </c>
    </row>
    <row r="200" spans="1:11">
      <c r="A200" s="2">
        <v>43902</v>
      </c>
      <c r="B200" s="4">
        <v>0.625</v>
      </c>
      <c r="C200" s="1" t="s">
        <v>34</v>
      </c>
      <c r="E200">
        <v>27</v>
      </c>
      <c r="F200">
        <v>1</v>
      </c>
      <c r="I200">
        <v>3</v>
      </c>
      <c r="K200" s="1" t="s">
        <v>176</v>
      </c>
    </row>
    <row r="201" spans="1:11">
      <c r="A201" s="2">
        <v>43903</v>
      </c>
      <c r="B201" s="4"/>
      <c r="C201" s="1" t="s">
        <v>47</v>
      </c>
      <c r="E201">
        <v>42</v>
      </c>
      <c r="F201">
        <v>12</v>
      </c>
      <c r="G201">
        <v>3</v>
      </c>
      <c r="I201">
        <v>2</v>
      </c>
      <c r="J201">
        <v>2</v>
      </c>
      <c r="K201" s="1" t="s">
        <v>182</v>
      </c>
    </row>
    <row r="202" spans="1:11">
      <c r="A202" s="2">
        <v>43903</v>
      </c>
      <c r="B202" s="4"/>
      <c r="C202" s="1" t="s">
        <v>56</v>
      </c>
      <c r="E202">
        <v>29</v>
      </c>
      <c r="J202">
        <v>0</v>
      </c>
      <c r="K202" s="1" t="s">
        <v>459</v>
      </c>
    </row>
    <row r="203" spans="1:11">
      <c r="A203" s="2">
        <v>43903</v>
      </c>
      <c r="B203" s="4"/>
      <c r="C203" s="1" t="s">
        <v>58</v>
      </c>
      <c r="D203">
        <v>2712</v>
      </c>
      <c r="E203">
        <v>178</v>
      </c>
      <c r="F203">
        <v>33</v>
      </c>
      <c r="G203">
        <v>7</v>
      </c>
      <c r="H203">
        <v>5</v>
      </c>
      <c r="J203">
        <v>2</v>
      </c>
      <c r="K203" s="1" t="s">
        <v>60</v>
      </c>
    </row>
    <row r="204" spans="1:11">
      <c r="A204" s="2">
        <v>43903</v>
      </c>
      <c r="B204" s="4"/>
      <c r="C204" s="1" t="s">
        <v>61</v>
      </c>
      <c r="E204">
        <v>6</v>
      </c>
      <c r="F204">
        <v>0</v>
      </c>
      <c r="J204">
        <v>0</v>
      </c>
      <c r="K204" s="1" t="s">
        <v>446</v>
      </c>
    </row>
    <row r="205" spans="1:11">
      <c r="A205" s="2">
        <v>43903</v>
      </c>
      <c r="B205" s="4"/>
      <c r="C205" s="1" t="s">
        <v>66</v>
      </c>
      <c r="E205">
        <v>17</v>
      </c>
      <c r="F205">
        <v>8</v>
      </c>
      <c r="G205">
        <v>0</v>
      </c>
      <c r="J205">
        <v>0</v>
      </c>
      <c r="K205" s="1" t="s">
        <v>483</v>
      </c>
    </row>
    <row r="206" spans="1:11">
      <c r="A206" s="2">
        <v>43903</v>
      </c>
      <c r="B206" s="4"/>
      <c r="C206" s="1" t="s">
        <v>71</v>
      </c>
      <c r="E206">
        <v>59</v>
      </c>
      <c r="F206">
        <v>9</v>
      </c>
      <c r="K206" s="1" t="s">
        <v>434</v>
      </c>
    </row>
    <row r="207" spans="1:11">
      <c r="A207" s="2">
        <v>43903</v>
      </c>
      <c r="B207" s="4"/>
      <c r="C207" s="1" t="s">
        <v>73</v>
      </c>
      <c r="E207">
        <v>5</v>
      </c>
      <c r="F207">
        <v>6</v>
      </c>
      <c r="K207" s="1" t="s">
        <v>409</v>
      </c>
    </row>
    <row r="208" spans="1:11">
      <c r="A208" s="2">
        <v>43903</v>
      </c>
      <c r="B208" s="4"/>
      <c r="C208" s="1" t="s">
        <v>81</v>
      </c>
      <c r="E208">
        <v>1</v>
      </c>
      <c r="J208">
        <v>0</v>
      </c>
      <c r="K208" s="1" t="s">
        <v>460</v>
      </c>
    </row>
    <row r="209" spans="1:11">
      <c r="A209" s="2">
        <v>43903</v>
      </c>
      <c r="B209" s="4"/>
      <c r="C209" s="1" t="s">
        <v>91</v>
      </c>
      <c r="E209">
        <v>258</v>
      </c>
      <c r="F209">
        <v>65</v>
      </c>
      <c r="G209">
        <v>13</v>
      </c>
      <c r="K209" s="1" t="s">
        <v>186</v>
      </c>
    </row>
    <row r="210" spans="1:11">
      <c r="A210" s="2">
        <v>43903</v>
      </c>
      <c r="B210" s="4"/>
      <c r="C210" s="1" t="s">
        <v>97</v>
      </c>
      <c r="E210">
        <v>368</v>
      </c>
      <c r="F210">
        <v>61</v>
      </c>
      <c r="G210">
        <v>7</v>
      </c>
      <c r="J210">
        <v>3</v>
      </c>
      <c r="K210" s="1" t="s">
        <v>99</v>
      </c>
    </row>
    <row r="211" spans="1:11">
      <c r="A211" s="2">
        <v>43903</v>
      </c>
      <c r="B211" s="4"/>
      <c r="C211" s="1" t="s">
        <v>100</v>
      </c>
      <c r="E211">
        <v>76</v>
      </c>
      <c r="F211">
        <v>29</v>
      </c>
      <c r="G211">
        <v>1</v>
      </c>
      <c r="H211">
        <v>1</v>
      </c>
      <c r="J211">
        <v>1</v>
      </c>
      <c r="K211" s="1" t="s">
        <v>484</v>
      </c>
    </row>
    <row r="212" spans="1:11">
      <c r="A212" s="2">
        <v>43903</v>
      </c>
      <c r="B212" s="4">
        <v>0.33333333333333331</v>
      </c>
      <c r="C212" s="1" t="s">
        <v>102</v>
      </c>
      <c r="E212">
        <v>11</v>
      </c>
      <c r="F212">
        <v>0</v>
      </c>
      <c r="G212">
        <v>0</v>
      </c>
      <c r="I212">
        <v>0</v>
      </c>
      <c r="J212">
        <v>0</v>
      </c>
      <c r="K212" s="1" t="s">
        <v>440</v>
      </c>
    </row>
    <row r="213" spans="1:11">
      <c r="A213" s="2">
        <v>43903</v>
      </c>
      <c r="B213" s="4">
        <v>0.5</v>
      </c>
      <c r="C213" s="1" t="s">
        <v>75</v>
      </c>
      <c r="D213">
        <v>6</v>
      </c>
      <c r="E213">
        <v>1</v>
      </c>
      <c r="K213" s="1" t="s">
        <v>184</v>
      </c>
    </row>
    <row r="214" spans="1:11">
      <c r="A214" s="2">
        <v>43903</v>
      </c>
      <c r="B214" s="4">
        <v>0.5</v>
      </c>
      <c r="C214" s="1" t="s">
        <v>86</v>
      </c>
      <c r="D214">
        <v>10</v>
      </c>
      <c r="E214">
        <v>9</v>
      </c>
      <c r="K214" s="1" t="s">
        <v>185</v>
      </c>
    </row>
    <row r="215" spans="1:11">
      <c r="A215" s="2">
        <v>43903</v>
      </c>
      <c r="B215" s="4">
        <v>0.52083333333333337</v>
      </c>
      <c r="C215" s="1" t="s">
        <v>50</v>
      </c>
      <c r="E215">
        <v>92</v>
      </c>
      <c r="F215">
        <v>13</v>
      </c>
      <c r="I215">
        <v>4</v>
      </c>
      <c r="J215">
        <v>1</v>
      </c>
      <c r="K215" s="1" t="s">
        <v>183</v>
      </c>
    </row>
    <row r="216" spans="1:11">
      <c r="A216" s="2">
        <v>43903</v>
      </c>
      <c r="B216" s="4">
        <v>0.54166666666666663</v>
      </c>
      <c r="C216" s="1" t="s">
        <v>34</v>
      </c>
      <c r="E216">
        <v>32</v>
      </c>
      <c r="I216">
        <v>3</v>
      </c>
      <c r="K216" s="1" t="s">
        <v>181</v>
      </c>
    </row>
    <row r="217" spans="1:11">
      <c r="A217" s="2">
        <v>43903</v>
      </c>
      <c r="B217" s="4">
        <v>0.60416666666666663</v>
      </c>
      <c r="C217" s="1" t="s">
        <v>104</v>
      </c>
      <c r="E217">
        <v>164</v>
      </c>
      <c r="K217" s="1" t="s">
        <v>106</v>
      </c>
    </row>
    <row r="218" spans="1:11">
      <c r="A218" s="2">
        <v>43904</v>
      </c>
      <c r="B218" s="4"/>
      <c r="C218" s="1" t="s">
        <v>38</v>
      </c>
      <c r="E218">
        <v>2</v>
      </c>
      <c r="K218" s="1" t="s">
        <v>187</v>
      </c>
    </row>
    <row r="219" spans="1:11">
      <c r="A219" s="2">
        <v>43904</v>
      </c>
      <c r="B219" s="4"/>
      <c r="C219" s="1" t="s">
        <v>47</v>
      </c>
      <c r="E219">
        <v>47</v>
      </c>
      <c r="F219">
        <v>8</v>
      </c>
      <c r="G219">
        <v>2</v>
      </c>
      <c r="I219">
        <v>2</v>
      </c>
      <c r="J219">
        <v>2</v>
      </c>
      <c r="K219" s="1" t="s">
        <v>188</v>
      </c>
    </row>
    <row r="220" spans="1:11">
      <c r="A220" s="2">
        <v>43904</v>
      </c>
      <c r="B220" s="4"/>
      <c r="C220" s="1" t="s">
        <v>53</v>
      </c>
      <c r="D220">
        <v>99</v>
      </c>
      <c r="E220">
        <v>3</v>
      </c>
      <c r="I220">
        <v>1</v>
      </c>
      <c r="K220" s="1" t="s">
        <v>190</v>
      </c>
    </row>
    <row r="221" spans="1:11">
      <c r="A221" s="2">
        <v>43904</v>
      </c>
      <c r="B221" s="4"/>
      <c r="C221" s="1" t="s">
        <v>56</v>
      </c>
      <c r="E221">
        <v>36</v>
      </c>
      <c r="J221">
        <v>0</v>
      </c>
      <c r="K221" s="1" t="s">
        <v>459</v>
      </c>
    </row>
    <row r="222" spans="1:11">
      <c r="A222" s="2">
        <v>43904</v>
      </c>
      <c r="B222" s="4"/>
      <c r="C222" s="1" t="s">
        <v>58</v>
      </c>
      <c r="D222">
        <v>3295</v>
      </c>
      <c r="E222">
        <v>281</v>
      </c>
      <c r="F222">
        <v>43</v>
      </c>
      <c r="G222">
        <v>8</v>
      </c>
      <c r="H222">
        <v>5</v>
      </c>
      <c r="J222">
        <v>2</v>
      </c>
      <c r="K222" s="1" t="s">
        <v>60</v>
      </c>
    </row>
    <row r="223" spans="1:11">
      <c r="A223" s="2">
        <v>43904</v>
      </c>
      <c r="B223" s="4"/>
      <c r="C223" s="1" t="s">
        <v>61</v>
      </c>
      <c r="E223">
        <v>8</v>
      </c>
      <c r="F223">
        <v>0</v>
      </c>
      <c r="J223">
        <v>0</v>
      </c>
      <c r="K223" s="1" t="s">
        <v>446</v>
      </c>
    </row>
    <row r="224" spans="1:11">
      <c r="A224" s="2">
        <v>43904</v>
      </c>
      <c r="B224" s="4"/>
      <c r="C224" s="1" t="s">
        <v>66</v>
      </c>
      <c r="E224">
        <v>18</v>
      </c>
      <c r="F224">
        <v>8</v>
      </c>
      <c r="G224">
        <v>0</v>
      </c>
      <c r="J224">
        <v>0</v>
      </c>
      <c r="K224" s="1" t="s">
        <v>483</v>
      </c>
    </row>
    <row r="225" spans="1:11">
      <c r="A225" s="2">
        <v>43904</v>
      </c>
      <c r="B225" s="4"/>
      <c r="C225" s="1" t="s">
        <v>71</v>
      </c>
      <c r="E225">
        <v>68</v>
      </c>
      <c r="F225">
        <v>10</v>
      </c>
      <c r="K225" s="1" t="s">
        <v>434</v>
      </c>
    </row>
    <row r="226" spans="1:11">
      <c r="A226" s="2">
        <v>43904</v>
      </c>
      <c r="B226" s="4"/>
      <c r="C226" s="1" t="s">
        <v>73</v>
      </c>
      <c r="E226">
        <v>5</v>
      </c>
      <c r="F226">
        <v>6</v>
      </c>
      <c r="K226" s="1" t="s">
        <v>409</v>
      </c>
    </row>
    <row r="227" spans="1:11">
      <c r="A227" s="2">
        <v>43904</v>
      </c>
      <c r="B227" s="4"/>
      <c r="C227" s="1" t="s">
        <v>81</v>
      </c>
      <c r="E227">
        <v>1</v>
      </c>
      <c r="J227">
        <v>0</v>
      </c>
      <c r="K227" s="1" t="s">
        <v>460</v>
      </c>
    </row>
    <row r="228" spans="1:11">
      <c r="A228" s="2">
        <v>43904</v>
      </c>
      <c r="B228" s="4"/>
      <c r="C228" s="1" t="s">
        <v>91</v>
      </c>
      <c r="E228">
        <v>265</v>
      </c>
      <c r="J228">
        <v>3</v>
      </c>
      <c r="K228" s="1" t="s">
        <v>191</v>
      </c>
    </row>
    <row r="229" spans="1:11">
      <c r="A229" s="2">
        <v>43904</v>
      </c>
      <c r="B229" s="4"/>
      <c r="C229" s="1" t="s">
        <v>97</v>
      </c>
      <c r="E229">
        <v>477</v>
      </c>
      <c r="F229">
        <v>75</v>
      </c>
      <c r="G229">
        <v>10</v>
      </c>
      <c r="J229">
        <v>4</v>
      </c>
      <c r="K229" s="1" t="s">
        <v>99</v>
      </c>
    </row>
    <row r="230" spans="1:11">
      <c r="A230" s="2">
        <v>43904</v>
      </c>
      <c r="B230" s="4"/>
      <c r="C230" s="1" t="s">
        <v>100</v>
      </c>
      <c r="E230">
        <v>98</v>
      </c>
      <c r="F230">
        <v>33</v>
      </c>
      <c r="G230">
        <v>1</v>
      </c>
      <c r="H230">
        <v>1</v>
      </c>
      <c r="J230">
        <v>1</v>
      </c>
      <c r="K230" s="1" t="s">
        <v>484</v>
      </c>
    </row>
    <row r="231" spans="1:11">
      <c r="A231" s="2">
        <v>43904</v>
      </c>
      <c r="B231" s="4">
        <v>0.12708333333333333</v>
      </c>
      <c r="C231" s="1" t="s">
        <v>86</v>
      </c>
      <c r="D231">
        <v>10</v>
      </c>
      <c r="E231">
        <v>12</v>
      </c>
      <c r="K231" s="1" t="s">
        <v>449</v>
      </c>
    </row>
    <row r="232" spans="1:11">
      <c r="A232" s="2">
        <v>43904</v>
      </c>
      <c r="B232" s="4">
        <v>0.33333333333333331</v>
      </c>
      <c r="C232" s="1" t="s">
        <v>102</v>
      </c>
      <c r="E232">
        <v>13</v>
      </c>
      <c r="F232">
        <v>0</v>
      </c>
      <c r="G232">
        <v>0</v>
      </c>
      <c r="I232">
        <v>0</v>
      </c>
      <c r="J232">
        <v>0</v>
      </c>
      <c r="K232" s="1" t="s">
        <v>440</v>
      </c>
    </row>
    <row r="233" spans="1:11">
      <c r="A233" s="2">
        <v>43904</v>
      </c>
      <c r="B233" s="4">
        <v>0.47708333333333336</v>
      </c>
      <c r="C233" s="1" t="s">
        <v>50</v>
      </c>
      <c r="E233">
        <v>100</v>
      </c>
      <c r="F233">
        <v>13</v>
      </c>
      <c r="I233">
        <v>4</v>
      </c>
      <c r="J233">
        <v>1</v>
      </c>
      <c r="K233" s="1" t="s">
        <v>189</v>
      </c>
    </row>
    <row r="234" spans="1:11">
      <c r="A234" s="2">
        <v>43904</v>
      </c>
      <c r="B234" s="4">
        <v>0.60416666666666663</v>
      </c>
      <c r="C234" s="1" t="s">
        <v>104</v>
      </c>
      <c r="E234">
        <v>219</v>
      </c>
      <c r="K234" s="1" t="s">
        <v>106</v>
      </c>
    </row>
    <row r="235" spans="1:11">
      <c r="A235" s="2">
        <v>43905</v>
      </c>
      <c r="B235" s="4"/>
      <c r="C235" s="1" t="s">
        <v>47</v>
      </c>
      <c r="E235">
        <v>54</v>
      </c>
      <c r="F235">
        <v>12</v>
      </c>
      <c r="G235">
        <v>2</v>
      </c>
      <c r="I235">
        <v>5</v>
      </c>
      <c r="J235">
        <v>2</v>
      </c>
      <c r="K235" s="1" t="s">
        <v>192</v>
      </c>
    </row>
    <row r="236" spans="1:11">
      <c r="A236" s="2">
        <v>43905</v>
      </c>
      <c r="B236" s="4"/>
      <c r="C236" s="1" t="s">
        <v>53</v>
      </c>
      <c r="E236">
        <v>7</v>
      </c>
      <c r="I236">
        <v>1</v>
      </c>
      <c r="K236" s="1" t="s">
        <v>193</v>
      </c>
    </row>
    <row r="237" spans="1:11">
      <c r="A237" s="2">
        <v>43905</v>
      </c>
      <c r="B237" s="4"/>
      <c r="C237" s="1" t="s">
        <v>56</v>
      </c>
      <c r="E237">
        <v>40</v>
      </c>
      <c r="J237">
        <v>0</v>
      </c>
      <c r="K237" s="1" t="s">
        <v>459</v>
      </c>
    </row>
    <row r="238" spans="1:11">
      <c r="A238" s="2">
        <v>43905</v>
      </c>
      <c r="B238" s="4"/>
      <c r="C238" s="1" t="s">
        <v>58</v>
      </c>
      <c r="D238">
        <v>3698</v>
      </c>
      <c r="E238">
        <v>374</v>
      </c>
      <c r="F238">
        <v>46</v>
      </c>
      <c r="G238">
        <v>12</v>
      </c>
      <c r="H238">
        <v>8</v>
      </c>
      <c r="J238">
        <v>4</v>
      </c>
      <c r="K238" s="1" t="s">
        <v>60</v>
      </c>
    </row>
    <row r="239" spans="1:11">
      <c r="A239" s="2">
        <v>43905</v>
      </c>
      <c r="B239" s="4"/>
      <c r="C239" s="1" t="s">
        <v>61</v>
      </c>
      <c r="E239">
        <v>10</v>
      </c>
      <c r="F239">
        <v>0</v>
      </c>
      <c r="J239">
        <v>0</v>
      </c>
      <c r="K239" s="1" t="s">
        <v>446</v>
      </c>
    </row>
    <row r="240" spans="1:11">
      <c r="A240" s="2">
        <v>43905</v>
      </c>
      <c r="B240" s="4"/>
      <c r="C240" s="1" t="s">
        <v>66</v>
      </c>
      <c r="E240">
        <v>19</v>
      </c>
      <c r="F240">
        <v>9</v>
      </c>
      <c r="G240">
        <v>0</v>
      </c>
      <c r="J240">
        <v>0</v>
      </c>
      <c r="K240" s="1" t="s">
        <v>483</v>
      </c>
    </row>
    <row r="241" spans="1:11">
      <c r="A241" s="2">
        <v>43905</v>
      </c>
      <c r="B241" s="4"/>
      <c r="C241" s="1" t="s">
        <v>71</v>
      </c>
      <c r="E241">
        <v>74</v>
      </c>
      <c r="F241">
        <v>9</v>
      </c>
      <c r="K241" s="1" t="s">
        <v>434</v>
      </c>
    </row>
    <row r="242" spans="1:11">
      <c r="A242" s="2">
        <v>43905</v>
      </c>
      <c r="B242" s="4"/>
      <c r="C242" s="1" t="s">
        <v>73</v>
      </c>
      <c r="E242">
        <v>8</v>
      </c>
      <c r="F242">
        <v>6</v>
      </c>
      <c r="K242" s="1" t="s">
        <v>409</v>
      </c>
    </row>
    <row r="243" spans="1:11">
      <c r="A243" s="2">
        <v>43905</v>
      </c>
      <c r="B243" s="4"/>
      <c r="C243" s="1" t="s">
        <v>81</v>
      </c>
      <c r="E243">
        <v>1</v>
      </c>
      <c r="J243">
        <v>0</v>
      </c>
      <c r="K243" s="1" t="s">
        <v>460</v>
      </c>
    </row>
    <row r="244" spans="1:11">
      <c r="A244" s="2">
        <v>43905</v>
      </c>
      <c r="B244" s="4"/>
      <c r="C244" s="1" t="s">
        <v>86</v>
      </c>
      <c r="E244">
        <v>13</v>
      </c>
      <c r="K244" s="1" t="s">
        <v>194</v>
      </c>
    </row>
    <row r="245" spans="1:11">
      <c r="A245" s="2">
        <v>43905</v>
      </c>
      <c r="B245" s="4"/>
      <c r="C245" s="1" t="s">
        <v>91</v>
      </c>
      <c r="E245">
        <v>291</v>
      </c>
      <c r="J245">
        <v>6</v>
      </c>
      <c r="K245" s="1" t="s">
        <v>195</v>
      </c>
    </row>
    <row r="246" spans="1:11">
      <c r="A246" s="2">
        <v>43905</v>
      </c>
      <c r="B246" s="4"/>
      <c r="C246" s="1" t="s">
        <v>97</v>
      </c>
      <c r="E246">
        <v>560</v>
      </c>
      <c r="F246">
        <v>90</v>
      </c>
      <c r="G246">
        <v>10</v>
      </c>
      <c r="J246">
        <v>5</v>
      </c>
      <c r="K246" s="1" t="s">
        <v>99</v>
      </c>
    </row>
    <row r="247" spans="1:11">
      <c r="A247" s="2">
        <v>43905</v>
      </c>
      <c r="B247" s="4"/>
      <c r="C247" s="1" t="s">
        <v>100</v>
      </c>
      <c r="E247">
        <v>115</v>
      </c>
      <c r="F247">
        <v>35</v>
      </c>
      <c r="G247">
        <v>1</v>
      </c>
      <c r="H247">
        <v>1</v>
      </c>
      <c r="J247">
        <v>2</v>
      </c>
      <c r="K247" s="1" t="s">
        <v>484</v>
      </c>
    </row>
    <row r="248" spans="1:11">
      <c r="A248" s="2">
        <v>43905</v>
      </c>
      <c r="B248" s="4">
        <v>0.33333333333333331</v>
      </c>
      <c r="C248" s="1" t="s">
        <v>102</v>
      </c>
      <c r="E248">
        <v>13</v>
      </c>
      <c r="F248">
        <v>0</v>
      </c>
      <c r="G248">
        <v>0</v>
      </c>
      <c r="I248">
        <v>0</v>
      </c>
      <c r="J248">
        <v>0</v>
      </c>
      <c r="K248" s="1" t="s">
        <v>440</v>
      </c>
    </row>
    <row r="249" spans="1:11">
      <c r="A249" s="2">
        <v>43905</v>
      </c>
      <c r="B249" s="4">
        <v>0.60416666666666663</v>
      </c>
      <c r="C249" s="1" t="s">
        <v>104</v>
      </c>
      <c r="E249">
        <v>251</v>
      </c>
      <c r="J249">
        <v>1</v>
      </c>
      <c r="K249" s="1" t="s">
        <v>106</v>
      </c>
    </row>
    <row r="250" spans="1:11">
      <c r="A250" s="2">
        <v>43906</v>
      </c>
      <c r="B250" s="4"/>
      <c r="C250" s="1" t="s">
        <v>38</v>
      </c>
      <c r="E250">
        <v>4</v>
      </c>
      <c r="K250" s="1" t="s">
        <v>197</v>
      </c>
    </row>
    <row r="251" spans="1:11">
      <c r="A251" s="2">
        <v>43906</v>
      </c>
      <c r="B251" s="4"/>
      <c r="C251" s="1" t="s">
        <v>44</v>
      </c>
      <c r="E251">
        <v>123</v>
      </c>
      <c r="J251">
        <v>1</v>
      </c>
      <c r="K251" s="1" t="s">
        <v>46</v>
      </c>
    </row>
    <row r="252" spans="1:11">
      <c r="A252" s="2">
        <v>43906</v>
      </c>
      <c r="B252" s="4"/>
      <c r="C252" s="1" t="s">
        <v>47</v>
      </c>
      <c r="E252">
        <v>76</v>
      </c>
      <c r="F252">
        <v>17</v>
      </c>
      <c r="G252">
        <v>4</v>
      </c>
      <c r="I252">
        <v>5</v>
      </c>
      <c r="J252">
        <v>2</v>
      </c>
      <c r="K252" s="1" t="s">
        <v>198</v>
      </c>
    </row>
    <row r="253" spans="1:11">
      <c r="A253" s="2">
        <v>43906</v>
      </c>
      <c r="B253" s="4"/>
      <c r="C253" s="1" t="s">
        <v>56</v>
      </c>
      <c r="E253">
        <v>45</v>
      </c>
      <c r="J253">
        <v>0</v>
      </c>
      <c r="K253" s="1" t="s">
        <v>459</v>
      </c>
    </row>
    <row r="254" spans="1:11">
      <c r="A254" s="2">
        <v>43906</v>
      </c>
      <c r="B254" s="4"/>
      <c r="C254" s="1" t="s">
        <v>58</v>
      </c>
      <c r="D254">
        <v>4147</v>
      </c>
      <c r="E254">
        <v>460</v>
      </c>
      <c r="F254">
        <v>66</v>
      </c>
      <c r="G254">
        <v>10</v>
      </c>
      <c r="H254">
        <v>9</v>
      </c>
      <c r="J254">
        <v>4</v>
      </c>
      <c r="K254" s="1" t="s">
        <v>60</v>
      </c>
    </row>
    <row r="255" spans="1:11">
      <c r="A255" s="2">
        <v>43906</v>
      </c>
      <c r="B255" s="4"/>
      <c r="C255" s="1" t="s">
        <v>61</v>
      </c>
      <c r="E255">
        <v>10</v>
      </c>
      <c r="F255">
        <v>0</v>
      </c>
      <c r="J255">
        <v>0</v>
      </c>
      <c r="K255" s="1" t="s">
        <v>446</v>
      </c>
    </row>
    <row r="256" spans="1:11">
      <c r="A256" s="2">
        <v>43906</v>
      </c>
      <c r="B256" s="4"/>
      <c r="C256" s="1" t="s">
        <v>66</v>
      </c>
      <c r="E256">
        <v>25</v>
      </c>
      <c r="F256">
        <v>9</v>
      </c>
      <c r="G256">
        <v>0</v>
      </c>
      <c r="J256">
        <v>0</v>
      </c>
      <c r="K256" s="1" t="s">
        <v>483</v>
      </c>
    </row>
    <row r="257" spans="1:11">
      <c r="A257" s="2">
        <v>43906</v>
      </c>
      <c r="B257" s="4"/>
      <c r="C257" s="1" t="s">
        <v>71</v>
      </c>
      <c r="E257">
        <v>93</v>
      </c>
      <c r="F257">
        <v>13</v>
      </c>
      <c r="K257" s="1" t="s">
        <v>434</v>
      </c>
    </row>
    <row r="258" spans="1:11">
      <c r="A258" s="2">
        <v>43906</v>
      </c>
      <c r="B258" s="4"/>
      <c r="C258" s="1" t="s">
        <v>73</v>
      </c>
      <c r="E258">
        <v>10</v>
      </c>
      <c r="F258">
        <v>7</v>
      </c>
      <c r="K258" s="1" t="s">
        <v>409</v>
      </c>
    </row>
    <row r="259" spans="1:11">
      <c r="A259" s="2">
        <v>43906</v>
      </c>
      <c r="B259" s="4"/>
      <c r="C259" s="1" t="s">
        <v>81</v>
      </c>
      <c r="E259">
        <v>2</v>
      </c>
      <c r="J259">
        <v>0</v>
      </c>
      <c r="K259" s="1" t="s">
        <v>460</v>
      </c>
    </row>
    <row r="260" spans="1:11">
      <c r="A260" s="2">
        <v>43906</v>
      </c>
      <c r="B260" s="4"/>
      <c r="C260" s="1" t="s">
        <v>88</v>
      </c>
      <c r="D260">
        <v>246</v>
      </c>
      <c r="E260">
        <v>17</v>
      </c>
      <c r="K260" s="1" t="s">
        <v>36</v>
      </c>
    </row>
    <row r="261" spans="1:11">
      <c r="A261" s="2">
        <v>43906</v>
      </c>
      <c r="B261" s="4"/>
      <c r="C261" s="1" t="s">
        <v>91</v>
      </c>
      <c r="E261">
        <v>330</v>
      </c>
      <c r="J261">
        <v>8</v>
      </c>
      <c r="K261" s="1" t="s">
        <v>200</v>
      </c>
    </row>
    <row r="262" spans="1:11">
      <c r="A262" s="2">
        <v>43906</v>
      </c>
      <c r="B262" s="4"/>
      <c r="C262" s="1" t="s">
        <v>97</v>
      </c>
      <c r="E262">
        <v>797</v>
      </c>
      <c r="F262">
        <v>126</v>
      </c>
      <c r="G262">
        <v>20</v>
      </c>
      <c r="J262">
        <v>7</v>
      </c>
      <c r="K262" s="1" t="s">
        <v>99</v>
      </c>
    </row>
    <row r="263" spans="1:11">
      <c r="A263" s="2">
        <v>43906</v>
      </c>
      <c r="B263" s="4"/>
      <c r="C263" s="1" t="s">
        <v>100</v>
      </c>
      <c r="E263">
        <v>172</v>
      </c>
      <c r="F263">
        <v>41</v>
      </c>
      <c r="G263">
        <v>2</v>
      </c>
      <c r="H263">
        <v>1</v>
      </c>
      <c r="J263">
        <v>3</v>
      </c>
      <c r="K263" s="1" t="s">
        <v>484</v>
      </c>
    </row>
    <row r="264" spans="1:11">
      <c r="A264" s="2">
        <v>43906</v>
      </c>
      <c r="B264" s="4">
        <v>0.33333333333333331</v>
      </c>
      <c r="C264" s="1" t="s">
        <v>102</v>
      </c>
      <c r="E264">
        <v>20</v>
      </c>
      <c r="F264">
        <v>0</v>
      </c>
      <c r="G264">
        <v>0</v>
      </c>
      <c r="I264">
        <v>0</v>
      </c>
      <c r="J264">
        <v>0</v>
      </c>
      <c r="K264" s="1" t="s">
        <v>440</v>
      </c>
    </row>
    <row r="265" spans="1:11">
      <c r="A265" s="2">
        <v>43906</v>
      </c>
      <c r="B265" s="4">
        <v>0.5</v>
      </c>
      <c r="C265" s="1" t="s">
        <v>50</v>
      </c>
      <c r="E265">
        <v>143</v>
      </c>
      <c r="F265">
        <v>13</v>
      </c>
      <c r="I265">
        <v>4</v>
      </c>
      <c r="J265">
        <v>4</v>
      </c>
      <c r="K265" s="1" t="s">
        <v>199</v>
      </c>
    </row>
    <row r="266" spans="1:11">
      <c r="A266" s="2">
        <v>43906</v>
      </c>
      <c r="B266" s="4">
        <v>0.60416666666666663</v>
      </c>
      <c r="C266" s="1" t="s">
        <v>104</v>
      </c>
      <c r="E266">
        <v>327</v>
      </c>
      <c r="J266">
        <v>1</v>
      </c>
      <c r="K266" s="1" t="s">
        <v>106</v>
      </c>
    </row>
    <row r="267" spans="1:11">
      <c r="A267" s="2">
        <v>43906</v>
      </c>
      <c r="B267" s="4">
        <v>0.625</v>
      </c>
      <c r="C267" s="1" t="s">
        <v>34</v>
      </c>
      <c r="E267">
        <v>52</v>
      </c>
      <c r="F267">
        <v>2</v>
      </c>
      <c r="I267">
        <v>4</v>
      </c>
      <c r="K267" s="1" t="s">
        <v>196</v>
      </c>
    </row>
    <row r="268" spans="1:11">
      <c r="A268" s="2">
        <v>43907</v>
      </c>
      <c r="B268" s="4"/>
      <c r="C268" s="1" t="s">
        <v>38</v>
      </c>
      <c r="E268">
        <v>5</v>
      </c>
      <c r="K268" s="1" t="s">
        <v>197</v>
      </c>
    </row>
    <row r="269" spans="1:11">
      <c r="A269" s="2">
        <v>43907</v>
      </c>
      <c r="B269" s="4"/>
      <c r="C269" s="1" t="s">
        <v>47</v>
      </c>
      <c r="E269">
        <v>89</v>
      </c>
      <c r="F269">
        <v>26</v>
      </c>
      <c r="G269">
        <v>5</v>
      </c>
      <c r="I269">
        <v>13</v>
      </c>
      <c r="J269">
        <v>2</v>
      </c>
      <c r="K269" s="1" t="s">
        <v>202</v>
      </c>
    </row>
    <row r="270" spans="1:11">
      <c r="A270" s="2">
        <v>43907</v>
      </c>
      <c r="B270" s="4"/>
      <c r="C270" s="1" t="s">
        <v>53</v>
      </c>
      <c r="E270">
        <v>19</v>
      </c>
      <c r="I270">
        <v>1</v>
      </c>
      <c r="K270" s="1" t="s">
        <v>204</v>
      </c>
    </row>
    <row r="271" spans="1:11">
      <c r="A271" s="2">
        <v>43907</v>
      </c>
      <c r="B271" s="4"/>
      <c r="C271" s="1" t="s">
        <v>56</v>
      </c>
      <c r="E271">
        <v>59</v>
      </c>
      <c r="J271">
        <v>0</v>
      </c>
      <c r="K271" s="1" t="s">
        <v>459</v>
      </c>
    </row>
    <row r="272" spans="1:11">
      <c r="A272" s="2">
        <v>43907</v>
      </c>
      <c r="B272" s="4"/>
      <c r="C272" s="1" t="s">
        <v>58</v>
      </c>
      <c r="D272">
        <v>4750</v>
      </c>
      <c r="E272">
        <v>587</v>
      </c>
      <c r="F272">
        <v>75</v>
      </c>
      <c r="G272">
        <v>19</v>
      </c>
      <c r="H272">
        <v>17</v>
      </c>
      <c r="J272">
        <v>5</v>
      </c>
      <c r="K272" s="1" t="s">
        <v>60</v>
      </c>
    </row>
    <row r="273" spans="1:11">
      <c r="A273" s="2">
        <v>43907</v>
      </c>
      <c r="B273" s="4"/>
      <c r="C273" s="1" t="s">
        <v>61</v>
      </c>
      <c r="E273">
        <v>12</v>
      </c>
      <c r="F273">
        <v>0</v>
      </c>
      <c r="J273">
        <v>0</v>
      </c>
      <c r="K273" s="1" t="s">
        <v>446</v>
      </c>
    </row>
    <row r="274" spans="1:11">
      <c r="A274" s="2">
        <v>43907</v>
      </c>
      <c r="B274" s="4"/>
      <c r="C274" s="1" t="s">
        <v>63</v>
      </c>
      <c r="E274">
        <v>101</v>
      </c>
      <c r="F274">
        <v>9</v>
      </c>
      <c r="J274">
        <v>1</v>
      </c>
      <c r="K274" s="1" t="s">
        <v>65</v>
      </c>
    </row>
    <row r="275" spans="1:11">
      <c r="A275" s="2">
        <v>43907</v>
      </c>
      <c r="B275" s="4"/>
      <c r="C275" s="1" t="s">
        <v>66</v>
      </c>
      <c r="E275">
        <v>29</v>
      </c>
      <c r="F275">
        <v>11</v>
      </c>
      <c r="G275">
        <v>0</v>
      </c>
      <c r="J275">
        <v>0</v>
      </c>
      <c r="K275" s="1" t="s">
        <v>483</v>
      </c>
    </row>
    <row r="276" spans="1:11">
      <c r="A276" s="2">
        <v>43907</v>
      </c>
      <c r="B276" s="4"/>
      <c r="C276" s="1" t="s">
        <v>71</v>
      </c>
      <c r="E276">
        <v>114</v>
      </c>
      <c r="F276">
        <v>16</v>
      </c>
      <c r="J276">
        <v>1</v>
      </c>
      <c r="K276" s="1" t="s">
        <v>434</v>
      </c>
    </row>
    <row r="277" spans="1:11">
      <c r="A277" s="2">
        <v>43907</v>
      </c>
      <c r="B277" s="4"/>
      <c r="C277" s="1" t="s">
        <v>73</v>
      </c>
      <c r="E277">
        <v>12</v>
      </c>
      <c r="F277">
        <v>6</v>
      </c>
      <c r="K277" s="1" t="s">
        <v>409</v>
      </c>
    </row>
    <row r="278" spans="1:11">
      <c r="A278" s="2">
        <v>43907</v>
      </c>
      <c r="B278" s="4"/>
      <c r="C278" s="1" t="s">
        <v>78</v>
      </c>
      <c r="E278">
        <v>47</v>
      </c>
      <c r="K278" s="1" t="s">
        <v>80</v>
      </c>
    </row>
    <row r="279" spans="1:11">
      <c r="A279" s="2">
        <v>43907</v>
      </c>
      <c r="B279" s="4"/>
      <c r="C279" s="1" t="s">
        <v>81</v>
      </c>
      <c r="E279">
        <v>2</v>
      </c>
      <c r="J279">
        <v>0</v>
      </c>
      <c r="K279" s="1" t="s">
        <v>460</v>
      </c>
    </row>
    <row r="280" spans="1:11">
      <c r="A280" s="2">
        <v>43907</v>
      </c>
      <c r="B280" s="4"/>
      <c r="C280" s="1" t="s">
        <v>88</v>
      </c>
      <c r="D280">
        <v>276</v>
      </c>
      <c r="E280">
        <v>23</v>
      </c>
      <c r="K280" s="1" t="s">
        <v>36</v>
      </c>
    </row>
    <row r="281" spans="1:11">
      <c r="A281" s="2">
        <v>43907</v>
      </c>
      <c r="B281" s="4"/>
      <c r="C281" s="1" t="s">
        <v>91</v>
      </c>
      <c r="E281">
        <v>422</v>
      </c>
      <c r="J281">
        <v>10</v>
      </c>
      <c r="K281" s="1" t="s">
        <v>205</v>
      </c>
    </row>
    <row r="282" spans="1:11">
      <c r="A282" s="2">
        <v>43907</v>
      </c>
      <c r="B282" s="4"/>
      <c r="C282" s="1" t="s">
        <v>97</v>
      </c>
      <c r="E282">
        <v>1040</v>
      </c>
      <c r="F282">
        <v>140</v>
      </c>
      <c r="G282">
        <v>24</v>
      </c>
      <c r="J282">
        <v>9</v>
      </c>
      <c r="K282" s="1" t="s">
        <v>99</v>
      </c>
    </row>
    <row r="283" spans="1:11">
      <c r="A283" s="2">
        <v>43907</v>
      </c>
      <c r="B283" s="4"/>
      <c r="C283" s="1" t="s">
        <v>100</v>
      </c>
      <c r="E283">
        <v>225</v>
      </c>
      <c r="F283">
        <v>46</v>
      </c>
      <c r="G283">
        <v>2</v>
      </c>
      <c r="H283">
        <v>2</v>
      </c>
      <c r="J283">
        <v>3</v>
      </c>
      <c r="K283" s="1" t="s">
        <v>484</v>
      </c>
    </row>
    <row r="284" spans="1:11">
      <c r="A284" s="2">
        <v>43907</v>
      </c>
      <c r="B284" s="4">
        <v>0.33333333333333331</v>
      </c>
      <c r="C284" s="1" t="s">
        <v>102</v>
      </c>
      <c r="E284">
        <v>29</v>
      </c>
      <c r="F284">
        <v>0</v>
      </c>
      <c r="G284">
        <v>0</v>
      </c>
      <c r="I284">
        <v>1</v>
      </c>
      <c r="J284">
        <v>0</v>
      </c>
      <c r="K284" s="1" t="s">
        <v>440</v>
      </c>
    </row>
    <row r="285" spans="1:11">
      <c r="A285" s="2">
        <v>43907</v>
      </c>
      <c r="B285" s="4">
        <v>0.5</v>
      </c>
      <c r="C285" s="1" t="s">
        <v>50</v>
      </c>
      <c r="E285">
        <v>164</v>
      </c>
      <c r="F285">
        <v>30</v>
      </c>
      <c r="I285">
        <v>25</v>
      </c>
      <c r="J285">
        <v>4</v>
      </c>
      <c r="K285" s="1" t="s">
        <v>203</v>
      </c>
    </row>
    <row r="286" spans="1:11">
      <c r="A286" s="2">
        <v>43907</v>
      </c>
      <c r="B286" s="4">
        <v>0.60416666666666663</v>
      </c>
      <c r="C286" s="1" t="s">
        <v>104</v>
      </c>
      <c r="E286">
        <v>430</v>
      </c>
      <c r="J286">
        <v>1</v>
      </c>
      <c r="K286" s="1" t="s">
        <v>106</v>
      </c>
    </row>
    <row r="287" spans="1:11">
      <c r="A287" s="2">
        <v>43907</v>
      </c>
      <c r="B287" s="4">
        <v>0.66666666666666663</v>
      </c>
      <c r="C287" s="1" t="s">
        <v>34</v>
      </c>
      <c r="E287">
        <v>67</v>
      </c>
      <c r="F287">
        <v>2</v>
      </c>
      <c r="I287">
        <v>4</v>
      </c>
      <c r="K287" s="1" t="s">
        <v>201</v>
      </c>
    </row>
    <row r="288" spans="1:11">
      <c r="A288" s="2">
        <v>43908</v>
      </c>
      <c r="B288" s="4"/>
      <c r="C288" s="1" t="s">
        <v>41</v>
      </c>
      <c r="E288">
        <v>11</v>
      </c>
      <c r="F288">
        <v>3</v>
      </c>
      <c r="K288" s="1" t="s">
        <v>207</v>
      </c>
    </row>
    <row r="289" spans="1:11">
      <c r="A289" s="2">
        <v>43908</v>
      </c>
      <c r="B289" s="4"/>
      <c r="C289" s="1" t="s">
        <v>44</v>
      </c>
      <c r="E289">
        <v>193</v>
      </c>
      <c r="J289">
        <v>1</v>
      </c>
      <c r="K289" s="1" t="s">
        <v>46</v>
      </c>
    </row>
    <row r="290" spans="1:11">
      <c r="A290" s="2">
        <v>43908</v>
      </c>
      <c r="B290" s="4"/>
      <c r="C290" s="1" t="s">
        <v>47</v>
      </c>
      <c r="E290">
        <v>116</v>
      </c>
      <c r="F290">
        <v>27</v>
      </c>
      <c r="G290">
        <v>2</v>
      </c>
      <c r="I290">
        <v>16</v>
      </c>
      <c r="J290">
        <v>2</v>
      </c>
      <c r="K290" s="1" t="s">
        <v>208</v>
      </c>
    </row>
    <row r="291" spans="1:11">
      <c r="A291" s="2">
        <v>43908</v>
      </c>
      <c r="B291" s="4"/>
      <c r="C291" s="1" t="s">
        <v>53</v>
      </c>
      <c r="E291">
        <v>28</v>
      </c>
      <c r="I291">
        <v>1</v>
      </c>
      <c r="K291" s="1" t="s">
        <v>210</v>
      </c>
    </row>
    <row r="292" spans="1:11">
      <c r="A292" s="2">
        <v>43908</v>
      </c>
      <c r="B292" s="4"/>
      <c r="C292" s="1" t="s">
        <v>56</v>
      </c>
      <c r="E292">
        <v>86</v>
      </c>
      <c r="F292">
        <v>11</v>
      </c>
      <c r="G292">
        <v>5</v>
      </c>
      <c r="J292">
        <v>0</v>
      </c>
      <c r="K292" s="1" t="s">
        <v>459</v>
      </c>
    </row>
    <row r="293" spans="1:11">
      <c r="A293" s="2">
        <v>43908</v>
      </c>
      <c r="B293" s="4"/>
      <c r="C293" s="1" t="s">
        <v>58</v>
      </c>
      <c r="D293">
        <v>5573</v>
      </c>
      <c r="E293">
        <v>775</v>
      </c>
      <c r="F293">
        <v>78</v>
      </c>
      <c r="G293">
        <v>20</v>
      </c>
      <c r="H293">
        <v>17</v>
      </c>
      <c r="J293">
        <v>6</v>
      </c>
      <c r="K293" s="1" t="s">
        <v>60</v>
      </c>
    </row>
    <row r="294" spans="1:11">
      <c r="A294" s="2">
        <v>43908</v>
      </c>
      <c r="B294" s="4"/>
      <c r="C294" s="1" t="s">
        <v>61</v>
      </c>
      <c r="E294">
        <v>14</v>
      </c>
      <c r="F294">
        <v>0</v>
      </c>
      <c r="J294">
        <v>0</v>
      </c>
      <c r="K294" s="1" t="s">
        <v>446</v>
      </c>
    </row>
    <row r="295" spans="1:11">
      <c r="A295" s="2">
        <v>43908</v>
      </c>
      <c r="B295" s="4"/>
      <c r="C295" s="1" t="s">
        <v>63</v>
      </c>
      <c r="E295">
        <v>128</v>
      </c>
      <c r="F295">
        <v>13</v>
      </c>
      <c r="J295">
        <v>1</v>
      </c>
      <c r="K295" s="1" t="s">
        <v>65</v>
      </c>
    </row>
    <row r="296" spans="1:11">
      <c r="A296" s="2">
        <v>43908</v>
      </c>
      <c r="B296" s="4"/>
      <c r="C296" s="1" t="s">
        <v>66</v>
      </c>
      <c r="E296">
        <v>32</v>
      </c>
      <c r="F296">
        <v>11</v>
      </c>
      <c r="G296">
        <v>0</v>
      </c>
      <c r="J296">
        <v>0</v>
      </c>
      <c r="K296" s="1" t="s">
        <v>483</v>
      </c>
    </row>
    <row r="297" spans="1:11">
      <c r="A297" s="2">
        <v>43908</v>
      </c>
      <c r="B297" s="4"/>
      <c r="C297" s="1" t="s">
        <v>71</v>
      </c>
      <c r="E297">
        <v>146</v>
      </c>
      <c r="F297">
        <v>18</v>
      </c>
      <c r="J297">
        <v>2</v>
      </c>
      <c r="K297" s="1" t="s">
        <v>434</v>
      </c>
    </row>
    <row r="298" spans="1:11">
      <c r="A298" s="2">
        <v>43908</v>
      </c>
      <c r="B298" s="4"/>
      <c r="C298" s="1" t="s">
        <v>73</v>
      </c>
      <c r="E298">
        <v>18</v>
      </c>
      <c r="F298">
        <v>6</v>
      </c>
      <c r="K298" s="1" t="s">
        <v>409</v>
      </c>
    </row>
    <row r="299" spans="1:11">
      <c r="A299" s="2">
        <v>43908</v>
      </c>
      <c r="B299" s="4"/>
      <c r="C299" s="1" t="s">
        <v>78</v>
      </c>
      <c r="E299">
        <v>61</v>
      </c>
      <c r="K299" s="1" t="s">
        <v>80</v>
      </c>
    </row>
    <row r="300" spans="1:11">
      <c r="A300" s="2">
        <v>43908</v>
      </c>
      <c r="B300" s="4"/>
      <c r="C300" s="1" t="s">
        <v>81</v>
      </c>
      <c r="E300">
        <v>8</v>
      </c>
      <c r="J300">
        <v>0</v>
      </c>
      <c r="K300" s="1" t="s">
        <v>460</v>
      </c>
    </row>
    <row r="301" spans="1:11">
      <c r="A301" s="2">
        <v>43908</v>
      </c>
      <c r="B301" s="4"/>
      <c r="C301" s="1" t="s">
        <v>83</v>
      </c>
      <c r="E301">
        <v>43</v>
      </c>
      <c r="K301" s="1" t="s">
        <v>212</v>
      </c>
    </row>
    <row r="302" spans="1:11">
      <c r="A302" s="2">
        <v>43908</v>
      </c>
      <c r="B302" s="4"/>
      <c r="C302" s="1" t="s">
        <v>88</v>
      </c>
      <c r="E302">
        <v>32</v>
      </c>
      <c r="K302" s="1" t="s">
        <v>90</v>
      </c>
    </row>
    <row r="303" spans="1:11">
      <c r="A303" s="2">
        <v>43908</v>
      </c>
      <c r="B303" s="4"/>
      <c r="C303" s="1" t="s">
        <v>91</v>
      </c>
      <c r="E303">
        <v>511</v>
      </c>
      <c r="J303">
        <v>14</v>
      </c>
      <c r="K303" s="1" t="s">
        <v>213</v>
      </c>
    </row>
    <row r="304" spans="1:11">
      <c r="A304" s="2">
        <v>43908</v>
      </c>
      <c r="B304" s="4"/>
      <c r="C304" s="1" t="s">
        <v>94</v>
      </c>
      <c r="D304">
        <v>85</v>
      </c>
      <c r="E304">
        <v>5</v>
      </c>
      <c r="K304" s="1" t="s">
        <v>214</v>
      </c>
    </row>
    <row r="305" spans="1:11">
      <c r="A305" s="2">
        <v>43908</v>
      </c>
      <c r="B305" s="4"/>
      <c r="C305" s="1" t="s">
        <v>97</v>
      </c>
      <c r="E305">
        <v>1305</v>
      </c>
      <c r="F305">
        <v>153</v>
      </c>
      <c r="G305">
        <v>24</v>
      </c>
      <c r="J305">
        <v>12</v>
      </c>
      <c r="K305" s="1" t="s">
        <v>99</v>
      </c>
    </row>
    <row r="306" spans="1:11">
      <c r="A306" s="2">
        <v>43908</v>
      </c>
      <c r="B306" s="4"/>
      <c r="C306" s="1" t="s">
        <v>100</v>
      </c>
      <c r="E306">
        <v>312</v>
      </c>
      <c r="F306">
        <v>58</v>
      </c>
      <c r="G306">
        <v>2</v>
      </c>
      <c r="H306">
        <v>2</v>
      </c>
      <c r="J306">
        <v>4</v>
      </c>
      <c r="K306" s="1" t="s">
        <v>484</v>
      </c>
    </row>
    <row r="307" spans="1:11">
      <c r="A307" s="2">
        <v>43908</v>
      </c>
      <c r="B307" s="4">
        <v>0.33333333333333331</v>
      </c>
      <c r="C307" s="1" t="s">
        <v>102</v>
      </c>
      <c r="E307">
        <v>33</v>
      </c>
      <c r="F307">
        <v>0</v>
      </c>
      <c r="G307">
        <v>0</v>
      </c>
      <c r="I307">
        <v>5</v>
      </c>
      <c r="J307">
        <v>0</v>
      </c>
      <c r="K307" s="1" t="s">
        <v>440</v>
      </c>
    </row>
    <row r="308" spans="1:11">
      <c r="A308" s="2">
        <v>43908</v>
      </c>
      <c r="B308" s="4">
        <v>0.46875</v>
      </c>
      <c r="C308" s="1" t="s">
        <v>50</v>
      </c>
      <c r="E308">
        <v>181</v>
      </c>
      <c r="F308">
        <v>40</v>
      </c>
      <c r="I308">
        <v>36</v>
      </c>
      <c r="J308">
        <v>4</v>
      </c>
      <c r="K308" s="1" t="s">
        <v>209</v>
      </c>
    </row>
    <row r="309" spans="1:11">
      <c r="A309" s="2">
        <v>43908</v>
      </c>
      <c r="B309" s="4">
        <v>0.60416666666666663</v>
      </c>
      <c r="C309" s="1" t="s">
        <v>104</v>
      </c>
      <c r="E309">
        <v>569</v>
      </c>
      <c r="J309">
        <v>2</v>
      </c>
      <c r="K309" s="1" t="s">
        <v>106</v>
      </c>
    </row>
    <row r="310" spans="1:11">
      <c r="A310" s="2">
        <v>43908</v>
      </c>
      <c r="B310" s="4">
        <v>0.66666666666666663</v>
      </c>
      <c r="C310" s="1" t="s">
        <v>34</v>
      </c>
      <c r="E310">
        <v>101</v>
      </c>
      <c r="F310">
        <v>6</v>
      </c>
      <c r="I310">
        <v>4</v>
      </c>
      <c r="K310" s="1" t="s">
        <v>206</v>
      </c>
    </row>
    <row r="311" spans="1:11">
      <c r="A311" s="2">
        <v>43908</v>
      </c>
      <c r="B311" s="4">
        <v>0.66666666666666663</v>
      </c>
      <c r="C311" s="1" t="s">
        <v>68</v>
      </c>
      <c r="E311">
        <v>65</v>
      </c>
      <c r="K311" s="1" t="s">
        <v>211</v>
      </c>
    </row>
    <row r="312" spans="1:11">
      <c r="A312" s="2">
        <v>43909</v>
      </c>
      <c r="B312" s="4"/>
      <c r="C312" s="1" t="s">
        <v>38</v>
      </c>
      <c r="E312">
        <v>6</v>
      </c>
      <c r="F312">
        <v>1</v>
      </c>
      <c r="K312" s="1" t="s">
        <v>197</v>
      </c>
    </row>
    <row r="313" spans="1:11">
      <c r="A313" s="2">
        <v>43909</v>
      </c>
      <c r="B313" s="4"/>
      <c r="C313" s="1" t="s">
        <v>44</v>
      </c>
      <c r="E313">
        <v>282</v>
      </c>
      <c r="J313">
        <v>1</v>
      </c>
      <c r="K313" s="1" t="s">
        <v>46</v>
      </c>
    </row>
    <row r="314" spans="1:11">
      <c r="A314" s="2">
        <v>43909</v>
      </c>
      <c r="B314" s="4"/>
      <c r="C314" s="1" t="s">
        <v>47</v>
      </c>
      <c r="E314">
        <v>134</v>
      </c>
      <c r="F314">
        <v>19</v>
      </c>
      <c r="G314">
        <v>2</v>
      </c>
      <c r="I314">
        <v>16</v>
      </c>
      <c r="J314">
        <v>2</v>
      </c>
      <c r="K314" s="1" t="s">
        <v>216</v>
      </c>
    </row>
    <row r="315" spans="1:11">
      <c r="A315" s="2">
        <v>43909</v>
      </c>
      <c r="B315" s="4"/>
      <c r="C315" s="1" t="s">
        <v>56</v>
      </c>
      <c r="E315">
        <v>111</v>
      </c>
      <c r="F315">
        <v>12</v>
      </c>
      <c r="G315">
        <v>5</v>
      </c>
      <c r="J315">
        <v>1</v>
      </c>
      <c r="K315" s="1" t="s">
        <v>459</v>
      </c>
    </row>
    <row r="316" spans="1:11">
      <c r="A316" s="2">
        <v>43909</v>
      </c>
      <c r="B316" s="4"/>
      <c r="C316" s="1" t="s">
        <v>58</v>
      </c>
      <c r="D316">
        <v>6233</v>
      </c>
      <c r="E316">
        <v>994</v>
      </c>
      <c r="F316">
        <v>92</v>
      </c>
      <c r="G316">
        <v>19</v>
      </c>
      <c r="H316">
        <v>18</v>
      </c>
      <c r="J316">
        <v>7</v>
      </c>
      <c r="K316" s="1" t="s">
        <v>60</v>
      </c>
    </row>
    <row r="317" spans="1:11">
      <c r="A317" s="2">
        <v>43909</v>
      </c>
      <c r="B317" s="4"/>
      <c r="C317" s="1" t="s">
        <v>61</v>
      </c>
      <c r="E317">
        <v>16</v>
      </c>
      <c r="F317">
        <v>0</v>
      </c>
      <c r="J317">
        <v>0</v>
      </c>
      <c r="K317" s="1" t="s">
        <v>446</v>
      </c>
    </row>
    <row r="318" spans="1:11">
      <c r="A318" s="2">
        <v>43909</v>
      </c>
      <c r="B318" s="4"/>
      <c r="C318" s="1" t="s">
        <v>63</v>
      </c>
      <c r="E318">
        <v>182</v>
      </c>
      <c r="F318">
        <v>18</v>
      </c>
      <c r="J318">
        <v>2</v>
      </c>
      <c r="K318" s="1" t="s">
        <v>65</v>
      </c>
    </row>
    <row r="319" spans="1:11">
      <c r="A319" s="2">
        <v>43909</v>
      </c>
      <c r="B319" s="4"/>
      <c r="C319" s="1" t="s">
        <v>66</v>
      </c>
      <c r="E319">
        <v>36</v>
      </c>
      <c r="F319">
        <v>12</v>
      </c>
      <c r="G319">
        <v>0</v>
      </c>
      <c r="J319">
        <v>0</v>
      </c>
      <c r="K319" s="1" t="s">
        <v>483</v>
      </c>
    </row>
    <row r="320" spans="1:11">
      <c r="A320" s="2">
        <v>43909</v>
      </c>
      <c r="B320" s="4"/>
      <c r="C320" s="1" t="s">
        <v>71</v>
      </c>
      <c r="E320">
        <v>175</v>
      </c>
      <c r="F320">
        <v>19</v>
      </c>
      <c r="J320">
        <v>3</v>
      </c>
      <c r="K320" s="1" t="s">
        <v>434</v>
      </c>
    </row>
    <row r="321" spans="1:11">
      <c r="A321" s="2">
        <v>43909</v>
      </c>
      <c r="B321" s="4"/>
      <c r="C321" s="1" t="s">
        <v>73</v>
      </c>
      <c r="E321">
        <v>25</v>
      </c>
      <c r="F321">
        <v>5</v>
      </c>
      <c r="K321" s="1" t="s">
        <v>409</v>
      </c>
    </row>
    <row r="322" spans="1:11">
      <c r="A322" s="2">
        <v>43909</v>
      </c>
      <c r="B322" s="4"/>
      <c r="C322" s="1" t="s">
        <v>78</v>
      </c>
      <c r="E322">
        <v>85</v>
      </c>
      <c r="K322" s="1" t="s">
        <v>80</v>
      </c>
    </row>
    <row r="323" spans="1:11">
      <c r="A323" s="2">
        <v>43909</v>
      </c>
      <c r="B323" s="4"/>
      <c r="C323" s="1" t="s">
        <v>81</v>
      </c>
      <c r="E323">
        <v>12</v>
      </c>
      <c r="J323">
        <v>0</v>
      </c>
      <c r="K323" s="1" t="s">
        <v>460</v>
      </c>
    </row>
    <row r="324" spans="1:11">
      <c r="A324" s="2">
        <v>43909</v>
      </c>
      <c r="B324" s="4"/>
      <c r="C324" s="1" t="s">
        <v>88</v>
      </c>
      <c r="E324">
        <v>36</v>
      </c>
      <c r="K324" s="1" t="s">
        <v>90</v>
      </c>
    </row>
    <row r="325" spans="1:11">
      <c r="A325" s="2">
        <v>43909</v>
      </c>
      <c r="B325" s="4"/>
      <c r="C325" s="1" t="s">
        <v>91</v>
      </c>
      <c r="E325">
        <v>638</v>
      </c>
      <c r="F325">
        <v>155</v>
      </c>
      <c r="G325">
        <v>33</v>
      </c>
      <c r="J325">
        <v>15</v>
      </c>
      <c r="K325" s="1" t="s">
        <v>218</v>
      </c>
    </row>
    <row r="326" spans="1:11">
      <c r="A326" s="2">
        <v>43909</v>
      </c>
      <c r="B326" s="4"/>
      <c r="C326" s="1" t="s">
        <v>94</v>
      </c>
      <c r="E326">
        <v>7</v>
      </c>
      <c r="K326" s="1" t="s">
        <v>219</v>
      </c>
    </row>
    <row r="327" spans="1:11">
      <c r="A327" s="2">
        <v>43909</v>
      </c>
      <c r="B327" s="4"/>
      <c r="C327" s="1" t="s">
        <v>97</v>
      </c>
      <c r="E327">
        <v>1514</v>
      </c>
      <c r="F327">
        <v>170</v>
      </c>
      <c r="G327">
        <v>23</v>
      </c>
      <c r="J327">
        <v>13</v>
      </c>
      <c r="K327" s="1" t="s">
        <v>99</v>
      </c>
    </row>
    <row r="328" spans="1:11">
      <c r="A328" s="2">
        <v>43909</v>
      </c>
      <c r="B328" s="4"/>
      <c r="C328" s="1" t="s">
        <v>100</v>
      </c>
      <c r="E328">
        <v>349</v>
      </c>
      <c r="F328">
        <v>64</v>
      </c>
      <c r="G328">
        <v>5</v>
      </c>
      <c r="H328">
        <v>5</v>
      </c>
      <c r="J328">
        <v>6</v>
      </c>
      <c r="K328" s="1" t="s">
        <v>484</v>
      </c>
    </row>
    <row r="329" spans="1:11">
      <c r="A329" s="2">
        <v>43909</v>
      </c>
      <c r="B329" s="4">
        <v>0.33333333333333331</v>
      </c>
      <c r="C329" s="1" t="s">
        <v>102</v>
      </c>
      <c r="E329">
        <v>37</v>
      </c>
      <c r="F329">
        <v>1</v>
      </c>
      <c r="G329">
        <v>0</v>
      </c>
      <c r="I329">
        <v>5</v>
      </c>
      <c r="J329">
        <v>0</v>
      </c>
      <c r="K329" s="1" t="s">
        <v>440</v>
      </c>
    </row>
    <row r="330" spans="1:11">
      <c r="A330" s="2">
        <v>43909</v>
      </c>
      <c r="B330" s="4">
        <v>0.45833333333333331</v>
      </c>
      <c r="C330" s="1" t="s">
        <v>50</v>
      </c>
      <c r="E330">
        <v>220</v>
      </c>
      <c r="F330">
        <v>40</v>
      </c>
      <c r="I330">
        <v>44</v>
      </c>
      <c r="J330">
        <v>4</v>
      </c>
      <c r="K330" s="1" t="s">
        <v>217</v>
      </c>
    </row>
    <row r="331" spans="1:11">
      <c r="A331" s="2">
        <v>43909</v>
      </c>
      <c r="B331" s="4">
        <v>0.60416666666666663</v>
      </c>
      <c r="C331" s="1" t="s">
        <v>104</v>
      </c>
      <c r="E331">
        <v>680</v>
      </c>
      <c r="F331">
        <v>60</v>
      </c>
      <c r="H331">
        <v>12</v>
      </c>
      <c r="J331">
        <v>3</v>
      </c>
      <c r="K331" s="1" t="s">
        <v>106</v>
      </c>
    </row>
    <row r="332" spans="1:11">
      <c r="A332" s="2">
        <v>43909</v>
      </c>
      <c r="B332" s="4">
        <v>0.625</v>
      </c>
      <c r="C332" s="1" t="s">
        <v>34</v>
      </c>
      <c r="E332">
        <v>118</v>
      </c>
      <c r="F332">
        <v>17</v>
      </c>
      <c r="G332">
        <v>6</v>
      </c>
      <c r="H332">
        <v>3</v>
      </c>
      <c r="K332" s="1" t="s">
        <v>215</v>
      </c>
    </row>
    <row r="333" spans="1:11">
      <c r="A333" s="2">
        <v>43910</v>
      </c>
      <c r="B333" s="4"/>
      <c r="C333" s="1" t="s">
        <v>44</v>
      </c>
      <c r="E333">
        <v>377</v>
      </c>
      <c r="J333">
        <v>2</v>
      </c>
      <c r="K333" s="1" t="s">
        <v>46</v>
      </c>
    </row>
    <row r="334" spans="1:11">
      <c r="A334" s="2">
        <v>43910</v>
      </c>
      <c r="B334" s="4"/>
      <c r="C334" s="1" t="s">
        <v>47</v>
      </c>
      <c r="E334">
        <v>184</v>
      </c>
      <c r="F334">
        <v>27</v>
      </c>
      <c r="G334">
        <v>2</v>
      </c>
      <c r="I334">
        <v>18</v>
      </c>
      <c r="J334">
        <v>3</v>
      </c>
      <c r="K334" s="1" t="s">
        <v>221</v>
      </c>
    </row>
    <row r="335" spans="1:11">
      <c r="A335" s="2">
        <v>43910</v>
      </c>
      <c r="B335" s="4"/>
      <c r="C335" s="1" t="s">
        <v>53</v>
      </c>
      <c r="E335">
        <v>37</v>
      </c>
      <c r="I335">
        <v>1</v>
      </c>
      <c r="K335" s="1" t="s">
        <v>223</v>
      </c>
    </row>
    <row r="336" spans="1:11">
      <c r="A336" s="2">
        <v>43910</v>
      </c>
      <c r="B336" s="4"/>
      <c r="C336" s="1" t="s">
        <v>56</v>
      </c>
      <c r="E336">
        <v>145</v>
      </c>
      <c r="F336">
        <v>20</v>
      </c>
      <c r="G336">
        <v>6</v>
      </c>
      <c r="J336">
        <v>1</v>
      </c>
      <c r="K336" s="1" t="s">
        <v>459</v>
      </c>
    </row>
    <row r="337" spans="1:11">
      <c r="A337" s="2">
        <v>43910</v>
      </c>
      <c r="B337" s="4"/>
      <c r="C337" s="1" t="s">
        <v>58</v>
      </c>
      <c r="D337">
        <v>6647</v>
      </c>
      <c r="E337">
        <v>1119</v>
      </c>
      <c r="F337">
        <v>109</v>
      </c>
      <c r="G337">
        <v>22</v>
      </c>
      <c r="H337">
        <v>21</v>
      </c>
      <c r="J337">
        <v>9</v>
      </c>
      <c r="K337" s="1" t="s">
        <v>60</v>
      </c>
    </row>
    <row r="338" spans="1:11">
      <c r="A338" s="2">
        <v>43910</v>
      </c>
      <c r="B338" s="4"/>
      <c r="C338" s="1" t="s">
        <v>61</v>
      </c>
      <c r="E338">
        <v>20</v>
      </c>
      <c r="F338">
        <v>0</v>
      </c>
      <c r="J338">
        <v>0</v>
      </c>
      <c r="K338" s="1" t="s">
        <v>446</v>
      </c>
    </row>
    <row r="339" spans="1:11">
      <c r="A339" s="2">
        <v>43910</v>
      </c>
      <c r="B339" s="4"/>
      <c r="C339" s="1" t="s">
        <v>63</v>
      </c>
      <c r="E339">
        <v>226</v>
      </c>
      <c r="F339">
        <v>24</v>
      </c>
      <c r="J339">
        <v>3</v>
      </c>
      <c r="K339" s="1" t="s">
        <v>65</v>
      </c>
    </row>
    <row r="340" spans="1:11">
      <c r="A340" s="2">
        <v>43910</v>
      </c>
      <c r="B340" s="4"/>
      <c r="C340" s="1" t="s">
        <v>66</v>
      </c>
      <c r="E340">
        <v>44</v>
      </c>
      <c r="F340">
        <v>14</v>
      </c>
      <c r="G340">
        <v>1</v>
      </c>
      <c r="J340">
        <v>0</v>
      </c>
      <c r="K340" s="1" t="s">
        <v>483</v>
      </c>
    </row>
    <row r="341" spans="1:11">
      <c r="A341" s="2">
        <v>43910</v>
      </c>
      <c r="B341" s="4"/>
      <c r="C341" s="1" t="s">
        <v>71</v>
      </c>
      <c r="E341">
        <v>189</v>
      </c>
      <c r="F341">
        <v>21</v>
      </c>
      <c r="J341">
        <v>3</v>
      </c>
      <c r="K341" s="1" t="s">
        <v>434</v>
      </c>
    </row>
    <row r="342" spans="1:11">
      <c r="A342" s="2">
        <v>43910</v>
      </c>
      <c r="B342" s="4"/>
      <c r="C342" s="1" t="s">
        <v>73</v>
      </c>
      <c r="E342">
        <v>28</v>
      </c>
      <c r="F342">
        <v>5</v>
      </c>
      <c r="K342" s="1" t="s">
        <v>409</v>
      </c>
    </row>
    <row r="343" spans="1:11">
      <c r="A343" s="2">
        <v>43910</v>
      </c>
      <c r="B343" s="4"/>
      <c r="C343" s="1" t="s">
        <v>78</v>
      </c>
      <c r="E343">
        <v>98</v>
      </c>
      <c r="K343" s="1" t="s">
        <v>80</v>
      </c>
    </row>
    <row r="344" spans="1:11">
      <c r="A344" s="2">
        <v>43910</v>
      </c>
      <c r="B344" s="4"/>
      <c r="C344" s="1" t="s">
        <v>81</v>
      </c>
      <c r="E344">
        <v>17</v>
      </c>
      <c r="J344">
        <v>0</v>
      </c>
      <c r="K344" s="1" t="s">
        <v>460</v>
      </c>
    </row>
    <row r="345" spans="1:11">
      <c r="A345" s="2">
        <v>43910</v>
      </c>
      <c r="B345" s="4"/>
      <c r="C345" s="1" t="s">
        <v>88</v>
      </c>
      <c r="E345">
        <v>49</v>
      </c>
      <c r="K345" s="1" t="s">
        <v>90</v>
      </c>
    </row>
    <row r="346" spans="1:11">
      <c r="A346" s="2">
        <v>43910</v>
      </c>
      <c r="B346" s="4"/>
      <c r="C346" s="1" t="s">
        <v>97</v>
      </c>
      <c r="E346">
        <v>1756</v>
      </c>
      <c r="F346">
        <v>182</v>
      </c>
      <c r="G346">
        <v>23</v>
      </c>
      <c r="J346">
        <v>19</v>
      </c>
      <c r="K346" s="1" t="s">
        <v>99</v>
      </c>
    </row>
    <row r="347" spans="1:11">
      <c r="A347" s="2">
        <v>43910</v>
      </c>
      <c r="B347" s="4"/>
      <c r="C347" s="1" t="s">
        <v>100</v>
      </c>
      <c r="E347">
        <v>436</v>
      </c>
      <c r="F347">
        <v>73</v>
      </c>
      <c r="G347">
        <v>6</v>
      </c>
      <c r="H347">
        <v>5</v>
      </c>
      <c r="J347">
        <v>7</v>
      </c>
      <c r="K347" s="1" t="s">
        <v>484</v>
      </c>
    </row>
    <row r="348" spans="1:11">
      <c r="A348" s="2">
        <v>43910</v>
      </c>
      <c r="B348" s="4">
        <v>0.33333333333333331</v>
      </c>
      <c r="C348" s="1" t="s">
        <v>91</v>
      </c>
      <c r="E348">
        <v>834</v>
      </c>
      <c r="F348">
        <v>168</v>
      </c>
      <c r="G348">
        <v>35</v>
      </c>
      <c r="J348">
        <v>22</v>
      </c>
      <c r="K348" s="1" t="s">
        <v>225</v>
      </c>
    </row>
    <row r="349" spans="1:11">
      <c r="A349" s="2">
        <v>43910</v>
      </c>
      <c r="B349" s="4">
        <v>0.33333333333333331</v>
      </c>
      <c r="C349" s="1" t="s">
        <v>102</v>
      </c>
      <c r="E349">
        <v>48</v>
      </c>
      <c r="F349">
        <v>1</v>
      </c>
      <c r="G349">
        <v>0</v>
      </c>
      <c r="I349">
        <v>5</v>
      </c>
      <c r="J349">
        <v>0</v>
      </c>
      <c r="K349" s="1" t="s">
        <v>440</v>
      </c>
    </row>
    <row r="350" spans="1:11">
      <c r="A350" s="2">
        <v>43910</v>
      </c>
      <c r="B350" s="4">
        <v>0.40277777777777779</v>
      </c>
      <c r="C350" s="1" t="s">
        <v>68</v>
      </c>
      <c r="E350">
        <v>92</v>
      </c>
      <c r="K350" s="1" t="s">
        <v>70</v>
      </c>
    </row>
    <row r="351" spans="1:11">
      <c r="A351" s="2">
        <v>43910</v>
      </c>
      <c r="B351" s="4">
        <v>0.41666666666666669</v>
      </c>
      <c r="C351" s="1" t="s">
        <v>50</v>
      </c>
      <c r="E351">
        <v>270</v>
      </c>
      <c r="F351">
        <v>45</v>
      </c>
      <c r="I351">
        <v>46</v>
      </c>
      <c r="J351">
        <v>4</v>
      </c>
      <c r="K351" s="1" t="s">
        <v>222</v>
      </c>
    </row>
    <row r="352" spans="1:11">
      <c r="A352" s="2">
        <v>43910</v>
      </c>
      <c r="B352" s="4">
        <v>0.5</v>
      </c>
      <c r="C352" s="1" t="s">
        <v>94</v>
      </c>
      <c r="E352">
        <v>7</v>
      </c>
      <c r="K352" s="1" t="s">
        <v>226</v>
      </c>
    </row>
    <row r="353" spans="1:11">
      <c r="A353" s="2">
        <v>43910</v>
      </c>
      <c r="B353" s="4">
        <v>0.60416666666666663</v>
      </c>
      <c r="C353" s="1" t="s">
        <v>104</v>
      </c>
      <c r="E353">
        <v>712</v>
      </c>
      <c r="F353">
        <v>78</v>
      </c>
      <c r="H353">
        <v>15</v>
      </c>
      <c r="J353">
        <v>4</v>
      </c>
      <c r="K353" s="1" t="s">
        <v>106</v>
      </c>
    </row>
    <row r="354" spans="1:11">
      <c r="A354" s="2">
        <v>43910</v>
      </c>
      <c r="B354" s="4">
        <v>0.625</v>
      </c>
      <c r="C354" s="1" t="s">
        <v>34</v>
      </c>
      <c r="E354">
        <v>168</v>
      </c>
      <c r="F354">
        <v>25</v>
      </c>
      <c r="G354">
        <v>4</v>
      </c>
      <c r="H354">
        <v>2</v>
      </c>
      <c r="J354">
        <v>1</v>
      </c>
      <c r="K354" s="1" t="s">
        <v>220</v>
      </c>
    </row>
    <row r="355" spans="1:11">
      <c r="A355" s="2">
        <v>43910</v>
      </c>
      <c r="B355" s="4">
        <v>0.73402777777777772</v>
      </c>
      <c r="C355" s="1" t="s">
        <v>83</v>
      </c>
      <c r="E355">
        <v>66</v>
      </c>
      <c r="K355" s="1" t="s">
        <v>224</v>
      </c>
    </row>
    <row r="356" spans="1:11">
      <c r="A356" s="2">
        <v>43911</v>
      </c>
      <c r="B356" s="4"/>
      <c r="C356" s="1" t="s">
        <v>41</v>
      </c>
      <c r="J356">
        <v>1</v>
      </c>
      <c r="K356" s="1" t="s">
        <v>227</v>
      </c>
    </row>
    <row r="357" spans="1:11">
      <c r="A357" s="2">
        <v>43911</v>
      </c>
      <c r="B357" s="4"/>
      <c r="C357" s="1" t="s">
        <v>44</v>
      </c>
      <c r="E357">
        <v>418</v>
      </c>
      <c r="J357">
        <v>3</v>
      </c>
      <c r="K357" s="1" t="s">
        <v>46</v>
      </c>
    </row>
    <row r="358" spans="1:11">
      <c r="A358" s="2">
        <v>43911</v>
      </c>
      <c r="B358" s="4"/>
      <c r="C358" s="1" t="s">
        <v>47</v>
      </c>
      <c r="E358">
        <v>282</v>
      </c>
      <c r="F358">
        <v>30</v>
      </c>
      <c r="G358">
        <v>4</v>
      </c>
      <c r="I358">
        <v>21</v>
      </c>
      <c r="J358">
        <v>3</v>
      </c>
      <c r="K358" s="1" t="s">
        <v>228</v>
      </c>
    </row>
    <row r="359" spans="1:11">
      <c r="A359" s="2">
        <v>43911</v>
      </c>
      <c r="B359" s="4"/>
      <c r="C359" s="1" t="s">
        <v>53</v>
      </c>
      <c r="E359">
        <v>44</v>
      </c>
      <c r="K359" s="1" t="s">
        <v>230</v>
      </c>
    </row>
    <row r="360" spans="1:11">
      <c r="A360" s="2">
        <v>43911</v>
      </c>
      <c r="B360" s="4"/>
      <c r="C360" s="1" t="s">
        <v>56</v>
      </c>
      <c r="E360">
        <v>167</v>
      </c>
      <c r="F360">
        <v>28</v>
      </c>
      <c r="G360">
        <v>6</v>
      </c>
      <c r="J360">
        <v>2</v>
      </c>
      <c r="K360" s="1" t="s">
        <v>459</v>
      </c>
    </row>
    <row r="361" spans="1:11">
      <c r="A361" s="2">
        <v>43911</v>
      </c>
      <c r="B361" s="4"/>
      <c r="C361" s="1" t="s">
        <v>58</v>
      </c>
      <c r="D361">
        <v>7009</v>
      </c>
      <c r="E361">
        <v>1248</v>
      </c>
      <c r="F361">
        <v>145</v>
      </c>
      <c r="G361">
        <v>25</v>
      </c>
      <c r="H361">
        <v>24</v>
      </c>
      <c r="J361">
        <v>9</v>
      </c>
      <c r="K361" s="1" t="s">
        <v>60</v>
      </c>
    </row>
    <row r="362" spans="1:11">
      <c r="A362" s="2">
        <v>43911</v>
      </c>
      <c r="B362" s="4"/>
      <c r="C362" s="1" t="s">
        <v>61</v>
      </c>
      <c r="E362">
        <v>25</v>
      </c>
      <c r="F362">
        <v>0</v>
      </c>
      <c r="J362">
        <v>0</v>
      </c>
      <c r="K362" s="1" t="s">
        <v>446</v>
      </c>
    </row>
    <row r="363" spans="1:11">
      <c r="A363" s="2">
        <v>43911</v>
      </c>
      <c r="B363" s="4"/>
      <c r="C363" s="1" t="s">
        <v>63</v>
      </c>
      <c r="E363">
        <v>258</v>
      </c>
      <c r="F363">
        <v>24</v>
      </c>
      <c r="J363">
        <v>4</v>
      </c>
      <c r="K363" s="1" t="s">
        <v>65</v>
      </c>
    </row>
    <row r="364" spans="1:11">
      <c r="A364" s="2">
        <v>43911</v>
      </c>
      <c r="B364" s="4"/>
      <c r="C364" s="1" t="s">
        <v>66</v>
      </c>
      <c r="E364">
        <v>54</v>
      </c>
      <c r="F364">
        <v>13</v>
      </c>
      <c r="G364">
        <v>1</v>
      </c>
      <c r="J364">
        <v>0</v>
      </c>
      <c r="K364" s="1" t="s">
        <v>483</v>
      </c>
    </row>
    <row r="365" spans="1:11">
      <c r="A365" s="2">
        <v>43911</v>
      </c>
      <c r="B365" s="4"/>
      <c r="C365" s="1" t="s">
        <v>71</v>
      </c>
      <c r="E365">
        <v>200</v>
      </c>
      <c r="F365">
        <v>20</v>
      </c>
      <c r="J365">
        <v>4</v>
      </c>
      <c r="K365" s="1" t="s">
        <v>434</v>
      </c>
    </row>
    <row r="366" spans="1:11">
      <c r="A366" s="2">
        <v>43911</v>
      </c>
      <c r="B366" s="4"/>
      <c r="C366" s="1" t="s">
        <v>73</v>
      </c>
      <c r="E366">
        <v>33</v>
      </c>
      <c r="F366">
        <v>5</v>
      </c>
      <c r="K366" s="1" t="s">
        <v>409</v>
      </c>
    </row>
    <row r="367" spans="1:11">
      <c r="A367" s="2">
        <v>43911</v>
      </c>
      <c r="B367" s="4"/>
      <c r="C367" s="1" t="s">
        <v>81</v>
      </c>
      <c r="E367">
        <v>28</v>
      </c>
      <c r="J367">
        <v>0</v>
      </c>
      <c r="K367" s="1" t="s">
        <v>460</v>
      </c>
    </row>
    <row r="368" spans="1:11">
      <c r="A368" s="2">
        <v>43911</v>
      </c>
      <c r="B368" s="4"/>
      <c r="C368" s="1" t="s">
        <v>88</v>
      </c>
      <c r="E368">
        <v>56</v>
      </c>
      <c r="K368" s="1" t="s">
        <v>90</v>
      </c>
    </row>
    <row r="369" spans="1:11">
      <c r="A369" s="2">
        <v>43911</v>
      </c>
      <c r="B369" s="4"/>
      <c r="C369" s="1" t="s">
        <v>97</v>
      </c>
      <c r="E369">
        <v>1875</v>
      </c>
      <c r="F369">
        <v>210</v>
      </c>
      <c r="G369">
        <v>24</v>
      </c>
      <c r="J369">
        <v>22</v>
      </c>
      <c r="K369" s="1" t="s">
        <v>99</v>
      </c>
    </row>
    <row r="370" spans="1:11">
      <c r="A370" s="2">
        <v>43911</v>
      </c>
      <c r="B370" s="4"/>
      <c r="C370" s="1" t="s">
        <v>100</v>
      </c>
      <c r="E370">
        <v>498</v>
      </c>
      <c r="F370">
        <v>83</v>
      </c>
      <c r="G370">
        <v>8</v>
      </c>
      <c r="H370">
        <v>6</v>
      </c>
      <c r="J370">
        <v>10</v>
      </c>
      <c r="K370" s="1" t="s">
        <v>484</v>
      </c>
    </row>
    <row r="371" spans="1:11">
      <c r="A371" s="2">
        <v>43911</v>
      </c>
      <c r="B371" s="4">
        <v>0.33333333333333331</v>
      </c>
      <c r="C371" s="1" t="s">
        <v>91</v>
      </c>
      <c r="E371">
        <v>918</v>
      </c>
      <c r="F371">
        <v>184</v>
      </c>
      <c r="G371">
        <v>40</v>
      </c>
      <c r="H371">
        <v>37</v>
      </c>
      <c r="J371">
        <v>28</v>
      </c>
      <c r="K371" s="1" t="s">
        <v>232</v>
      </c>
    </row>
    <row r="372" spans="1:11">
      <c r="A372" s="2">
        <v>43911</v>
      </c>
      <c r="B372" s="4">
        <v>0.33333333333333331</v>
      </c>
      <c r="C372" s="1" t="s">
        <v>94</v>
      </c>
      <c r="E372">
        <v>12</v>
      </c>
      <c r="K372" s="1" t="s">
        <v>226</v>
      </c>
    </row>
    <row r="373" spans="1:11">
      <c r="A373" s="2">
        <v>43911</v>
      </c>
      <c r="B373" s="4">
        <v>0.33333333333333331</v>
      </c>
      <c r="C373" s="1" t="s">
        <v>102</v>
      </c>
      <c r="E373">
        <v>53</v>
      </c>
      <c r="F373">
        <v>3</v>
      </c>
      <c r="G373">
        <v>0</v>
      </c>
      <c r="I373">
        <v>5</v>
      </c>
      <c r="J373">
        <v>0</v>
      </c>
      <c r="K373" s="1" t="s">
        <v>440</v>
      </c>
    </row>
    <row r="374" spans="1:11">
      <c r="A374" s="2">
        <v>43911</v>
      </c>
      <c r="B374" s="4">
        <v>0.41666666666666669</v>
      </c>
      <c r="C374" s="1" t="s">
        <v>50</v>
      </c>
      <c r="E374">
        <v>297</v>
      </c>
      <c r="F374">
        <v>46</v>
      </c>
      <c r="I374">
        <v>57</v>
      </c>
      <c r="J374">
        <v>5</v>
      </c>
      <c r="K374" s="1" t="s">
        <v>229</v>
      </c>
    </row>
    <row r="375" spans="1:11">
      <c r="A375" s="2">
        <v>43911</v>
      </c>
      <c r="B375" s="4">
        <v>0.45833333333333331</v>
      </c>
      <c r="C375" s="1" t="s">
        <v>68</v>
      </c>
      <c r="E375">
        <v>109</v>
      </c>
      <c r="J375">
        <v>1</v>
      </c>
      <c r="K375" s="1" t="s">
        <v>231</v>
      </c>
    </row>
    <row r="376" spans="1:11">
      <c r="A376" s="2">
        <v>43911</v>
      </c>
      <c r="B376" s="4">
        <v>0.60416666666666663</v>
      </c>
      <c r="C376" s="1" t="s">
        <v>104</v>
      </c>
      <c r="E376">
        <v>712</v>
      </c>
      <c r="F376">
        <v>83</v>
      </c>
      <c r="H376">
        <v>23</v>
      </c>
      <c r="J376">
        <v>5</v>
      </c>
      <c r="K376" s="1" t="s">
        <v>106</v>
      </c>
    </row>
    <row r="377" spans="1:11">
      <c r="A377" s="2">
        <v>43912</v>
      </c>
      <c r="B377" s="4"/>
      <c r="C377" s="1" t="s">
        <v>47</v>
      </c>
      <c r="E377">
        <v>289</v>
      </c>
      <c r="F377">
        <v>40</v>
      </c>
      <c r="G377">
        <v>7</v>
      </c>
      <c r="I377">
        <v>21</v>
      </c>
      <c r="J377">
        <v>3</v>
      </c>
      <c r="K377" s="1" t="s">
        <v>234</v>
      </c>
    </row>
    <row r="378" spans="1:11">
      <c r="A378" s="2">
        <v>43912</v>
      </c>
      <c r="B378" s="4"/>
      <c r="C378" s="1" t="s">
        <v>53</v>
      </c>
      <c r="E378">
        <v>46</v>
      </c>
      <c r="K378" s="1" t="s">
        <v>236</v>
      </c>
    </row>
    <row r="379" spans="1:11">
      <c r="A379" s="2">
        <v>43912</v>
      </c>
      <c r="B379" s="4"/>
      <c r="C379" s="1" t="s">
        <v>56</v>
      </c>
      <c r="E379">
        <v>202</v>
      </c>
      <c r="F379">
        <v>32</v>
      </c>
      <c r="G379">
        <v>8</v>
      </c>
      <c r="J379">
        <v>3</v>
      </c>
      <c r="K379" s="1" t="s">
        <v>459</v>
      </c>
    </row>
    <row r="380" spans="1:11">
      <c r="A380" s="2">
        <v>43912</v>
      </c>
      <c r="B380" s="4"/>
      <c r="C380" s="1" t="s">
        <v>58</v>
      </c>
      <c r="D380">
        <v>7244</v>
      </c>
      <c r="E380">
        <v>1391</v>
      </c>
      <c r="F380">
        <v>179</v>
      </c>
      <c r="G380">
        <v>36</v>
      </c>
      <c r="H380">
        <v>36</v>
      </c>
      <c r="J380">
        <v>10</v>
      </c>
      <c r="K380" s="1" t="s">
        <v>60</v>
      </c>
    </row>
    <row r="381" spans="1:11">
      <c r="A381" s="2">
        <v>43912</v>
      </c>
      <c r="B381" s="4"/>
      <c r="C381" s="1" t="s">
        <v>61</v>
      </c>
      <c r="E381">
        <v>29</v>
      </c>
      <c r="F381">
        <v>0</v>
      </c>
      <c r="J381">
        <v>0</v>
      </c>
      <c r="K381" s="1" t="s">
        <v>446</v>
      </c>
    </row>
    <row r="382" spans="1:11">
      <c r="A382" s="2">
        <v>43912</v>
      </c>
      <c r="B382" s="4"/>
      <c r="C382" s="1" t="s">
        <v>63</v>
      </c>
      <c r="E382">
        <v>284</v>
      </c>
      <c r="F382">
        <v>27</v>
      </c>
      <c r="J382">
        <v>4</v>
      </c>
      <c r="K382" s="1" t="s">
        <v>65</v>
      </c>
    </row>
    <row r="383" spans="1:11">
      <c r="A383" s="2">
        <v>43912</v>
      </c>
      <c r="B383" s="4"/>
      <c r="C383" s="1" t="s">
        <v>66</v>
      </c>
      <c r="E383">
        <v>61</v>
      </c>
      <c r="F383">
        <v>18</v>
      </c>
      <c r="G383">
        <v>2</v>
      </c>
      <c r="J383">
        <v>0</v>
      </c>
      <c r="K383" s="1" t="s">
        <v>483</v>
      </c>
    </row>
    <row r="384" spans="1:11">
      <c r="A384" s="2">
        <v>43912</v>
      </c>
      <c r="B384" s="4"/>
      <c r="C384" s="1" t="s">
        <v>71</v>
      </c>
      <c r="E384">
        <v>216</v>
      </c>
      <c r="F384">
        <v>28</v>
      </c>
      <c r="J384">
        <v>4</v>
      </c>
      <c r="K384" s="1" t="s">
        <v>434</v>
      </c>
    </row>
    <row r="385" spans="1:11">
      <c r="A385" s="2">
        <v>43912</v>
      </c>
      <c r="B385" s="4"/>
      <c r="C385" s="1" t="s">
        <v>73</v>
      </c>
      <c r="E385">
        <v>36</v>
      </c>
      <c r="F385">
        <v>5</v>
      </c>
      <c r="K385" s="1" t="s">
        <v>409</v>
      </c>
    </row>
    <row r="386" spans="1:11">
      <c r="A386" s="2">
        <v>43912</v>
      </c>
      <c r="B386" s="4"/>
      <c r="C386" s="1" t="s">
        <v>81</v>
      </c>
      <c r="E386">
        <v>30</v>
      </c>
      <c r="J386">
        <v>0</v>
      </c>
      <c r="K386" s="1" t="s">
        <v>460</v>
      </c>
    </row>
    <row r="387" spans="1:11">
      <c r="A387" s="2">
        <v>43912</v>
      </c>
      <c r="B387" s="4"/>
      <c r="C387" s="1" t="s">
        <v>88</v>
      </c>
      <c r="E387">
        <v>75</v>
      </c>
      <c r="K387" s="1" t="s">
        <v>90</v>
      </c>
    </row>
    <row r="388" spans="1:11">
      <c r="A388" s="2">
        <v>43912</v>
      </c>
      <c r="B388" s="4"/>
      <c r="C388" s="1" t="s">
        <v>97</v>
      </c>
      <c r="E388">
        <v>1977</v>
      </c>
      <c r="F388">
        <v>230</v>
      </c>
      <c r="G388">
        <v>30</v>
      </c>
      <c r="J388">
        <v>24</v>
      </c>
      <c r="K388" s="1" t="s">
        <v>99</v>
      </c>
    </row>
    <row r="389" spans="1:11">
      <c r="A389" s="2">
        <v>43912</v>
      </c>
      <c r="B389" s="4"/>
      <c r="C389" s="1" t="s">
        <v>100</v>
      </c>
      <c r="E389">
        <v>535</v>
      </c>
      <c r="F389">
        <v>92</v>
      </c>
      <c r="G389">
        <v>11</v>
      </c>
      <c r="H389">
        <v>7</v>
      </c>
      <c r="J389">
        <v>11</v>
      </c>
      <c r="K389" s="1" t="s">
        <v>484</v>
      </c>
    </row>
    <row r="390" spans="1:11">
      <c r="A390" s="2">
        <v>43912</v>
      </c>
      <c r="B390" s="4">
        <v>0.33333333333333331</v>
      </c>
      <c r="C390" s="1" t="s">
        <v>91</v>
      </c>
      <c r="E390">
        <v>939</v>
      </c>
      <c r="F390">
        <v>246</v>
      </c>
      <c r="G390">
        <v>46</v>
      </c>
      <c r="H390">
        <v>43</v>
      </c>
      <c r="J390">
        <v>37</v>
      </c>
      <c r="K390" s="1" t="s">
        <v>237</v>
      </c>
    </row>
    <row r="391" spans="1:11">
      <c r="A391" s="2">
        <v>43912</v>
      </c>
      <c r="B391" s="4">
        <v>0.33333333333333331</v>
      </c>
      <c r="C391" s="1" t="s">
        <v>102</v>
      </c>
      <c r="E391">
        <v>53</v>
      </c>
      <c r="F391">
        <v>3</v>
      </c>
      <c r="G391">
        <v>0</v>
      </c>
      <c r="I391">
        <v>5</v>
      </c>
      <c r="J391">
        <v>0</v>
      </c>
      <c r="K391" s="1" t="s">
        <v>440</v>
      </c>
    </row>
    <row r="392" spans="1:11">
      <c r="A392" s="2">
        <v>43912</v>
      </c>
      <c r="B392" s="4">
        <v>0.4375</v>
      </c>
      <c r="C392" s="1" t="s">
        <v>50</v>
      </c>
      <c r="E392">
        <v>356</v>
      </c>
      <c r="F392">
        <v>50</v>
      </c>
      <c r="I392">
        <v>73</v>
      </c>
      <c r="J392">
        <v>5</v>
      </c>
      <c r="K392" s="1" t="s">
        <v>235</v>
      </c>
    </row>
    <row r="393" spans="1:11">
      <c r="A393" s="2">
        <v>43912</v>
      </c>
      <c r="B393" s="4">
        <v>0.45833333333333331</v>
      </c>
      <c r="C393" s="1" t="s">
        <v>68</v>
      </c>
      <c r="E393">
        <v>131</v>
      </c>
      <c r="J393">
        <v>1</v>
      </c>
      <c r="K393" s="1" t="s">
        <v>70</v>
      </c>
    </row>
    <row r="394" spans="1:11">
      <c r="A394" s="2">
        <v>43912</v>
      </c>
      <c r="B394" s="4">
        <v>0.5</v>
      </c>
      <c r="C394" s="1" t="s">
        <v>34</v>
      </c>
      <c r="E394">
        <v>232</v>
      </c>
      <c r="J394">
        <v>1</v>
      </c>
      <c r="K394" s="1" t="s">
        <v>233</v>
      </c>
    </row>
    <row r="395" spans="1:11">
      <c r="A395" s="2">
        <v>43912</v>
      </c>
      <c r="B395" s="4">
        <v>0.60416666666666663</v>
      </c>
      <c r="C395" s="1" t="s">
        <v>104</v>
      </c>
      <c r="E395">
        <v>712</v>
      </c>
      <c r="F395">
        <v>110</v>
      </c>
      <c r="H395">
        <v>22</v>
      </c>
      <c r="J395">
        <v>6</v>
      </c>
      <c r="K395" s="1" t="s">
        <v>106</v>
      </c>
    </row>
    <row r="396" spans="1:11">
      <c r="A396" s="2">
        <v>43913</v>
      </c>
      <c r="B396" s="4"/>
      <c r="C396" s="1" t="s">
        <v>44</v>
      </c>
      <c r="E396">
        <v>470</v>
      </c>
      <c r="J396">
        <v>5</v>
      </c>
      <c r="K396" s="1" t="s">
        <v>46</v>
      </c>
    </row>
    <row r="397" spans="1:11">
      <c r="A397" s="2">
        <v>43913</v>
      </c>
      <c r="B397" s="4"/>
      <c r="C397" s="1" t="s">
        <v>47</v>
      </c>
      <c r="E397">
        <v>302</v>
      </c>
      <c r="F397">
        <v>51</v>
      </c>
      <c r="G397">
        <v>10</v>
      </c>
      <c r="I397">
        <v>35</v>
      </c>
      <c r="J397">
        <v>3</v>
      </c>
      <c r="K397" s="1" t="s">
        <v>239</v>
      </c>
    </row>
    <row r="398" spans="1:11">
      <c r="A398" s="2">
        <v>43913</v>
      </c>
      <c r="B398" s="4"/>
      <c r="C398" s="1" t="s">
        <v>56</v>
      </c>
      <c r="E398">
        <v>226</v>
      </c>
      <c r="F398">
        <v>35</v>
      </c>
      <c r="G398">
        <v>7</v>
      </c>
      <c r="J398">
        <v>4</v>
      </c>
      <c r="K398" s="1" t="s">
        <v>459</v>
      </c>
    </row>
    <row r="399" spans="1:11">
      <c r="A399" s="2">
        <v>43913</v>
      </c>
      <c r="B399" s="4"/>
      <c r="C399" s="1" t="s">
        <v>58</v>
      </c>
      <c r="D399">
        <v>7622</v>
      </c>
      <c r="E399">
        <v>1536</v>
      </c>
      <c r="F399">
        <v>214</v>
      </c>
      <c r="G399">
        <v>43</v>
      </c>
      <c r="H399">
        <v>41</v>
      </c>
      <c r="J399">
        <v>16</v>
      </c>
      <c r="K399" s="1" t="s">
        <v>60</v>
      </c>
    </row>
    <row r="400" spans="1:11">
      <c r="A400" s="2">
        <v>43913</v>
      </c>
      <c r="B400" s="4"/>
      <c r="C400" s="1" t="s">
        <v>61</v>
      </c>
      <c r="E400">
        <v>31</v>
      </c>
      <c r="F400">
        <v>3</v>
      </c>
      <c r="J400">
        <v>0</v>
      </c>
      <c r="K400" s="1" t="s">
        <v>446</v>
      </c>
    </row>
    <row r="401" spans="1:11">
      <c r="A401" s="2">
        <v>43913</v>
      </c>
      <c r="B401" s="4"/>
      <c r="C401" s="1" t="s">
        <v>63</v>
      </c>
      <c r="E401">
        <v>300</v>
      </c>
      <c r="F401">
        <v>29</v>
      </c>
      <c r="J401">
        <v>5</v>
      </c>
      <c r="K401" s="1" t="s">
        <v>65</v>
      </c>
    </row>
    <row r="402" spans="1:11">
      <c r="A402" s="2">
        <v>43913</v>
      </c>
      <c r="B402" s="4"/>
      <c r="C402" s="1" t="s">
        <v>66</v>
      </c>
      <c r="E402">
        <v>69</v>
      </c>
      <c r="F402">
        <v>18</v>
      </c>
      <c r="G402">
        <v>3</v>
      </c>
      <c r="J402">
        <v>0</v>
      </c>
      <c r="K402" s="1" t="s">
        <v>483</v>
      </c>
    </row>
    <row r="403" spans="1:11">
      <c r="A403" s="2">
        <v>43913</v>
      </c>
      <c r="B403" s="4"/>
      <c r="C403" s="1" t="s">
        <v>71</v>
      </c>
      <c r="E403">
        <v>247</v>
      </c>
      <c r="F403">
        <v>33</v>
      </c>
      <c r="G403">
        <v>11</v>
      </c>
      <c r="H403">
        <v>6</v>
      </c>
      <c r="J403">
        <v>5</v>
      </c>
      <c r="K403" s="1" t="s">
        <v>434</v>
      </c>
    </row>
    <row r="404" spans="1:11">
      <c r="A404" s="2">
        <v>43913</v>
      </c>
      <c r="B404" s="4"/>
      <c r="C404" s="1" t="s">
        <v>73</v>
      </c>
      <c r="E404">
        <v>39</v>
      </c>
      <c r="F404">
        <v>5</v>
      </c>
      <c r="K404" s="1" t="s">
        <v>409</v>
      </c>
    </row>
    <row r="405" spans="1:11">
      <c r="A405" s="2">
        <v>43913</v>
      </c>
      <c r="B405" s="4"/>
      <c r="C405" s="1" t="s">
        <v>75</v>
      </c>
      <c r="E405">
        <v>25</v>
      </c>
      <c r="K405" s="1" t="s">
        <v>77</v>
      </c>
    </row>
    <row r="406" spans="1:11">
      <c r="A406" s="2">
        <v>43913</v>
      </c>
      <c r="B406" s="4"/>
      <c r="C406" s="1" t="s">
        <v>78</v>
      </c>
      <c r="E406">
        <v>228</v>
      </c>
      <c r="J406">
        <v>1</v>
      </c>
      <c r="K406" s="1" t="s">
        <v>80</v>
      </c>
    </row>
    <row r="407" spans="1:11">
      <c r="A407" s="2">
        <v>43913</v>
      </c>
      <c r="B407" s="4"/>
      <c r="C407" s="1" t="s">
        <v>81</v>
      </c>
      <c r="E407">
        <v>32</v>
      </c>
      <c r="J407">
        <v>0</v>
      </c>
      <c r="K407" s="1" t="s">
        <v>460</v>
      </c>
    </row>
    <row r="408" spans="1:11">
      <c r="A408" s="2">
        <v>43913</v>
      </c>
      <c r="B408" s="4"/>
      <c r="C408" s="1" t="s">
        <v>88</v>
      </c>
      <c r="E408">
        <v>81</v>
      </c>
      <c r="K408" s="1" t="s">
        <v>90</v>
      </c>
    </row>
    <row r="409" spans="1:11">
      <c r="A409" s="2">
        <v>43913</v>
      </c>
      <c r="B409" s="4"/>
      <c r="C409" s="1" t="s">
        <v>94</v>
      </c>
      <c r="E409">
        <v>22</v>
      </c>
      <c r="F409">
        <v>1</v>
      </c>
      <c r="I409">
        <v>1</v>
      </c>
      <c r="K409" s="1" t="s">
        <v>226</v>
      </c>
    </row>
    <row r="410" spans="1:11">
      <c r="A410" s="2">
        <v>43913</v>
      </c>
      <c r="B410" s="4"/>
      <c r="C410" s="1" t="s">
        <v>97</v>
      </c>
      <c r="E410">
        <v>2283</v>
      </c>
      <c r="F410">
        <v>248</v>
      </c>
      <c r="G410">
        <v>39</v>
      </c>
      <c r="J410">
        <v>28</v>
      </c>
      <c r="K410" s="1" t="s">
        <v>99</v>
      </c>
    </row>
    <row r="411" spans="1:11">
      <c r="A411" s="2">
        <v>43913</v>
      </c>
      <c r="B411" s="4"/>
      <c r="C411" s="1" t="s">
        <v>100</v>
      </c>
      <c r="E411">
        <v>628</v>
      </c>
      <c r="F411">
        <v>104</v>
      </c>
      <c r="G411">
        <v>12</v>
      </c>
      <c r="H411">
        <v>9</v>
      </c>
      <c r="J411">
        <v>13</v>
      </c>
      <c r="K411" s="1" t="s">
        <v>484</v>
      </c>
    </row>
    <row r="412" spans="1:11">
      <c r="A412" s="2">
        <v>43913</v>
      </c>
      <c r="B412" s="4">
        <v>0.33333333333333331</v>
      </c>
      <c r="C412" s="1" t="s">
        <v>91</v>
      </c>
      <c r="E412">
        <v>1165</v>
      </c>
      <c r="F412">
        <v>261</v>
      </c>
      <c r="G412">
        <v>45</v>
      </c>
      <c r="H412">
        <v>43</v>
      </c>
      <c r="J412">
        <v>48</v>
      </c>
      <c r="K412" s="1" t="s">
        <v>242</v>
      </c>
    </row>
    <row r="413" spans="1:11">
      <c r="A413" s="2">
        <v>43913</v>
      </c>
      <c r="B413" s="4">
        <v>0.33333333333333331</v>
      </c>
      <c r="C413" s="1" t="s">
        <v>102</v>
      </c>
      <c r="E413">
        <v>53</v>
      </c>
      <c r="F413">
        <v>3</v>
      </c>
      <c r="G413">
        <v>0</v>
      </c>
      <c r="I413">
        <v>5</v>
      </c>
      <c r="J413">
        <v>0</v>
      </c>
      <c r="K413" s="1" t="s">
        <v>440</v>
      </c>
    </row>
    <row r="414" spans="1:11">
      <c r="A414" s="2">
        <v>43913</v>
      </c>
      <c r="B414" s="4">
        <v>0.41666666666666669</v>
      </c>
      <c r="C414" s="1" t="s">
        <v>41</v>
      </c>
      <c r="E414">
        <v>30</v>
      </c>
      <c r="F414">
        <v>7</v>
      </c>
      <c r="J414">
        <v>1</v>
      </c>
      <c r="K414" s="1" t="s">
        <v>43</v>
      </c>
    </row>
    <row r="415" spans="1:11">
      <c r="A415" s="2">
        <v>43913</v>
      </c>
      <c r="B415" s="4">
        <v>0.41666666666666669</v>
      </c>
      <c r="C415" s="1" t="s">
        <v>50</v>
      </c>
      <c r="E415">
        <v>374</v>
      </c>
      <c r="F415">
        <v>56</v>
      </c>
      <c r="I415">
        <v>78</v>
      </c>
      <c r="J415">
        <v>5</v>
      </c>
      <c r="K415" s="1" t="s">
        <v>240</v>
      </c>
    </row>
    <row r="416" spans="1:11">
      <c r="A416" s="2">
        <v>43913</v>
      </c>
      <c r="B416" s="4">
        <v>0.45833333333333331</v>
      </c>
      <c r="C416" s="1" t="s">
        <v>68</v>
      </c>
      <c r="E416">
        <v>156</v>
      </c>
      <c r="J416">
        <v>1</v>
      </c>
      <c r="K416" s="1" t="s">
        <v>70</v>
      </c>
    </row>
    <row r="417" spans="1:11">
      <c r="A417" s="2">
        <v>43913</v>
      </c>
      <c r="B417" s="4">
        <v>0.5</v>
      </c>
      <c r="C417" s="1" t="s">
        <v>83</v>
      </c>
      <c r="E417">
        <v>95</v>
      </c>
      <c r="J417">
        <v>1</v>
      </c>
      <c r="K417" s="1" t="s">
        <v>85</v>
      </c>
    </row>
    <row r="418" spans="1:11">
      <c r="A418" s="2">
        <v>43913</v>
      </c>
      <c r="B418" s="4">
        <v>0.60416666666666663</v>
      </c>
      <c r="C418" s="1" t="s">
        <v>104</v>
      </c>
      <c r="E418">
        <v>1076</v>
      </c>
      <c r="F418">
        <v>127</v>
      </c>
      <c r="H418">
        <v>27</v>
      </c>
      <c r="J418">
        <v>6</v>
      </c>
      <c r="K418" s="1" t="s">
        <v>106</v>
      </c>
    </row>
    <row r="419" spans="1:11">
      <c r="A419" s="2">
        <v>43913</v>
      </c>
      <c r="B419" s="4">
        <v>0.625</v>
      </c>
      <c r="C419" s="1" t="s">
        <v>34</v>
      </c>
      <c r="E419">
        <v>241</v>
      </c>
      <c r="F419">
        <v>10</v>
      </c>
      <c r="G419">
        <v>3</v>
      </c>
      <c r="H419">
        <v>2</v>
      </c>
      <c r="J419">
        <v>1</v>
      </c>
      <c r="K419" s="1" t="s">
        <v>238</v>
      </c>
    </row>
    <row r="420" spans="1:11">
      <c r="A420" s="2">
        <v>43913</v>
      </c>
      <c r="B420" s="4">
        <v>0.75</v>
      </c>
      <c r="C420" s="1" t="s">
        <v>53</v>
      </c>
      <c r="E420">
        <v>51</v>
      </c>
      <c r="K420" s="1" t="s">
        <v>241</v>
      </c>
    </row>
    <row r="421" spans="1:11">
      <c r="A421" s="2">
        <v>43914</v>
      </c>
      <c r="B421" s="4"/>
      <c r="C421" s="1" t="s">
        <v>44</v>
      </c>
      <c r="E421">
        <v>532</v>
      </c>
      <c r="J421">
        <v>6</v>
      </c>
      <c r="K421" s="1" t="s">
        <v>46</v>
      </c>
    </row>
    <row r="422" spans="1:11">
      <c r="A422" s="2">
        <v>43914</v>
      </c>
      <c r="B422" s="4"/>
      <c r="C422" s="1" t="s">
        <v>47</v>
      </c>
      <c r="E422">
        <v>306</v>
      </c>
      <c r="F422">
        <v>66</v>
      </c>
      <c r="G422">
        <v>11</v>
      </c>
      <c r="I422">
        <v>40</v>
      </c>
      <c r="J422">
        <v>4</v>
      </c>
      <c r="K422" s="1" t="s">
        <v>49</v>
      </c>
    </row>
    <row r="423" spans="1:11">
      <c r="A423" s="2">
        <v>43914</v>
      </c>
      <c r="B423" s="4"/>
      <c r="C423" s="1" t="s">
        <v>53</v>
      </c>
      <c r="E423">
        <v>51</v>
      </c>
      <c r="K423" s="1" t="s">
        <v>245</v>
      </c>
    </row>
    <row r="424" spans="1:11">
      <c r="A424" s="2">
        <v>43914</v>
      </c>
      <c r="B424" s="4"/>
      <c r="C424" s="1" t="s">
        <v>56</v>
      </c>
      <c r="E424">
        <v>255</v>
      </c>
      <c r="F424">
        <v>35</v>
      </c>
      <c r="G424">
        <v>7</v>
      </c>
      <c r="J424">
        <v>5</v>
      </c>
      <c r="K424" s="1" t="s">
        <v>459</v>
      </c>
    </row>
    <row r="425" spans="1:11">
      <c r="A425" s="2">
        <v>43914</v>
      </c>
      <c r="B425" s="4"/>
      <c r="C425" s="1" t="s">
        <v>58</v>
      </c>
      <c r="D425">
        <v>7965</v>
      </c>
      <c r="E425">
        <v>1636</v>
      </c>
      <c r="F425">
        <v>238</v>
      </c>
      <c r="G425">
        <v>41</v>
      </c>
      <c r="H425">
        <v>41</v>
      </c>
      <c r="I425">
        <v>103</v>
      </c>
      <c r="J425">
        <v>17</v>
      </c>
      <c r="K425" s="1" t="s">
        <v>60</v>
      </c>
    </row>
    <row r="426" spans="1:11">
      <c r="A426" s="2">
        <v>43914</v>
      </c>
      <c r="B426" s="4"/>
      <c r="C426" s="1" t="s">
        <v>61</v>
      </c>
      <c r="E426">
        <v>33</v>
      </c>
      <c r="F426">
        <v>3</v>
      </c>
      <c r="J426">
        <v>0</v>
      </c>
      <c r="K426" s="1" t="s">
        <v>446</v>
      </c>
    </row>
    <row r="427" spans="1:11">
      <c r="A427" s="2">
        <v>43914</v>
      </c>
      <c r="B427" s="4"/>
      <c r="C427" s="1" t="s">
        <v>63</v>
      </c>
      <c r="E427">
        <v>343</v>
      </c>
      <c r="F427">
        <v>43</v>
      </c>
      <c r="J427">
        <v>6</v>
      </c>
      <c r="K427" s="1" t="s">
        <v>65</v>
      </c>
    </row>
    <row r="428" spans="1:11">
      <c r="A428" s="2">
        <v>43914</v>
      </c>
      <c r="B428" s="4"/>
      <c r="C428" s="1" t="s">
        <v>66</v>
      </c>
      <c r="E428">
        <v>82</v>
      </c>
      <c r="F428">
        <v>22</v>
      </c>
      <c r="G428">
        <v>4</v>
      </c>
      <c r="J428">
        <v>0</v>
      </c>
      <c r="K428" s="1" t="s">
        <v>483</v>
      </c>
    </row>
    <row r="429" spans="1:11">
      <c r="A429" s="2">
        <v>43914</v>
      </c>
      <c r="B429" s="4"/>
      <c r="C429" s="1" t="s">
        <v>71</v>
      </c>
      <c r="E429">
        <v>265</v>
      </c>
      <c r="F429">
        <v>32</v>
      </c>
      <c r="G429">
        <v>8</v>
      </c>
      <c r="H429">
        <v>6</v>
      </c>
      <c r="J429">
        <v>6</v>
      </c>
      <c r="K429" s="1" t="s">
        <v>434</v>
      </c>
    </row>
    <row r="430" spans="1:11">
      <c r="A430" s="2">
        <v>43914</v>
      </c>
      <c r="B430" s="4"/>
      <c r="C430" s="1" t="s">
        <v>73</v>
      </c>
      <c r="E430">
        <v>42</v>
      </c>
      <c r="F430">
        <v>4</v>
      </c>
      <c r="K430" s="1" t="s">
        <v>409</v>
      </c>
    </row>
    <row r="431" spans="1:11">
      <c r="A431" s="2">
        <v>43914</v>
      </c>
      <c r="B431" s="4"/>
      <c r="C431" s="1" t="s">
        <v>75</v>
      </c>
      <c r="E431">
        <v>25</v>
      </c>
      <c r="K431" s="1" t="s">
        <v>77</v>
      </c>
    </row>
    <row r="432" spans="1:11">
      <c r="A432" s="2">
        <v>43914</v>
      </c>
      <c r="B432" s="4"/>
      <c r="C432" s="1" t="s">
        <v>81</v>
      </c>
      <c r="E432">
        <v>34</v>
      </c>
      <c r="J432">
        <v>0</v>
      </c>
      <c r="K432" s="1" t="s">
        <v>460</v>
      </c>
    </row>
    <row r="433" spans="1:11">
      <c r="A433" s="2">
        <v>43914</v>
      </c>
      <c r="B433" s="4"/>
      <c r="C433" s="1" t="s">
        <v>86</v>
      </c>
      <c r="E433">
        <v>97</v>
      </c>
      <c r="I433">
        <v>10</v>
      </c>
      <c r="J433">
        <v>0</v>
      </c>
      <c r="K433" s="1" t="s">
        <v>461</v>
      </c>
    </row>
    <row r="434" spans="1:11">
      <c r="A434" s="2">
        <v>43914</v>
      </c>
      <c r="B434" s="4"/>
      <c r="C434" s="1" t="s">
        <v>88</v>
      </c>
      <c r="E434">
        <v>87</v>
      </c>
      <c r="J434">
        <v>1</v>
      </c>
      <c r="K434" s="1" t="s">
        <v>246</v>
      </c>
    </row>
    <row r="435" spans="1:11">
      <c r="A435" s="2">
        <v>43914</v>
      </c>
      <c r="B435" s="4"/>
      <c r="C435" s="1" t="s">
        <v>97</v>
      </c>
      <c r="E435">
        <v>2548</v>
      </c>
      <c r="F435">
        <v>284</v>
      </c>
      <c r="G435">
        <v>40</v>
      </c>
      <c r="J435">
        <v>32</v>
      </c>
      <c r="K435" s="1" t="s">
        <v>99</v>
      </c>
    </row>
    <row r="436" spans="1:11">
      <c r="A436" s="2">
        <v>43914</v>
      </c>
      <c r="B436" s="4"/>
      <c r="C436" s="1" t="s">
        <v>100</v>
      </c>
      <c r="E436">
        <v>728</v>
      </c>
      <c r="F436">
        <v>117</v>
      </c>
      <c r="G436">
        <v>13</v>
      </c>
      <c r="H436">
        <v>12</v>
      </c>
      <c r="J436">
        <v>14</v>
      </c>
      <c r="K436" s="1" t="s">
        <v>484</v>
      </c>
    </row>
    <row r="437" spans="1:11">
      <c r="A437" s="2">
        <v>43914</v>
      </c>
      <c r="B437" s="4">
        <v>0</v>
      </c>
      <c r="C437" s="1" t="s">
        <v>83</v>
      </c>
      <c r="E437">
        <v>104</v>
      </c>
      <c r="J437">
        <v>1</v>
      </c>
      <c r="K437" s="1" t="s">
        <v>85</v>
      </c>
    </row>
    <row r="438" spans="1:11">
      <c r="A438" s="2">
        <v>43914</v>
      </c>
      <c r="B438" s="4">
        <v>0.33333333333333331</v>
      </c>
      <c r="C438" s="1" t="s">
        <v>91</v>
      </c>
      <c r="E438">
        <v>1211</v>
      </c>
      <c r="F438">
        <v>285</v>
      </c>
      <c r="G438">
        <v>50</v>
      </c>
      <c r="H438">
        <v>48</v>
      </c>
      <c r="J438">
        <v>53</v>
      </c>
      <c r="K438" s="1" t="s">
        <v>247</v>
      </c>
    </row>
    <row r="439" spans="1:11">
      <c r="A439" s="2">
        <v>43914</v>
      </c>
      <c r="B439" s="4">
        <v>0.33333333333333331</v>
      </c>
      <c r="C439" s="1" t="s">
        <v>102</v>
      </c>
      <c r="E439">
        <v>72</v>
      </c>
      <c r="F439">
        <v>6</v>
      </c>
      <c r="G439">
        <v>0</v>
      </c>
      <c r="I439">
        <v>12</v>
      </c>
      <c r="J439">
        <v>0</v>
      </c>
      <c r="K439" s="1" t="s">
        <v>440</v>
      </c>
    </row>
    <row r="440" spans="1:11">
      <c r="A440" s="2">
        <v>43914</v>
      </c>
      <c r="B440" s="4">
        <v>0.375</v>
      </c>
      <c r="C440" s="1" t="s">
        <v>50</v>
      </c>
      <c r="E440">
        <v>410</v>
      </c>
      <c r="F440">
        <v>58</v>
      </c>
      <c r="I440">
        <v>105</v>
      </c>
      <c r="J440">
        <v>5</v>
      </c>
      <c r="K440" s="1" t="s">
        <v>244</v>
      </c>
    </row>
    <row r="441" spans="1:11">
      <c r="A441" s="2">
        <v>43914</v>
      </c>
      <c r="B441" s="4">
        <v>0.41666666666666669</v>
      </c>
      <c r="C441" s="1" t="s">
        <v>41</v>
      </c>
      <c r="E441">
        <v>33</v>
      </c>
      <c r="F441">
        <v>6</v>
      </c>
      <c r="J441">
        <v>2</v>
      </c>
      <c r="K441" s="1" t="s">
        <v>43</v>
      </c>
    </row>
    <row r="442" spans="1:11">
      <c r="A442" s="2">
        <v>43914</v>
      </c>
      <c r="B442" s="4">
        <v>0.45833333333333331</v>
      </c>
      <c r="C442" s="1" t="s">
        <v>68</v>
      </c>
      <c r="E442">
        <v>205</v>
      </c>
      <c r="J442">
        <v>2</v>
      </c>
      <c r="K442" s="1" t="s">
        <v>70</v>
      </c>
    </row>
    <row r="443" spans="1:11">
      <c r="A443" s="2">
        <v>43914</v>
      </c>
      <c r="B443" s="4">
        <v>0.5</v>
      </c>
      <c r="C443" s="1" t="s">
        <v>94</v>
      </c>
      <c r="E443">
        <v>25</v>
      </c>
      <c r="F443">
        <v>1</v>
      </c>
      <c r="I443">
        <v>1</v>
      </c>
      <c r="K443" s="1" t="s">
        <v>226</v>
      </c>
    </row>
    <row r="444" spans="1:11">
      <c r="A444" s="2">
        <v>43914</v>
      </c>
      <c r="B444" s="4">
        <v>0.60416666666666663</v>
      </c>
      <c r="C444" s="1" t="s">
        <v>104</v>
      </c>
      <c r="E444">
        <v>1224</v>
      </c>
      <c r="F444">
        <v>138</v>
      </c>
      <c r="H444">
        <v>26</v>
      </c>
      <c r="J444">
        <v>8</v>
      </c>
      <c r="K444" s="1" t="s">
        <v>106</v>
      </c>
    </row>
    <row r="445" spans="1:11">
      <c r="A445" s="2">
        <v>43914</v>
      </c>
      <c r="B445" s="4">
        <v>0.625</v>
      </c>
      <c r="C445" s="1" t="s">
        <v>34</v>
      </c>
      <c r="E445">
        <v>266</v>
      </c>
      <c r="F445">
        <v>24</v>
      </c>
      <c r="G445">
        <v>2</v>
      </c>
      <c r="H445">
        <v>2</v>
      </c>
      <c r="J445">
        <v>2</v>
      </c>
      <c r="K445" s="1" t="s">
        <v>243</v>
      </c>
    </row>
    <row r="446" spans="1:11">
      <c r="A446" s="2">
        <v>43914</v>
      </c>
      <c r="B446" s="4">
        <v>0.70833333333333337</v>
      </c>
      <c r="C446" s="1" t="s">
        <v>38</v>
      </c>
      <c r="E446">
        <v>8</v>
      </c>
      <c r="K446" s="1" t="s">
        <v>40</v>
      </c>
    </row>
    <row r="447" spans="1:11">
      <c r="A447" s="2">
        <v>43915</v>
      </c>
      <c r="B447" s="4"/>
      <c r="C447" s="1" t="s">
        <v>44</v>
      </c>
      <c r="E447">
        <v>624</v>
      </c>
      <c r="J447">
        <v>6</v>
      </c>
      <c r="K447" s="1" t="s">
        <v>46</v>
      </c>
    </row>
    <row r="448" spans="1:11">
      <c r="A448" s="2">
        <v>43915</v>
      </c>
      <c r="B448" s="4"/>
      <c r="C448" s="1" t="s">
        <v>47</v>
      </c>
      <c r="E448">
        <v>341</v>
      </c>
      <c r="F448">
        <v>68</v>
      </c>
      <c r="G448">
        <v>8</v>
      </c>
      <c r="I448">
        <v>46</v>
      </c>
      <c r="J448">
        <v>5</v>
      </c>
      <c r="K448" s="1" t="s">
        <v>49</v>
      </c>
    </row>
    <row r="449" spans="1:11">
      <c r="A449" s="2">
        <v>43915</v>
      </c>
      <c r="B449" s="4"/>
      <c r="C449" s="1" t="s">
        <v>53</v>
      </c>
      <c r="E449">
        <v>53</v>
      </c>
      <c r="K449" s="1" t="s">
        <v>250</v>
      </c>
    </row>
    <row r="450" spans="1:11">
      <c r="A450" s="2">
        <v>43915</v>
      </c>
      <c r="B450" s="4"/>
      <c r="C450" s="1" t="s">
        <v>56</v>
      </c>
      <c r="E450">
        <v>293</v>
      </c>
      <c r="F450">
        <v>39</v>
      </c>
      <c r="G450">
        <v>7</v>
      </c>
      <c r="J450">
        <v>6</v>
      </c>
      <c r="K450" s="1" t="s">
        <v>459</v>
      </c>
    </row>
    <row r="451" spans="1:11">
      <c r="A451" s="2">
        <v>43915</v>
      </c>
      <c r="B451" s="4"/>
      <c r="C451" s="1" t="s">
        <v>58</v>
      </c>
      <c r="D451">
        <v>8370</v>
      </c>
      <c r="E451">
        <v>1757</v>
      </c>
      <c r="F451">
        <v>258</v>
      </c>
      <c r="G451">
        <v>50</v>
      </c>
      <c r="H451">
        <v>48</v>
      </c>
      <c r="I451">
        <v>122</v>
      </c>
      <c r="J451">
        <v>24</v>
      </c>
      <c r="K451" s="1" t="s">
        <v>60</v>
      </c>
    </row>
    <row r="452" spans="1:11">
      <c r="A452" s="2">
        <v>43915</v>
      </c>
      <c r="B452" s="4"/>
      <c r="C452" s="1" t="s">
        <v>61</v>
      </c>
      <c r="E452">
        <v>40</v>
      </c>
      <c r="F452">
        <v>2</v>
      </c>
      <c r="J452">
        <v>0</v>
      </c>
      <c r="K452" s="1" t="s">
        <v>446</v>
      </c>
    </row>
    <row r="453" spans="1:11">
      <c r="A453" s="2">
        <v>43915</v>
      </c>
      <c r="B453" s="4"/>
      <c r="C453" s="1" t="s">
        <v>63</v>
      </c>
      <c r="E453">
        <v>393</v>
      </c>
      <c r="F453">
        <v>45</v>
      </c>
      <c r="J453">
        <v>8</v>
      </c>
      <c r="K453" s="1" t="s">
        <v>65</v>
      </c>
    </row>
    <row r="454" spans="1:11">
      <c r="A454" s="2">
        <v>43915</v>
      </c>
      <c r="B454" s="4"/>
      <c r="C454" s="1" t="s">
        <v>66</v>
      </c>
      <c r="E454">
        <v>92</v>
      </c>
      <c r="F454">
        <v>23</v>
      </c>
      <c r="G454">
        <v>4</v>
      </c>
      <c r="J454">
        <v>0</v>
      </c>
      <c r="K454" s="1" t="s">
        <v>483</v>
      </c>
    </row>
    <row r="455" spans="1:11">
      <c r="A455" s="2">
        <v>43915</v>
      </c>
      <c r="B455" s="4"/>
      <c r="C455" s="1" t="s">
        <v>71</v>
      </c>
      <c r="E455">
        <v>280</v>
      </c>
      <c r="F455">
        <v>41</v>
      </c>
      <c r="G455">
        <v>10</v>
      </c>
      <c r="H455">
        <v>7</v>
      </c>
      <c r="J455">
        <v>9</v>
      </c>
      <c r="K455" s="1" t="s">
        <v>434</v>
      </c>
    </row>
    <row r="456" spans="1:11">
      <c r="A456" s="2">
        <v>43915</v>
      </c>
      <c r="B456" s="4"/>
      <c r="C456" s="1" t="s">
        <v>73</v>
      </c>
      <c r="E456">
        <v>44</v>
      </c>
      <c r="F456">
        <v>3</v>
      </c>
      <c r="K456" s="1" t="s">
        <v>409</v>
      </c>
    </row>
    <row r="457" spans="1:11">
      <c r="A457" s="2">
        <v>43915</v>
      </c>
      <c r="B457" s="4"/>
      <c r="C457" s="1" t="s">
        <v>75</v>
      </c>
      <c r="E457">
        <v>27</v>
      </c>
      <c r="K457" s="1" t="s">
        <v>77</v>
      </c>
    </row>
    <row r="458" spans="1:11">
      <c r="A458" s="2">
        <v>43915</v>
      </c>
      <c r="B458" s="4"/>
      <c r="C458" s="1" t="s">
        <v>78</v>
      </c>
      <c r="E458">
        <v>228</v>
      </c>
      <c r="J458">
        <v>1</v>
      </c>
      <c r="K458" s="1" t="s">
        <v>80</v>
      </c>
    </row>
    <row r="459" spans="1:11">
      <c r="A459" s="2">
        <v>43915</v>
      </c>
      <c r="B459" s="4"/>
      <c r="C459" s="1" t="s">
        <v>81</v>
      </c>
      <c r="E459">
        <v>35</v>
      </c>
      <c r="F459">
        <v>10</v>
      </c>
      <c r="G459">
        <v>1</v>
      </c>
      <c r="J459">
        <v>0</v>
      </c>
      <c r="K459" s="1" t="s">
        <v>460</v>
      </c>
    </row>
    <row r="460" spans="1:11">
      <c r="A460" s="2">
        <v>43915</v>
      </c>
      <c r="B460" s="4"/>
      <c r="C460" s="1" t="s">
        <v>86</v>
      </c>
      <c r="I460">
        <v>10</v>
      </c>
      <c r="J460">
        <v>0</v>
      </c>
      <c r="K460" s="1" t="s">
        <v>461</v>
      </c>
    </row>
    <row r="461" spans="1:11">
      <c r="A461" s="2">
        <v>43915</v>
      </c>
      <c r="B461" s="4"/>
      <c r="C461" s="1" t="s">
        <v>88</v>
      </c>
      <c r="E461">
        <v>96</v>
      </c>
      <c r="J461">
        <v>1</v>
      </c>
      <c r="K461" s="1" t="s">
        <v>90</v>
      </c>
    </row>
    <row r="462" spans="1:11">
      <c r="A462" s="2">
        <v>43915</v>
      </c>
      <c r="B462" s="4"/>
      <c r="C462" s="1" t="s">
        <v>97</v>
      </c>
      <c r="E462">
        <v>2740</v>
      </c>
      <c r="F462">
        <v>314</v>
      </c>
      <c r="G462">
        <v>51</v>
      </c>
      <c r="J462">
        <v>40</v>
      </c>
      <c r="K462" s="1" t="s">
        <v>99</v>
      </c>
    </row>
    <row r="463" spans="1:11">
      <c r="A463" s="2">
        <v>43915</v>
      </c>
      <c r="B463" s="4"/>
      <c r="C463" s="1" t="s">
        <v>100</v>
      </c>
      <c r="E463">
        <v>793</v>
      </c>
      <c r="F463">
        <v>118</v>
      </c>
      <c r="G463">
        <v>15</v>
      </c>
      <c r="H463">
        <v>14</v>
      </c>
      <c r="J463">
        <v>15</v>
      </c>
      <c r="K463" s="1" t="s">
        <v>484</v>
      </c>
    </row>
    <row r="464" spans="1:11">
      <c r="A464" s="2">
        <v>43915</v>
      </c>
      <c r="B464" s="4">
        <v>0</v>
      </c>
      <c r="C464" s="1" t="s">
        <v>83</v>
      </c>
      <c r="E464">
        <v>129</v>
      </c>
      <c r="J464">
        <v>1</v>
      </c>
      <c r="K464" s="1" t="s">
        <v>85</v>
      </c>
    </row>
    <row r="465" spans="1:11">
      <c r="A465" s="2">
        <v>43915</v>
      </c>
      <c r="B465" s="4">
        <v>0.33333333333333331</v>
      </c>
      <c r="C465" s="1" t="s">
        <v>41</v>
      </c>
      <c r="E465">
        <v>34</v>
      </c>
      <c r="J465">
        <v>2</v>
      </c>
      <c r="K465" s="1" t="s">
        <v>43</v>
      </c>
    </row>
    <row r="466" spans="1:11">
      <c r="A466" s="2">
        <v>43915</v>
      </c>
      <c r="B466" s="4">
        <v>0.33333333333333331</v>
      </c>
      <c r="C466" s="1" t="s">
        <v>91</v>
      </c>
      <c r="E466">
        <v>1354</v>
      </c>
      <c r="F466">
        <v>306</v>
      </c>
      <c r="G466">
        <v>57</v>
      </c>
      <c r="H466">
        <v>55</v>
      </c>
      <c r="J466">
        <v>60</v>
      </c>
      <c r="K466" s="1" t="s">
        <v>251</v>
      </c>
    </row>
    <row r="467" spans="1:11">
      <c r="A467" s="2">
        <v>43915</v>
      </c>
      <c r="B467" s="4">
        <v>0.33333333333333331</v>
      </c>
      <c r="C467" s="1" t="s">
        <v>102</v>
      </c>
      <c r="E467">
        <v>80</v>
      </c>
      <c r="F467">
        <v>9</v>
      </c>
      <c r="G467">
        <v>1</v>
      </c>
      <c r="I467">
        <v>18</v>
      </c>
      <c r="J467">
        <v>0</v>
      </c>
      <c r="K467" s="1" t="s">
        <v>440</v>
      </c>
    </row>
    <row r="468" spans="1:11">
      <c r="A468" s="2">
        <v>43915</v>
      </c>
      <c r="B468" s="4">
        <v>0.41666666666666669</v>
      </c>
      <c r="C468" s="1" t="s">
        <v>50</v>
      </c>
      <c r="E468">
        <v>462</v>
      </c>
      <c r="F468">
        <v>58</v>
      </c>
      <c r="I468">
        <v>128</v>
      </c>
      <c r="J468">
        <v>8</v>
      </c>
      <c r="K468" s="1" t="s">
        <v>249</v>
      </c>
    </row>
    <row r="469" spans="1:11">
      <c r="A469" s="2">
        <v>43915</v>
      </c>
      <c r="B469" s="4">
        <v>0.45833333333333331</v>
      </c>
      <c r="C469" s="1" t="s">
        <v>68</v>
      </c>
      <c r="E469">
        <v>228</v>
      </c>
      <c r="J469">
        <v>2</v>
      </c>
      <c r="K469" s="1" t="s">
        <v>70</v>
      </c>
    </row>
    <row r="470" spans="1:11">
      <c r="A470" s="2">
        <v>43915</v>
      </c>
      <c r="B470" s="4">
        <v>0.60416666666666663</v>
      </c>
      <c r="C470" s="1" t="s">
        <v>104</v>
      </c>
      <c r="E470">
        <v>1371</v>
      </c>
      <c r="F470">
        <v>146</v>
      </c>
      <c r="H470">
        <v>28</v>
      </c>
      <c r="J470">
        <v>10</v>
      </c>
      <c r="K470" s="1" t="s">
        <v>106</v>
      </c>
    </row>
    <row r="471" spans="1:11">
      <c r="A471" s="2">
        <v>43915</v>
      </c>
      <c r="B471" s="4">
        <v>0.625</v>
      </c>
      <c r="C471" s="1" t="s">
        <v>34</v>
      </c>
      <c r="E471">
        <v>319</v>
      </c>
      <c r="F471">
        <v>16</v>
      </c>
      <c r="G471">
        <v>5</v>
      </c>
      <c r="H471">
        <v>5</v>
      </c>
      <c r="J471">
        <v>2</v>
      </c>
      <c r="K471" s="1" t="s">
        <v>248</v>
      </c>
    </row>
    <row r="472" spans="1:11">
      <c r="A472" s="2">
        <v>43915</v>
      </c>
      <c r="B472" s="4">
        <v>0.70833333333333337</v>
      </c>
      <c r="C472" s="1" t="s">
        <v>38</v>
      </c>
      <c r="E472">
        <v>9</v>
      </c>
      <c r="K472" s="1" t="s">
        <v>40</v>
      </c>
    </row>
    <row r="473" spans="1:11">
      <c r="A473" s="2">
        <v>43916</v>
      </c>
      <c r="B473" s="4"/>
      <c r="C473" s="1" t="s">
        <v>44</v>
      </c>
      <c r="E473">
        <v>660</v>
      </c>
      <c r="J473">
        <v>7</v>
      </c>
      <c r="K473" s="1" t="s">
        <v>46</v>
      </c>
    </row>
    <row r="474" spans="1:11">
      <c r="A474" s="2">
        <v>43916</v>
      </c>
      <c r="B474" s="4"/>
      <c r="C474" s="1" t="s">
        <v>47</v>
      </c>
      <c r="E474">
        <v>422</v>
      </c>
      <c r="F474">
        <v>68</v>
      </c>
      <c r="G474">
        <v>9</v>
      </c>
      <c r="I474">
        <v>65</v>
      </c>
      <c r="J474">
        <v>5</v>
      </c>
      <c r="K474" s="1" t="s">
        <v>49</v>
      </c>
    </row>
    <row r="475" spans="1:11">
      <c r="A475" s="2">
        <v>43916</v>
      </c>
      <c r="B475" s="4"/>
      <c r="C475" s="1" t="s">
        <v>53</v>
      </c>
      <c r="D475">
        <v>900</v>
      </c>
      <c r="E475">
        <v>56</v>
      </c>
      <c r="K475" s="1" t="s">
        <v>254</v>
      </c>
    </row>
    <row r="476" spans="1:11">
      <c r="A476" s="2">
        <v>43916</v>
      </c>
      <c r="B476" s="4"/>
      <c r="C476" s="1" t="s">
        <v>56</v>
      </c>
      <c r="E476">
        <v>309</v>
      </c>
      <c r="F476">
        <v>44</v>
      </c>
      <c r="G476">
        <v>5</v>
      </c>
      <c r="J476">
        <v>11</v>
      </c>
      <c r="K476" s="1" t="s">
        <v>459</v>
      </c>
    </row>
    <row r="477" spans="1:11">
      <c r="A477" s="2">
        <v>43916</v>
      </c>
      <c r="B477" s="4"/>
      <c r="C477" s="1" t="s">
        <v>58</v>
      </c>
      <c r="D477">
        <v>8876</v>
      </c>
      <c r="E477">
        <v>1979</v>
      </c>
      <c r="F477">
        <v>272</v>
      </c>
      <c r="G477">
        <v>52</v>
      </c>
      <c r="H477">
        <v>48</v>
      </c>
      <c r="I477">
        <v>144</v>
      </c>
      <c r="J477">
        <v>26</v>
      </c>
      <c r="K477" s="1" t="s">
        <v>60</v>
      </c>
    </row>
    <row r="478" spans="1:11">
      <c r="A478" s="2">
        <v>43916</v>
      </c>
      <c r="B478" s="4"/>
      <c r="C478" s="1" t="s">
        <v>61</v>
      </c>
      <c r="E478">
        <v>43</v>
      </c>
      <c r="F478">
        <v>2</v>
      </c>
      <c r="J478">
        <v>0</v>
      </c>
      <c r="K478" s="1" t="s">
        <v>446</v>
      </c>
    </row>
    <row r="479" spans="1:11">
      <c r="A479" s="2">
        <v>43916</v>
      </c>
      <c r="B479" s="4"/>
      <c r="C479" s="1" t="s">
        <v>63</v>
      </c>
      <c r="E479">
        <v>433</v>
      </c>
      <c r="F479">
        <v>52</v>
      </c>
      <c r="J479">
        <v>8</v>
      </c>
      <c r="K479" s="1" t="s">
        <v>65</v>
      </c>
    </row>
    <row r="480" spans="1:11">
      <c r="A480" s="2">
        <v>43916</v>
      </c>
      <c r="B480" s="4"/>
      <c r="C480" s="1" t="s">
        <v>66</v>
      </c>
      <c r="E480">
        <v>100</v>
      </c>
      <c r="F480">
        <v>22</v>
      </c>
      <c r="G480">
        <v>4</v>
      </c>
      <c r="J480">
        <v>0</v>
      </c>
      <c r="K480" s="1" t="s">
        <v>483</v>
      </c>
    </row>
    <row r="481" spans="1:11">
      <c r="A481" s="2">
        <v>43916</v>
      </c>
      <c r="B481" s="4"/>
      <c r="C481" s="1" t="s">
        <v>71</v>
      </c>
      <c r="E481">
        <v>299</v>
      </c>
      <c r="F481">
        <v>42</v>
      </c>
      <c r="G481">
        <v>9</v>
      </c>
      <c r="H481">
        <v>7</v>
      </c>
      <c r="J481">
        <v>12</v>
      </c>
      <c r="K481" s="1" t="s">
        <v>434</v>
      </c>
    </row>
    <row r="482" spans="1:11">
      <c r="A482" s="2">
        <v>43916</v>
      </c>
      <c r="B482" s="4"/>
      <c r="C482" s="1" t="s">
        <v>73</v>
      </c>
      <c r="E482">
        <v>48</v>
      </c>
      <c r="F482">
        <v>2</v>
      </c>
      <c r="K482" s="1" t="s">
        <v>409</v>
      </c>
    </row>
    <row r="483" spans="1:11">
      <c r="A483" s="2">
        <v>43916</v>
      </c>
      <c r="B483" s="4"/>
      <c r="C483" s="1" t="s">
        <v>75</v>
      </c>
      <c r="E483">
        <v>30</v>
      </c>
      <c r="K483" s="1" t="s">
        <v>77</v>
      </c>
    </row>
    <row r="484" spans="1:11">
      <c r="A484" s="2">
        <v>43916</v>
      </c>
      <c r="B484" s="4"/>
      <c r="C484" s="1" t="s">
        <v>78</v>
      </c>
      <c r="E484">
        <v>306</v>
      </c>
      <c r="J484">
        <v>2</v>
      </c>
      <c r="K484" s="1" t="s">
        <v>80</v>
      </c>
    </row>
    <row r="485" spans="1:11">
      <c r="A485" s="2">
        <v>43916</v>
      </c>
      <c r="B485" s="4"/>
      <c r="C485" s="1" t="s">
        <v>81</v>
      </c>
      <c r="E485">
        <v>36</v>
      </c>
      <c r="F485">
        <v>6</v>
      </c>
      <c r="G485">
        <v>1</v>
      </c>
      <c r="J485">
        <v>0</v>
      </c>
      <c r="K485" s="1" t="s">
        <v>460</v>
      </c>
    </row>
    <row r="486" spans="1:11">
      <c r="A486" s="2">
        <v>43916</v>
      </c>
      <c r="B486" s="4"/>
      <c r="C486" s="1" t="s">
        <v>86</v>
      </c>
      <c r="E486">
        <v>107</v>
      </c>
      <c r="I486">
        <v>20</v>
      </c>
      <c r="J486">
        <v>0</v>
      </c>
      <c r="K486" s="1" t="s">
        <v>461</v>
      </c>
    </row>
    <row r="487" spans="1:11">
      <c r="A487" s="2">
        <v>43916</v>
      </c>
      <c r="B487" s="4"/>
      <c r="C487" s="1" t="s">
        <v>88</v>
      </c>
      <c r="E487">
        <v>110</v>
      </c>
      <c r="J487">
        <v>1</v>
      </c>
      <c r="K487" s="1" t="s">
        <v>90</v>
      </c>
    </row>
    <row r="488" spans="1:11">
      <c r="A488" s="2">
        <v>43916</v>
      </c>
      <c r="B488" s="4"/>
      <c r="C488" s="1" t="s">
        <v>94</v>
      </c>
      <c r="E488">
        <v>38</v>
      </c>
      <c r="F488">
        <v>4</v>
      </c>
      <c r="I488">
        <v>2</v>
      </c>
      <c r="K488" s="1" t="s">
        <v>226</v>
      </c>
    </row>
    <row r="489" spans="1:11">
      <c r="A489" s="2">
        <v>43916</v>
      </c>
      <c r="B489" s="4"/>
      <c r="C489" s="1" t="s">
        <v>97</v>
      </c>
      <c r="E489">
        <v>2945</v>
      </c>
      <c r="F489">
        <v>325</v>
      </c>
      <c r="G489">
        <v>55</v>
      </c>
      <c r="J489">
        <v>57</v>
      </c>
      <c r="K489" s="1" t="s">
        <v>99</v>
      </c>
    </row>
    <row r="490" spans="1:11">
      <c r="A490" s="2">
        <v>43916</v>
      </c>
      <c r="B490" s="4"/>
      <c r="C490" s="1" t="s">
        <v>100</v>
      </c>
      <c r="E490">
        <v>874</v>
      </c>
      <c r="F490">
        <v>128</v>
      </c>
      <c r="G490">
        <v>19</v>
      </c>
      <c r="H490">
        <v>17</v>
      </c>
      <c r="J490">
        <v>17</v>
      </c>
      <c r="K490" s="1" t="s">
        <v>484</v>
      </c>
    </row>
    <row r="491" spans="1:11">
      <c r="A491" s="2">
        <v>43916</v>
      </c>
      <c r="B491" s="4">
        <v>0</v>
      </c>
      <c r="C491" s="1" t="s">
        <v>83</v>
      </c>
      <c r="E491">
        <v>141</v>
      </c>
      <c r="J491">
        <v>1</v>
      </c>
      <c r="K491" s="1" t="s">
        <v>85</v>
      </c>
    </row>
    <row r="492" spans="1:11">
      <c r="A492" s="2">
        <v>43916</v>
      </c>
      <c r="B492" s="4">
        <v>0.33333333333333331</v>
      </c>
      <c r="C492" s="1" t="s">
        <v>91</v>
      </c>
      <c r="E492">
        <v>1401</v>
      </c>
      <c r="F492">
        <v>358</v>
      </c>
      <c r="G492">
        <v>60</v>
      </c>
      <c r="H492">
        <v>56</v>
      </c>
      <c r="J492">
        <v>67</v>
      </c>
      <c r="K492" s="1" t="s">
        <v>255</v>
      </c>
    </row>
    <row r="493" spans="1:11">
      <c r="A493" s="2">
        <v>43916</v>
      </c>
      <c r="B493" s="4">
        <v>0.33333333333333331</v>
      </c>
      <c r="C493" s="1" t="s">
        <v>102</v>
      </c>
      <c r="E493">
        <v>87</v>
      </c>
      <c r="F493">
        <v>10</v>
      </c>
      <c r="G493">
        <v>1</v>
      </c>
      <c r="I493">
        <v>18</v>
      </c>
      <c r="J493">
        <v>0</v>
      </c>
      <c r="K493" s="1" t="s">
        <v>440</v>
      </c>
    </row>
    <row r="494" spans="1:11">
      <c r="A494" s="2">
        <v>43916</v>
      </c>
      <c r="B494" s="4">
        <v>0.4375</v>
      </c>
      <c r="C494" s="1" t="s">
        <v>50</v>
      </c>
      <c r="E494">
        <v>501</v>
      </c>
      <c r="F494">
        <v>74</v>
      </c>
      <c r="G494">
        <v>8</v>
      </c>
      <c r="I494">
        <v>155</v>
      </c>
      <c r="J494">
        <v>12</v>
      </c>
      <c r="K494" s="1" t="s">
        <v>253</v>
      </c>
    </row>
    <row r="495" spans="1:11">
      <c r="A495" s="2">
        <v>43916</v>
      </c>
      <c r="B495" s="4">
        <v>0.45833333333333331</v>
      </c>
      <c r="C495" s="1" t="s">
        <v>68</v>
      </c>
      <c r="E495">
        <v>253</v>
      </c>
      <c r="J495">
        <v>3</v>
      </c>
      <c r="K495" s="1" t="s">
        <v>70</v>
      </c>
    </row>
    <row r="496" spans="1:11">
      <c r="A496" s="2">
        <v>43916</v>
      </c>
      <c r="B496" s="4">
        <v>0.60416666666666663</v>
      </c>
      <c r="C496" s="1" t="s">
        <v>104</v>
      </c>
      <c r="E496">
        <v>1503</v>
      </c>
      <c r="F496">
        <v>156</v>
      </c>
      <c r="H496">
        <v>35</v>
      </c>
      <c r="J496">
        <v>13</v>
      </c>
      <c r="K496" s="1" t="s">
        <v>106</v>
      </c>
    </row>
    <row r="497" spans="1:11">
      <c r="A497" s="2">
        <v>43916</v>
      </c>
      <c r="B497" s="4">
        <v>0.625</v>
      </c>
      <c r="C497" s="1" t="s">
        <v>34</v>
      </c>
      <c r="E497">
        <v>349</v>
      </c>
      <c r="F497">
        <v>38</v>
      </c>
      <c r="G497">
        <v>10</v>
      </c>
      <c r="H497">
        <v>9</v>
      </c>
      <c r="J497">
        <v>2</v>
      </c>
      <c r="K497" s="1" t="s">
        <v>252</v>
      </c>
    </row>
    <row r="498" spans="1:11">
      <c r="A498" s="2">
        <v>43916</v>
      </c>
      <c r="B498" s="4">
        <v>0.66666666666666663</v>
      </c>
      <c r="C498" s="1" t="s">
        <v>41</v>
      </c>
      <c r="E498">
        <v>42</v>
      </c>
      <c r="J498">
        <v>2</v>
      </c>
      <c r="K498" s="1" t="s">
        <v>43</v>
      </c>
    </row>
    <row r="499" spans="1:11">
      <c r="A499" s="2">
        <v>43916</v>
      </c>
      <c r="B499" s="4">
        <v>0.75</v>
      </c>
      <c r="C499" s="1" t="s">
        <v>38</v>
      </c>
      <c r="E499">
        <v>11</v>
      </c>
      <c r="K499" s="1" t="s">
        <v>40</v>
      </c>
    </row>
    <row r="500" spans="1:11">
      <c r="A500" s="2">
        <v>43917</v>
      </c>
      <c r="B500" s="4"/>
      <c r="C500" s="1" t="s">
        <v>44</v>
      </c>
      <c r="E500">
        <v>718</v>
      </c>
      <c r="J500">
        <v>8</v>
      </c>
      <c r="K500" s="1" t="s">
        <v>46</v>
      </c>
    </row>
    <row r="501" spans="1:11">
      <c r="A501" s="2">
        <v>43917</v>
      </c>
      <c r="B501" s="4"/>
      <c r="C501" s="1" t="s">
        <v>47</v>
      </c>
      <c r="E501">
        <v>466</v>
      </c>
      <c r="F501">
        <v>79</v>
      </c>
      <c r="G501">
        <v>11</v>
      </c>
      <c r="I501">
        <v>76</v>
      </c>
      <c r="J501">
        <v>5</v>
      </c>
      <c r="K501" s="1" t="s">
        <v>49</v>
      </c>
    </row>
    <row r="502" spans="1:11">
      <c r="A502" s="2">
        <v>43917</v>
      </c>
      <c r="B502" s="4"/>
      <c r="C502" s="1" t="s">
        <v>53</v>
      </c>
      <c r="E502">
        <v>60</v>
      </c>
      <c r="K502" s="1" t="s">
        <v>258</v>
      </c>
    </row>
    <row r="503" spans="1:11">
      <c r="A503" s="2">
        <v>43917</v>
      </c>
      <c r="B503" s="4"/>
      <c r="C503" s="1" t="s">
        <v>56</v>
      </c>
      <c r="E503">
        <v>369</v>
      </c>
      <c r="F503">
        <v>50</v>
      </c>
      <c r="G503">
        <v>8</v>
      </c>
      <c r="J503">
        <v>14</v>
      </c>
      <c r="K503" s="1" t="s">
        <v>459</v>
      </c>
    </row>
    <row r="504" spans="1:11">
      <c r="A504" s="2">
        <v>43917</v>
      </c>
      <c r="B504" s="4"/>
      <c r="C504" s="1" t="s">
        <v>58</v>
      </c>
      <c r="D504">
        <v>9266</v>
      </c>
      <c r="E504">
        <v>2164</v>
      </c>
      <c r="F504">
        <v>313</v>
      </c>
      <c r="G504">
        <v>54</v>
      </c>
      <c r="H504">
        <v>54</v>
      </c>
      <c r="I504">
        <v>153</v>
      </c>
      <c r="J504">
        <v>33</v>
      </c>
      <c r="K504" s="1" t="s">
        <v>60</v>
      </c>
    </row>
    <row r="505" spans="1:11">
      <c r="A505" s="2">
        <v>43917</v>
      </c>
      <c r="B505" s="4"/>
      <c r="C505" s="1" t="s">
        <v>61</v>
      </c>
      <c r="E505">
        <v>47</v>
      </c>
      <c r="F505">
        <v>3</v>
      </c>
      <c r="J505">
        <v>0</v>
      </c>
      <c r="K505" s="1" t="s">
        <v>446</v>
      </c>
    </row>
    <row r="506" spans="1:11">
      <c r="A506" s="2">
        <v>43917</v>
      </c>
      <c r="B506" s="4"/>
      <c r="C506" s="1" t="s">
        <v>63</v>
      </c>
      <c r="E506">
        <v>474</v>
      </c>
      <c r="F506">
        <v>58</v>
      </c>
      <c r="J506">
        <v>9</v>
      </c>
      <c r="K506" s="1" t="s">
        <v>65</v>
      </c>
    </row>
    <row r="507" spans="1:11">
      <c r="A507" s="2">
        <v>43917</v>
      </c>
      <c r="B507" s="4"/>
      <c r="C507" s="1" t="s">
        <v>66</v>
      </c>
      <c r="E507">
        <v>114</v>
      </c>
      <c r="F507">
        <v>25</v>
      </c>
      <c r="G507">
        <v>6</v>
      </c>
      <c r="J507">
        <v>0</v>
      </c>
      <c r="K507" s="1" t="s">
        <v>483</v>
      </c>
    </row>
    <row r="508" spans="1:11">
      <c r="A508" s="2">
        <v>43917</v>
      </c>
      <c r="B508" s="4"/>
      <c r="C508" s="1" t="s">
        <v>71</v>
      </c>
      <c r="E508">
        <v>316</v>
      </c>
      <c r="F508">
        <v>45</v>
      </c>
      <c r="G508">
        <v>9</v>
      </c>
      <c r="H508">
        <v>7</v>
      </c>
      <c r="J508">
        <v>13</v>
      </c>
      <c r="K508" s="1" t="s">
        <v>434</v>
      </c>
    </row>
    <row r="509" spans="1:11">
      <c r="A509" s="2">
        <v>43917</v>
      </c>
      <c r="B509" s="4"/>
      <c r="C509" s="1" t="s">
        <v>73</v>
      </c>
      <c r="E509">
        <v>54</v>
      </c>
      <c r="F509">
        <v>3</v>
      </c>
      <c r="K509" s="1" t="s">
        <v>409</v>
      </c>
    </row>
    <row r="510" spans="1:11">
      <c r="A510" s="2">
        <v>43917</v>
      </c>
      <c r="B510" s="4"/>
      <c r="C510" s="1" t="s">
        <v>75</v>
      </c>
      <c r="E510">
        <v>37</v>
      </c>
      <c r="K510" s="1" t="s">
        <v>77</v>
      </c>
    </row>
    <row r="511" spans="1:11">
      <c r="A511" s="2">
        <v>43917</v>
      </c>
      <c r="B511" s="4"/>
      <c r="C511" s="1" t="s">
        <v>81</v>
      </c>
      <c r="E511">
        <v>37</v>
      </c>
      <c r="F511">
        <v>10</v>
      </c>
      <c r="G511">
        <v>1</v>
      </c>
      <c r="J511">
        <v>0</v>
      </c>
      <c r="K511" s="1" t="s">
        <v>460</v>
      </c>
    </row>
    <row r="512" spans="1:11">
      <c r="A512" s="2">
        <v>43917</v>
      </c>
      <c r="B512" s="4"/>
      <c r="C512" s="1" t="s">
        <v>86</v>
      </c>
      <c r="E512">
        <v>119</v>
      </c>
      <c r="I512">
        <v>32</v>
      </c>
      <c r="J512">
        <v>1</v>
      </c>
      <c r="K512" s="1" t="s">
        <v>461</v>
      </c>
    </row>
    <row r="513" spans="1:11">
      <c r="A513" s="2">
        <v>43917</v>
      </c>
      <c r="B513" s="4"/>
      <c r="C513" s="1" t="s">
        <v>88</v>
      </c>
      <c r="E513">
        <v>117</v>
      </c>
      <c r="J513">
        <v>2</v>
      </c>
      <c r="K513" s="1" t="s">
        <v>259</v>
      </c>
    </row>
    <row r="514" spans="1:11">
      <c r="A514" s="2">
        <v>43917</v>
      </c>
      <c r="B514" s="4"/>
      <c r="C514" s="1" t="s">
        <v>94</v>
      </c>
      <c r="E514">
        <v>40</v>
      </c>
      <c r="F514">
        <v>7</v>
      </c>
      <c r="I514">
        <v>3</v>
      </c>
      <c r="K514" s="1" t="s">
        <v>226</v>
      </c>
    </row>
    <row r="515" spans="1:11">
      <c r="A515" s="2">
        <v>43917</v>
      </c>
      <c r="B515" s="4"/>
      <c r="C515" s="1" t="s">
        <v>97</v>
      </c>
      <c r="E515">
        <v>3179</v>
      </c>
      <c r="F515">
        <v>360</v>
      </c>
      <c r="G515">
        <v>59</v>
      </c>
      <c r="J515">
        <v>61</v>
      </c>
      <c r="K515" s="1" t="s">
        <v>99</v>
      </c>
    </row>
    <row r="516" spans="1:11">
      <c r="A516" s="2">
        <v>43917</v>
      </c>
      <c r="B516" s="4"/>
      <c r="C516" s="1" t="s">
        <v>100</v>
      </c>
      <c r="E516">
        <v>968</v>
      </c>
      <c r="F516">
        <v>137</v>
      </c>
      <c r="G516">
        <v>20</v>
      </c>
      <c r="H516">
        <v>16</v>
      </c>
      <c r="J516">
        <v>21</v>
      </c>
      <c r="K516" s="1" t="s">
        <v>484</v>
      </c>
    </row>
    <row r="517" spans="1:11">
      <c r="A517" s="2">
        <v>43917</v>
      </c>
      <c r="B517" s="4">
        <v>0</v>
      </c>
      <c r="C517" s="1" t="s">
        <v>83</v>
      </c>
      <c r="E517">
        <v>157</v>
      </c>
      <c r="J517">
        <v>1</v>
      </c>
      <c r="K517" s="1" t="s">
        <v>85</v>
      </c>
    </row>
    <row r="518" spans="1:11">
      <c r="A518" s="2">
        <v>43917</v>
      </c>
      <c r="B518" s="4">
        <v>0.33333333333333331</v>
      </c>
      <c r="C518" s="1" t="s">
        <v>91</v>
      </c>
      <c r="E518">
        <v>1688</v>
      </c>
      <c r="F518">
        <v>386</v>
      </c>
      <c r="G518">
        <v>61</v>
      </c>
      <c r="H518">
        <v>51</v>
      </c>
      <c r="J518">
        <v>76</v>
      </c>
      <c r="K518" s="1" t="s">
        <v>260</v>
      </c>
    </row>
    <row r="519" spans="1:11">
      <c r="A519" s="2">
        <v>43917</v>
      </c>
      <c r="B519" s="4">
        <v>0.33333333333333331</v>
      </c>
      <c r="C519" s="1" t="s">
        <v>102</v>
      </c>
      <c r="E519">
        <v>94</v>
      </c>
      <c r="F519">
        <v>12</v>
      </c>
      <c r="G519">
        <v>5</v>
      </c>
      <c r="I519">
        <v>18</v>
      </c>
      <c r="J519">
        <v>0</v>
      </c>
      <c r="K519" s="1" t="s">
        <v>440</v>
      </c>
    </row>
    <row r="520" spans="1:11">
      <c r="A520" s="2">
        <v>43917</v>
      </c>
      <c r="B520" s="4">
        <v>0.41666666666666669</v>
      </c>
      <c r="C520" s="1" t="s">
        <v>50</v>
      </c>
      <c r="E520">
        <v>530</v>
      </c>
      <c r="F520">
        <v>76</v>
      </c>
      <c r="G520">
        <v>8</v>
      </c>
      <c r="I520">
        <v>191</v>
      </c>
      <c r="J520">
        <v>13</v>
      </c>
      <c r="K520" s="1" t="s">
        <v>257</v>
      </c>
    </row>
    <row r="521" spans="1:11">
      <c r="A521" s="2">
        <v>43917</v>
      </c>
      <c r="B521" s="4">
        <v>0.45833333333333331</v>
      </c>
      <c r="C521" s="1" t="s">
        <v>68</v>
      </c>
      <c r="E521">
        <v>287</v>
      </c>
      <c r="J521">
        <v>3</v>
      </c>
      <c r="K521" s="1" t="s">
        <v>70</v>
      </c>
    </row>
    <row r="522" spans="1:11">
      <c r="A522" s="2">
        <v>43917</v>
      </c>
      <c r="B522" s="4">
        <v>0.54166666666666663</v>
      </c>
      <c r="C522" s="1" t="s">
        <v>41</v>
      </c>
      <c r="E522">
        <v>44</v>
      </c>
      <c r="J522">
        <v>2</v>
      </c>
      <c r="K522" s="1" t="s">
        <v>43</v>
      </c>
    </row>
    <row r="523" spans="1:11">
      <c r="A523" s="2">
        <v>43917</v>
      </c>
      <c r="B523" s="4">
        <v>0.60416666666666663</v>
      </c>
      <c r="C523" s="1" t="s">
        <v>104</v>
      </c>
      <c r="E523">
        <v>1630</v>
      </c>
      <c r="F523">
        <v>171</v>
      </c>
      <c r="H523">
        <v>38</v>
      </c>
      <c r="J523">
        <v>15</v>
      </c>
      <c r="K523" s="1" t="s">
        <v>106</v>
      </c>
    </row>
    <row r="524" spans="1:11">
      <c r="A524" s="2">
        <v>43917</v>
      </c>
      <c r="B524" s="4">
        <v>0.625</v>
      </c>
      <c r="C524" s="1" t="s">
        <v>34</v>
      </c>
      <c r="E524">
        <v>364</v>
      </c>
      <c r="F524">
        <v>50</v>
      </c>
      <c r="G524">
        <v>12</v>
      </c>
      <c r="H524">
        <v>10</v>
      </c>
      <c r="J524">
        <v>3</v>
      </c>
      <c r="K524" s="1" t="s">
        <v>256</v>
      </c>
    </row>
    <row r="525" spans="1:11">
      <c r="A525" s="2">
        <v>43917</v>
      </c>
      <c r="B525" s="4">
        <v>0.75</v>
      </c>
      <c r="C525" s="1" t="s">
        <v>38</v>
      </c>
      <c r="E525">
        <v>12</v>
      </c>
      <c r="K525" s="1" t="s">
        <v>40</v>
      </c>
    </row>
    <row r="526" spans="1:11">
      <c r="A526" s="2">
        <v>43918</v>
      </c>
      <c r="B526" s="4"/>
      <c r="C526" s="1" t="s">
        <v>44</v>
      </c>
      <c r="E526">
        <v>767</v>
      </c>
      <c r="J526">
        <v>9</v>
      </c>
      <c r="K526" s="1" t="s">
        <v>46</v>
      </c>
    </row>
    <row r="527" spans="1:11">
      <c r="A527" s="2">
        <v>43918</v>
      </c>
      <c r="B527" s="4"/>
      <c r="C527" s="1" t="s">
        <v>47</v>
      </c>
      <c r="E527">
        <v>502</v>
      </c>
      <c r="F527">
        <v>75</v>
      </c>
      <c r="G527">
        <v>14</v>
      </c>
      <c r="H527">
        <v>13</v>
      </c>
      <c r="I527">
        <v>100</v>
      </c>
      <c r="J527">
        <v>6</v>
      </c>
      <c r="K527" s="1" t="s">
        <v>49</v>
      </c>
    </row>
    <row r="528" spans="1:11">
      <c r="A528" s="2">
        <v>43918</v>
      </c>
      <c r="B528" s="4"/>
      <c r="C528" s="1" t="s">
        <v>53</v>
      </c>
      <c r="E528">
        <v>61</v>
      </c>
      <c r="K528" s="1" t="s">
        <v>262</v>
      </c>
    </row>
    <row r="529" spans="1:11">
      <c r="A529" s="2">
        <v>43918</v>
      </c>
      <c r="B529" s="4"/>
      <c r="C529" s="1" t="s">
        <v>56</v>
      </c>
      <c r="E529">
        <v>421</v>
      </c>
      <c r="F529">
        <v>67</v>
      </c>
      <c r="G529">
        <v>12</v>
      </c>
      <c r="J529">
        <v>15</v>
      </c>
      <c r="K529" s="1" t="s">
        <v>459</v>
      </c>
    </row>
    <row r="530" spans="1:11">
      <c r="A530" s="2">
        <v>43918</v>
      </c>
      <c r="B530" s="4"/>
      <c r="C530" s="1" t="s">
        <v>58</v>
      </c>
      <c r="D530">
        <v>9859</v>
      </c>
      <c r="E530">
        <v>2360</v>
      </c>
      <c r="F530">
        <v>339</v>
      </c>
      <c r="G530">
        <v>59</v>
      </c>
      <c r="H530">
        <v>54</v>
      </c>
      <c r="I530">
        <v>175</v>
      </c>
      <c r="J530">
        <v>41</v>
      </c>
      <c r="K530" s="1" t="s">
        <v>60</v>
      </c>
    </row>
    <row r="531" spans="1:11">
      <c r="A531" s="2">
        <v>43918</v>
      </c>
      <c r="B531" s="4"/>
      <c r="C531" s="1" t="s">
        <v>61</v>
      </c>
      <c r="E531">
        <v>47</v>
      </c>
      <c r="F531">
        <v>3</v>
      </c>
      <c r="J531">
        <v>1</v>
      </c>
      <c r="K531" s="1" t="s">
        <v>446</v>
      </c>
    </row>
    <row r="532" spans="1:11">
      <c r="A532" s="2">
        <v>43918</v>
      </c>
      <c r="B532" s="4"/>
      <c r="C532" s="1" t="s">
        <v>63</v>
      </c>
      <c r="E532">
        <v>495</v>
      </c>
      <c r="F532">
        <v>63</v>
      </c>
      <c r="J532">
        <v>12</v>
      </c>
      <c r="K532" s="1" t="s">
        <v>65</v>
      </c>
    </row>
    <row r="533" spans="1:11">
      <c r="A533" s="2">
        <v>43918</v>
      </c>
      <c r="B533" s="4"/>
      <c r="C533" s="1" t="s">
        <v>66</v>
      </c>
      <c r="E533">
        <v>119</v>
      </c>
      <c r="F533">
        <v>27</v>
      </c>
      <c r="G533">
        <v>5</v>
      </c>
      <c r="J533">
        <v>0</v>
      </c>
      <c r="K533" s="1" t="s">
        <v>483</v>
      </c>
    </row>
    <row r="534" spans="1:11">
      <c r="A534" s="2">
        <v>43918</v>
      </c>
      <c r="B534" s="4"/>
      <c r="C534" s="1" t="s">
        <v>71</v>
      </c>
      <c r="E534">
        <v>337</v>
      </c>
      <c r="F534">
        <v>50</v>
      </c>
      <c r="G534">
        <v>11</v>
      </c>
      <c r="H534">
        <v>8</v>
      </c>
      <c r="J534">
        <v>15</v>
      </c>
      <c r="K534" s="1" t="s">
        <v>434</v>
      </c>
    </row>
    <row r="535" spans="1:11">
      <c r="A535" s="2">
        <v>43918</v>
      </c>
      <c r="B535" s="4"/>
      <c r="C535" s="1" t="s">
        <v>73</v>
      </c>
      <c r="E535">
        <v>55</v>
      </c>
      <c r="F535">
        <v>4</v>
      </c>
      <c r="K535" s="1" t="s">
        <v>409</v>
      </c>
    </row>
    <row r="536" spans="1:11">
      <c r="A536" s="2">
        <v>43918</v>
      </c>
      <c r="B536" s="4"/>
      <c r="C536" s="1" t="s">
        <v>78</v>
      </c>
      <c r="E536">
        <v>339</v>
      </c>
      <c r="J536">
        <v>5</v>
      </c>
      <c r="K536" s="1" t="s">
        <v>80</v>
      </c>
    </row>
    <row r="537" spans="1:11">
      <c r="A537" s="2">
        <v>43918</v>
      </c>
      <c r="B537" s="4"/>
      <c r="C537" s="1" t="s">
        <v>81</v>
      </c>
      <c r="E537">
        <v>40</v>
      </c>
      <c r="F537">
        <v>14</v>
      </c>
      <c r="G537">
        <v>1</v>
      </c>
      <c r="J537">
        <v>0</v>
      </c>
      <c r="K537" s="1" t="s">
        <v>460</v>
      </c>
    </row>
    <row r="538" spans="1:11">
      <c r="A538" s="2">
        <v>43918</v>
      </c>
      <c r="B538" s="4"/>
      <c r="C538" s="1" t="s">
        <v>86</v>
      </c>
      <c r="E538">
        <v>122</v>
      </c>
      <c r="I538">
        <v>33</v>
      </c>
      <c r="J538">
        <v>1</v>
      </c>
      <c r="K538" s="1" t="s">
        <v>461</v>
      </c>
    </row>
    <row r="539" spans="1:11">
      <c r="A539" s="2">
        <v>43918</v>
      </c>
      <c r="B539" s="4"/>
      <c r="C539" s="1" t="s">
        <v>88</v>
      </c>
      <c r="E539">
        <v>134</v>
      </c>
      <c r="J539">
        <v>2</v>
      </c>
      <c r="K539" s="1" t="s">
        <v>90</v>
      </c>
    </row>
    <row r="540" spans="1:11">
      <c r="A540" s="2">
        <v>43918</v>
      </c>
      <c r="B540" s="4"/>
      <c r="C540" s="1" t="s">
        <v>94</v>
      </c>
      <c r="E540">
        <v>48</v>
      </c>
      <c r="F540">
        <v>7</v>
      </c>
      <c r="I540">
        <v>3</v>
      </c>
      <c r="K540" s="1" t="s">
        <v>226</v>
      </c>
    </row>
    <row r="541" spans="1:11">
      <c r="A541" s="2">
        <v>43918</v>
      </c>
      <c r="B541" s="4"/>
      <c r="C541" s="1" t="s">
        <v>97</v>
      </c>
      <c r="E541">
        <v>3310</v>
      </c>
      <c r="F541">
        <v>369</v>
      </c>
      <c r="G541">
        <v>61</v>
      </c>
      <c r="J541">
        <v>72</v>
      </c>
      <c r="K541" s="1" t="s">
        <v>99</v>
      </c>
    </row>
    <row r="542" spans="1:11">
      <c r="A542" s="2">
        <v>43918</v>
      </c>
      <c r="B542" s="4"/>
      <c r="C542" s="1" t="s">
        <v>100</v>
      </c>
      <c r="E542">
        <v>1017</v>
      </c>
      <c r="F542">
        <v>142</v>
      </c>
      <c r="G542">
        <v>21</v>
      </c>
      <c r="H542">
        <v>19</v>
      </c>
      <c r="J542">
        <v>25</v>
      </c>
      <c r="K542" s="1" t="s">
        <v>484</v>
      </c>
    </row>
    <row r="543" spans="1:11">
      <c r="A543" s="2">
        <v>43918</v>
      </c>
      <c r="B543" s="4">
        <v>0</v>
      </c>
      <c r="C543" s="1" t="s">
        <v>83</v>
      </c>
      <c r="E543">
        <v>173</v>
      </c>
      <c r="J543">
        <v>1</v>
      </c>
      <c r="K543" s="1" t="s">
        <v>85</v>
      </c>
    </row>
    <row r="544" spans="1:11">
      <c r="A544" s="2">
        <v>43918</v>
      </c>
      <c r="B544" s="4">
        <v>0.33333333333333331</v>
      </c>
      <c r="C544" s="1" t="s">
        <v>41</v>
      </c>
      <c r="E544">
        <v>45</v>
      </c>
      <c r="J544">
        <v>2</v>
      </c>
      <c r="K544" s="1" t="s">
        <v>43</v>
      </c>
    </row>
    <row r="545" spans="1:11">
      <c r="A545" s="2">
        <v>43918</v>
      </c>
      <c r="B545" s="4">
        <v>0.33333333333333331</v>
      </c>
      <c r="C545" s="1" t="s">
        <v>91</v>
      </c>
      <c r="E545">
        <v>1727</v>
      </c>
      <c r="F545">
        <v>385</v>
      </c>
      <c r="G545">
        <v>69</v>
      </c>
      <c r="H545">
        <v>60</v>
      </c>
      <c r="J545">
        <v>87</v>
      </c>
      <c r="K545" s="1" t="s">
        <v>263</v>
      </c>
    </row>
    <row r="546" spans="1:11">
      <c r="A546" s="2">
        <v>43918</v>
      </c>
      <c r="B546" s="4">
        <v>0.33333333333333331</v>
      </c>
      <c r="C546" s="1" t="s">
        <v>102</v>
      </c>
      <c r="E546">
        <v>101</v>
      </c>
      <c r="F546">
        <v>12</v>
      </c>
      <c r="G546">
        <v>5</v>
      </c>
      <c r="I546">
        <v>21</v>
      </c>
      <c r="J546">
        <v>1</v>
      </c>
      <c r="K546" s="1" t="s">
        <v>440</v>
      </c>
    </row>
    <row r="547" spans="1:11">
      <c r="A547" s="2">
        <v>43918</v>
      </c>
      <c r="B547" s="4">
        <v>0.41666666666666669</v>
      </c>
      <c r="C547" s="1" t="s">
        <v>50</v>
      </c>
      <c r="E547">
        <v>569</v>
      </c>
      <c r="F547">
        <v>79</v>
      </c>
      <c r="G547">
        <v>11</v>
      </c>
      <c r="I547">
        <v>211</v>
      </c>
      <c r="J547">
        <v>13</v>
      </c>
      <c r="K547" s="1" t="s">
        <v>261</v>
      </c>
    </row>
    <row r="548" spans="1:11">
      <c r="A548" s="2">
        <v>43918</v>
      </c>
      <c r="B548" s="4">
        <v>0.45833333333333331</v>
      </c>
      <c r="C548" s="1" t="s">
        <v>68</v>
      </c>
      <c r="E548">
        <v>317</v>
      </c>
      <c r="J548">
        <v>4</v>
      </c>
      <c r="K548" s="1" t="s">
        <v>70</v>
      </c>
    </row>
    <row r="549" spans="1:11">
      <c r="A549" s="2">
        <v>43918</v>
      </c>
      <c r="B549" s="4">
        <v>0.60416666666666663</v>
      </c>
      <c r="C549" s="1" t="s">
        <v>104</v>
      </c>
      <c r="E549">
        <v>1704</v>
      </c>
      <c r="F549">
        <v>187</v>
      </c>
      <c r="H549">
        <v>42</v>
      </c>
      <c r="J549">
        <v>19</v>
      </c>
      <c r="K549" s="1" t="s">
        <v>106</v>
      </c>
    </row>
    <row r="550" spans="1:11">
      <c r="A550" s="2">
        <v>43918</v>
      </c>
      <c r="B550" s="4">
        <v>0.75</v>
      </c>
      <c r="C550" s="1" t="s">
        <v>38</v>
      </c>
      <c r="E550">
        <v>13</v>
      </c>
      <c r="K550" s="1" t="s">
        <v>40</v>
      </c>
    </row>
    <row r="551" spans="1:11">
      <c r="A551" s="2">
        <v>43919</v>
      </c>
      <c r="B551" s="4"/>
      <c r="C551" s="1" t="s">
        <v>44</v>
      </c>
      <c r="E551">
        <v>798</v>
      </c>
      <c r="J551">
        <v>10</v>
      </c>
      <c r="K551" s="1" t="s">
        <v>46</v>
      </c>
    </row>
    <row r="552" spans="1:11">
      <c r="A552" s="2">
        <v>43919</v>
      </c>
      <c r="B552" s="4"/>
      <c r="C552" s="1" t="s">
        <v>47</v>
      </c>
      <c r="E552">
        <v>511</v>
      </c>
      <c r="F552">
        <v>99</v>
      </c>
      <c r="G552">
        <v>15</v>
      </c>
      <c r="H552">
        <v>14</v>
      </c>
      <c r="I552">
        <v>115</v>
      </c>
      <c r="J552">
        <v>6</v>
      </c>
      <c r="K552" s="1" t="s">
        <v>49</v>
      </c>
    </row>
    <row r="553" spans="1:11">
      <c r="A553" s="2">
        <v>43919</v>
      </c>
      <c r="B553" s="4"/>
      <c r="C553" s="1" t="s">
        <v>53</v>
      </c>
      <c r="E553">
        <v>62</v>
      </c>
      <c r="K553" s="1" t="s">
        <v>265</v>
      </c>
    </row>
    <row r="554" spans="1:11">
      <c r="A554" s="2">
        <v>43919</v>
      </c>
      <c r="B554" s="4"/>
      <c r="C554" s="1" t="s">
        <v>56</v>
      </c>
      <c r="E554">
        <v>442</v>
      </c>
      <c r="F554">
        <v>76</v>
      </c>
      <c r="G554">
        <v>13</v>
      </c>
      <c r="J554">
        <v>15</v>
      </c>
      <c r="K554" s="1" t="s">
        <v>459</v>
      </c>
    </row>
    <row r="555" spans="1:11">
      <c r="A555" s="2">
        <v>43919</v>
      </c>
      <c r="B555" s="4"/>
      <c r="C555" s="1" t="s">
        <v>58</v>
      </c>
      <c r="D555">
        <v>10168</v>
      </c>
      <c r="E555">
        <v>2466</v>
      </c>
      <c r="F555">
        <v>365</v>
      </c>
      <c r="G555">
        <v>59</v>
      </c>
      <c r="H555">
        <v>55</v>
      </c>
      <c r="I555">
        <v>193</v>
      </c>
      <c r="J555">
        <v>49</v>
      </c>
      <c r="K555" s="1" t="s">
        <v>60</v>
      </c>
    </row>
    <row r="556" spans="1:11">
      <c r="A556" s="2">
        <v>43919</v>
      </c>
      <c r="B556" s="4"/>
      <c r="C556" s="1" t="s">
        <v>61</v>
      </c>
      <c r="E556">
        <v>50</v>
      </c>
      <c r="F556">
        <v>2</v>
      </c>
      <c r="J556">
        <v>1</v>
      </c>
      <c r="K556" s="1" t="s">
        <v>446</v>
      </c>
    </row>
    <row r="557" spans="1:11">
      <c r="A557" s="2">
        <v>43919</v>
      </c>
      <c r="B557" s="4"/>
      <c r="C557" s="1" t="s">
        <v>63</v>
      </c>
      <c r="E557">
        <v>519</v>
      </c>
      <c r="F557">
        <v>63</v>
      </c>
      <c r="J557">
        <v>15</v>
      </c>
      <c r="K557" s="1" t="s">
        <v>65</v>
      </c>
    </row>
    <row r="558" spans="1:11">
      <c r="A558" s="2">
        <v>43919</v>
      </c>
      <c r="B558" s="4"/>
      <c r="C558" s="1" t="s">
        <v>66</v>
      </c>
      <c r="E558">
        <v>127</v>
      </c>
      <c r="F558">
        <v>28</v>
      </c>
      <c r="G558">
        <v>5</v>
      </c>
      <c r="J558">
        <v>0</v>
      </c>
      <c r="K558" s="1" t="s">
        <v>483</v>
      </c>
    </row>
    <row r="559" spans="1:11">
      <c r="A559" s="2">
        <v>43919</v>
      </c>
      <c r="B559" s="4"/>
      <c r="C559" s="1" t="s">
        <v>71</v>
      </c>
      <c r="E559">
        <v>346</v>
      </c>
      <c r="F559">
        <v>60</v>
      </c>
      <c r="G559">
        <v>16</v>
      </c>
      <c r="H559">
        <v>6</v>
      </c>
      <c r="J559">
        <v>18</v>
      </c>
      <c r="K559" s="1" t="s">
        <v>434</v>
      </c>
    </row>
    <row r="560" spans="1:11">
      <c r="A560" s="2">
        <v>43919</v>
      </c>
      <c r="B560" s="4"/>
      <c r="C560" s="1" t="s">
        <v>73</v>
      </c>
      <c r="E560">
        <v>59</v>
      </c>
      <c r="F560">
        <v>4</v>
      </c>
      <c r="K560" s="1" t="s">
        <v>409</v>
      </c>
    </row>
    <row r="561" spans="1:11">
      <c r="A561" s="2">
        <v>43919</v>
      </c>
      <c r="B561" s="4"/>
      <c r="C561" s="1" t="s">
        <v>78</v>
      </c>
      <c r="E561">
        <v>365</v>
      </c>
      <c r="J561">
        <v>5</v>
      </c>
      <c r="K561" s="1" t="s">
        <v>80</v>
      </c>
    </row>
    <row r="562" spans="1:11">
      <c r="A562" s="2">
        <v>43919</v>
      </c>
      <c r="B562" s="4"/>
      <c r="C562" s="1" t="s">
        <v>81</v>
      </c>
      <c r="E562">
        <v>41</v>
      </c>
      <c r="F562">
        <v>15</v>
      </c>
      <c r="G562">
        <v>1</v>
      </c>
      <c r="J562">
        <v>0</v>
      </c>
      <c r="K562" s="1" t="s">
        <v>460</v>
      </c>
    </row>
    <row r="563" spans="1:11">
      <c r="A563" s="2">
        <v>43919</v>
      </c>
      <c r="B563" s="4"/>
      <c r="C563" s="1" t="s">
        <v>86</v>
      </c>
      <c r="E563">
        <v>128</v>
      </c>
      <c r="I563">
        <v>33</v>
      </c>
      <c r="J563">
        <v>2</v>
      </c>
      <c r="K563" s="1" t="s">
        <v>461</v>
      </c>
    </row>
    <row r="564" spans="1:11">
      <c r="A564" s="2">
        <v>43919</v>
      </c>
      <c r="B564" s="4"/>
      <c r="C564" s="1" t="s">
        <v>88</v>
      </c>
      <c r="E564">
        <v>138</v>
      </c>
      <c r="J564">
        <v>2</v>
      </c>
      <c r="K564" s="1" t="s">
        <v>90</v>
      </c>
    </row>
    <row r="565" spans="1:11">
      <c r="A565" s="2">
        <v>43919</v>
      </c>
      <c r="B565" s="4"/>
      <c r="C565" s="1" t="s">
        <v>94</v>
      </c>
      <c r="E565">
        <v>50</v>
      </c>
      <c r="F565">
        <v>7</v>
      </c>
      <c r="I565">
        <v>3</v>
      </c>
      <c r="K565" s="1" t="s">
        <v>226</v>
      </c>
    </row>
    <row r="566" spans="1:11">
      <c r="A566" s="2">
        <v>43919</v>
      </c>
      <c r="B566" s="4"/>
      <c r="C566" s="1" t="s">
        <v>97</v>
      </c>
      <c r="E566">
        <v>3395</v>
      </c>
      <c r="F566">
        <v>371</v>
      </c>
      <c r="G566">
        <v>62</v>
      </c>
      <c r="J566">
        <v>81</v>
      </c>
      <c r="K566" s="1" t="s">
        <v>99</v>
      </c>
    </row>
    <row r="567" spans="1:11">
      <c r="A567" s="2">
        <v>43919</v>
      </c>
      <c r="B567" s="4"/>
      <c r="C567" s="1" t="s">
        <v>100</v>
      </c>
      <c r="E567">
        <v>1055</v>
      </c>
      <c r="F567">
        <v>152</v>
      </c>
      <c r="G567">
        <v>22</v>
      </c>
      <c r="H567">
        <v>21</v>
      </c>
      <c r="J567">
        <v>31</v>
      </c>
      <c r="K567" s="1" t="s">
        <v>484</v>
      </c>
    </row>
    <row r="568" spans="1:11">
      <c r="A568" s="2">
        <v>43919</v>
      </c>
      <c r="B568" s="4">
        <v>0</v>
      </c>
      <c r="C568" s="1" t="s">
        <v>83</v>
      </c>
      <c r="E568">
        <v>190</v>
      </c>
      <c r="J568">
        <v>2</v>
      </c>
      <c r="K568" s="1" t="s">
        <v>85</v>
      </c>
    </row>
    <row r="569" spans="1:11">
      <c r="A569" s="2">
        <v>43919</v>
      </c>
      <c r="B569" s="4">
        <v>0.33333333333333331</v>
      </c>
      <c r="C569" s="1" t="s">
        <v>41</v>
      </c>
      <c r="E569">
        <v>48</v>
      </c>
      <c r="J569">
        <v>2</v>
      </c>
      <c r="K569" s="1" t="s">
        <v>43</v>
      </c>
    </row>
    <row r="570" spans="1:11">
      <c r="A570" s="2">
        <v>43919</v>
      </c>
      <c r="B570" s="4">
        <v>0.33333333333333331</v>
      </c>
      <c r="C570" s="1" t="s">
        <v>91</v>
      </c>
      <c r="E570">
        <v>1837</v>
      </c>
      <c r="F570">
        <v>402</v>
      </c>
      <c r="G570">
        <v>69</v>
      </c>
      <c r="H570">
        <v>59</v>
      </c>
      <c r="J570">
        <v>93</v>
      </c>
      <c r="K570" s="1" t="s">
        <v>266</v>
      </c>
    </row>
    <row r="571" spans="1:11">
      <c r="A571" s="2">
        <v>43919</v>
      </c>
      <c r="B571" s="4">
        <v>0.33333333333333331</v>
      </c>
      <c r="C571" s="1" t="s">
        <v>102</v>
      </c>
      <c r="E571">
        <v>101</v>
      </c>
      <c r="F571">
        <v>12</v>
      </c>
      <c r="G571">
        <v>5</v>
      </c>
      <c r="I571">
        <v>21</v>
      </c>
      <c r="J571">
        <v>1</v>
      </c>
      <c r="K571" s="1" t="s">
        <v>440</v>
      </c>
    </row>
    <row r="572" spans="1:11">
      <c r="A572" s="2">
        <v>43919</v>
      </c>
      <c r="B572" s="4">
        <v>0.41666666666666669</v>
      </c>
      <c r="C572" s="1" t="s">
        <v>50</v>
      </c>
      <c r="E572">
        <v>605</v>
      </c>
      <c r="F572">
        <v>87</v>
      </c>
      <c r="G572">
        <v>12</v>
      </c>
      <c r="I572">
        <v>228</v>
      </c>
      <c r="J572">
        <v>15</v>
      </c>
      <c r="K572" s="1" t="s">
        <v>264</v>
      </c>
    </row>
    <row r="573" spans="1:11">
      <c r="A573" s="2">
        <v>43919</v>
      </c>
      <c r="B573" s="4">
        <v>0.45833333333333331</v>
      </c>
      <c r="C573" s="1" t="s">
        <v>68</v>
      </c>
      <c r="E573">
        <v>339</v>
      </c>
      <c r="J573">
        <v>5</v>
      </c>
      <c r="K573" s="1" t="s">
        <v>70</v>
      </c>
    </row>
    <row r="574" spans="1:11">
      <c r="A574" s="2">
        <v>43919</v>
      </c>
      <c r="B574" s="4">
        <v>0.60416666666666663</v>
      </c>
      <c r="C574" s="1" t="s">
        <v>104</v>
      </c>
      <c r="E574">
        <v>1736</v>
      </c>
      <c r="F574">
        <v>194</v>
      </c>
      <c r="H574">
        <v>46</v>
      </c>
      <c r="J574">
        <v>22</v>
      </c>
      <c r="K574" s="1" t="s">
        <v>106</v>
      </c>
    </row>
    <row r="575" spans="1:11">
      <c r="A575" s="2">
        <v>43920</v>
      </c>
      <c r="B575" s="4"/>
      <c r="C575" s="1" t="s">
        <v>47</v>
      </c>
      <c r="E575">
        <v>539</v>
      </c>
      <c r="F575">
        <v>86</v>
      </c>
      <c r="G575">
        <v>17</v>
      </c>
      <c r="H575">
        <v>16</v>
      </c>
      <c r="I575">
        <v>158</v>
      </c>
      <c r="J575">
        <v>7</v>
      </c>
      <c r="K575" s="1" t="s">
        <v>49</v>
      </c>
    </row>
    <row r="576" spans="1:11">
      <c r="A576" s="2">
        <v>43920</v>
      </c>
      <c r="B576" s="4"/>
      <c r="C576" s="1" t="s">
        <v>53</v>
      </c>
      <c r="E576">
        <v>64</v>
      </c>
      <c r="K576" s="1" t="s">
        <v>269</v>
      </c>
    </row>
    <row r="577" spans="1:11">
      <c r="A577" s="2">
        <v>43920</v>
      </c>
      <c r="B577" s="4"/>
      <c r="C577" s="1" t="s">
        <v>56</v>
      </c>
      <c r="E577">
        <v>477</v>
      </c>
      <c r="F577">
        <v>77</v>
      </c>
      <c r="G577">
        <v>16</v>
      </c>
      <c r="J577">
        <v>17</v>
      </c>
      <c r="K577" s="1" t="s">
        <v>459</v>
      </c>
    </row>
    <row r="578" spans="1:11">
      <c r="A578" s="2">
        <v>43920</v>
      </c>
      <c r="B578" s="4"/>
      <c r="C578" s="1" t="s">
        <v>58</v>
      </c>
      <c r="D578">
        <v>10834</v>
      </c>
      <c r="E578">
        <v>2673</v>
      </c>
      <c r="F578">
        <v>382</v>
      </c>
      <c r="G578">
        <v>57</v>
      </c>
      <c r="H578">
        <v>54</v>
      </c>
      <c r="I578">
        <v>216</v>
      </c>
      <c r="J578">
        <v>59</v>
      </c>
      <c r="K578" s="1" t="s">
        <v>60</v>
      </c>
    </row>
    <row r="579" spans="1:11">
      <c r="A579" s="2">
        <v>43920</v>
      </c>
      <c r="B579" s="4"/>
      <c r="C579" s="1" t="s">
        <v>61</v>
      </c>
      <c r="E579">
        <v>51</v>
      </c>
      <c r="F579">
        <v>3</v>
      </c>
      <c r="J579">
        <v>2</v>
      </c>
      <c r="K579" s="1" t="s">
        <v>446</v>
      </c>
    </row>
    <row r="580" spans="1:11">
      <c r="A580" s="2">
        <v>43920</v>
      </c>
      <c r="B580" s="4"/>
      <c r="C580" s="1" t="s">
        <v>63</v>
      </c>
      <c r="E580">
        <v>535</v>
      </c>
      <c r="F580">
        <v>58</v>
      </c>
      <c r="J580">
        <v>19</v>
      </c>
      <c r="K580" s="1" t="s">
        <v>65</v>
      </c>
    </row>
    <row r="581" spans="1:11">
      <c r="A581" s="2">
        <v>43920</v>
      </c>
      <c r="B581" s="4"/>
      <c r="C581" s="1" t="s">
        <v>66</v>
      </c>
      <c r="E581">
        <v>128</v>
      </c>
      <c r="F581">
        <v>28</v>
      </c>
      <c r="G581">
        <v>5</v>
      </c>
      <c r="J581">
        <v>0</v>
      </c>
      <c r="K581" s="1" t="s">
        <v>483</v>
      </c>
    </row>
    <row r="582" spans="1:11">
      <c r="A582" s="2">
        <v>43920</v>
      </c>
      <c r="B582" s="4"/>
      <c r="C582" s="1" t="s">
        <v>71</v>
      </c>
      <c r="E582">
        <v>378</v>
      </c>
      <c r="F582">
        <v>57</v>
      </c>
      <c r="G582">
        <v>12</v>
      </c>
      <c r="H582">
        <v>6</v>
      </c>
      <c r="J582">
        <v>20</v>
      </c>
      <c r="K582" s="1" t="s">
        <v>434</v>
      </c>
    </row>
    <row r="583" spans="1:11">
      <c r="A583" s="2">
        <v>43920</v>
      </c>
      <c r="B583" s="4"/>
      <c r="C583" s="1" t="s">
        <v>73</v>
      </c>
      <c r="E583">
        <v>63</v>
      </c>
      <c r="F583">
        <v>8</v>
      </c>
      <c r="K583" s="1" t="s">
        <v>409</v>
      </c>
    </row>
    <row r="584" spans="1:11">
      <c r="A584" s="2">
        <v>43920</v>
      </c>
      <c r="B584" s="4"/>
      <c r="C584" s="1" t="s">
        <v>75</v>
      </c>
      <c r="E584">
        <v>46</v>
      </c>
      <c r="K584" s="1" t="s">
        <v>77</v>
      </c>
    </row>
    <row r="585" spans="1:11">
      <c r="A585" s="2">
        <v>43920</v>
      </c>
      <c r="B585" s="4"/>
      <c r="C585" s="1" t="s">
        <v>78</v>
      </c>
      <c r="E585">
        <v>389</v>
      </c>
      <c r="J585">
        <v>5</v>
      </c>
      <c r="K585" s="1" t="s">
        <v>80</v>
      </c>
    </row>
    <row r="586" spans="1:11">
      <c r="A586" s="2">
        <v>43920</v>
      </c>
      <c r="B586" s="4"/>
      <c r="C586" s="1" t="s">
        <v>81</v>
      </c>
      <c r="E586">
        <v>42</v>
      </c>
      <c r="F586">
        <v>19</v>
      </c>
      <c r="G586">
        <v>3</v>
      </c>
      <c r="J586">
        <v>0</v>
      </c>
      <c r="K586" s="1" t="s">
        <v>460</v>
      </c>
    </row>
    <row r="587" spans="1:11">
      <c r="A587" s="2">
        <v>43920</v>
      </c>
      <c r="B587" s="4"/>
      <c r="C587" s="1" t="s">
        <v>86</v>
      </c>
      <c r="E587">
        <v>135</v>
      </c>
      <c r="I587">
        <v>33</v>
      </c>
      <c r="J587">
        <v>2</v>
      </c>
      <c r="K587" s="1" t="s">
        <v>461</v>
      </c>
    </row>
    <row r="588" spans="1:11">
      <c r="A588" s="2">
        <v>43920</v>
      </c>
      <c r="B588" s="4"/>
      <c r="C588" s="1" t="s">
        <v>88</v>
      </c>
      <c r="E588">
        <v>148</v>
      </c>
      <c r="J588">
        <v>2</v>
      </c>
      <c r="K588" s="1" t="s">
        <v>90</v>
      </c>
    </row>
    <row r="589" spans="1:11">
      <c r="A589" s="2">
        <v>43920</v>
      </c>
      <c r="B589" s="4"/>
      <c r="C589" s="1" t="s">
        <v>94</v>
      </c>
      <c r="E589">
        <v>53</v>
      </c>
      <c r="F589">
        <v>7</v>
      </c>
      <c r="I589">
        <v>9</v>
      </c>
      <c r="K589" s="1" t="s">
        <v>226</v>
      </c>
    </row>
    <row r="590" spans="1:11">
      <c r="A590" s="2">
        <v>43920</v>
      </c>
      <c r="B590" s="4"/>
      <c r="C590" s="1" t="s">
        <v>97</v>
      </c>
      <c r="E590">
        <v>3607</v>
      </c>
      <c r="F590">
        <v>374</v>
      </c>
      <c r="G590">
        <v>65</v>
      </c>
      <c r="J590">
        <v>93</v>
      </c>
      <c r="K590" s="1" t="s">
        <v>99</v>
      </c>
    </row>
    <row r="591" spans="1:11">
      <c r="A591" s="2">
        <v>43920</v>
      </c>
      <c r="B591" s="4"/>
      <c r="C591" s="1" t="s">
        <v>100</v>
      </c>
      <c r="E591">
        <v>1144</v>
      </c>
      <c r="F591">
        <v>152</v>
      </c>
      <c r="G591">
        <v>25</v>
      </c>
      <c r="H591">
        <v>23</v>
      </c>
      <c r="J591">
        <v>35</v>
      </c>
      <c r="K591" s="1" t="s">
        <v>484</v>
      </c>
    </row>
    <row r="592" spans="1:11">
      <c r="A592" s="2">
        <v>43920</v>
      </c>
      <c r="B592" s="4">
        <v>0.29166666666666669</v>
      </c>
      <c r="C592" s="1" t="s">
        <v>44</v>
      </c>
      <c r="E592">
        <v>826</v>
      </c>
      <c r="F592">
        <v>112</v>
      </c>
      <c r="G592">
        <v>21</v>
      </c>
      <c r="H592">
        <v>17</v>
      </c>
      <c r="J592">
        <v>13</v>
      </c>
      <c r="K592" s="1" t="s">
        <v>46</v>
      </c>
    </row>
    <row r="593" spans="1:11">
      <c r="A593" s="2">
        <v>43920</v>
      </c>
      <c r="B593" s="4">
        <v>0.33333333333333331</v>
      </c>
      <c r="C593" s="1" t="s">
        <v>91</v>
      </c>
      <c r="E593">
        <v>1962</v>
      </c>
      <c r="F593">
        <v>415</v>
      </c>
      <c r="G593">
        <v>75</v>
      </c>
      <c r="H593">
        <v>61</v>
      </c>
      <c r="J593">
        <v>105</v>
      </c>
      <c r="K593" s="1" t="s">
        <v>270</v>
      </c>
    </row>
    <row r="594" spans="1:11">
      <c r="A594" s="2">
        <v>43920</v>
      </c>
      <c r="B594" s="4">
        <v>0.33333333333333331</v>
      </c>
      <c r="C594" s="1" t="s">
        <v>102</v>
      </c>
      <c r="E594">
        <v>112</v>
      </c>
      <c r="F594">
        <v>13</v>
      </c>
      <c r="G594">
        <v>5</v>
      </c>
      <c r="I594">
        <v>29</v>
      </c>
      <c r="J594">
        <v>1</v>
      </c>
      <c r="K594" s="1" t="s">
        <v>440</v>
      </c>
    </row>
    <row r="595" spans="1:11">
      <c r="A595" s="2">
        <v>43920</v>
      </c>
      <c r="B595" s="4">
        <v>0.41666666666666669</v>
      </c>
      <c r="C595" s="1" t="s">
        <v>50</v>
      </c>
      <c r="E595">
        <v>617</v>
      </c>
      <c r="F595">
        <v>90</v>
      </c>
      <c r="G595">
        <v>12</v>
      </c>
      <c r="I595">
        <v>263</v>
      </c>
      <c r="J595">
        <v>15</v>
      </c>
      <c r="K595" s="1" t="s">
        <v>268</v>
      </c>
    </row>
    <row r="596" spans="1:11">
      <c r="A596" s="2">
        <v>43920</v>
      </c>
      <c r="B596" s="4">
        <v>0.45833333333333331</v>
      </c>
      <c r="C596" s="1" t="s">
        <v>68</v>
      </c>
      <c r="E596">
        <v>351</v>
      </c>
      <c r="J596">
        <v>6</v>
      </c>
      <c r="K596" s="1" t="s">
        <v>70</v>
      </c>
    </row>
    <row r="597" spans="1:11">
      <c r="A597" s="2">
        <v>43920</v>
      </c>
      <c r="B597" s="4">
        <v>0.5</v>
      </c>
      <c r="C597" s="1" t="s">
        <v>38</v>
      </c>
      <c r="E597">
        <v>14</v>
      </c>
      <c r="K597" s="1" t="s">
        <v>40</v>
      </c>
    </row>
    <row r="598" spans="1:11">
      <c r="A598" s="2">
        <v>43920</v>
      </c>
      <c r="B598" s="4">
        <v>0.60416666666666663</v>
      </c>
      <c r="C598" s="1" t="s">
        <v>104</v>
      </c>
      <c r="E598">
        <v>1862</v>
      </c>
      <c r="F598">
        <v>197</v>
      </c>
      <c r="H598">
        <v>46</v>
      </c>
      <c r="J598">
        <v>24</v>
      </c>
      <c r="K598" s="1" t="s">
        <v>106</v>
      </c>
    </row>
    <row r="599" spans="1:11">
      <c r="A599" s="2">
        <v>43920</v>
      </c>
      <c r="B599" s="4">
        <v>0.625</v>
      </c>
      <c r="C599" s="1" t="s">
        <v>34</v>
      </c>
      <c r="E599">
        <v>481</v>
      </c>
      <c r="F599">
        <v>94</v>
      </c>
      <c r="G599">
        <v>25</v>
      </c>
      <c r="H599">
        <v>23</v>
      </c>
      <c r="J599">
        <v>8</v>
      </c>
      <c r="K599" s="1" t="s">
        <v>267</v>
      </c>
    </row>
    <row r="600" spans="1:11">
      <c r="A600" s="2">
        <v>43920</v>
      </c>
      <c r="B600" s="4">
        <v>0.75</v>
      </c>
      <c r="C600" s="1" t="s">
        <v>41</v>
      </c>
      <c r="E600">
        <v>50</v>
      </c>
      <c r="J600">
        <v>2</v>
      </c>
      <c r="K600" s="1" t="s">
        <v>43</v>
      </c>
    </row>
    <row r="601" spans="1:11">
      <c r="A601" s="2">
        <v>43921</v>
      </c>
      <c r="B601" s="4"/>
      <c r="C601" s="1" t="s">
        <v>47</v>
      </c>
      <c r="E601">
        <v>561</v>
      </c>
      <c r="F601">
        <v>88</v>
      </c>
      <c r="G601">
        <v>18</v>
      </c>
      <c r="H601">
        <v>16</v>
      </c>
      <c r="I601">
        <v>242</v>
      </c>
      <c r="J601">
        <v>10</v>
      </c>
      <c r="K601" s="1" t="s">
        <v>49</v>
      </c>
    </row>
    <row r="602" spans="1:11">
      <c r="A602" s="2">
        <v>43921</v>
      </c>
      <c r="B602" s="4"/>
      <c r="C602" s="1" t="s">
        <v>53</v>
      </c>
      <c r="E602">
        <v>68</v>
      </c>
      <c r="K602" s="1" t="s">
        <v>273</v>
      </c>
    </row>
    <row r="603" spans="1:11">
      <c r="A603" s="2">
        <v>43921</v>
      </c>
      <c r="B603" s="4"/>
      <c r="C603" s="1" t="s">
        <v>56</v>
      </c>
      <c r="E603">
        <v>491</v>
      </c>
      <c r="F603">
        <v>77</v>
      </c>
      <c r="G603">
        <v>20</v>
      </c>
      <c r="J603">
        <v>20</v>
      </c>
      <c r="K603" s="1" t="s">
        <v>459</v>
      </c>
    </row>
    <row r="604" spans="1:11">
      <c r="A604" s="2">
        <v>43921</v>
      </c>
      <c r="B604" s="4"/>
      <c r="C604" s="1" t="s">
        <v>58</v>
      </c>
      <c r="D604">
        <v>11594</v>
      </c>
      <c r="E604">
        <v>2902</v>
      </c>
      <c r="F604">
        <v>405</v>
      </c>
      <c r="G604">
        <v>64</v>
      </c>
      <c r="H604">
        <v>49</v>
      </c>
      <c r="I604">
        <v>241</v>
      </c>
      <c r="J604">
        <v>67</v>
      </c>
      <c r="K604" s="1" t="s">
        <v>60</v>
      </c>
    </row>
    <row r="605" spans="1:11">
      <c r="A605" s="2">
        <v>43921</v>
      </c>
      <c r="B605" s="4"/>
      <c r="C605" s="1" t="s">
        <v>61</v>
      </c>
      <c r="E605">
        <v>53</v>
      </c>
      <c r="F605">
        <v>5</v>
      </c>
      <c r="J605">
        <v>2</v>
      </c>
      <c r="K605" s="1" t="s">
        <v>446</v>
      </c>
    </row>
    <row r="606" spans="1:11">
      <c r="A606" s="2">
        <v>43921</v>
      </c>
      <c r="B606" s="4"/>
      <c r="C606" s="1" t="s">
        <v>63</v>
      </c>
      <c r="E606">
        <v>547</v>
      </c>
      <c r="F606">
        <v>58</v>
      </c>
      <c r="J606">
        <v>23</v>
      </c>
      <c r="K606" s="1" t="s">
        <v>65</v>
      </c>
    </row>
    <row r="607" spans="1:11">
      <c r="A607" s="2">
        <v>43921</v>
      </c>
      <c r="B607" s="4"/>
      <c r="C607" s="1" t="s">
        <v>66</v>
      </c>
      <c r="E607">
        <v>140</v>
      </c>
      <c r="F607">
        <v>29</v>
      </c>
      <c r="G607">
        <v>5</v>
      </c>
      <c r="J607">
        <v>0</v>
      </c>
      <c r="K607" s="1" t="s">
        <v>483</v>
      </c>
    </row>
    <row r="608" spans="1:11">
      <c r="A608" s="2">
        <v>43921</v>
      </c>
      <c r="B608" s="4"/>
      <c r="C608" s="1" t="s">
        <v>71</v>
      </c>
      <c r="E608">
        <v>402</v>
      </c>
      <c r="F608">
        <v>59</v>
      </c>
      <c r="G608">
        <v>14</v>
      </c>
      <c r="H608">
        <v>8</v>
      </c>
      <c r="J608">
        <v>22</v>
      </c>
      <c r="K608" s="1" t="s">
        <v>434</v>
      </c>
    </row>
    <row r="609" spans="1:11">
      <c r="A609" s="2">
        <v>43921</v>
      </c>
      <c r="B609" s="4"/>
      <c r="C609" s="1" t="s">
        <v>73</v>
      </c>
      <c r="E609">
        <v>70</v>
      </c>
      <c r="F609">
        <v>7</v>
      </c>
      <c r="G609">
        <v>1</v>
      </c>
      <c r="K609" s="1" t="s">
        <v>409</v>
      </c>
    </row>
    <row r="610" spans="1:11">
      <c r="A610" s="2">
        <v>43921</v>
      </c>
      <c r="B610" s="4"/>
      <c r="C610" s="1" t="s">
        <v>75</v>
      </c>
      <c r="E610">
        <v>46</v>
      </c>
      <c r="K610" s="1" t="s">
        <v>77</v>
      </c>
    </row>
    <row r="611" spans="1:11">
      <c r="A611" s="2">
        <v>43921</v>
      </c>
      <c r="B611" s="4"/>
      <c r="C611" s="1" t="s">
        <v>78</v>
      </c>
      <c r="E611">
        <v>414</v>
      </c>
      <c r="J611">
        <v>7</v>
      </c>
      <c r="K611" s="1" t="s">
        <v>80</v>
      </c>
    </row>
    <row r="612" spans="1:11">
      <c r="A612" s="2">
        <v>43921</v>
      </c>
      <c r="B612" s="4"/>
      <c r="C612" s="1" t="s">
        <v>81</v>
      </c>
      <c r="E612">
        <v>44</v>
      </c>
      <c r="F612">
        <v>18</v>
      </c>
      <c r="G612">
        <v>3</v>
      </c>
      <c r="J612">
        <v>1</v>
      </c>
      <c r="K612" s="1" t="s">
        <v>460</v>
      </c>
    </row>
    <row r="613" spans="1:11">
      <c r="A613" s="2">
        <v>43921</v>
      </c>
      <c r="B613" s="4"/>
      <c r="C613" s="1" t="s">
        <v>86</v>
      </c>
      <c r="E613">
        <v>140</v>
      </c>
      <c r="I613">
        <v>48</v>
      </c>
      <c r="J613">
        <v>4</v>
      </c>
      <c r="K613" s="1" t="s">
        <v>461</v>
      </c>
    </row>
    <row r="614" spans="1:11">
      <c r="A614" s="2">
        <v>43921</v>
      </c>
      <c r="B614" s="4"/>
      <c r="C614" s="1" t="s">
        <v>88</v>
      </c>
      <c r="E614">
        <v>154</v>
      </c>
      <c r="J614">
        <v>3</v>
      </c>
      <c r="K614" s="1" t="s">
        <v>90</v>
      </c>
    </row>
    <row r="615" spans="1:11">
      <c r="A615" s="2">
        <v>43921</v>
      </c>
      <c r="B615" s="4"/>
      <c r="C615" s="1" t="s">
        <v>94</v>
      </c>
      <c r="E615">
        <v>57</v>
      </c>
      <c r="F615">
        <v>9</v>
      </c>
      <c r="I615">
        <v>11</v>
      </c>
      <c r="K615" s="1" t="s">
        <v>226</v>
      </c>
    </row>
    <row r="616" spans="1:11">
      <c r="A616" s="2">
        <v>43921</v>
      </c>
      <c r="B616" s="4"/>
      <c r="C616" s="1" t="s">
        <v>97</v>
      </c>
      <c r="E616">
        <v>3766</v>
      </c>
      <c r="F616">
        <v>382</v>
      </c>
      <c r="G616">
        <v>68</v>
      </c>
      <c r="J616">
        <v>105</v>
      </c>
      <c r="K616" s="1" t="s">
        <v>99</v>
      </c>
    </row>
    <row r="617" spans="1:11">
      <c r="A617" s="2">
        <v>43921</v>
      </c>
      <c r="B617" s="4"/>
      <c r="C617" s="1" t="s">
        <v>100</v>
      </c>
      <c r="E617">
        <v>1211</v>
      </c>
      <c r="F617">
        <v>151</v>
      </c>
      <c r="G617">
        <v>24</v>
      </c>
      <c r="H617">
        <v>23</v>
      </c>
      <c r="J617">
        <v>37</v>
      </c>
      <c r="K617" s="1" t="s">
        <v>484</v>
      </c>
    </row>
    <row r="618" spans="1:11">
      <c r="A618" s="2">
        <v>43921</v>
      </c>
      <c r="B618" s="4">
        <v>0</v>
      </c>
      <c r="C618" s="1" t="s">
        <v>83</v>
      </c>
      <c r="E618">
        <v>196</v>
      </c>
      <c r="J618">
        <v>2</v>
      </c>
      <c r="K618" s="1" t="s">
        <v>448</v>
      </c>
    </row>
    <row r="619" spans="1:11">
      <c r="A619" s="2">
        <v>43921</v>
      </c>
      <c r="B619" s="4">
        <v>0.33333333333333331</v>
      </c>
      <c r="C619" s="1" t="s">
        <v>44</v>
      </c>
      <c r="E619">
        <v>856</v>
      </c>
      <c r="F619">
        <v>111</v>
      </c>
      <c r="G619">
        <v>23</v>
      </c>
      <c r="H619">
        <v>18</v>
      </c>
      <c r="J619">
        <v>16</v>
      </c>
      <c r="K619" s="1" t="s">
        <v>46</v>
      </c>
    </row>
    <row r="620" spans="1:11">
      <c r="A620" s="2">
        <v>43921</v>
      </c>
      <c r="B620" s="4">
        <v>0.33333333333333331</v>
      </c>
      <c r="C620" s="1" t="s">
        <v>91</v>
      </c>
      <c r="E620">
        <v>2091</v>
      </c>
      <c r="F620">
        <v>401</v>
      </c>
      <c r="G620">
        <v>74</v>
      </c>
      <c r="H620">
        <v>67</v>
      </c>
      <c r="I620">
        <v>202</v>
      </c>
      <c r="J620">
        <v>120</v>
      </c>
      <c r="K620" s="1" t="s">
        <v>274</v>
      </c>
    </row>
    <row r="621" spans="1:11">
      <c r="A621" s="2">
        <v>43921</v>
      </c>
      <c r="B621" s="4">
        <v>0.33333333333333331</v>
      </c>
      <c r="C621" s="1" t="s">
        <v>102</v>
      </c>
      <c r="E621">
        <v>114</v>
      </c>
      <c r="F621">
        <v>14</v>
      </c>
      <c r="G621">
        <v>6</v>
      </c>
      <c r="I621">
        <v>39</v>
      </c>
      <c r="J621">
        <v>1</v>
      </c>
      <c r="K621" s="1" t="s">
        <v>440</v>
      </c>
    </row>
    <row r="622" spans="1:11">
      <c r="A622" s="2">
        <v>43921</v>
      </c>
      <c r="B622" s="4">
        <v>0.41666666666666669</v>
      </c>
      <c r="C622" s="1" t="s">
        <v>50</v>
      </c>
      <c r="E622">
        <v>653</v>
      </c>
      <c r="F622">
        <v>105</v>
      </c>
      <c r="G622">
        <v>15</v>
      </c>
      <c r="I622">
        <v>292</v>
      </c>
      <c r="J622">
        <v>16</v>
      </c>
      <c r="K622" s="1" t="s">
        <v>272</v>
      </c>
    </row>
    <row r="623" spans="1:11">
      <c r="A623" s="2">
        <v>43921</v>
      </c>
      <c r="B623" s="4">
        <v>0.45833333333333331</v>
      </c>
      <c r="C623" s="1" t="s">
        <v>68</v>
      </c>
      <c r="E623">
        <v>375</v>
      </c>
      <c r="J623">
        <v>7</v>
      </c>
      <c r="K623" s="1" t="s">
        <v>70</v>
      </c>
    </row>
    <row r="624" spans="1:11">
      <c r="A624" s="2">
        <v>43921</v>
      </c>
      <c r="B624" s="4">
        <v>0.5</v>
      </c>
      <c r="C624" s="1" t="s">
        <v>38</v>
      </c>
      <c r="E624">
        <v>14</v>
      </c>
      <c r="K624" s="1" t="s">
        <v>40</v>
      </c>
    </row>
    <row r="625" spans="1:11">
      <c r="A625" s="2">
        <v>43921</v>
      </c>
      <c r="B625" s="4">
        <v>0.60416666666666663</v>
      </c>
      <c r="C625" s="1" t="s">
        <v>104</v>
      </c>
      <c r="E625">
        <v>1953</v>
      </c>
      <c r="F625">
        <v>196</v>
      </c>
      <c r="H625">
        <v>50</v>
      </c>
      <c r="J625">
        <v>27</v>
      </c>
      <c r="K625" s="1" t="s">
        <v>106</v>
      </c>
    </row>
    <row r="626" spans="1:11">
      <c r="A626" s="2">
        <v>43921</v>
      </c>
      <c r="B626" s="4">
        <v>0.625</v>
      </c>
      <c r="C626" s="1" t="s">
        <v>34</v>
      </c>
      <c r="E626">
        <v>499</v>
      </c>
      <c r="F626">
        <v>85</v>
      </c>
      <c r="G626">
        <v>25</v>
      </c>
      <c r="H626">
        <v>25</v>
      </c>
      <c r="J626">
        <v>11</v>
      </c>
      <c r="K626" s="1" t="s">
        <v>271</v>
      </c>
    </row>
    <row r="627" spans="1:11">
      <c r="A627" s="2">
        <v>43921</v>
      </c>
      <c r="B627" s="4">
        <v>0.66666666666666663</v>
      </c>
      <c r="C627" s="1" t="s">
        <v>41</v>
      </c>
      <c r="E627">
        <v>58</v>
      </c>
      <c r="J627">
        <v>2</v>
      </c>
      <c r="K627" s="1" t="s">
        <v>43</v>
      </c>
    </row>
    <row r="628" spans="1:11">
      <c r="A628" s="2">
        <v>43922</v>
      </c>
      <c r="B628" s="4"/>
      <c r="C628" s="1" t="s">
        <v>47</v>
      </c>
      <c r="E628">
        <v>588</v>
      </c>
      <c r="F628">
        <v>86</v>
      </c>
      <c r="G628">
        <v>17</v>
      </c>
      <c r="H628">
        <v>17</v>
      </c>
      <c r="I628">
        <v>249</v>
      </c>
      <c r="J628">
        <v>11</v>
      </c>
      <c r="K628" s="1" t="s">
        <v>49</v>
      </c>
    </row>
    <row r="629" spans="1:11">
      <c r="A629" s="2">
        <v>43922</v>
      </c>
      <c r="B629" s="4"/>
      <c r="C629" s="1" t="s">
        <v>53</v>
      </c>
      <c r="E629">
        <v>72</v>
      </c>
      <c r="K629" s="1" t="s">
        <v>277</v>
      </c>
    </row>
    <row r="630" spans="1:11">
      <c r="A630" s="2">
        <v>43922</v>
      </c>
      <c r="B630" s="4"/>
      <c r="C630" s="1" t="s">
        <v>56</v>
      </c>
      <c r="E630">
        <v>525</v>
      </c>
      <c r="F630">
        <v>81</v>
      </c>
      <c r="G630">
        <v>23</v>
      </c>
      <c r="J630">
        <v>23</v>
      </c>
      <c r="K630" s="1" t="s">
        <v>459</v>
      </c>
    </row>
    <row r="631" spans="1:11">
      <c r="A631" s="2">
        <v>43922</v>
      </c>
      <c r="B631" s="4"/>
      <c r="C631" s="1" t="s">
        <v>58</v>
      </c>
      <c r="D631">
        <v>12252</v>
      </c>
      <c r="E631">
        <v>3059</v>
      </c>
      <c r="F631">
        <v>406</v>
      </c>
      <c r="G631">
        <v>64</v>
      </c>
      <c r="H631">
        <v>58</v>
      </c>
      <c r="I631">
        <v>260</v>
      </c>
      <c r="J631">
        <v>76</v>
      </c>
      <c r="K631" s="1" t="s">
        <v>60</v>
      </c>
    </row>
    <row r="632" spans="1:11">
      <c r="A632" s="2">
        <v>43922</v>
      </c>
      <c r="B632" s="4"/>
      <c r="C632" s="1" t="s">
        <v>61</v>
      </c>
      <c r="E632">
        <v>56</v>
      </c>
      <c r="F632">
        <v>5</v>
      </c>
      <c r="J632">
        <v>2</v>
      </c>
      <c r="K632" s="1" t="s">
        <v>446</v>
      </c>
    </row>
    <row r="633" spans="1:11">
      <c r="A633" s="2">
        <v>43922</v>
      </c>
      <c r="B633" s="4"/>
      <c r="C633" s="1" t="s">
        <v>63</v>
      </c>
      <c r="E633">
        <v>592</v>
      </c>
      <c r="F633">
        <v>59</v>
      </c>
      <c r="J633">
        <v>26</v>
      </c>
      <c r="K633" s="1" t="s">
        <v>65</v>
      </c>
    </row>
    <row r="634" spans="1:11">
      <c r="A634" s="2">
        <v>43922</v>
      </c>
      <c r="B634" s="4"/>
      <c r="C634" s="1" t="s">
        <v>66</v>
      </c>
      <c r="E634">
        <v>145</v>
      </c>
      <c r="F634">
        <v>29</v>
      </c>
      <c r="G634">
        <v>5</v>
      </c>
      <c r="J634">
        <v>0</v>
      </c>
      <c r="K634" s="1" t="s">
        <v>483</v>
      </c>
    </row>
    <row r="635" spans="1:11">
      <c r="A635" s="2">
        <v>43922</v>
      </c>
      <c r="B635" s="4"/>
      <c r="C635" s="1" t="s">
        <v>71</v>
      </c>
      <c r="E635">
        <v>420</v>
      </c>
      <c r="F635">
        <v>66</v>
      </c>
      <c r="G635">
        <v>14</v>
      </c>
      <c r="H635">
        <v>8</v>
      </c>
      <c r="J635">
        <v>24</v>
      </c>
      <c r="K635" s="1" t="s">
        <v>434</v>
      </c>
    </row>
    <row r="636" spans="1:11">
      <c r="A636" s="2">
        <v>43922</v>
      </c>
      <c r="B636" s="4"/>
      <c r="C636" s="1" t="s">
        <v>73</v>
      </c>
      <c r="E636">
        <v>70</v>
      </c>
      <c r="F636">
        <v>9</v>
      </c>
      <c r="G636">
        <v>2</v>
      </c>
      <c r="K636" s="1" t="s">
        <v>409</v>
      </c>
    </row>
    <row r="637" spans="1:11">
      <c r="A637" s="2">
        <v>43922</v>
      </c>
      <c r="B637" s="4"/>
      <c r="C637" s="1" t="s">
        <v>75</v>
      </c>
      <c r="E637">
        <v>48</v>
      </c>
      <c r="K637" s="1" t="s">
        <v>77</v>
      </c>
    </row>
    <row r="638" spans="1:11">
      <c r="A638" s="2">
        <v>43922</v>
      </c>
      <c r="B638" s="4"/>
      <c r="C638" s="1" t="s">
        <v>78</v>
      </c>
      <c r="E638">
        <v>414</v>
      </c>
      <c r="J638">
        <v>7</v>
      </c>
      <c r="K638" s="1" t="s">
        <v>80</v>
      </c>
    </row>
    <row r="639" spans="1:11">
      <c r="A639" s="2">
        <v>43922</v>
      </c>
      <c r="B639" s="4"/>
      <c r="C639" s="1" t="s">
        <v>81</v>
      </c>
      <c r="E639">
        <v>44</v>
      </c>
      <c r="F639">
        <v>10</v>
      </c>
      <c r="G639">
        <v>3</v>
      </c>
      <c r="J639">
        <v>1</v>
      </c>
      <c r="K639" s="1" t="s">
        <v>460</v>
      </c>
    </row>
    <row r="640" spans="1:11">
      <c r="A640" s="2">
        <v>43922</v>
      </c>
      <c r="B640" s="4"/>
      <c r="C640" s="1" t="s">
        <v>86</v>
      </c>
      <c r="E640">
        <v>146</v>
      </c>
      <c r="I640">
        <v>65</v>
      </c>
      <c r="J640">
        <v>4</v>
      </c>
      <c r="K640" s="1" t="s">
        <v>461</v>
      </c>
    </row>
    <row r="641" spans="1:11">
      <c r="A641" s="2">
        <v>43922</v>
      </c>
      <c r="B641" s="4"/>
      <c r="C641" s="1" t="s">
        <v>88</v>
      </c>
      <c r="E641">
        <v>166</v>
      </c>
      <c r="J641">
        <v>4</v>
      </c>
      <c r="K641" s="1" t="s">
        <v>90</v>
      </c>
    </row>
    <row r="642" spans="1:11">
      <c r="A642" s="2">
        <v>43922</v>
      </c>
      <c r="B642" s="4"/>
      <c r="C642" s="1" t="s">
        <v>94</v>
      </c>
      <c r="E642">
        <v>59</v>
      </c>
      <c r="F642">
        <v>10</v>
      </c>
      <c r="I642">
        <v>13</v>
      </c>
      <c r="J642">
        <v>1</v>
      </c>
      <c r="K642" s="1" t="s">
        <v>226</v>
      </c>
    </row>
    <row r="643" spans="1:11">
      <c r="A643" s="2">
        <v>43922</v>
      </c>
      <c r="B643" s="4"/>
      <c r="C643" s="1" t="s">
        <v>97</v>
      </c>
      <c r="E643">
        <v>3918</v>
      </c>
      <c r="F643">
        <v>388</v>
      </c>
      <c r="G643">
        <v>71</v>
      </c>
      <c r="J643">
        <v>116</v>
      </c>
      <c r="K643" s="1" t="s">
        <v>99</v>
      </c>
    </row>
    <row r="644" spans="1:11">
      <c r="A644" s="2">
        <v>43922</v>
      </c>
      <c r="B644" s="4"/>
      <c r="C644" s="1" t="s">
        <v>100</v>
      </c>
      <c r="E644">
        <v>1281</v>
      </c>
      <c r="F644">
        <v>145</v>
      </c>
      <c r="G644">
        <v>26</v>
      </c>
      <c r="H644">
        <v>25</v>
      </c>
      <c r="I644">
        <v>70</v>
      </c>
      <c r="J644">
        <v>40</v>
      </c>
      <c r="K644" s="1" t="s">
        <v>484</v>
      </c>
    </row>
    <row r="645" spans="1:11">
      <c r="A645" s="2">
        <v>43922</v>
      </c>
      <c r="B645" s="4">
        <v>0</v>
      </c>
      <c r="C645" s="1" t="s">
        <v>83</v>
      </c>
      <c r="E645">
        <v>216</v>
      </c>
      <c r="J645">
        <v>3</v>
      </c>
      <c r="K645" s="1" t="s">
        <v>448</v>
      </c>
    </row>
    <row r="646" spans="1:11">
      <c r="A646" s="2">
        <v>43922</v>
      </c>
      <c r="B646" s="4">
        <v>0.33333333333333331</v>
      </c>
      <c r="C646" s="1" t="s">
        <v>44</v>
      </c>
      <c r="E646">
        <v>909</v>
      </c>
      <c r="F646">
        <v>115</v>
      </c>
      <c r="G646">
        <v>26</v>
      </c>
      <c r="H646">
        <v>21</v>
      </c>
      <c r="J646">
        <v>20</v>
      </c>
      <c r="K646" s="1" t="s">
        <v>46</v>
      </c>
    </row>
    <row r="647" spans="1:11">
      <c r="A647" s="2">
        <v>43922</v>
      </c>
      <c r="B647" s="4">
        <v>0.33333333333333331</v>
      </c>
      <c r="C647" s="1" t="s">
        <v>91</v>
      </c>
      <c r="E647">
        <v>2195</v>
      </c>
      <c r="F647">
        <v>396</v>
      </c>
      <c r="G647">
        <v>76</v>
      </c>
      <c r="H647">
        <v>72</v>
      </c>
      <c r="I647">
        <v>229</v>
      </c>
      <c r="J647">
        <v>132</v>
      </c>
      <c r="K647" s="1" t="s">
        <v>278</v>
      </c>
    </row>
    <row r="648" spans="1:11">
      <c r="A648" s="2">
        <v>43922</v>
      </c>
      <c r="B648" s="4">
        <v>0.33333333333333331</v>
      </c>
      <c r="C648" s="1" t="s">
        <v>102</v>
      </c>
      <c r="E648">
        <v>125</v>
      </c>
      <c r="F648">
        <v>13</v>
      </c>
      <c r="G648">
        <v>5</v>
      </c>
      <c r="I648">
        <v>40</v>
      </c>
      <c r="J648">
        <v>1</v>
      </c>
      <c r="K648" s="1" t="s">
        <v>440</v>
      </c>
    </row>
    <row r="649" spans="1:11">
      <c r="A649" s="2">
        <v>43922</v>
      </c>
      <c r="B649" s="4">
        <v>0.41666666666666669</v>
      </c>
      <c r="C649" s="1" t="s">
        <v>50</v>
      </c>
      <c r="E649">
        <v>687</v>
      </c>
      <c r="F649">
        <v>108</v>
      </c>
      <c r="G649">
        <v>16</v>
      </c>
      <c r="I649">
        <v>323</v>
      </c>
      <c r="J649">
        <v>18</v>
      </c>
      <c r="K649" s="1" t="s">
        <v>276</v>
      </c>
    </row>
    <row r="650" spans="1:11">
      <c r="A650" s="2">
        <v>43922</v>
      </c>
      <c r="B650" s="4">
        <v>0.45833333333333331</v>
      </c>
      <c r="C650" s="1" t="s">
        <v>68</v>
      </c>
      <c r="E650">
        <v>401</v>
      </c>
      <c r="F650">
        <v>57</v>
      </c>
      <c r="G650">
        <v>12</v>
      </c>
      <c r="J650">
        <v>7</v>
      </c>
      <c r="K650" s="1" t="s">
        <v>70</v>
      </c>
    </row>
    <row r="651" spans="1:11">
      <c r="A651" s="2">
        <v>43922</v>
      </c>
      <c r="B651" s="4">
        <v>0.60416666666666663</v>
      </c>
      <c r="C651" s="1" t="s">
        <v>104</v>
      </c>
      <c r="E651">
        <v>2142</v>
      </c>
      <c r="F651">
        <v>203</v>
      </c>
      <c r="H651">
        <v>54</v>
      </c>
      <c r="J651">
        <v>36</v>
      </c>
      <c r="K651" s="1" t="s">
        <v>106</v>
      </c>
    </row>
    <row r="652" spans="1:11">
      <c r="A652" s="2">
        <v>43922</v>
      </c>
      <c r="B652" s="4">
        <v>0.625</v>
      </c>
      <c r="C652" s="1" t="s">
        <v>34</v>
      </c>
      <c r="E652">
        <v>549</v>
      </c>
      <c r="F652">
        <v>94</v>
      </c>
      <c r="G652">
        <v>27</v>
      </c>
      <c r="H652">
        <v>27</v>
      </c>
      <c r="J652">
        <v>11</v>
      </c>
      <c r="K652" s="1" t="s">
        <v>275</v>
      </c>
    </row>
    <row r="653" spans="1:11">
      <c r="A653" s="2">
        <v>43922</v>
      </c>
      <c r="B653" s="4">
        <v>0.70833333333333337</v>
      </c>
      <c r="C653" s="1" t="s">
        <v>41</v>
      </c>
      <c r="E653">
        <v>61</v>
      </c>
      <c r="J653">
        <v>3</v>
      </c>
      <c r="K653" s="1" t="s">
        <v>43</v>
      </c>
    </row>
    <row r="654" spans="1:11">
      <c r="A654" s="2">
        <v>43923</v>
      </c>
      <c r="B654" s="4"/>
      <c r="C654" s="1" t="s">
        <v>47</v>
      </c>
      <c r="E654">
        <v>610</v>
      </c>
      <c r="F654">
        <v>81</v>
      </c>
      <c r="G654">
        <v>18</v>
      </c>
      <c r="H654">
        <v>18</v>
      </c>
      <c r="I654">
        <v>262</v>
      </c>
      <c r="J654">
        <v>12</v>
      </c>
      <c r="K654" s="1" t="s">
        <v>49</v>
      </c>
    </row>
    <row r="655" spans="1:11">
      <c r="A655" s="2">
        <v>43923</v>
      </c>
      <c r="B655" s="4"/>
      <c r="C655" s="1" t="s">
        <v>53</v>
      </c>
      <c r="E655">
        <v>75</v>
      </c>
      <c r="K655" s="1" t="s">
        <v>281</v>
      </c>
    </row>
    <row r="656" spans="1:11">
      <c r="A656" s="2">
        <v>43923</v>
      </c>
      <c r="B656" s="4"/>
      <c r="C656" s="1" t="s">
        <v>56</v>
      </c>
      <c r="E656">
        <v>550</v>
      </c>
      <c r="F656">
        <v>80</v>
      </c>
      <c r="G656">
        <v>23</v>
      </c>
      <c r="I656">
        <v>46</v>
      </c>
      <c r="J656">
        <v>26</v>
      </c>
      <c r="K656" s="1" t="s">
        <v>459</v>
      </c>
    </row>
    <row r="657" spans="1:11">
      <c r="A657" s="2">
        <v>43923</v>
      </c>
      <c r="B657" s="4"/>
      <c r="C657" s="1" t="s">
        <v>58</v>
      </c>
      <c r="D657">
        <v>13201</v>
      </c>
      <c r="E657">
        <v>3270</v>
      </c>
      <c r="F657">
        <v>424</v>
      </c>
      <c r="G657">
        <v>62</v>
      </c>
      <c r="H657">
        <v>54</v>
      </c>
      <c r="I657">
        <v>283</v>
      </c>
      <c r="J657">
        <v>84</v>
      </c>
      <c r="K657" s="1" t="s">
        <v>60</v>
      </c>
    </row>
    <row r="658" spans="1:11">
      <c r="A658" s="2">
        <v>43923</v>
      </c>
      <c r="B658" s="4"/>
      <c r="C658" s="1" t="s">
        <v>61</v>
      </c>
      <c r="E658">
        <v>58</v>
      </c>
      <c r="F658">
        <v>5</v>
      </c>
      <c r="J658">
        <v>2</v>
      </c>
      <c r="K658" s="1" t="s">
        <v>446</v>
      </c>
    </row>
    <row r="659" spans="1:11">
      <c r="A659" s="2">
        <v>43923</v>
      </c>
      <c r="B659" s="4"/>
      <c r="C659" s="1" t="s">
        <v>63</v>
      </c>
      <c r="E659">
        <v>622</v>
      </c>
      <c r="F659">
        <v>60</v>
      </c>
      <c r="J659">
        <v>28</v>
      </c>
      <c r="K659" s="1" t="s">
        <v>65</v>
      </c>
    </row>
    <row r="660" spans="1:11">
      <c r="A660" s="2">
        <v>43923</v>
      </c>
      <c r="B660" s="4"/>
      <c r="C660" s="1" t="s">
        <v>66</v>
      </c>
      <c r="E660">
        <v>149</v>
      </c>
      <c r="F660">
        <v>29</v>
      </c>
      <c r="G660">
        <v>3</v>
      </c>
      <c r="J660">
        <v>0</v>
      </c>
      <c r="K660" s="1" t="s">
        <v>483</v>
      </c>
    </row>
    <row r="661" spans="1:11">
      <c r="A661" s="2">
        <v>43923</v>
      </c>
      <c r="B661" s="4"/>
      <c r="C661" s="1" t="s">
        <v>71</v>
      </c>
      <c r="E661">
        <v>430</v>
      </c>
      <c r="F661">
        <v>61</v>
      </c>
      <c r="G661">
        <v>12</v>
      </c>
      <c r="H661">
        <v>10</v>
      </c>
      <c r="J661">
        <v>27</v>
      </c>
      <c r="K661" s="1" t="s">
        <v>434</v>
      </c>
    </row>
    <row r="662" spans="1:11">
      <c r="A662" s="2">
        <v>43923</v>
      </c>
      <c r="B662" s="4"/>
      <c r="C662" s="1" t="s">
        <v>73</v>
      </c>
      <c r="E662">
        <v>76</v>
      </c>
      <c r="F662">
        <v>9</v>
      </c>
      <c r="G662">
        <v>2</v>
      </c>
      <c r="K662" s="1" t="s">
        <v>409</v>
      </c>
    </row>
    <row r="663" spans="1:11">
      <c r="A663" s="2">
        <v>43923</v>
      </c>
      <c r="B663" s="4"/>
      <c r="C663" s="1" t="s">
        <v>75</v>
      </c>
      <c r="E663">
        <v>51</v>
      </c>
      <c r="K663" s="1" t="s">
        <v>77</v>
      </c>
    </row>
    <row r="664" spans="1:11">
      <c r="A664" s="2">
        <v>43923</v>
      </c>
      <c r="B664" s="4"/>
      <c r="C664" s="1" t="s">
        <v>78</v>
      </c>
      <c r="E664">
        <v>480</v>
      </c>
      <c r="F664">
        <v>64</v>
      </c>
      <c r="G664">
        <v>11</v>
      </c>
      <c r="I664">
        <v>49</v>
      </c>
      <c r="J664">
        <v>8</v>
      </c>
      <c r="K664" s="1" t="s">
        <v>80</v>
      </c>
    </row>
    <row r="665" spans="1:11">
      <c r="A665" s="2">
        <v>43923</v>
      </c>
      <c r="B665" s="4"/>
      <c r="C665" s="1" t="s">
        <v>81</v>
      </c>
      <c r="E665">
        <v>47</v>
      </c>
      <c r="F665">
        <v>18</v>
      </c>
      <c r="G665">
        <v>3</v>
      </c>
      <c r="J665">
        <v>1</v>
      </c>
      <c r="K665" s="1" t="s">
        <v>460</v>
      </c>
    </row>
    <row r="666" spans="1:11">
      <c r="A666" s="2">
        <v>43923</v>
      </c>
      <c r="B666" s="4"/>
      <c r="C666" s="1" t="s">
        <v>86</v>
      </c>
      <c r="E666">
        <v>155</v>
      </c>
      <c r="I666">
        <v>65</v>
      </c>
      <c r="J666">
        <v>4</v>
      </c>
      <c r="K666" s="1" t="s">
        <v>461</v>
      </c>
    </row>
    <row r="667" spans="1:11">
      <c r="A667" s="2">
        <v>43923</v>
      </c>
      <c r="B667" s="4"/>
      <c r="C667" s="1" t="s">
        <v>88</v>
      </c>
      <c r="E667">
        <v>179</v>
      </c>
      <c r="J667">
        <v>4</v>
      </c>
      <c r="K667" s="1" t="s">
        <v>90</v>
      </c>
    </row>
    <row r="668" spans="1:11">
      <c r="A668" s="2">
        <v>43923</v>
      </c>
      <c r="B668" s="4"/>
      <c r="C668" s="1" t="s">
        <v>97</v>
      </c>
      <c r="E668">
        <v>4052</v>
      </c>
      <c r="F668">
        <v>379</v>
      </c>
      <c r="G668">
        <v>72</v>
      </c>
      <c r="J668">
        <v>135</v>
      </c>
      <c r="K668" s="1" t="s">
        <v>99</v>
      </c>
    </row>
    <row r="669" spans="1:11">
      <c r="A669" s="2">
        <v>43923</v>
      </c>
      <c r="B669" s="4"/>
      <c r="C669" s="1" t="s">
        <v>100</v>
      </c>
      <c r="E669">
        <v>1333</v>
      </c>
      <c r="F669">
        <v>145</v>
      </c>
      <c r="G669">
        <v>28</v>
      </c>
      <c r="H669">
        <v>24</v>
      </c>
      <c r="I669">
        <v>88</v>
      </c>
      <c r="J669">
        <v>47</v>
      </c>
      <c r="K669" s="1" t="s">
        <v>484</v>
      </c>
    </row>
    <row r="670" spans="1:11">
      <c r="A670" s="2">
        <v>43923</v>
      </c>
      <c r="B670" s="4">
        <v>0</v>
      </c>
      <c r="C670" s="1" t="s">
        <v>83</v>
      </c>
      <c r="E670">
        <v>227</v>
      </c>
      <c r="F670">
        <v>14</v>
      </c>
      <c r="J670">
        <v>3</v>
      </c>
      <c r="K670" s="1" t="s">
        <v>448</v>
      </c>
    </row>
    <row r="671" spans="1:11">
      <c r="A671" s="2">
        <v>43923</v>
      </c>
      <c r="B671" s="4">
        <v>0.33333333333333331</v>
      </c>
      <c r="C671" s="1" t="s">
        <v>44</v>
      </c>
      <c r="E671">
        <v>1003</v>
      </c>
      <c r="F671">
        <v>104</v>
      </c>
      <c r="G671">
        <v>24</v>
      </c>
      <c r="H671">
        <v>20</v>
      </c>
      <c r="J671">
        <v>23</v>
      </c>
      <c r="K671" s="1" t="s">
        <v>46</v>
      </c>
    </row>
    <row r="672" spans="1:11">
      <c r="A672" s="2">
        <v>43923</v>
      </c>
      <c r="B672" s="4">
        <v>0.33333333333333331</v>
      </c>
      <c r="C672" s="1" t="s">
        <v>91</v>
      </c>
      <c r="E672">
        <v>2271</v>
      </c>
      <c r="F672">
        <v>374</v>
      </c>
      <c r="G672">
        <v>75</v>
      </c>
      <c r="H672">
        <v>73</v>
      </c>
      <c r="I672">
        <v>263</v>
      </c>
      <c r="J672">
        <v>141</v>
      </c>
      <c r="K672" s="1" t="s">
        <v>282</v>
      </c>
    </row>
    <row r="673" spans="1:11">
      <c r="A673" s="2">
        <v>43923</v>
      </c>
      <c r="B673" s="4">
        <v>0.33333333333333331</v>
      </c>
      <c r="C673" s="1" t="s">
        <v>102</v>
      </c>
      <c r="E673">
        <v>131</v>
      </c>
      <c r="F673">
        <v>14</v>
      </c>
      <c r="G673">
        <v>5</v>
      </c>
      <c r="I673">
        <v>41</v>
      </c>
      <c r="J673">
        <v>1</v>
      </c>
      <c r="K673" s="1" t="s">
        <v>440</v>
      </c>
    </row>
    <row r="674" spans="1:11">
      <c r="A674" s="2">
        <v>43923</v>
      </c>
      <c r="B674" s="4">
        <v>0.41666666666666669</v>
      </c>
      <c r="C674" s="1" t="s">
        <v>50</v>
      </c>
      <c r="E674">
        <v>714</v>
      </c>
      <c r="F674">
        <v>119</v>
      </c>
      <c r="G674">
        <v>17</v>
      </c>
      <c r="I674">
        <v>350</v>
      </c>
      <c r="J674">
        <v>19</v>
      </c>
      <c r="K674" s="1" t="s">
        <v>280</v>
      </c>
    </row>
    <row r="675" spans="1:11">
      <c r="A675" s="2">
        <v>43923</v>
      </c>
      <c r="B675" s="4">
        <v>0.45833333333333331</v>
      </c>
      <c r="C675" s="1" t="s">
        <v>68</v>
      </c>
      <c r="E675">
        <v>422</v>
      </c>
      <c r="F675">
        <v>66</v>
      </c>
      <c r="G675">
        <v>11</v>
      </c>
      <c r="J675">
        <v>7</v>
      </c>
      <c r="K675" s="1" t="s">
        <v>70</v>
      </c>
    </row>
    <row r="676" spans="1:11">
      <c r="A676" s="2">
        <v>43923</v>
      </c>
      <c r="B676" s="4">
        <v>0.5</v>
      </c>
      <c r="C676" s="1" t="s">
        <v>41</v>
      </c>
      <c r="E676">
        <v>64</v>
      </c>
      <c r="J676">
        <v>3</v>
      </c>
      <c r="K676" s="1" t="s">
        <v>43</v>
      </c>
    </row>
    <row r="677" spans="1:11">
      <c r="A677" s="2">
        <v>43923</v>
      </c>
      <c r="B677" s="4">
        <v>0.58333333333333337</v>
      </c>
      <c r="C677" s="1" t="s">
        <v>94</v>
      </c>
      <c r="E677">
        <v>60</v>
      </c>
      <c r="F677">
        <v>4</v>
      </c>
      <c r="I677">
        <v>13</v>
      </c>
      <c r="J677">
        <v>1</v>
      </c>
      <c r="K677" s="1" t="s">
        <v>226</v>
      </c>
    </row>
    <row r="678" spans="1:11">
      <c r="A678" s="2">
        <v>43923</v>
      </c>
      <c r="B678" s="4">
        <v>0.60416666666666663</v>
      </c>
      <c r="C678" s="1" t="s">
        <v>104</v>
      </c>
      <c r="E678">
        <v>2306</v>
      </c>
      <c r="F678">
        <v>200</v>
      </c>
      <c r="H678">
        <v>53</v>
      </c>
      <c r="J678">
        <v>39</v>
      </c>
      <c r="K678" s="1" t="s">
        <v>106</v>
      </c>
    </row>
    <row r="679" spans="1:11">
      <c r="A679" s="2">
        <v>43923</v>
      </c>
      <c r="B679" s="4">
        <v>0.625</v>
      </c>
      <c r="C679" s="1" t="s">
        <v>34</v>
      </c>
      <c r="E679">
        <v>592</v>
      </c>
      <c r="F679">
        <v>94</v>
      </c>
      <c r="G679">
        <v>27</v>
      </c>
      <c r="H679">
        <v>27</v>
      </c>
      <c r="J679">
        <v>12</v>
      </c>
      <c r="K679" s="1" t="s">
        <v>279</v>
      </c>
    </row>
    <row r="680" spans="1:11">
      <c r="A680" s="2">
        <v>43923</v>
      </c>
      <c r="B680" s="4">
        <v>0.70833333333333337</v>
      </c>
      <c r="C680" s="1" t="s">
        <v>38</v>
      </c>
      <c r="E680">
        <v>20</v>
      </c>
      <c r="K680" s="1" t="s">
        <v>40</v>
      </c>
    </row>
    <row r="681" spans="1:11">
      <c r="A681" s="2">
        <v>43924</v>
      </c>
      <c r="B681" s="4"/>
      <c r="C681" s="1" t="s">
        <v>47</v>
      </c>
      <c r="E681">
        <v>625</v>
      </c>
      <c r="F681">
        <v>82</v>
      </c>
      <c r="G681">
        <v>18</v>
      </c>
      <c r="H681">
        <v>18</v>
      </c>
      <c r="I681">
        <v>266</v>
      </c>
      <c r="J681">
        <v>14</v>
      </c>
      <c r="K681" s="1" t="s">
        <v>49</v>
      </c>
    </row>
    <row r="682" spans="1:11">
      <c r="A682" s="2">
        <v>43924</v>
      </c>
      <c r="B682" s="4"/>
      <c r="C682" s="1" t="s">
        <v>53</v>
      </c>
      <c r="E682">
        <v>76</v>
      </c>
      <c r="K682" s="1" t="s">
        <v>281</v>
      </c>
    </row>
    <row r="683" spans="1:11">
      <c r="A683" s="2">
        <v>43924</v>
      </c>
      <c r="B683" s="4"/>
      <c r="C683" s="1" t="s">
        <v>56</v>
      </c>
      <c r="E683">
        <v>588</v>
      </c>
      <c r="F683">
        <v>77</v>
      </c>
      <c r="G683">
        <v>21</v>
      </c>
      <c r="I683">
        <v>46</v>
      </c>
      <c r="J683">
        <v>31</v>
      </c>
      <c r="K683" s="1" t="s">
        <v>459</v>
      </c>
    </row>
    <row r="684" spans="1:11">
      <c r="A684" s="2">
        <v>43924</v>
      </c>
      <c r="B684" s="4"/>
      <c r="C684" s="1" t="s">
        <v>58</v>
      </c>
      <c r="D684">
        <v>14030</v>
      </c>
      <c r="E684">
        <v>3456</v>
      </c>
      <c r="F684">
        <v>424</v>
      </c>
      <c r="G684">
        <v>65</v>
      </c>
      <c r="H684">
        <v>58</v>
      </c>
      <c r="I684">
        <v>284</v>
      </c>
      <c r="J684">
        <v>91</v>
      </c>
      <c r="K684" s="1" t="s">
        <v>60</v>
      </c>
    </row>
    <row r="685" spans="1:11">
      <c r="A685" s="2">
        <v>43924</v>
      </c>
      <c r="B685" s="4"/>
      <c r="C685" s="1" t="s">
        <v>61</v>
      </c>
      <c r="E685">
        <v>59</v>
      </c>
      <c r="F685">
        <v>5</v>
      </c>
      <c r="J685">
        <v>2</v>
      </c>
      <c r="K685" s="1" t="s">
        <v>446</v>
      </c>
    </row>
    <row r="686" spans="1:11">
      <c r="A686" s="2">
        <v>43924</v>
      </c>
      <c r="B686" s="4"/>
      <c r="C686" s="1" t="s">
        <v>63</v>
      </c>
      <c r="E686">
        <v>649</v>
      </c>
      <c r="F686">
        <v>51</v>
      </c>
      <c r="J686">
        <v>30</v>
      </c>
      <c r="K686" s="1" t="s">
        <v>65</v>
      </c>
    </row>
    <row r="687" spans="1:11">
      <c r="A687" s="2">
        <v>43924</v>
      </c>
      <c r="B687" s="4"/>
      <c r="C687" s="1" t="s">
        <v>66</v>
      </c>
      <c r="E687">
        <v>149</v>
      </c>
      <c r="F687">
        <v>28</v>
      </c>
      <c r="G687">
        <v>3</v>
      </c>
      <c r="J687">
        <v>0</v>
      </c>
      <c r="K687" s="1" t="s">
        <v>483</v>
      </c>
    </row>
    <row r="688" spans="1:11">
      <c r="A688" s="2">
        <v>43924</v>
      </c>
      <c r="B688" s="4"/>
      <c r="C688" s="1" t="s">
        <v>71</v>
      </c>
      <c r="E688">
        <v>444</v>
      </c>
      <c r="F688">
        <v>61</v>
      </c>
      <c r="G688">
        <v>11</v>
      </c>
      <c r="H688">
        <v>9</v>
      </c>
      <c r="J688">
        <v>28</v>
      </c>
      <c r="K688" s="1" t="s">
        <v>434</v>
      </c>
    </row>
    <row r="689" spans="1:11">
      <c r="A689" s="2">
        <v>43924</v>
      </c>
      <c r="B689" s="4"/>
      <c r="C689" s="1" t="s">
        <v>73</v>
      </c>
      <c r="E689">
        <v>79</v>
      </c>
      <c r="F689">
        <v>10</v>
      </c>
      <c r="G689">
        <v>2</v>
      </c>
      <c r="K689" s="1" t="s">
        <v>409</v>
      </c>
    </row>
    <row r="690" spans="1:11">
      <c r="A690" s="2">
        <v>43924</v>
      </c>
      <c r="B690" s="4"/>
      <c r="C690" s="1" t="s">
        <v>75</v>
      </c>
      <c r="E690">
        <v>56</v>
      </c>
      <c r="K690" s="1" t="s">
        <v>77</v>
      </c>
    </row>
    <row r="691" spans="1:11">
      <c r="A691" s="2">
        <v>43924</v>
      </c>
      <c r="B691" s="4"/>
      <c r="C691" s="1" t="s">
        <v>78</v>
      </c>
      <c r="E691">
        <v>480</v>
      </c>
      <c r="F691">
        <v>75</v>
      </c>
      <c r="G691">
        <v>12</v>
      </c>
      <c r="I691">
        <v>50</v>
      </c>
      <c r="J691">
        <v>8</v>
      </c>
      <c r="K691" s="1" t="s">
        <v>80</v>
      </c>
    </row>
    <row r="692" spans="1:11">
      <c r="A692" s="2">
        <v>43924</v>
      </c>
      <c r="B692" s="4"/>
      <c r="C692" s="1" t="s">
        <v>81</v>
      </c>
      <c r="E692">
        <v>47</v>
      </c>
      <c r="F692">
        <v>9</v>
      </c>
      <c r="G692">
        <v>3</v>
      </c>
      <c r="J692">
        <v>1</v>
      </c>
      <c r="K692" s="1" t="s">
        <v>460</v>
      </c>
    </row>
    <row r="693" spans="1:11">
      <c r="A693" s="2">
        <v>43924</v>
      </c>
      <c r="B693" s="4"/>
      <c r="C693" s="1" t="s">
        <v>86</v>
      </c>
      <c r="E693">
        <v>165</v>
      </c>
      <c r="I693">
        <v>75</v>
      </c>
      <c r="J693">
        <v>4</v>
      </c>
      <c r="K693" s="1" t="s">
        <v>461</v>
      </c>
    </row>
    <row r="694" spans="1:11">
      <c r="A694" s="2">
        <v>43924</v>
      </c>
      <c r="B694" s="4"/>
      <c r="C694" s="1" t="s">
        <v>88</v>
      </c>
      <c r="E694">
        <v>198</v>
      </c>
      <c r="J694">
        <v>5</v>
      </c>
      <c r="K694" s="1" t="s">
        <v>90</v>
      </c>
    </row>
    <row r="695" spans="1:11">
      <c r="A695" s="2">
        <v>43924</v>
      </c>
      <c r="B695" s="4"/>
      <c r="C695" s="1" t="s">
        <v>97</v>
      </c>
      <c r="E695">
        <v>4188</v>
      </c>
      <c r="F695">
        <v>370</v>
      </c>
      <c r="G695">
        <v>70</v>
      </c>
      <c r="J695">
        <v>153</v>
      </c>
      <c r="K695" s="1" t="s">
        <v>99</v>
      </c>
    </row>
    <row r="696" spans="1:11">
      <c r="A696" s="2">
        <v>43924</v>
      </c>
      <c r="B696" s="4"/>
      <c r="C696" s="1" t="s">
        <v>100</v>
      </c>
      <c r="E696">
        <v>1382</v>
      </c>
      <c r="F696">
        <v>145</v>
      </c>
      <c r="G696">
        <v>26</v>
      </c>
      <c r="H696">
        <v>23</v>
      </c>
      <c r="I696">
        <v>91</v>
      </c>
      <c r="J696">
        <v>51</v>
      </c>
      <c r="K696" s="1" t="s">
        <v>484</v>
      </c>
    </row>
    <row r="697" spans="1:11">
      <c r="A697" s="2">
        <v>43924</v>
      </c>
      <c r="B697" s="4">
        <v>0</v>
      </c>
      <c r="C697" s="1" t="s">
        <v>83</v>
      </c>
      <c r="E697">
        <v>237</v>
      </c>
      <c r="F697">
        <v>17</v>
      </c>
      <c r="J697">
        <v>3</v>
      </c>
      <c r="K697" s="1" t="s">
        <v>448</v>
      </c>
    </row>
    <row r="698" spans="1:11">
      <c r="A698" s="2">
        <v>43924</v>
      </c>
      <c r="B698" s="4">
        <v>0.33333333333333331</v>
      </c>
      <c r="C698" s="1" t="s">
        <v>41</v>
      </c>
      <c r="E698">
        <v>65</v>
      </c>
      <c r="J698">
        <v>3</v>
      </c>
      <c r="K698" s="1" t="s">
        <v>43</v>
      </c>
    </row>
    <row r="699" spans="1:11">
      <c r="A699" s="2">
        <v>43924</v>
      </c>
      <c r="B699" s="4">
        <v>0.33333333333333331</v>
      </c>
      <c r="C699" s="1" t="s">
        <v>44</v>
      </c>
      <c r="E699">
        <v>1073</v>
      </c>
      <c r="F699">
        <v>109</v>
      </c>
      <c r="G699">
        <v>30</v>
      </c>
      <c r="H699">
        <v>26</v>
      </c>
      <c r="J699">
        <v>26</v>
      </c>
      <c r="K699" s="1" t="s">
        <v>46</v>
      </c>
    </row>
    <row r="700" spans="1:11">
      <c r="A700" s="2">
        <v>43924</v>
      </c>
      <c r="B700" s="4">
        <v>0.33333333333333331</v>
      </c>
      <c r="C700" s="1" t="s">
        <v>91</v>
      </c>
      <c r="E700">
        <v>2377</v>
      </c>
      <c r="F700">
        <v>370</v>
      </c>
      <c r="G700">
        <v>75</v>
      </c>
      <c r="H700">
        <v>67</v>
      </c>
      <c r="I700">
        <v>287</v>
      </c>
      <c r="J700">
        <v>155</v>
      </c>
      <c r="K700" s="1" t="s">
        <v>285</v>
      </c>
    </row>
    <row r="701" spans="1:11">
      <c r="A701" s="2">
        <v>43924</v>
      </c>
      <c r="B701" s="4">
        <v>0.33333333333333331</v>
      </c>
      <c r="C701" s="1" t="s">
        <v>102</v>
      </c>
      <c r="E701">
        <v>138</v>
      </c>
      <c r="F701">
        <v>15</v>
      </c>
      <c r="G701">
        <v>7</v>
      </c>
      <c r="I701">
        <v>44</v>
      </c>
      <c r="J701">
        <v>1</v>
      </c>
      <c r="K701" s="1" t="s">
        <v>440</v>
      </c>
    </row>
    <row r="702" spans="1:11">
      <c r="A702" s="2">
        <v>43924</v>
      </c>
      <c r="B702" s="4">
        <v>0.35416666666666669</v>
      </c>
      <c r="C702" s="1" t="s">
        <v>50</v>
      </c>
      <c r="E702">
        <v>754</v>
      </c>
      <c r="F702">
        <v>115</v>
      </c>
      <c r="G702">
        <v>17</v>
      </c>
      <c r="I702">
        <v>397</v>
      </c>
      <c r="J702">
        <v>21</v>
      </c>
      <c r="K702" s="1" t="s">
        <v>284</v>
      </c>
    </row>
    <row r="703" spans="1:11">
      <c r="A703" s="2">
        <v>43924</v>
      </c>
      <c r="B703" s="4">
        <v>0.45833333333333331</v>
      </c>
      <c r="C703" s="1" t="s">
        <v>38</v>
      </c>
      <c r="E703">
        <v>20</v>
      </c>
      <c r="K703" s="1" t="s">
        <v>40</v>
      </c>
    </row>
    <row r="704" spans="1:11">
      <c r="A704" s="2">
        <v>43924</v>
      </c>
      <c r="B704" s="4">
        <v>0.45833333333333331</v>
      </c>
      <c r="C704" s="1" t="s">
        <v>68</v>
      </c>
      <c r="E704">
        <v>449</v>
      </c>
      <c r="F704">
        <v>49</v>
      </c>
      <c r="G704">
        <v>12</v>
      </c>
      <c r="J704">
        <v>7</v>
      </c>
      <c r="K704" s="1" t="s">
        <v>70</v>
      </c>
    </row>
    <row r="705" spans="1:11">
      <c r="A705" s="2">
        <v>43924</v>
      </c>
      <c r="B705" s="4">
        <v>0.58333333333333337</v>
      </c>
      <c r="C705" s="1" t="s">
        <v>94</v>
      </c>
      <c r="E705">
        <v>62</v>
      </c>
      <c r="F705">
        <v>6</v>
      </c>
      <c r="I705">
        <v>26</v>
      </c>
      <c r="J705">
        <v>1</v>
      </c>
      <c r="K705" s="1" t="s">
        <v>226</v>
      </c>
    </row>
    <row r="706" spans="1:11">
      <c r="A706" s="2">
        <v>43924</v>
      </c>
      <c r="B706" s="4">
        <v>0.60416666666666663</v>
      </c>
      <c r="C706" s="1" t="s">
        <v>104</v>
      </c>
      <c r="E706">
        <v>2434</v>
      </c>
      <c r="F706">
        <v>207</v>
      </c>
      <c r="H706">
        <v>57</v>
      </c>
      <c r="J706">
        <v>41</v>
      </c>
      <c r="K706" s="1" t="s">
        <v>106</v>
      </c>
    </row>
    <row r="707" spans="1:11">
      <c r="A707" s="2">
        <v>43924</v>
      </c>
      <c r="B707" s="4">
        <v>0.625</v>
      </c>
      <c r="C707" s="1" t="s">
        <v>34</v>
      </c>
      <c r="E707">
        <v>626</v>
      </c>
      <c r="F707">
        <v>100</v>
      </c>
      <c r="G707">
        <v>27</v>
      </c>
      <c r="H707">
        <v>26</v>
      </c>
      <c r="J707">
        <v>12</v>
      </c>
      <c r="K707" s="1" t="s">
        <v>283</v>
      </c>
    </row>
    <row r="708" spans="1:11">
      <c r="A708" s="2">
        <v>43925</v>
      </c>
      <c r="B708" s="4"/>
      <c r="C708" s="1" t="s">
        <v>47</v>
      </c>
      <c r="E708">
        <v>656</v>
      </c>
      <c r="F708">
        <v>73</v>
      </c>
      <c r="G708">
        <v>19</v>
      </c>
      <c r="H708">
        <v>17</v>
      </c>
      <c r="I708">
        <v>298</v>
      </c>
      <c r="J708">
        <v>19</v>
      </c>
      <c r="K708" s="1" t="s">
        <v>49</v>
      </c>
    </row>
    <row r="709" spans="1:11">
      <c r="A709" s="2">
        <v>43925</v>
      </c>
      <c r="B709" s="4"/>
      <c r="C709" s="1" t="s">
        <v>53</v>
      </c>
      <c r="E709">
        <v>77</v>
      </c>
      <c r="J709">
        <v>1</v>
      </c>
      <c r="K709" s="1" t="s">
        <v>287</v>
      </c>
    </row>
    <row r="710" spans="1:11">
      <c r="A710" s="2">
        <v>43925</v>
      </c>
      <c r="B710" s="4"/>
      <c r="C710" s="1" t="s">
        <v>56</v>
      </c>
      <c r="E710">
        <v>638</v>
      </c>
      <c r="F710">
        <v>89</v>
      </c>
      <c r="G710">
        <v>21</v>
      </c>
      <c r="I710">
        <v>49</v>
      </c>
      <c r="J710">
        <v>37</v>
      </c>
      <c r="K710" s="1" t="s">
        <v>459</v>
      </c>
    </row>
    <row r="711" spans="1:11">
      <c r="A711" s="2">
        <v>43925</v>
      </c>
      <c r="B711" s="4"/>
      <c r="C711" s="1" t="s">
        <v>58</v>
      </c>
      <c r="D711">
        <v>14625</v>
      </c>
      <c r="E711">
        <v>3584</v>
      </c>
      <c r="F711">
        <v>421</v>
      </c>
      <c r="G711">
        <v>61</v>
      </c>
      <c r="H711">
        <v>51</v>
      </c>
      <c r="I711">
        <v>305</v>
      </c>
      <c r="J711">
        <v>104</v>
      </c>
      <c r="K711" s="1" t="s">
        <v>60</v>
      </c>
    </row>
    <row r="712" spans="1:11">
      <c r="A712" s="2">
        <v>43925</v>
      </c>
      <c r="B712" s="4"/>
      <c r="C712" s="1" t="s">
        <v>61</v>
      </c>
      <c r="E712">
        <v>61</v>
      </c>
      <c r="F712">
        <v>5</v>
      </c>
      <c r="J712">
        <v>2</v>
      </c>
      <c r="K712" s="1" t="s">
        <v>446</v>
      </c>
    </row>
    <row r="713" spans="1:11">
      <c r="A713" s="2">
        <v>43925</v>
      </c>
      <c r="B713" s="4"/>
      <c r="C713" s="1" t="s">
        <v>63</v>
      </c>
      <c r="E713">
        <v>657</v>
      </c>
      <c r="F713">
        <v>52</v>
      </c>
      <c r="J713">
        <v>30</v>
      </c>
      <c r="K713" s="1" t="s">
        <v>65</v>
      </c>
    </row>
    <row r="714" spans="1:11">
      <c r="A714" s="2">
        <v>43925</v>
      </c>
      <c r="B714" s="4"/>
      <c r="C714" s="1" t="s">
        <v>66</v>
      </c>
      <c r="E714">
        <v>154</v>
      </c>
      <c r="F714">
        <v>27</v>
      </c>
      <c r="G714">
        <v>3</v>
      </c>
      <c r="J714">
        <v>0</v>
      </c>
      <c r="K714" s="1" t="s">
        <v>483</v>
      </c>
    </row>
    <row r="715" spans="1:11">
      <c r="A715" s="2">
        <v>43925</v>
      </c>
      <c r="B715" s="4"/>
      <c r="C715" s="1" t="s">
        <v>71</v>
      </c>
      <c r="E715">
        <v>452</v>
      </c>
      <c r="F715">
        <v>59</v>
      </c>
      <c r="G715">
        <v>10</v>
      </c>
      <c r="H715">
        <v>9</v>
      </c>
      <c r="J715">
        <v>30</v>
      </c>
      <c r="K715" s="1" t="s">
        <v>434</v>
      </c>
    </row>
    <row r="716" spans="1:11">
      <c r="A716" s="2">
        <v>43925</v>
      </c>
      <c r="B716" s="4"/>
      <c r="C716" s="1" t="s">
        <v>73</v>
      </c>
      <c r="E716">
        <v>80</v>
      </c>
      <c r="F716">
        <v>10</v>
      </c>
      <c r="G716">
        <v>2</v>
      </c>
      <c r="K716" s="1" t="s">
        <v>409</v>
      </c>
    </row>
    <row r="717" spans="1:11">
      <c r="A717" s="2">
        <v>43925</v>
      </c>
      <c r="B717" s="4"/>
      <c r="C717" s="1" t="s">
        <v>78</v>
      </c>
      <c r="E717">
        <v>504</v>
      </c>
      <c r="F717">
        <v>79</v>
      </c>
      <c r="G717">
        <v>13</v>
      </c>
      <c r="I717">
        <v>62</v>
      </c>
      <c r="J717">
        <v>9</v>
      </c>
      <c r="K717" s="1" t="s">
        <v>80</v>
      </c>
    </row>
    <row r="718" spans="1:11">
      <c r="A718" s="2">
        <v>43925</v>
      </c>
      <c r="B718" s="4"/>
      <c r="C718" s="1" t="s">
        <v>81</v>
      </c>
      <c r="E718">
        <v>47</v>
      </c>
      <c r="F718">
        <v>12</v>
      </c>
      <c r="G718">
        <v>3</v>
      </c>
      <c r="J718">
        <v>1</v>
      </c>
      <c r="K718" s="1" t="s">
        <v>460</v>
      </c>
    </row>
    <row r="719" spans="1:11">
      <c r="A719" s="2">
        <v>43925</v>
      </c>
      <c r="B719" s="4"/>
      <c r="C719" s="1" t="s">
        <v>86</v>
      </c>
      <c r="E719">
        <v>168</v>
      </c>
      <c r="I719">
        <v>92</v>
      </c>
      <c r="J719">
        <v>5</v>
      </c>
      <c r="K719" s="1" t="s">
        <v>461</v>
      </c>
    </row>
    <row r="720" spans="1:11">
      <c r="A720" s="2">
        <v>43925</v>
      </c>
      <c r="B720" s="4"/>
      <c r="C720" s="1" t="s">
        <v>88</v>
      </c>
      <c r="E720">
        <v>208</v>
      </c>
      <c r="J720">
        <v>5</v>
      </c>
      <c r="K720" s="1" t="s">
        <v>90</v>
      </c>
    </row>
    <row r="721" spans="1:11">
      <c r="A721" s="2">
        <v>43925</v>
      </c>
      <c r="B721" s="4"/>
      <c r="C721" s="1" t="s">
        <v>97</v>
      </c>
      <c r="E721">
        <v>4260</v>
      </c>
      <c r="F721">
        <v>370</v>
      </c>
      <c r="G721">
        <v>70</v>
      </c>
      <c r="J721">
        <v>164</v>
      </c>
      <c r="K721" s="1" t="s">
        <v>99</v>
      </c>
    </row>
    <row r="722" spans="1:11">
      <c r="A722" s="2">
        <v>43925</v>
      </c>
      <c r="B722" s="4"/>
      <c r="C722" s="1" t="s">
        <v>100</v>
      </c>
      <c r="E722">
        <v>1415</v>
      </c>
      <c r="F722">
        <v>148</v>
      </c>
      <c r="G722">
        <v>28</v>
      </c>
      <c r="H722">
        <v>23</v>
      </c>
      <c r="I722">
        <v>95</v>
      </c>
      <c r="J722">
        <v>53</v>
      </c>
      <c r="K722" s="1" t="s">
        <v>484</v>
      </c>
    </row>
    <row r="723" spans="1:11">
      <c r="A723" s="2">
        <v>43925</v>
      </c>
      <c r="B723" s="4">
        <v>0</v>
      </c>
      <c r="C723" s="1" t="s">
        <v>83</v>
      </c>
      <c r="E723">
        <v>250</v>
      </c>
      <c r="J723">
        <v>3</v>
      </c>
      <c r="K723" s="1" t="s">
        <v>448</v>
      </c>
    </row>
    <row r="724" spans="1:11">
      <c r="A724" s="2">
        <v>43925</v>
      </c>
      <c r="B724" s="4">
        <v>0.33333333333333331</v>
      </c>
      <c r="C724" s="1" t="s">
        <v>44</v>
      </c>
      <c r="E724">
        <v>1106</v>
      </c>
      <c r="F724">
        <v>113</v>
      </c>
      <c r="G724">
        <v>35</v>
      </c>
      <c r="H724">
        <v>28</v>
      </c>
      <c r="J724">
        <v>28</v>
      </c>
      <c r="K724" s="1" t="s">
        <v>46</v>
      </c>
    </row>
    <row r="725" spans="1:11">
      <c r="A725" s="2">
        <v>43925</v>
      </c>
      <c r="B725" s="4">
        <v>0.33333333333333331</v>
      </c>
      <c r="C725" s="1" t="s">
        <v>91</v>
      </c>
      <c r="E725">
        <v>2442</v>
      </c>
      <c r="F725">
        <v>363</v>
      </c>
      <c r="G725">
        <v>72</v>
      </c>
      <c r="H725">
        <v>67</v>
      </c>
      <c r="I725">
        <v>314</v>
      </c>
      <c r="J725">
        <v>165</v>
      </c>
      <c r="K725" s="1" t="s">
        <v>288</v>
      </c>
    </row>
    <row r="726" spans="1:11">
      <c r="A726" s="2">
        <v>43925</v>
      </c>
      <c r="B726" s="4">
        <v>0.33333333333333331</v>
      </c>
      <c r="C726" s="1" t="s">
        <v>102</v>
      </c>
      <c r="E726">
        <v>146</v>
      </c>
      <c r="F726">
        <v>14</v>
      </c>
      <c r="G726">
        <v>7</v>
      </c>
      <c r="I726">
        <v>46</v>
      </c>
      <c r="J726">
        <v>2</v>
      </c>
      <c r="K726" s="1" t="s">
        <v>440</v>
      </c>
    </row>
    <row r="727" spans="1:11">
      <c r="A727" s="2">
        <v>43925</v>
      </c>
      <c r="B727" s="4">
        <v>0.42708333333333331</v>
      </c>
      <c r="C727" s="1" t="s">
        <v>50</v>
      </c>
      <c r="E727">
        <v>767</v>
      </c>
      <c r="F727">
        <v>112</v>
      </c>
      <c r="G727">
        <v>16</v>
      </c>
      <c r="I727">
        <v>434</v>
      </c>
      <c r="J727">
        <v>24</v>
      </c>
      <c r="K727" s="1" t="s">
        <v>286</v>
      </c>
    </row>
    <row r="728" spans="1:11">
      <c r="A728" s="2">
        <v>43925</v>
      </c>
      <c r="B728" s="4">
        <v>0.45833333333333331</v>
      </c>
      <c r="C728" s="1" t="s">
        <v>38</v>
      </c>
      <c r="E728">
        <v>21</v>
      </c>
      <c r="K728" s="1" t="s">
        <v>40</v>
      </c>
    </row>
    <row r="729" spans="1:11">
      <c r="A729" s="2">
        <v>43925</v>
      </c>
      <c r="B729" s="4">
        <v>0.45833333333333331</v>
      </c>
      <c r="C729" s="1" t="s">
        <v>68</v>
      </c>
      <c r="E729">
        <v>469</v>
      </c>
      <c r="F729">
        <v>49</v>
      </c>
      <c r="G729">
        <v>12</v>
      </c>
      <c r="J729">
        <v>7</v>
      </c>
      <c r="K729" s="1" t="s">
        <v>70</v>
      </c>
    </row>
    <row r="730" spans="1:11">
      <c r="A730" s="2">
        <v>43925</v>
      </c>
      <c r="B730" s="4">
        <v>0.54166666666666663</v>
      </c>
      <c r="C730" s="1" t="s">
        <v>41</v>
      </c>
      <c r="E730">
        <v>66</v>
      </c>
      <c r="J730">
        <v>3</v>
      </c>
      <c r="K730" s="1" t="s">
        <v>43</v>
      </c>
    </row>
    <row r="731" spans="1:11">
      <c r="A731" s="2">
        <v>43925</v>
      </c>
      <c r="B731" s="4">
        <v>0.60416666666666663</v>
      </c>
      <c r="C731" s="1" t="s">
        <v>104</v>
      </c>
      <c r="E731">
        <v>2467</v>
      </c>
      <c r="F731">
        <v>194</v>
      </c>
      <c r="H731">
        <v>59</v>
      </c>
      <c r="J731">
        <v>49</v>
      </c>
      <c r="K731" s="1" t="s">
        <v>106</v>
      </c>
    </row>
    <row r="732" spans="1:11">
      <c r="A732" s="2">
        <v>43925</v>
      </c>
      <c r="B732" s="4">
        <v>0.70833333333333337</v>
      </c>
      <c r="C732" s="1" t="s">
        <v>94</v>
      </c>
      <c r="E732">
        <v>66</v>
      </c>
      <c r="F732">
        <v>6</v>
      </c>
      <c r="I732">
        <v>26</v>
      </c>
      <c r="J732">
        <v>1</v>
      </c>
      <c r="K732" s="1" t="s">
        <v>226</v>
      </c>
    </row>
    <row r="733" spans="1:11">
      <c r="A733" s="2">
        <v>43926</v>
      </c>
      <c r="B733" s="4"/>
      <c r="C733" s="1" t="s">
        <v>47</v>
      </c>
      <c r="E733">
        <v>670</v>
      </c>
      <c r="F733">
        <v>73</v>
      </c>
      <c r="G733">
        <v>19</v>
      </c>
      <c r="H733">
        <v>17</v>
      </c>
      <c r="I733">
        <v>369</v>
      </c>
      <c r="J733">
        <v>19</v>
      </c>
      <c r="K733" s="1" t="s">
        <v>49</v>
      </c>
    </row>
    <row r="734" spans="1:11">
      <c r="A734" s="2">
        <v>43926</v>
      </c>
      <c r="B734" s="4"/>
      <c r="C734" s="1" t="s">
        <v>53</v>
      </c>
      <c r="E734">
        <v>77</v>
      </c>
      <c r="J734">
        <v>1</v>
      </c>
      <c r="K734" s="1" t="s">
        <v>55</v>
      </c>
    </row>
    <row r="735" spans="1:11">
      <c r="A735" s="2">
        <v>43926</v>
      </c>
      <c r="B735" s="4"/>
      <c r="C735" s="1" t="s">
        <v>56</v>
      </c>
      <c r="E735">
        <v>669</v>
      </c>
      <c r="F735">
        <v>87</v>
      </c>
      <c r="G735">
        <v>20</v>
      </c>
      <c r="I735">
        <v>55</v>
      </c>
      <c r="J735">
        <v>40</v>
      </c>
      <c r="K735" s="1" t="s">
        <v>459</v>
      </c>
    </row>
    <row r="736" spans="1:11">
      <c r="A736" s="2">
        <v>43926</v>
      </c>
      <c r="B736" s="4"/>
      <c r="C736" s="1" t="s">
        <v>58</v>
      </c>
      <c r="D736">
        <v>14926</v>
      </c>
      <c r="E736">
        <v>3649</v>
      </c>
      <c r="F736">
        <v>424</v>
      </c>
      <c r="G736">
        <v>56</v>
      </c>
      <c r="H736">
        <v>50</v>
      </c>
      <c r="I736">
        <v>327</v>
      </c>
      <c r="J736">
        <v>111</v>
      </c>
      <c r="K736" s="1" t="s">
        <v>60</v>
      </c>
    </row>
    <row r="737" spans="1:11">
      <c r="A737" s="2">
        <v>43926</v>
      </c>
      <c r="B737" s="4"/>
      <c r="C737" s="1" t="s">
        <v>61</v>
      </c>
      <c r="E737">
        <v>63</v>
      </c>
      <c r="F737">
        <v>5</v>
      </c>
      <c r="J737">
        <v>2</v>
      </c>
      <c r="K737" s="1" t="s">
        <v>446</v>
      </c>
    </row>
    <row r="738" spans="1:11">
      <c r="A738" s="2">
        <v>43926</v>
      </c>
      <c r="B738" s="4"/>
      <c r="C738" s="1" t="s">
        <v>63</v>
      </c>
      <c r="E738">
        <v>668</v>
      </c>
      <c r="F738">
        <v>49</v>
      </c>
      <c r="J738">
        <v>33</v>
      </c>
      <c r="K738" s="1" t="s">
        <v>65</v>
      </c>
    </row>
    <row r="739" spans="1:11">
      <c r="A739" s="2">
        <v>43926</v>
      </c>
      <c r="B739" s="4"/>
      <c r="C739" s="1" t="s">
        <v>66</v>
      </c>
      <c r="E739">
        <v>160</v>
      </c>
      <c r="F739">
        <v>29</v>
      </c>
      <c r="G739">
        <v>4</v>
      </c>
      <c r="J739">
        <v>0</v>
      </c>
      <c r="K739" s="1" t="s">
        <v>483</v>
      </c>
    </row>
    <row r="740" spans="1:11">
      <c r="A740" s="2">
        <v>43926</v>
      </c>
      <c r="B740" s="4"/>
      <c r="C740" s="1" t="s">
        <v>71</v>
      </c>
      <c r="E740">
        <v>464</v>
      </c>
      <c r="F740">
        <v>58</v>
      </c>
      <c r="G740">
        <v>12</v>
      </c>
      <c r="H740">
        <v>8</v>
      </c>
      <c r="J740">
        <v>30</v>
      </c>
      <c r="K740" s="1" t="s">
        <v>434</v>
      </c>
    </row>
    <row r="741" spans="1:11">
      <c r="A741" s="2">
        <v>43926</v>
      </c>
      <c r="B741" s="4"/>
      <c r="C741" s="1" t="s">
        <v>73</v>
      </c>
      <c r="E741">
        <v>80</v>
      </c>
      <c r="F741">
        <v>9</v>
      </c>
      <c r="G741">
        <v>2</v>
      </c>
      <c r="K741" s="1" t="s">
        <v>409</v>
      </c>
    </row>
    <row r="742" spans="1:11">
      <c r="A742" s="2">
        <v>43926</v>
      </c>
      <c r="B742" s="4"/>
      <c r="C742" s="1" t="s">
        <v>78</v>
      </c>
      <c r="E742">
        <v>515</v>
      </c>
      <c r="F742">
        <v>70</v>
      </c>
      <c r="G742">
        <v>13</v>
      </c>
      <c r="I742">
        <v>70</v>
      </c>
      <c r="J742">
        <v>9</v>
      </c>
      <c r="K742" s="1" t="s">
        <v>80</v>
      </c>
    </row>
    <row r="743" spans="1:11">
      <c r="A743" s="2">
        <v>43926</v>
      </c>
      <c r="B743" s="4"/>
      <c r="C743" s="1" t="s">
        <v>81</v>
      </c>
      <c r="E743">
        <v>49</v>
      </c>
      <c r="F743">
        <v>12</v>
      </c>
      <c r="G743">
        <v>3</v>
      </c>
      <c r="J743">
        <v>1</v>
      </c>
      <c r="K743" s="1" t="s">
        <v>460</v>
      </c>
    </row>
    <row r="744" spans="1:11">
      <c r="A744" s="2">
        <v>43926</v>
      </c>
      <c r="B744" s="4"/>
      <c r="C744" s="1" t="s">
        <v>86</v>
      </c>
      <c r="E744">
        <v>170</v>
      </c>
      <c r="I744">
        <v>93</v>
      </c>
      <c r="J744">
        <v>5</v>
      </c>
      <c r="K744" s="1" t="s">
        <v>461</v>
      </c>
    </row>
    <row r="745" spans="1:11">
      <c r="A745" s="2">
        <v>43926</v>
      </c>
      <c r="B745" s="4"/>
      <c r="C745" s="1" t="s">
        <v>88</v>
      </c>
      <c r="E745">
        <v>213</v>
      </c>
      <c r="J745">
        <v>7</v>
      </c>
      <c r="K745" s="1" t="s">
        <v>90</v>
      </c>
    </row>
    <row r="746" spans="1:11">
      <c r="A746" s="2">
        <v>43926</v>
      </c>
      <c r="B746" s="4"/>
      <c r="C746" s="1" t="s">
        <v>97</v>
      </c>
      <c r="E746">
        <v>4299</v>
      </c>
      <c r="F746">
        <v>381</v>
      </c>
      <c r="G746">
        <v>69</v>
      </c>
      <c r="J746">
        <v>176</v>
      </c>
      <c r="K746" s="1" t="s">
        <v>99</v>
      </c>
    </row>
    <row r="747" spans="1:11">
      <c r="A747" s="2">
        <v>43926</v>
      </c>
      <c r="B747" s="4"/>
      <c r="C747" s="1" t="s">
        <v>100</v>
      </c>
      <c r="E747">
        <v>1430</v>
      </c>
      <c r="F747">
        <v>145</v>
      </c>
      <c r="G747">
        <v>26</v>
      </c>
      <c r="H747">
        <v>23</v>
      </c>
      <c r="J747">
        <v>57</v>
      </c>
      <c r="K747" s="1" t="s">
        <v>484</v>
      </c>
    </row>
    <row r="748" spans="1:11">
      <c r="A748" s="2">
        <v>43926</v>
      </c>
      <c r="B748" s="4">
        <v>0</v>
      </c>
      <c r="C748" s="1" t="s">
        <v>83</v>
      </c>
      <c r="E748">
        <v>258</v>
      </c>
      <c r="F748">
        <v>16</v>
      </c>
      <c r="J748">
        <v>3</v>
      </c>
      <c r="K748" s="1" t="s">
        <v>448</v>
      </c>
    </row>
    <row r="749" spans="1:11">
      <c r="A749" s="2">
        <v>43926</v>
      </c>
      <c r="B749" s="4">
        <v>0.33333333333333331</v>
      </c>
      <c r="C749" s="1" t="s">
        <v>44</v>
      </c>
      <c r="E749">
        <v>1137</v>
      </c>
      <c r="F749">
        <v>110</v>
      </c>
      <c r="G749">
        <v>30</v>
      </c>
      <c r="H749">
        <v>25</v>
      </c>
      <c r="J749">
        <v>28</v>
      </c>
      <c r="K749" s="1" t="s">
        <v>46</v>
      </c>
    </row>
    <row r="750" spans="1:11">
      <c r="A750" s="2">
        <v>43926</v>
      </c>
      <c r="B750" s="4">
        <v>0.33333333333333331</v>
      </c>
      <c r="C750" s="1" t="s">
        <v>91</v>
      </c>
      <c r="E750">
        <v>2508</v>
      </c>
      <c r="F750">
        <v>362</v>
      </c>
      <c r="G750">
        <v>74</v>
      </c>
      <c r="H750">
        <v>61</v>
      </c>
      <c r="I750">
        <v>340</v>
      </c>
      <c r="J750">
        <v>177</v>
      </c>
      <c r="K750" s="1" t="s">
        <v>290</v>
      </c>
    </row>
    <row r="751" spans="1:11">
      <c r="A751" s="2">
        <v>43926</v>
      </c>
      <c r="B751" s="4">
        <v>0.33333333333333331</v>
      </c>
      <c r="C751" s="1" t="s">
        <v>102</v>
      </c>
      <c r="E751">
        <v>146</v>
      </c>
      <c r="F751">
        <v>14</v>
      </c>
      <c r="G751">
        <v>7</v>
      </c>
      <c r="I751">
        <v>46</v>
      </c>
      <c r="J751">
        <v>2</v>
      </c>
      <c r="K751" s="1" t="s">
        <v>440</v>
      </c>
    </row>
    <row r="752" spans="1:11">
      <c r="A752" s="2">
        <v>43926</v>
      </c>
      <c r="B752" s="4">
        <v>0.42708333333333331</v>
      </c>
      <c r="C752" s="1" t="s">
        <v>50</v>
      </c>
      <c r="E752">
        <v>789</v>
      </c>
      <c r="F752">
        <v>106</v>
      </c>
      <c r="G752">
        <v>15</v>
      </c>
      <c r="I752">
        <v>460</v>
      </c>
      <c r="J752">
        <v>26</v>
      </c>
      <c r="K752" s="1" t="s">
        <v>289</v>
      </c>
    </row>
    <row r="753" spans="1:11">
      <c r="A753" s="2">
        <v>43926</v>
      </c>
      <c r="B753" s="4">
        <v>0.45833333333333331</v>
      </c>
      <c r="C753" s="1" t="s">
        <v>68</v>
      </c>
      <c r="E753">
        <v>478</v>
      </c>
      <c r="F753">
        <v>49</v>
      </c>
      <c r="G753">
        <v>12</v>
      </c>
      <c r="J753">
        <v>9</v>
      </c>
      <c r="K753" s="1" t="s">
        <v>70</v>
      </c>
    </row>
    <row r="754" spans="1:11">
      <c r="A754" s="2">
        <v>43926</v>
      </c>
      <c r="B754" s="4">
        <v>0.54166666666666663</v>
      </c>
      <c r="C754" s="1" t="s">
        <v>41</v>
      </c>
      <c r="E754">
        <v>67</v>
      </c>
      <c r="J754">
        <v>3</v>
      </c>
      <c r="K754" s="1" t="s">
        <v>43</v>
      </c>
    </row>
    <row r="755" spans="1:11">
      <c r="A755" s="2">
        <v>43926</v>
      </c>
      <c r="B755" s="4">
        <v>0.60416666666666663</v>
      </c>
      <c r="C755" s="1" t="s">
        <v>104</v>
      </c>
      <c r="E755">
        <v>2497</v>
      </c>
      <c r="F755">
        <v>194</v>
      </c>
      <c r="H755">
        <v>59</v>
      </c>
      <c r="J755">
        <v>53</v>
      </c>
      <c r="K755" s="1" t="s">
        <v>106</v>
      </c>
    </row>
    <row r="756" spans="1:11">
      <c r="A756" s="2">
        <v>43926</v>
      </c>
      <c r="B756" s="4">
        <v>0.70833333333333337</v>
      </c>
      <c r="C756" s="1" t="s">
        <v>94</v>
      </c>
      <c r="E756">
        <v>67</v>
      </c>
      <c r="F756">
        <v>5</v>
      </c>
      <c r="I756">
        <v>26</v>
      </c>
      <c r="J756">
        <v>2</v>
      </c>
      <c r="K756" s="1" t="s">
        <v>226</v>
      </c>
    </row>
    <row r="757" spans="1:11">
      <c r="A757" s="2">
        <v>43927</v>
      </c>
      <c r="B757" s="4"/>
      <c r="C757" s="1" t="s">
        <v>47</v>
      </c>
      <c r="E757">
        <v>682</v>
      </c>
      <c r="F757">
        <v>67</v>
      </c>
      <c r="G757">
        <v>17</v>
      </c>
      <c r="H757">
        <v>17</v>
      </c>
      <c r="I757">
        <v>412</v>
      </c>
      <c r="J757">
        <v>19</v>
      </c>
      <c r="K757" s="1" t="s">
        <v>49</v>
      </c>
    </row>
    <row r="758" spans="1:11">
      <c r="A758" s="2">
        <v>43927</v>
      </c>
      <c r="B758" s="4"/>
      <c r="C758" s="1" t="s">
        <v>56</v>
      </c>
      <c r="E758">
        <v>689</v>
      </c>
      <c r="F758">
        <v>87</v>
      </c>
      <c r="G758">
        <v>19</v>
      </c>
      <c r="I758">
        <v>56</v>
      </c>
      <c r="J758">
        <v>41</v>
      </c>
      <c r="K758" s="1" t="s">
        <v>459</v>
      </c>
    </row>
    <row r="759" spans="1:11">
      <c r="A759" s="2">
        <v>43927</v>
      </c>
      <c r="B759" s="4"/>
      <c r="C759" s="1" t="s">
        <v>58</v>
      </c>
      <c r="D759">
        <v>15569</v>
      </c>
      <c r="E759">
        <v>3768</v>
      </c>
      <c r="F759">
        <v>418</v>
      </c>
      <c r="G759">
        <v>56</v>
      </c>
      <c r="H759">
        <v>50</v>
      </c>
      <c r="I759">
        <v>345</v>
      </c>
      <c r="J759">
        <v>123</v>
      </c>
      <c r="K759" s="1" t="s">
        <v>60</v>
      </c>
    </row>
    <row r="760" spans="1:11">
      <c r="A760" s="2">
        <v>43927</v>
      </c>
      <c r="B760" s="4"/>
      <c r="C760" s="1" t="s">
        <v>61</v>
      </c>
      <c r="E760">
        <v>63</v>
      </c>
      <c r="F760">
        <v>2</v>
      </c>
      <c r="J760">
        <v>2</v>
      </c>
      <c r="K760" s="1" t="s">
        <v>446</v>
      </c>
    </row>
    <row r="761" spans="1:11">
      <c r="A761" s="2">
        <v>43927</v>
      </c>
      <c r="B761" s="4"/>
      <c r="C761" s="1" t="s">
        <v>63</v>
      </c>
      <c r="E761">
        <v>679</v>
      </c>
      <c r="F761">
        <v>52</v>
      </c>
      <c r="J761">
        <v>34</v>
      </c>
      <c r="K761" s="1" t="s">
        <v>65</v>
      </c>
    </row>
    <row r="762" spans="1:11">
      <c r="A762" s="2">
        <v>43927</v>
      </c>
      <c r="B762" s="4"/>
      <c r="C762" s="1" t="s">
        <v>66</v>
      </c>
      <c r="E762">
        <v>164</v>
      </c>
      <c r="F762">
        <v>27</v>
      </c>
      <c r="G762">
        <v>4</v>
      </c>
      <c r="J762">
        <v>0</v>
      </c>
      <c r="K762" s="1" t="s">
        <v>483</v>
      </c>
    </row>
    <row r="763" spans="1:11">
      <c r="A763" s="2">
        <v>43927</v>
      </c>
      <c r="B763" s="4"/>
      <c r="C763" s="1" t="s">
        <v>71</v>
      </c>
      <c r="E763">
        <v>486</v>
      </c>
      <c r="F763">
        <v>59</v>
      </c>
      <c r="G763">
        <v>10</v>
      </c>
      <c r="H763">
        <v>8</v>
      </c>
      <c r="J763">
        <v>34</v>
      </c>
      <c r="K763" s="1" t="s">
        <v>434</v>
      </c>
    </row>
    <row r="764" spans="1:11">
      <c r="A764" s="2">
        <v>43927</v>
      </c>
      <c r="B764" s="4"/>
      <c r="C764" s="1" t="s">
        <v>73</v>
      </c>
      <c r="E764">
        <v>86</v>
      </c>
      <c r="F764">
        <v>11</v>
      </c>
      <c r="G764">
        <v>2</v>
      </c>
      <c r="K764" s="1" t="s">
        <v>409</v>
      </c>
    </row>
    <row r="765" spans="1:11">
      <c r="A765" s="2">
        <v>43927</v>
      </c>
      <c r="B765" s="4"/>
      <c r="C765" s="1" t="s">
        <v>78</v>
      </c>
      <c r="E765">
        <v>532</v>
      </c>
      <c r="F765">
        <v>70</v>
      </c>
      <c r="G765">
        <v>12</v>
      </c>
      <c r="I765">
        <v>75</v>
      </c>
      <c r="J765">
        <v>11</v>
      </c>
      <c r="K765" s="1" t="s">
        <v>80</v>
      </c>
    </row>
    <row r="766" spans="1:11">
      <c r="A766" s="2">
        <v>43927</v>
      </c>
      <c r="B766" s="4"/>
      <c r="C766" s="1" t="s">
        <v>81</v>
      </c>
      <c r="E766">
        <v>50</v>
      </c>
      <c r="F766">
        <v>15</v>
      </c>
      <c r="G766">
        <v>3</v>
      </c>
      <c r="J766">
        <v>1</v>
      </c>
      <c r="K766" s="1" t="s">
        <v>460</v>
      </c>
    </row>
    <row r="767" spans="1:11">
      <c r="A767" s="2">
        <v>43927</v>
      </c>
      <c r="B767" s="4"/>
      <c r="C767" s="1" t="s">
        <v>86</v>
      </c>
      <c r="E767">
        <v>178</v>
      </c>
      <c r="I767">
        <v>93</v>
      </c>
      <c r="J767">
        <v>6</v>
      </c>
      <c r="K767" s="1" t="s">
        <v>461</v>
      </c>
    </row>
    <row r="768" spans="1:11">
      <c r="A768" s="2">
        <v>43927</v>
      </c>
      <c r="B768" s="4"/>
      <c r="C768" s="1" t="s">
        <v>88</v>
      </c>
      <c r="E768">
        <v>219</v>
      </c>
      <c r="F768">
        <v>34</v>
      </c>
      <c r="G768">
        <v>14</v>
      </c>
      <c r="J768">
        <v>7</v>
      </c>
      <c r="K768" s="1" t="s">
        <v>90</v>
      </c>
    </row>
    <row r="769" spans="1:11">
      <c r="A769" s="2">
        <v>43927</v>
      </c>
      <c r="B769" s="4"/>
      <c r="C769" s="1" t="s">
        <v>97</v>
      </c>
      <c r="E769">
        <v>4417</v>
      </c>
      <c r="F769">
        <v>365</v>
      </c>
      <c r="G769">
        <v>67</v>
      </c>
      <c r="J769">
        <v>192</v>
      </c>
      <c r="K769" s="1" t="s">
        <v>99</v>
      </c>
    </row>
    <row r="770" spans="1:11">
      <c r="A770" s="2">
        <v>43927</v>
      </c>
      <c r="B770" s="4"/>
      <c r="C770" s="1" t="s">
        <v>100</v>
      </c>
      <c r="E770">
        <v>1496</v>
      </c>
      <c r="F770">
        <v>132</v>
      </c>
      <c r="G770">
        <v>26</v>
      </c>
      <c r="H770">
        <v>22</v>
      </c>
      <c r="I770">
        <v>105</v>
      </c>
      <c r="J770">
        <v>60</v>
      </c>
      <c r="K770" s="1" t="s">
        <v>484</v>
      </c>
    </row>
    <row r="771" spans="1:11">
      <c r="A771" s="2">
        <v>43927</v>
      </c>
      <c r="B771" s="4">
        <v>0</v>
      </c>
      <c r="C771" s="1" t="s">
        <v>83</v>
      </c>
      <c r="E771">
        <v>261</v>
      </c>
      <c r="F771">
        <v>26</v>
      </c>
      <c r="J771">
        <v>3</v>
      </c>
      <c r="K771" s="1" t="s">
        <v>448</v>
      </c>
    </row>
    <row r="772" spans="1:11">
      <c r="A772" s="2">
        <v>43927</v>
      </c>
      <c r="B772" s="4">
        <v>0.33333333333333331</v>
      </c>
      <c r="C772" s="1" t="s">
        <v>41</v>
      </c>
      <c r="E772">
        <v>69</v>
      </c>
      <c r="J772">
        <v>3</v>
      </c>
      <c r="K772" s="1" t="s">
        <v>43</v>
      </c>
    </row>
    <row r="773" spans="1:11">
      <c r="A773" s="2">
        <v>43927</v>
      </c>
      <c r="B773" s="4">
        <v>0.33333333333333331</v>
      </c>
      <c r="C773" s="1" t="s">
        <v>44</v>
      </c>
      <c r="E773">
        <v>1173</v>
      </c>
      <c r="F773">
        <v>117</v>
      </c>
      <c r="G773">
        <v>35</v>
      </c>
      <c r="H773">
        <v>30</v>
      </c>
      <c r="J773">
        <v>31</v>
      </c>
      <c r="K773" s="1" t="s">
        <v>46</v>
      </c>
    </row>
    <row r="774" spans="1:11">
      <c r="A774" s="2">
        <v>43927</v>
      </c>
      <c r="B774" s="4">
        <v>0.33333333333333331</v>
      </c>
      <c r="C774" s="1" t="s">
        <v>91</v>
      </c>
      <c r="E774">
        <v>2546</v>
      </c>
      <c r="F774">
        <v>357</v>
      </c>
      <c r="G774">
        <v>72</v>
      </c>
      <c r="H774">
        <v>62</v>
      </c>
      <c r="I774">
        <v>350</v>
      </c>
      <c r="J774">
        <v>189</v>
      </c>
      <c r="K774" s="1" t="s">
        <v>293</v>
      </c>
    </row>
    <row r="775" spans="1:11">
      <c r="A775" s="2">
        <v>43927</v>
      </c>
      <c r="B775" s="4">
        <v>0.33333333333333331</v>
      </c>
      <c r="C775" s="1" t="s">
        <v>102</v>
      </c>
      <c r="E775">
        <v>152</v>
      </c>
      <c r="F775">
        <v>14</v>
      </c>
      <c r="G775">
        <v>8</v>
      </c>
      <c r="I775">
        <v>52</v>
      </c>
      <c r="J775">
        <v>3</v>
      </c>
      <c r="K775" s="1" t="s">
        <v>440</v>
      </c>
    </row>
    <row r="776" spans="1:11">
      <c r="A776" s="2">
        <v>43927</v>
      </c>
      <c r="B776" s="4">
        <v>0.40625</v>
      </c>
      <c r="C776" s="1" t="s">
        <v>50</v>
      </c>
      <c r="E776">
        <v>798</v>
      </c>
      <c r="F776">
        <v>99</v>
      </c>
      <c r="G776">
        <v>13</v>
      </c>
      <c r="I776">
        <v>481</v>
      </c>
      <c r="J776">
        <v>26</v>
      </c>
      <c r="K776" s="1" t="s">
        <v>292</v>
      </c>
    </row>
    <row r="777" spans="1:11">
      <c r="A777" s="2">
        <v>43927</v>
      </c>
      <c r="B777" s="4">
        <v>0.45833333333333331</v>
      </c>
      <c r="C777" s="1" t="s">
        <v>38</v>
      </c>
      <c r="E777">
        <v>21</v>
      </c>
      <c r="K777" s="1" t="s">
        <v>40</v>
      </c>
    </row>
    <row r="778" spans="1:11">
      <c r="A778" s="2">
        <v>43927</v>
      </c>
      <c r="B778" s="4">
        <v>0.45833333333333331</v>
      </c>
      <c r="C778" s="1" t="s">
        <v>68</v>
      </c>
      <c r="E778">
        <v>497</v>
      </c>
      <c r="F778">
        <v>61</v>
      </c>
      <c r="G778">
        <v>6</v>
      </c>
      <c r="J778">
        <v>9</v>
      </c>
      <c r="K778" s="1" t="s">
        <v>70</v>
      </c>
    </row>
    <row r="779" spans="1:11">
      <c r="A779" s="2">
        <v>43927</v>
      </c>
      <c r="B779" s="4">
        <v>0.58333333333333337</v>
      </c>
      <c r="C779" s="1" t="s">
        <v>94</v>
      </c>
      <c r="E779">
        <v>67</v>
      </c>
      <c r="F779">
        <v>9</v>
      </c>
      <c r="I779">
        <v>34</v>
      </c>
      <c r="J779">
        <v>2</v>
      </c>
      <c r="K779" s="1" t="s">
        <v>226</v>
      </c>
    </row>
    <row r="780" spans="1:11">
      <c r="A780" s="2">
        <v>43927</v>
      </c>
      <c r="B780" s="4">
        <v>0.60416666666666663</v>
      </c>
      <c r="C780" s="1" t="s">
        <v>104</v>
      </c>
      <c r="E780">
        <v>2611</v>
      </c>
      <c r="F780">
        <v>198</v>
      </c>
      <c r="H780">
        <v>58</v>
      </c>
      <c r="J780">
        <v>55</v>
      </c>
      <c r="K780" s="1" t="s">
        <v>106</v>
      </c>
    </row>
    <row r="781" spans="1:11">
      <c r="A781" s="2">
        <v>43927</v>
      </c>
      <c r="B781" s="4">
        <v>0.625</v>
      </c>
      <c r="C781" s="1" t="s">
        <v>34</v>
      </c>
      <c r="E781">
        <v>727</v>
      </c>
      <c r="F781">
        <v>82</v>
      </c>
      <c r="G781">
        <v>25</v>
      </c>
      <c r="H781">
        <v>24</v>
      </c>
      <c r="J781">
        <v>13</v>
      </c>
      <c r="K781" s="1" t="s">
        <v>291</v>
      </c>
    </row>
    <row r="782" spans="1:11">
      <c r="A782" s="2">
        <v>43927</v>
      </c>
      <c r="B782" s="4">
        <v>0.625</v>
      </c>
      <c r="C782" s="1" t="s">
        <v>75</v>
      </c>
      <c r="E782">
        <v>60</v>
      </c>
      <c r="I782">
        <v>1</v>
      </c>
      <c r="J782">
        <v>0</v>
      </c>
      <c r="K782" s="1" t="s">
        <v>77</v>
      </c>
    </row>
    <row r="783" spans="1:11">
      <c r="A783" s="2">
        <v>43928</v>
      </c>
      <c r="B783" s="4"/>
      <c r="C783" s="1" t="s">
        <v>47</v>
      </c>
      <c r="E783">
        <v>690</v>
      </c>
      <c r="F783">
        <v>66</v>
      </c>
      <c r="G783">
        <v>18</v>
      </c>
      <c r="H783">
        <v>17</v>
      </c>
      <c r="I783">
        <v>452</v>
      </c>
      <c r="J783">
        <v>19</v>
      </c>
      <c r="K783" s="1" t="s">
        <v>49</v>
      </c>
    </row>
    <row r="784" spans="1:11">
      <c r="A784" s="2">
        <v>43928</v>
      </c>
      <c r="B784" s="4"/>
      <c r="C784" s="1" t="s">
        <v>53</v>
      </c>
      <c r="E784">
        <v>78</v>
      </c>
      <c r="J784">
        <v>1</v>
      </c>
      <c r="K784" s="1" t="s">
        <v>389</v>
      </c>
    </row>
    <row r="785" spans="1:11">
      <c r="A785" s="2">
        <v>43928</v>
      </c>
      <c r="B785" s="4"/>
      <c r="C785" s="1" t="s">
        <v>56</v>
      </c>
      <c r="E785">
        <v>729</v>
      </c>
      <c r="F785">
        <v>78</v>
      </c>
      <c r="G785">
        <v>22</v>
      </c>
      <c r="I785">
        <v>73</v>
      </c>
      <c r="J785">
        <v>44</v>
      </c>
      <c r="K785" s="1" t="s">
        <v>459</v>
      </c>
    </row>
    <row r="786" spans="1:11">
      <c r="A786" s="2">
        <v>43928</v>
      </c>
      <c r="B786" s="4"/>
      <c r="C786" s="1" t="s">
        <v>58</v>
      </c>
      <c r="D786">
        <v>16411</v>
      </c>
      <c r="E786">
        <v>3928</v>
      </c>
      <c r="F786">
        <v>412</v>
      </c>
      <c r="G786">
        <v>51</v>
      </c>
      <c r="H786">
        <v>48</v>
      </c>
      <c r="I786">
        <v>374</v>
      </c>
      <c r="J786">
        <v>134</v>
      </c>
      <c r="K786" s="1" t="s">
        <v>60</v>
      </c>
    </row>
    <row r="787" spans="1:11">
      <c r="A787" s="2">
        <v>43928</v>
      </c>
      <c r="B787" s="4"/>
      <c r="C787" s="1" t="s">
        <v>61</v>
      </c>
      <c r="E787">
        <v>63</v>
      </c>
      <c r="F787">
        <v>2</v>
      </c>
      <c r="J787">
        <v>2</v>
      </c>
      <c r="K787" s="1" t="s">
        <v>446</v>
      </c>
    </row>
    <row r="788" spans="1:11">
      <c r="A788" s="2">
        <v>43928</v>
      </c>
      <c r="B788" s="4"/>
      <c r="C788" s="1" t="s">
        <v>63</v>
      </c>
      <c r="E788">
        <v>684</v>
      </c>
      <c r="F788">
        <v>49</v>
      </c>
      <c r="J788">
        <v>35</v>
      </c>
      <c r="K788" s="1" t="s">
        <v>65</v>
      </c>
    </row>
    <row r="789" spans="1:11">
      <c r="A789" s="2">
        <v>43928</v>
      </c>
      <c r="B789" s="4"/>
      <c r="C789" s="1" t="s">
        <v>66</v>
      </c>
      <c r="E789">
        <v>171</v>
      </c>
      <c r="F789">
        <v>28</v>
      </c>
      <c r="G789">
        <v>4</v>
      </c>
      <c r="J789">
        <v>0</v>
      </c>
      <c r="K789" s="1" t="s">
        <v>483</v>
      </c>
    </row>
    <row r="790" spans="1:11">
      <c r="A790" s="2">
        <v>43928</v>
      </c>
      <c r="B790" s="4"/>
      <c r="C790" s="1" t="s">
        <v>71</v>
      </c>
      <c r="E790">
        <v>510</v>
      </c>
      <c r="F790">
        <v>64</v>
      </c>
      <c r="G790">
        <v>10</v>
      </c>
      <c r="H790">
        <v>5</v>
      </c>
      <c r="J790">
        <v>37</v>
      </c>
      <c r="K790" s="1" t="s">
        <v>434</v>
      </c>
    </row>
    <row r="791" spans="1:11">
      <c r="A791" s="2">
        <v>43928</v>
      </c>
      <c r="B791" s="4"/>
      <c r="C791" s="1" t="s">
        <v>73</v>
      </c>
      <c r="E791">
        <v>87</v>
      </c>
      <c r="F791">
        <v>9</v>
      </c>
      <c r="G791">
        <v>2</v>
      </c>
      <c r="K791" s="1" t="s">
        <v>409</v>
      </c>
    </row>
    <row r="792" spans="1:11">
      <c r="A792" s="2">
        <v>43928</v>
      </c>
      <c r="B792" s="4"/>
      <c r="C792" s="1" t="s">
        <v>78</v>
      </c>
      <c r="E792">
        <v>557</v>
      </c>
      <c r="F792">
        <v>65</v>
      </c>
      <c r="G792">
        <v>9</v>
      </c>
      <c r="I792">
        <v>79</v>
      </c>
      <c r="J792">
        <v>13</v>
      </c>
      <c r="K792" s="1" t="s">
        <v>80</v>
      </c>
    </row>
    <row r="793" spans="1:11">
      <c r="A793" s="2">
        <v>43928</v>
      </c>
      <c r="B793" s="4"/>
      <c r="C793" s="1" t="s">
        <v>86</v>
      </c>
      <c r="E793">
        <v>185</v>
      </c>
      <c r="I793">
        <v>105</v>
      </c>
      <c r="J793">
        <v>7</v>
      </c>
      <c r="K793" s="1" t="s">
        <v>461</v>
      </c>
    </row>
    <row r="794" spans="1:11">
      <c r="A794" s="2">
        <v>43928</v>
      </c>
      <c r="B794" s="4"/>
      <c r="C794" s="1" t="s">
        <v>88</v>
      </c>
      <c r="E794">
        <v>221</v>
      </c>
      <c r="F794">
        <v>33</v>
      </c>
      <c r="G794">
        <v>13</v>
      </c>
      <c r="J794">
        <v>8</v>
      </c>
      <c r="K794" s="1" t="s">
        <v>90</v>
      </c>
    </row>
    <row r="795" spans="1:11">
      <c r="A795" s="2">
        <v>43928</v>
      </c>
      <c r="B795" s="4"/>
      <c r="C795" s="1" t="s">
        <v>97</v>
      </c>
      <c r="E795">
        <v>4493</v>
      </c>
      <c r="F795">
        <v>338</v>
      </c>
      <c r="G795">
        <v>66</v>
      </c>
      <c r="J795">
        <v>204</v>
      </c>
      <c r="K795" s="1" t="s">
        <v>99</v>
      </c>
    </row>
    <row r="796" spans="1:11">
      <c r="A796" s="2">
        <v>43928</v>
      </c>
      <c r="B796" s="4"/>
      <c r="C796" s="1" t="s">
        <v>100</v>
      </c>
      <c r="E796">
        <v>1535</v>
      </c>
      <c r="F796">
        <v>129</v>
      </c>
      <c r="G796">
        <v>25</v>
      </c>
      <c r="H796">
        <v>20</v>
      </c>
      <c r="I796">
        <v>123</v>
      </c>
      <c r="J796">
        <v>68</v>
      </c>
      <c r="K796" s="1" t="s">
        <v>484</v>
      </c>
    </row>
    <row r="797" spans="1:11">
      <c r="A797" s="2">
        <v>43928</v>
      </c>
      <c r="B797" s="4">
        <v>0</v>
      </c>
      <c r="C797" s="1" t="s">
        <v>83</v>
      </c>
      <c r="E797">
        <v>264</v>
      </c>
      <c r="F797">
        <v>29</v>
      </c>
      <c r="J797">
        <v>3</v>
      </c>
      <c r="K797" s="1" t="s">
        <v>448</v>
      </c>
    </row>
    <row r="798" spans="1:11">
      <c r="A798" s="2">
        <v>43928</v>
      </c>
      <c r="B798" s="4">
        <v>0.33333333333333331</v>
      </c>
      <c r="C798" s="1" t="s">
        <v>41</v>
      </c>
      <c r="E798">
        <v>69</v>
      </c>
      <c r="J798">
        <v>3</v>
      </c>
      <c r="K798" s="1" t="s">
        <v>43</v>
      </c>
    </row>
    <row r="799" spans="1:11">
      <c r="A799" s="2">
        <v>43928</v>
      </c>
      <c r="B799" s="4">
        <v>0.33333333333333331</v>
      </c>
      <c r="C799" s="1" t="s">
        <v>44</v>
      </c>
      <c r="E799">
        <v>1228</v>
      </c>
      <c r="F799">
        <v>122</v>
      </c>
      <c r="G799">
        <v>34</v>
      </c>
      <c r="H799">
        <v>26</v>
      </c>
      <c r="J799">
        <v>33</v>
      </c>
      <c r="K799" s="1" t="s">
        <v>46</v>
      </c>
    </row>
    <row r="800" spans="1:11">
      <c r="A800" s="2">
        <v>43928</v>
      </c>
      <c r="B800" s="4">
        <v>0.33333333333333331</v>
      </c>
      <c r="C800" s="1" t="s">
        <v>91</v>
      </c>
      <c r="E800">
        <v>2599</v>
      </c>
      <c r="F800">
        <v>335</v>
      </c>
      <c r="G800">
        <v>72</v>
      </c>
      <c r="H800">
        <v>65</v>
      </c>
      <c r="I800">
        <v>388</v>
      </c>
      <c r="J800">
        <v>198</v>
      </c>
      <c r="K800" s="1" t="s">
        <v>296</v>
      </c>
    </row>
    <row r="801" spans="1:11">
      <c r="A801" s="2">
        <v>43928</v>
      </c>
      <c r="B801" s="4">
        <v>0.33333333333333331</v>
      </c>
      <c r="C801" s="1" t="s">
        <v>102</v>
      </c>
      <c r="E801">
        <v>157</v>
      </c>
      <c r="F801">
        <v>15</v>
      </c>
      <c r="G801">
        <v>8</v>
      </c>
      <c r="I801">
        <v>54</v>
      </c>
      <c r="J801">
        <v>3</v>
      </c>
      <c r="K801" s="1" t="s">
        <v>440</v>
      </c>
    </row>
    <row r="802" spans="1:11">
      <c r="A802" s="2">
        <v>43928</v>
      </c>
      <c r="B802" s="4">
        <v>0.39583333333333331</v>
      </c>
      <c r="C802" s="1" t="s">
        <v>50</v>
      </c>
      <c r="E802">
        <v>808</v>
      </c>
      <c r="F802">
        <v>101</v>
      </c>
      <c r="G802">
        <v>13</v>
      </c>
      <c r="I802">
        <v>508</v>
      </c>
      <c r="J802">
        <v>28</v>
      </c>
      <c r="K802" s="1" t="s">
        <v>295</v>
      </c>
    </row>
    <row r="803" spans="1:11">
      <c r="A803" s="2">
        <v>43928</v>
      </c>
      <c r="B803" s="4">
        <v>0.39583333333333331</v>
      </c>
      <c r="C803" s="1" t="s">
        <v>81</v>
      </c>
      <c r="E803">
        <v>50</v>
      </c>
      <c r="F803">
        <v>14</v>
      </c>
      <c r="G803">
        <v>3</v>
      </c>
      <c r="J803">
        <v>1</v>
      </c>
      <c r="K803" s="1" t="s">
        <v>460</v>
      </c>
    </row>
    <row r="804" spans="1:11">
      <c r="A804" s="2">
        <v>43928</v>
      </c>
      <c r="B804" s="4">
        <v>0.45833333333333331</v>
      </c>
      <c r="C804" s="1" t="s">
        <v>38</v>
      </c>
      <c r="E804">
        <v>21</v>
      </c>
      <c r="K804" s="1" t="s">
        <v>40</v>
      </c>
    </row>
    <row r="805" spans="1:11">
      <c r="A805" s="2">
        <v>43928</v>
      </c>
      <c r="B805" s="4">
        <v>0.45833333333333331</v>
      </c>
      <c r="C805" s="1" t="s">
        <v>68</v>
      </c>
      <c r="E805">
        <v>509</v>
      </c>
      <c r="F805">
        <v>57</v>
      </c>
      <c r="G805">
        <v>6</v>
      </c>
      <c r="J805">
        <v>9</v>
      </c>
      <c r="K805" s="1" t="s">
        <v>70</v>
      </c>
    </row>
    <row r="806" spans="1:11">
      <c r="A806" s="2">
        <v>43928</v>
      </c>
      <c r="B806" s="4">
        <v>0.58333333333333337</v>
      </c>
      <c r="C806" s="1" t="s">
        <v>94</v>
      </c>
      <c r="E806">
        <v>68</v>
      </c>
      <c r="F806">
        <v>7</v>
      </c>
      <c r="I806">
        <v>42</v>
      </c>
      <c r="J806">
        <v>2</v>
      </c>
      <c r="K806" s="1" t="s">
        <v>226</v>
      </c>
    </row>
    <row r="807" spans="1:11">
      <c r="A807" s="2">
        <v>43928</v>
      </c>
      <c r="B807" s="4">
        <v>0.60416666666666663</v>
      </c>
      <c r="C807" s="1" t="s">
        <v>75</v>
      </c>
      <c r="E807">
        <v>60</v>
      </c>
      <c r="F807">
        <v>2</v>
      </c>
      <c r="J807">
        <v>0</v>
      </c>
      <c r="K807" s="1" t="s">
        <v>77</v>
      </c>
    </row>
    <row r="808" spans="1:11">
      <c r="A808" s="2">
        <v>43928</v>
      </c>
      <c r="B808" s="4">
        <v>0.60416666666666663</v>
      </c>
      <c r="C808" s="1" t="s">
        <v>104</v>
      </c>
      <c r="E808">
        <v>2695</v>
      </c>
      <c r="F808">
        <v>181</v>
      </c>
      <c r="H808">
        <v>60</v>
      </c>
      <c r="J808">
        <v>57</v>
      </c>
      <c r="K808" s="1" t="s">
        <v>106</v>
      </c>
    </row>
    <row r="809" spans="1:11">
      <c r="A809" s="2">
        <v>43928</v>
      </c>
      <c r="B809" s="4">
        <v>0.61458333333333337</v>
      </c>
      <c r="C809" s="1" t="s">
        <v>34</v>
      </c>
      <c r="E809">
        <v>760</v>
      </c>
      <c r="F809">
        <v>84</v>
      </c>
      <c r="G809">
        <v>25</v>
      </c>
      <c r="H809">
        <v>25</v>
      </c>
      <c r="I809">
        <v>170</v>
      </c>
      <c r="J809">
        <v>16</v>
      </c>
      <c r="K809" s="1" t="s">
        <v>294</v>
      </c>
    </row>
    <row r="810" spans="1:11">
      <c r="A810" s="2">
        <v>43929</v>
      </c>
      <c r="B810" s="4"/>
      <c r="C810" s="1" t="s">
        <v>47</v>
      </c>
      <c r="E810">
        <v>694</v>
      </c>
      <c r="F810">
        <v>65</v>
      </c>
      <c r="G810">
        <v>18</v>
      </c>
      <c r="H810">
        <v>17</v>
      </c>
      <c r="I810">
        <v>461</v>
      </c>
      <c r="J810">
        <v>21</v>
      </c>
      <c r="K810" s="1" t="s">
        <v>49</v>
      </c>
    </row>
    <row r="811" spans="1:11">
      <c r="A811" s="2">
        <v>43929</v>
      </c>
      <c r="B811" s="4"/>
      <c r="C811" s="1" t="s">
        <v>56</v>
      </c>
      <c r="E811">
        <v>756</v>
      </c>
      <c r="F811">
        <v>80</v>
      </c>
      <c r="G811">
        <v>22</v>
      </c>
      <c r="I811">
        <v>78</v>
      </c>
      <c r="J811">
        <v>45</v>
      </c>
      <c r="K811" s="1" t="s">
        <v>459</v>
      </c>
    </row>
    <row r="812" spans="1:11">
      <c r="A812" s="2">
        <v>43929</v>
      </c>
      <c r="B812" s="4"/>
      <c r="C812" s="1" t="s">
        <v>58</v>
      </c>
      <c r="D812">
        <v>17220</v>
      </c>
      <c r="E812">
        <v>4059</v>
      </c>
      <c r="F812">
        <v>402</v>
      </c>
      <c r="G812">
        <v>49</v>
      </c>
      <c r="H812">
        <v>47</v>
      </c>
      <c r="I812">
        <v>442</v>
      </c>
      <c r="J812">
        <v>148</v>
      </c>
      <c r="K812" s="1" t="s">
        <v>60</v>
      </c>
    </row>
    <row r="813" spans="1:11">
      <c r="A813" s="2">
        <v>43929</v>
      </c>
      <c r="B813" s="4"/>
      <c r="C813" s="1" t="s">
        <v>61</v>
      </c>
      <c r="E813">
        <v>64</v>
      </c>
      <c r="F813">
        <v>2</v>
      </c>
      <c r="J813">
        <v>2</v>
      </c>
      <c r="K813" s="1" t="s">
        <v>446</v>
      </c>
    </row>
    <row r="814" spans="1:11">
      <c r="A814" s="2">
        <v>43929</v>
      </c>
      <c r="B814" s="4"/>
      <c r="C814" s="1" t="s">
        <v>63</v>
      </c>
      <c r="E814">
        <v>698</v>
      </c>
      <c r="F814">
        <v>38</v>
      </c>
      <c r="J814">
        <v>35</v>
      </c>
      <c r="K814" s="1" t="s">
        <v>65</v>
      </c>
    </row>
    <row r="815" spans="1:11">
      <c r="A815" s="2">
        <v>43929</v>
      </c>
      <c r="B815" s="4"/>
      <c r="C815" s="1" t="s">
        <v>66</v>
      </c>
      <c r="E815">
        <v>174</v>
      </c>
      <c r="F815">
        <v>31</v>
      </c>
      <c r="G815">
        <v>4</v>
      </c>
      <c r="J815">
        <v>1</v>
      </c>
      <c r="K815" s="1" t="s">
        <v>483</v>
      </c>
    </row>
    <row r="816" spans="1:11">
      <c r="A816" s="2">
        <v>43929</v>
      </c>
      <c r="B816" s="4"/>
      <c r="C816" s="1" t="s">
        <v>71</v>
      </c>
      <c r="E816">
        <v>515</v>
      </c>
      <c r="F816">
        <v>63</v>
      </c>
      <c r="G816">
        <v>10</v>
      </c>
      <c r="H816">
        <v>7</v>
      </c>
      <c r="J816">
        <v>40</v>
      </c>
      <c r="K816" s="1" t="s">
        <v>434</v>
      </c>
    </row>
    <row r="817" spans="1:11">
      <c r="A817" s="2">
        <v>43929</v>
      </c>
      <c r="B817" s="4"/>
      <c r="C817" s="1" t="s">
        <v>73</v>
      </c>
      <c r="E817">
        <v>93</v>
      </c>
      <c r="F817">
        <v>9</v>
      </c>
      <c r="G817">
        <v>1</v>
      </c>
      <c r="K817" s="1" t="s">
        <v>409</v>
      </c>
    </row>
    <row r="818" spans="1:11">
      <c r="A818" s="2">
        <v>43929</v>
      </c>
      <c r="B818" s="4"/>
      <c r="C818" s="1" t="s">
        <v>78</v>
      </c>
      <c r="E818">
        <v>578</v>
      </c>
      <c r="F818">
        <v>52</v>
      </c>
      <c r="G818">
        <v>12</v>
      </c>
      <c r="I818">
        <v>89</v>
      </c>
      <c r="J818">
        <v>15</v>
      </c>
      <c r="K818" s="1" t="s">
        <v>80</v>
      </c>
    </row>
    <row r="819" spans="1:11">
      <c r="A819" s="2">
        <v>43929</v>
      </c>
      <c r="B819" s="4"/>
      <c r="C819" s="1" t="s">
        <v>86</v>
      </c>
      <c r="E819">
        <v>196</v>
      </c>
      <c r="I819">
        <v>107</v>
      </c>
      <c r="J819">
        <v>7</v>
      </c>
      <c r="K819" s="1" t="s">
        <v>461</v>
      </c>
    </row>
    <row r="820" spans="1:11">
      <c r="A820" s="2">
        <v>43929</v>
      </c>
      <c r="B820" s="4"/>
      <c r="C820" s="1" t="s">
        <v>88</v>
      </c>
      <c r="E820">
        <v>236</v>
      </c>
      <c r="F820">
        <v>30</v>
      </c>
      <c r="G820">
        <v>15</v>
      </c>
      <c r="J820">
        <v>8</v>
      </c>
      <c r="K820" s="1" t="s">
        <v>90</v>
      </c>
    </row>
    <row r="821" spans="1:11">
      <c r="A821" s="2">
        <v>43929</v>
      </c>
      <c r="B821" s="4"/>
      <c r="C821" s="1" t="s">
        <v>97</v>
      </c>
      <c r="E821">
        <v>4584</v>
      </c>
      <c r="F821">
        <v>331</v>
      </c>
      <c r="G821">
        <v>65</v>
      </c>
      <c r="J821">
        <v>216</v>
      </c>
      <c r="K821" s="1" t="s">
        <v>99</v>
      </c>
    </row>
    <row r="822" spans="1:11">
      <c r="A822" s="2">
        <v>43929</v>
      </c>
      <c r="B822" s="4"/>
      <c r="C822" s="1" t="s">
        <v>100</v>
      </c>
      <c r="E822">
        <v>1569</v>
      </c>
      <c r="F822">
        <v>122</v>
      </c>
      <c r="G822">
        <v>26</v>
      </c>
      <c r="H822">
        <v>20</v>
      </c>
      <c r="I822">
        <v>130</v>
      </c>
      <c r="J822">
        <v>71</v>
      </c>
      <c r="K822" s="1" t="s">
        <v>484</v>
      </c>
    </row>
    <row r="823" spans="1:11">
      <c r="A823" s="2">
        <v>43929</v>
      </c>
      <c r="B823" s="4">
        <v>0</v>
      </c>
      <c r="C823" s="1" t="s">
        <v>83</v>
      </c>
      <c r="E823">
        <v>276</v>
      </c>
      <c r="F823">
        <v>22</v>
      </c>
      <c r="J823">
        <v>3</v>
      </c>
      <c r="K823" s="1" t="s">
        <v>448</v>
      </c>
    </row>
    <row r="824" spans="1:11">
      <c r="A824" s="2">
        <v>43929</v>
      </c>
      <c r="B824" s="4">
        <v>0.33333333333333331</v>
      </c>
      <c r="C824" s="1" t="s">
        <v>41</v>
      </c>
      <c r="E824">
        <v>72</v>
      </c>
      <c r="J824">
        <v>3</v>
      </c>
      <c r="K824" s="1" t="s">
        <v>43</v>
      </c>
    </row>
    <row r="825" spans="1:11">
      <c r="A825" s="2">
        <v>43929</v>
      </c>
      <c r="B825" s="4">
        <v>0.33333333333333331</v>
      </c>
      <c r="C825" s="1" t="s">
        <v>44</v>
      </c>
      <c r="E825">
        <v>1286</v>
      </c>
      <c r="F825">
        <v>127</v>
      </c>
      <c r="G825">
        <v>35</v>
      </c>
      <c r="H825">
        <v>27</v>
      </c>
      <c r="J825">
        <v>37</v>
      </c>
      <c r="K825" s="1" t="s">
        <v>46</v>
      </c>
    </row>
    <row r="826" spans="1:11">
      <c r="A826" s="2">
        <v>43929</v>
      </c>
      <c r="B826" s="4">
        <v>0.33333333333333331</v>
      </c>
      <c r="C826" s="1" t="s">
        <v>91</v>
      </c>
      <c r="E826">
        <v>2659</v>
      </c>
      <c r="F826">
        <v>319</v>
      </c>
      <c r="G826">
        <v>71</v>
      </c>
      <c r="H826">
        <v>64</v>
      </c>
      <c r="I826">
        <v>420</v>
      </c>
      <c r="J826">
        <v>211</v>
      </c>
      <c r="K826" s="1" t="s">
        <v>299</v>
      </c>
    </row>
    <row r="827" spans="1:11">
      <c r="A827" s="2">
        <v>43929</v>
      </c>
      <c r="B827" s="4">
        <v>0.33333333333333331</v>
      </c>
      <c r="C827" s="1" t="s">
        <v>102</v>
      </c>
      <c r="E827">
        <v>162</v>
      </c>
      <c r="F827">
        <v>12</v>
      </c>
      <c r="G827">
        <v>9</v>
      </c>
      <c r="I827">
        <v>61</v>
      </c>
      <c r="J827">
        <v>3</v>
      </c>
      <c r="K827" s="1" t="s">
        <v>440</v>
      </c>
    </row>
    <row r="828" spans="1:11">
      <c r="A828" s="2">
        <v>43929</v>
      </c>
      <c r="B828" s="4">
        <v>0.39583333333333331</v>
      </c>
      <c r="C828" s="1" t="s">
        <v>81</v>
      </c>
      <c r="E828">
        <v>50</v>
      </c>
      <c r="F828">
        <v>15</v>
      </c>
      <c r="G828">
        <v>2</v>
      </c>
      <c r="J828">
        <v>1</v>
      </c>
      <c r="K828" s="1" t="s">
        <v>460</v>
      </c>
    </row>
    <row r="829" spans="1:11">
      <c r="A829" s="2">
        <v>43929</v>
      </c>
      <c r="B829" s="4">
        <v>0.41666666666666669</v>
      </c>
      <c r="C829" s="1" t="s">
        <v>50</v>
      </c>
      <c r="E829">
        <v>829</v>
      </c>
      <c r="F829">
        <v>99</v>
      </c>
      <c r="G829">
        <v>14</v>
      </c>
      <c r="I829">
        <v>535</v>
      </c>
      <c r="J829">
        <v>31</v>
      </c>
      <c r="K829" s="1" t="s">
        <v>298</v>
      </c>
    </row>
    <row r="830" spans="1:11">
      <c r="A830" s="2">
        <v>43929</v>
      </c>
      <c r="B830" s="4">
        <v>0.45833333333333331</v>
      </c>
      <c r="C830" s="1" t="s">
        <v>38</v>
      </c>
      <c r="E830">
        <v>23</v>
      </c>
      <c r="K830" s="1" t="s">
        <v>40</v>
      </c>
    </row>
    <row r="831" spans="1:11">
      <c r="A831" s="2">
        <v>43929</v>
      </c>
      <c r="B831" s="4">
        <v>0.45833333333333331</v>
      </c>
      <c r="C831" s="1" t="s">
        <v>68</v>
      </c>
      <c r="E831">
        <v>527</v>
      </c>
      <c r="J831">
        <v>9</v>
      </c>
      <c r="K831" s="1" t="s">
        <v>70</v>
      </c>
    </row>
    <row r="832" spans="1:11">
      <c r="A832" s="2">
        <v>43929</v>
      </c>
      <c r="B832" s="4">
        <v>0.58333333333333337</v>
      </c>
      <c r="C832" s="1" t="s">
        <v>94</v>
      </c>
      <c r="E832">
        <v>72</v>
      </c>
      <c r="F832">
        <v>5</v>
      </c>
      <c r="I832">
        <v>42</v>
      </c>
      <c r="J832">
        <v>4</v>
      </c>
      <c r="K832" s="1" t="s">
        <v>96</v>
      </c>
    </row>
    <row r="833" spans="1:11">
      <c r="A833" s="2">
        <v>43929</v>
      </c>
      <c r="B833" s="4">
        <v>0.60416666666666663</v>
      </c>
      <c r="C833" s="1" t="s">
        <v>104</v>
      </c>
      <c r="E833">
        <v>2790</v>
      </c>
      <c r="F833">
        <v>170</v>
      </c>
      <c r="H833">
        <v>56</v>
      </c>
      <c r="J833">
        <v>65</v>
      </c>
      <c r="K833" s="1" t="s">
        <v>106</v>
      </c>
    </row>
    <row r="834" spans="1:11">
      <c r="A834" s="2">
        <v>43929</v>
      </c>
      <c r="B834" s="4">
        <v>0.61458333333333337</v>
      </c>
      <c r="C834" s="1" t="s">
        <v>34</v>
      </c>
      <c r="E834">
        <v>788</v>
      </c>
      <c r="F834">
        <v>79</v>
      </c>
      <c r="G834">
        <v>23</v>
      </c>
      <c r="H834">
        <v>23</v>
      </c>
      <c r="I834">
        <v>220</v>
      </c>
      <c r="J834">
        <v>16</v>
      </c>
      <c r="K834" s="1" t="s">
        <v>297</v>
      </c>
    </row>
    <row r="835" spans="1:11">
      <c r="A835" s="2">
        <v>43929</v>
      </c>
      <c r="B835" s="4">
        <v>0.625</v>
      </c>
      <c r="C835" s="1" t="s">
        <v>75</v>
      </c>
      <c r="E835">
        <v>61</v>
      </c>
      <c r="F835">
        <v>2</v>
      </c>
      <c r="J835">
        <v>0</v>
      </c>
      <c r="K835" s="1" t="s">
        <v>77</v>
      </c>
    </row>
    <row r="836" spans="1:11">
      <c r="A836" s="2">
        <v>43930</v>
      </c>
      <c r="B836" s="4"/>
      <c r="C836" s="1" t="s">
        <v>47</v>
      </c>
      <c r="E836">
        <v>711</v>
      </c>
      <c r="F836">
        <v>62</v>
      </c>
      <c r="G836">
        <v>18</v>
      </c>
      <c r="H836">
        <v>16</v>
      </c>
      <c r="I836">
        <v>485</v>
      </c>
      <c r="J836">
        <v>21</v>
      </c>
      <c r="K836" s="1" t="s">
        <v>49</v>
      </c>
    </row>
    <row r="837" spans="1:11">
      <c r="A837" s="2">
        <v>43930</v>
      </c>
      <c r="B837" s="4"/>
      <c r="C837" s="1" t="s">
        <v>56</v>
      </c>
      <c r="E837">
        <v>786</v>
      </c>
      <c r="F837">
        <v>80</v>
      </c>
      <c r="G837">
        <v>20</v>
      </c>
      <c r="I837">
        <v>84</v>
      </c>
      <c r="J837">
        <v>46</v>
      </c>
      <c r="K837" s="1" t="s">
        <v>459</v>
      </c>
    </row>
    <row r="838" spans="1:11">
      <c r="A838" s="2">
        <v>43930</v>
      </c>
      <c r="B838" s="4"/>
      <c r="C838" s="1" t="s">
        <v>58</v>
      </c>
      <c r="D838">
        <v>17737</v>
      </c>
      <c r="E838">
        <v>4152</v>
      </c>
      <c r="F838">
        <v>393</v>
      </c>
      <c r="G838">
        <v>47</v>
      </c>
      <c r="H838">
        <v>45</v>
      </c>
      <c r="J838">
        <v>157</v>
      </c>
      <c r="K838" s="1" t="s">
        <v>60</v>
      </c>
    </row>
    <row r="839" spans="1:11">
      <c r="A839" s="2">
        <v>43930</v>
      </c>
      <c r="B839" s="4"/>
      <c r="C839" s="1" t="s">
        <v>61</v>
      </c>
      <c r="E839">
        <v>67</v>
      </c>
      <c r="F839">
        <v>2</v>
      </c>
      <c r="J839">
        <v>2</v>
      </c>
      <c r="K839" s="1" t="s">
        <v>446</v>
      </c>
    </row>
    <row r="840" spans="1:11">
      <c r="A840" s="2">
        <v>43930</v>
      </c>
      <c r="B840" s="4"/>
      <c r="C840" s="1" t="s">
        <v>63</v>
      </c>
      <c r="E840">
        <v>719</v>
      </c>
      <c r="F840">
        <v>39</v>
      </c>
      <c r="J840">
        <v>36</v>
      </c>
      <c r="K840" s="1" t="s">
        <v>65</v>
      </c>
    </row>
    <row r="841" spans="1:11">
      <c r="A841" s="2">
        <v>43930</v>
      </c>
      <c r="B841" s="4"/>
      <c r="C841" s="1" t="s">
        <v>66</v>
      </c>
      <c r="E841">
        <v>179</v>
      </c>
      <c r="F841">
        <v>28</v>
      </c>
      <c r="G841">
        <v>5</v>
      </c>
      <c r="J841">
        <v>1</v>
      </c>
      <c r="K841" s="1" t="s">
        <v>483</v>
      </c>
    </row>
    <row r="842" spans="1:11">
      <c r="A842" s="2">
        <v>43930</v>
      </c>
      <c r="B842" s="4"/>
      <c r="C842" s="1" t="s">
        <v>71</v>
      </c>
      <c r="E842">
        <v>547</v>
      </c>
      <c r="F842">
        <v>58</v>
      </c>
      <c r="G842">
        <v>10</v>
      </c>
      <c r="H842">
        <v>7</v>
      </c>
      <c r="J842">
        <v>42</v>
      </c>
      <c r="K842" s="1" t="s">
        <v>434</v>
      </c>
    </row>
    <row r="843" spans="1:11">
      <c r="A843" s="2">
        <v>43930</v>
      </c>
      <c r="B843" s="4"/>
      <c r="C843" s="1" t="s">
        <v>73</v>
      </c>
      <c r="E843">
        <v>96</v>
      </c>
      <c r="F843">
        <v>9</v>
      </c>
      <c r="G843">
        <v>1</v>
      </c>
      <c r="K843" s="1" t="s">
        <v>409</v>
      </c>
    </row>
    <row r="844" spans="1:11">
      <c r="A844" s="2">
        <v>43930</v>
      </c>
      <c r="B844" s="4"/>
      <c r="C844" s="1" t="s">
        <v>78</v>
      </c>
      <c r="E844">
        <v>604</v>
      </c>
      <c r="F844">
        <v>52</v>
      </c>
      <c r="G844">
        <v>13</v>
      </c>
      <c r="I844">
        <v>92</v>
      </c>
      <c r="J844">
        <v>16</v>
      </c>
      <c r="K844" s="1" t="s">
        <v>80</v>
      </c>
    </row>
    <row r="845" spans="1:11">
      <c r="A845" s="2">
        <v>43930</v>
      </c>
      <c r="B845" s="4"/>
      <c r="C845" s="1" t="s">
        <v>86</v>
      </c>
      <c r="E845">
        <v>213</v>
      </c>
      <c r="I845">
        <v>113</v>
      </c>
      <c r="J845">
        <v>9</v>
      </c>
      <c r="K845" s="1" t="s">
        <v>461</v>
      </c>
    </row>
    <row r="846" spans="1:11">
      <c r="A846" s="2">
        <v>43930</v>
      </c>
      <c r="B846" s="4"/>
      <c r="C846" s="1" t="s">
        <v>88</v>
      </c>
      <c r="E846">
        <v>255</v>
      </c>
      <c r="F846">
        <v>27</v>
      </c>
      <c r="G846">
        <v>12</v>
      </c>
      <c r="J846">
        <v>8</v>
      </c>
      <c r="K846" s="1" t="s">
        <v>90</v>
      </c>
    </row>
    <row r="847" spans="1:11">
      <c r="A847" s="2">
        <v>43930</v>
      </c>
      <c r="B847" s="4"/>
      <c r="C847" s="1" t="s">
        <v>97</v>
      </c>
      <c r="E847">
        <v>4681</v>
      </c>
      <c r="F847">
        <v>314</v>
      </c>
      <c r="G847">
        <v>65</v>
      </c>
      <c r="J847">
        <v>230</v>
      </c>
      <c r="K847" s="1" t="s">
        <v>99</v>
      </c>
    </row>
    <row r="848" spans="1:11">
      <c r="A848" s="2">
        <v>43930</v>
      </c>
      <c r="B848" s="4"/>
      <c r="C848" s="1" t="s">
        <v>100</v>
      </c>
      <c r="E848">
        <v>1597</v>
      </c>
      <c r="F848">
        <v>117</v>
      </c>
      <c r="G848">
        <v>24</v>
      </c>
      <c r="H848">
        <v>19</v>
      </c>
      <c r="I848">
        <v>136</v>
      </c>
      <c r="J848">
        <v>77</v>
      </c>
      <c r="K848" s="1" t="s">
        <v>484</v>
      </c>
    </row>
    <row r="849" spans="1:11">
      <c r="A849" s="2">
        <v>43930</v>
      </c>
      <c r="B849" s="4">
        <v>0</v>
      </c>
      <c r="C849" s="1" t="s">
        <v>83</v>
      </c>
      <c r="E849">
        <v>282</v>
      </c>
      <c r="F849">
        <v>23</v>
      </c>
      <c r="J849">
        <v>5</v>
      </c>
      <c r="K849" s="1" t="s">
        <v>448</v>
      </c>
    </row>
    <row r="850" spans="1:11">
      <c r="A850" s="2">
        <v>43930</v>
      </c>
      <c r="B850" s="4">
        <v>0.33333333333333331</v>
      </c>
      <c r="C850" s="1" t="s">
        <v>41</v>
      </c>
      <c r="E850">
        <v>74</v>
      </c>
      <c r="J850">
        <v>3</v>
      </c>
      <c r="K850" s="1" t="s">
        <v>43</v>
      </c>
    </row>
    <row r="851" spans="1:11">
      <c r="A851" s="2">
        <v>43930</v>
      </c>
      <c r="B851" s="4">
        <v>0.33333333333333331</v>
      </c>
      <c r="C851" s="1" t="s">
        <v>44</v>
      </c>
      <c r="E851">
        <v>1335</v>
      </c>
      <c r="F851">
        <v>117</v>
      </c>
      <c r="G851">
        <v>36</v>
      </c>
      <c r="H851">
        <v>27</v>
      </c>
      <c r="J851">
        <v>38</v>
      </c>
      <c r="K851" s="1" t="s">
        <v>46</v>
      </c>
    </row>
    <row r="852" spans="1:11">
      <c r="A852" s="2">
        <v>43930</v>
      </c>
      <c r="B852" s="4">
        <v>0.33333333333333331</v>
      </c>
      <c r="C852" s="1" t="s">
        <v>91</v>
      </c>
      <c r="E852">
        <v>2714</v>
      </c>
      <c r="F852">
        <v>301</v>
      </c>
      <c r="G852">
        <v>72</v>
      </c>
      <c r="H852">
        <v>68</v>
      </c>
      <c r="I852">
        <v>447</v>
      </c>
      <c r="J852">
        <v>219</v>
      </c>
      <c r="K852" s="1" t="s">
        <v>93</v>
      </c>
    </row>
    <row r="853" spans="1:11">
      <c r="A853" s="2">
        <v>43930</v>
      </c>
      <c r="B853" s="4">
        <v>0.33333333333333331</v>
      </c>
      <c r="C853" s="1" t="s">
        <v>102</v>
      </c>
      <c r="E853">
        <v>165</v>
      </c>
      <c r="F853">
        <v>13</v>
      </c>
      <c r="G853">
        <v>9</v>
      </c>
      <c r="I853">
        <v>69</v>
      </c>
      <c r="J853">
        <v>3</v>
      </c>
      <c r="K853" s="1" t="s">
        <v>440</v>
      </c>
    </row>
    <row r="854" spans="1:11">
      <c r="A854" s="2">
        <v>43930</v>
      </c>
      <c r="B854" s="4">
        <v>0.39583333333333331</v>
      </c>
      <c r="C854" s="1" t="s">
        <v>81</v>
      </c>
      <c r="E854">
        <v>52</v>
      </c>
      <c r="F854">
        <v>17</v>
      </c>
      <c r="G854">
        <v>2</v>
      </c>
      <c r="J854">
        <v>1</v>
      </c>
      <c r="K854" s="1" t="s">
        <v>460</v>
      </c>
    </row>
    <row r="855" spans="1:11">
      <c r="A855" s="2">
        <v>43930</v>
      </c>
      <c r="B855" s="4">
        <v>0.41666666666666669</v>
      </c>
      <c r="C855" s="1" t="s">
        <v>50</v>
      </c>
      <c r="E855">
        <v>841</v>
      </c>
      <c r="F855">
        <v>93</v>
      </c>
      <c r="G855">
        <v>13</v>
      </c>
      <c r="I855">
        <v>572</v>
      </c>
      <c r="J855">
        <v>33</v>
      </c>
      <c r="K855" s="1" t="s">
        <v>52</v>
      </c>
    </row>
    <row r="856" spans="1:11">
      <c r="A856" s="2">
        <v>43930</v>
      </c>
      <c r="B856" s="4">
        <v>0.45833333333333331</v>
      </c>
      <c r="C856" s="1" t="s">
        <v>38</v>
      </c>
      <c r="E856">
        <v>24</v>
      </c>
      <c r="K856" s="1" t="s">
        <v>40</v>
      </c>
    </row>
    <row r="857" spans="1:11">
      <c r="A857" s="2">
        <v>43930</v>
      </c>
      <c r="B857" s="4">
        <v>0.54166666666666663</v>
      </c>
      <c r="C857" s="1" t="s">
        <v>68</v>
      </c>
      <c r="E857">
        <v>542</v>
      </c>
      <c r="F857">
        <v>62</v>
      </c>
      <c r="G857">
        <v>6</v>
      </c>
      <c r="J857">
        <v>9</v>
      </c>
      <c r="K857" s="1" t="s">
        <v>70</v>
      </c>
    </row>
    <row r="858" spans="1:11">
      <c r="A858" s="2">
        <v>43930</v>
      </c>
      <c r="B858" s="4">
        <v>0.58333333333333337</v>
      </c>
      <c r="C858" s="1" t="s">
        <v>94</v>
      </c>
      <c r="E858">
        <v>72</v>
      </c>
      <c r="F858">
        <v>4</v>
      </c>
      <c r="I858">
        <v>45</v>
      </c>
      <c r="J858">
        <v>4</v>
      </c>
      <c r="K858" s="1" t="s">
        <v>96</v>
      </c>
    </row>
    <row r="859" spans="1:11">
      <c r="A859" s="2">
        <v>43930</v>
      </c>
      <c r="B859" s="4">
        <v>0.60416666666666663</v>
      </c>
      <c r="C859" s="1" t="s">
        <v>104</v>
      </c>
      <c r="E859">
        <v>2887</v>
      </c>
      <c r="F859">
        <v>165</v>
      </c>
      <c r="H859">
        <v>55</v>
      </c>
      <c r="J859">
        <v>66</v>
      </c>
      <c r="K859" s="1" t="s">
        <v>106</v>
      </c>
    </row>
    <row r="860" spans="1:11">
      <c r="A860" s="2">
        <v>43930</v>
      </c>
      <c r="B860" s="4">
        <v>0.61458333333333337</v>
      </c>
      <c r="C860" s="1" t="s">
        <v>34</v>
      </c>
      <c r="E860">
        <v>822</v>
      </c>
      <c r="F860">
        <v>87</v>
      </c>
      <c r="G860">
        <v>22</v>
      </c>
      <c r="H860">
        <v>21</v>
      </c>
      <c r="I860">
        <v>250</v>
      </c>
      <c r="J860">
        <v>17</v>
      </c>
      <c r="K860" s="1" t="s">
        <v>37</v>
      </c>
    </row>
    <row r="861" spans="1:11">
      <c r="A861" s="2">
        <v>43930</v>
      </c>
      <c r="B861" s="4">
        <v>0.625</v>
      </c>
      <c r="C861" s="1" t="s">
        <v>75</v>
      </c>
      <c r="E861">
        <v>62</v>
      </c>
      <c r="F861">
        <v>1</v>
      </c>
      <c r="J861">
        <v>0</v>
      </c>
      <c r="K861" s="1" t="s">
        <v>77</v>
      </c>
    </row>
    <row r="862" spans="1:11">
      <c r="A862" s="2">
        <v>43931</v>
      </c>
      <c r="B862" s="4"/>
      <c r="C862" s="1" t="s">
        <v>47</v>
      </c>
      <c r="E862">
        <v>722</v>
      </c>
      <c r="F862">
        <v>54</v>
      </c>
      <c r="G862">
        <v>17</v>
      </c>
      <c r="H862">
        <v>15</v>
      </c>
      <c r="I862">
        <v>502</v>
      </c>
      <c r="J862">
        <v>22</v>
      </c>
      <c r="K862" s="1" t="s">
        <v>49</v>
      </c>
    </row>
    <row r="863" spans="1:11">
      <c r="A863" s="2">
        <v>43931</v>
      </c>
      <c r="B863" s="4"/>
      <c r="C863" s="1" t="s">
        <v>53</v>
      </c>
      <c r="E863">
        <v>79</v>
      </c>
      <c r="J863">
        <v>1</v>
      </c>
      <c r="K863" s="1" t="s">
        <v>311</v>
      </c>
    </row>
    <row r="864" spans="1:11">
      <c r="A864" s="2">
        <v>43931</v>
      </c>
      <c r="B864" s="4"/>
      <c r="C864" s="1" t="s">
        <v>56</v>
      </c>
      <c r="E864">
        <v>796</v>
      </c>
      <c r="F864">
        <v>73</v>
      </c>
      <c r="G864">
        <v>19</v>
      </c>
      <c r="I864">
        <v>88</v>
      </c>
      <c r="J864">
        <v>49</v>
      </c>
      <c r="K864" s="1" t="s">
        <v>459</v>
      </c>
    </row>
    <row r="865" spans="1:11">
      <c r="A865" s="2">
        <v>43931</v>
      </c>
      <c r="B865" s="4"/>
      <c r="C865" s="1" t="s">
        <v>58</v>
      </c>
      <c r="D865">
        <v>18153</v>
      </c>
      <c r="E865">
        <v>4194</v>
      </c>
      <c r="F865">
        <v>379</v>
      </c>
      <c r="G865">
        <v>47</v>
      </c>
      <c r="H865">
        <v>47</v>
      </c>
      <c r="I865">
        <v>448</v>
      </c>
      <c r="J865">
        <v>168</v>
      </c>
      <c r="K865" s="1" t="s">
        <v>60</v>
      </c>
    </row>
    <row r="866" spans="1:11">
      <c r="A866" s="2">
        <v>43931</v>
      </c>
      <c r="B866" s="4"/>
      <c r="C866" s="1" t="s">
        <v>61</v>
      </c>
      <c r="E866">
        <v>76</v>
      </c>
      <c r="F866">
        <v>2</v>
      </c>
      <c r="J866">
        <v>2</v>
      </c>
      <c r="K866" s="1" t="s">
        <v>446</v>
      </c>
    </row>
    <row r="867" spans="1:11">
      <c r="A867" s="2">
        <v>43931</v>
      </c>
      <c r="B867" s="4"/>
      <c r="C867" s="1" t="s">
        <v>63</v>
      </c>
      <c r="E867">
        <v>730</v>
      </c>
      <c r="F867">
        <v>35</v>
      </c>
      <c r="J867">
        <v>36</v>
      </c>
      <c r="K867" s="1" t="s">
        <v>65</v>
      </c>
    </row>
    <row r="868" spans="1:11">
      <c r="A868" s="2">
        <v>43931</v>
      </c>
      <c r="B868" s="4"/>
      <c r="C868" s="1" t="s">
        <v>66</v>
      </c>
      <c r="E868">
        <v>182</v>
      </c>
      <c r="F868">
        <v>25</v>
      </c>
      <c r="G868">
        <v>5</v>
      </c>
      <c r="J868">
        <v>3</v>
      </c>
      <c r="K868" s="1" t="s">
        <v>483</v>
      </c>
    </row>
    <row r="869" spans="1:11">
      <c r="A869" s="2">
        <v>43931</v>
      </c>
      <c r="B869" s="4"/>
      <c r="C869" s="1" t="s">
        <v>71</v>
      </c>
      <c r="E869">
        <v>567</v>
      </c>
      <c r="F869">
        <v>63</v>
      </c>
      <c r="G869">
        <v>11</v>
      </c>
      <c r="H869">
        <v>8</v>
      </c>
      <c r="J869">
        <v>42</v>
      </c>
      <c r="K869" s="1" t="s">
        <v>434</v>
      </c>
    </row>
    <row r="870" spans="1:11">
      <c r="A870" s="2">
        <v>43931</v>
      </c>
      <c r="B870" s="4"/>
      <c r="C870" s="1" t="s">
        <v>73</v>
      </c>
      <c r="E870">
        <v>100</v>
      </c>
      <c r="F870">
        <v>7</v>
      </c>
      <c r="G870">
        <v>1</v>
      </c>
      <c r="K870" s="1" t="s">
        <v>409</v>
      </c>
    </row>
    <row r="871" spans="1:11">
      <c r="A871" s="2">
        <v>43931</v>
      </c>
      <c r="B871" s="4"/>
      <c r="C871" s="1" t="s">
        <v>78</v>
      </c>
      <c r="E871">
        <v>632</v>
      </c>
      <c r="F871">
        <v>60</v>
      </c>
      <c r="G871">
        <v>11</v>
      </c>
      <c r="I871">
        <v>93</v>
      </c>
      <c r="J871">
        <v>17</v>
      </c>
      <c r="K871" s="1" t="s">
        <v>80</v>
      </c>
    </row>
    <row r="872" spans="1:11">
      <c r="A872" s="2">
        <v>43931</v>
      </c>
      <c r="B872" s="4"/>
      <c r="C872" s="1" t="s">
        <v>86</v>
      </c>
      <c r="E872">
        <v>215</v>
      </c>
      <c r="I872">
        <v>118</v>
      </c>
      <c r="J872">
        <v>10</v>
      </c>
      <c r="K872" s="1" t="s">
        <v>461</v>
      </c>
    </row>
    <row r="873" spans="1:11">
      <c r="A873" s="2">
        <v>43931</v>
      </c>
      <c r="B873" s="4"/>
      <c r="C873" s="1" t="s">
        <v>88</v>
      </c>
      <c r="E873">
        <v>264</v>
      </c>
      <c r="F873">
        <v>32</v>
      </c>
      <c r="G873">
        <v>13</v>
      </c>
      <c r="J873">
        <v>8</v>
      </c>
      <c r="K873" s="1" t="s">
        <v>90</v>
      </c>
    </row>
    <row r="874" spans="1:11">
      <c r="A874" s="2">
        <v>43931</v>
      </c>
      <c r="B874" s="4"/>
      <c r="C874" s="1" t="s">
        <v>97</v>
      </c>
      <c r="E874">
        <v>4730</v>
      </c>
      <c r="F874">
        <v>305</v>
      </c>
      <c r="G874">
        <v>67</v>
      </c>
      <c r="J874">
        <v>237</v>
      </c>
      <c r="K874" s="1" t="s">
        <v>99</v>
      </c>
    </row>
    <row r="875" spans="1:11">
      <c r="A875" s="2">
        <v>43931</v>
      </c>
      <c r="B875" s="4"/>
      <c r="C875" s="1" t="s">
        <v>100</v>
      </c>
      <c r="E875">
        <v>1626</v>
      </c>
      <c r="F875">
        <v>115</v>
      </c>
      <c r="G875">
        <v>24</v>
      </c>
      <c r="H875">
        <v>18</v>
      </c>
      <c r="I875">
        <v>136</v>
      </c>
      <c r="J875">
        <v>83</v>
      </c>
      <c r="K875" s="1" t="s">
        <v>484</v>
      </c>
    </row>
    <row r="876" spans="1:11">
      <c r="A876" s="2">
        <v>43931</v>
      </c>
      <c r="B876" s="4">
        <v>0</v>
      </c>
      <c r="C876" s="1" t="s">
        <v>83</v>
      </c>
      <c r="E876">
        <v>294</v>
      </c>
      <c r="F876">
        <v>22</v>
      </c>
      <c r="J876">
        <v>5</v>
      </c>
      <c r="K876" s="1" t="s">
        <v>448</v>
      </c>
    </row>
    <row r="877" spans="1:11">
      <c r="A877" s="2">
        <v>43931</v>
      </c>
      <c r="B877" s="4">
        <v>0.33333333333333331</v>
      </c>
      <c r="C877" s="1" t="s">
        <v>41</v>
      </c>
      <c r="E877">
        <v>77</v>
      </c>
      <c r="J877">
        <v>3</v>
      </c>
      <c r="K877" s="1" t="s">
        <v>43</v>
      </c>
    </row>
    <row r="878" spans="1:11">
      <c r="A878" s="2">
        <v>43931</v>
      </c>
      <c r="B878" s="4">
        <v>0.33333333333333331</v>
      </c>
      <c r="C878" s="1" t="s">
        <v>44</v>
      </c>
      <c r="E878">
        <v>1375</v>
      </c>
      <c r="F878">
        <v>107</v>
      </c>
      <c r="G878">
        <v>33</v>
      </c>
      <c r="H878">
        <v>25</v>
      </c>
      <c r="J878">
        <v>42</v>
      </c>
      <c r="K878" s="1" t="s">
        <v>46</v>
      </c>
    </row>
    <row r="879" spans="1:11">
      <c r="A879" s="2">
        <v>43931</v>
      </c>
      <c r="B879" s="4">
        <v>0.33333333333333331</v>
      </c>
      <c r="C879" s="1" t="s">
        <v>91</v>
      </c>
      <c r="E879">
        <v>2776</v>
      </c>
      <c r="F879">
        <v>297</v>
      </c>
      <c r="G879">
        <v>68</v>
      </c>
      <c r="H879">
        <v>62</v>
      </c>
      <c r="I879">
        <v>466</v>
      </c>
      <c r="J879">
        <v>227</v>
      </c>
      <c r="K879" s="1" t="s">
        <v>303</v>
      </c>
    </row>
    <row r="880" spans="1:11">
      <c r="A880" s="2">
        <v>43931</v>
      </c>
      <c r="B880" s="4">
        <v>0.33333333333333331</v>
      </c>
      <c r="C880" s="1" t="s">
        <v>102</v>
      </c>
      <c r="E880">
        <v>168</v>
      </c>
      <c r="F880">
        <v>15</v>
      </c>
      <c r="G880">
        <v>9</v>
      </c>
      <c r="I880">
        <v>76</v>
      </c>
      <c r="J880">
        <v>3</v>
      </c>
      <c r="K880" s="1" t="s">
        <v>440</v>
      </c>
    </row>
    <row r="881" spans="1:11">
      <c r="A881" s="2">
        <v>43931</v>
      </c>
      <c r="B881" s="4">
        <v>0.39583333333333331</v>
      </c>
      <c r="C881" s="1" t="s">
        <v>81</v>
      </c>
      <c r="E881">
        <v>53</v>
      </c>
      <c r="F881">
        <v>13</v>
      </c>
      <c r="G881">
        <v>2</v>
      </c>
      <c r="J881">
        <v>1</v>
      </c>
      <c r="K881" s="1" t="s">
        <v>460</v>
      </c>
    </row>
    <row r="882" spans="1:11">
      <c r="A882" s="2">
        <v>43931</v>
      </c>
      <c r="B882" s="4">
        <v>0.41666666666666669</v>
      </c>
      <c r="C882" s="1" t="s">
        <v>50</v>
      </c>
      <c r="E882">
        <v>854</v>
      </c>
      <c r="F882">
        <v>87</v>
      </c>
      <c r="G882">
        <v>13</v>
      </c>
      <c r="I882">
        <v>593</v>
      </c>
      <c r="J882">
        <v>33</v>
      </c>
      <c r="K882" s="1" t="s">
        <v>304</v>
      </c>
    </row>
    <row r="883" spans="1:11">
      <c r="A883" s="2">
        <v>43931</v>
      </c>
      <c r="B883" s="4">
        <v>0.54166666666666663</v>
      </c>
      <c r="C883" s="1" t="s">
        <v>68</v>
      </c>
      <c r="E883">
        <v>560</v>
      </c>
      <c r="F883">
        <v>69</v>
      </c>
      <c r="G883">
        <v>6</v>
      </c>
      <c r="J883">
        <v>9</v>
      </c>
      <c r="K883" s="1" t="s">
        <v>70</v>
      </c>
    </row>
    <row r="884" spans="1:11">
      <c r="A884" s="2">
        <v>43931</v>
      </c>
      <c r="B884" s="4">
        <v>0.60416666666666663</v>
      </c>
      <c r="C884" s="1" t="s">
        <v>104</v>
      </c>
      <c r="E884">
        <v>2927</v>
      </c>
      <c r="F884">
        <v>152</v>
      </c>
      <c r="H884">
        <v>50</v>
      </c>
      <c r="J884">
        <v>71</v>
      </c>
      <c r="K884" s="1" t="s">
        <v>106</v>
      </c>
    </row>
    <row r="885" spans="1:11">
      <c r="A885" s="2">
        <v>43931</v>
      </c>
      <c r="B885" s="4">
        <v>0.61458333333333337</v>
      </c>
      <c r="C885" s="1" t="s">
        <v>34</v>
      </c>
      <c r="E885">
        <v>850</v>
      </c>
      <c r="J885">
        <v>18</v>
      </c>
      <c r="K885" s="1" t="s">
        <v>310</v>
      </c>
    </row>
    <row r="886" spans="1:11">
      <c r="A886" s="2">
        <v>43931</v>
      </c>
      <c r="B886" s="4">
        <v>0.66666666666666663</v>
      </c>
      <c r="C886" s="1" t="s">
        <v>94</v>
      </c>
      <c r="E886">
        <v>74</v>
      </c>
      <c r="F886">
        <v>4</v>
      </c>
      <c r="I886">
        <v>49</v>
      </c>
      <c r="J886">
        <v>4</v>
      </c>
      <c r="K886" s="1" t="s">
        <v>96</v>
      </c>
    </row>
    <row r="887" spans="1:11">
      <c r="A887" s="2">
        <v>43932</v>
      </c>
      <c r="B887" s="4"/>
      <c r="C887" s="1" t="s">
        <v>47</v>
      </c>
      <c r="E887">
        <v>736</v>
      </c>
      <c r="F887">
        <v>50</v>
      </c>
      <c r="G887">
        <v>16</v>
      </c>
      <c r="H887">
        <v>15</v>
      </c>
      <c r="I887">
        <v>527</v>
      </c>
      <c r="J887">
        <v>22</v>
      </c>
      <c r="K887" s="1" t="s">
        <v>49</v>
      </c>
    </row>
    <row r="888" spans="1:11">
      <c r="A888" s="2">
        <v>43932</v>
      </c>
      <c r="B888" s="4"/>
      <c r="C888" s="1" t="s">
        <v>53</v>
      </c>
      <c r="E888">
        <v>79</v>
      </c>
      <c r="J888">
        <v>1</v>
      </c>
      <c r="K888" s="1" t="s">
        <v>312</v>
      </c>
    </row>
    <row r="889" spans="1:11">
      <c r="A889" s="2">
        <v>43932</v>
      </c>
      <c r="B889" s="4"/>
      <c r="C889" s="1" t="s">
        <v>56</v>
      </c>
      <c r="E889">
        <v>834</v>
      </c>
      <c r="F889">
        <v>68</v>
      </c>
      <c r="G889">
        <v>20</v>
      </c>
      <c r="I889">
        <v>93</v>
      </c>
      <c r="J889">
        <v>53</v>
      </c>
      <c r="K889" s="1" t="s">
        <v>459</v>
      </c>
    </row>
    <row r="890" spans="1:11">
      <c r="A890" s="2">
        <v>43932</v>
      </c>
      <c r="B890" s="4"/>
      <c r="C890" s="1" t="s">
        <v>58</v>
      </c>
      <c r="D890">
        <v>18515</v>
      </c>
      <c r="E890">
        <v>4243</v>
      </c>
      <c r="F890">
        <v>364</v>
      </c>
      <c r="G890">
        <v>48</v>
      </c>
      <c r="H890">
        <v>44</v>
      </c>
      <c r="I890">
        <v>463</v>
      </c>
      <c r="J890">
        <v>176</v>
      </c>
      <c r="K890" s="1" t="s">
        <v>60</v>
      </c>
    </row>
    <row r="891" spans="1:11">
      <c r="A891" s="2">
        <v>43932</v>
      </c>
      <c r="B891" s="4"/>
      <c r="C891" s="1" t="s">
        <v>61</v>
      </c>
      <c r="E891">
        <v>91</v>
      </c>
      <c r="F891">
        <v>2</v>
      </c>
      <c r="J891">
        <v>2</v>
      </c>
      <c r="K891" s="1" t="s">
        <v>446</v>
      </c>
    </row>
    <row r="892" spans="1:11">
      <c r="A892" s="2">
        <v>43932</v>
      </c>
      <c r="B892" s="4"/>
      <c r="C892" s="1" t="s">
        <v>63</v>
      </c>
      <c r="E892">
        <v>743</v>
      </c>
      <c r="F892">
        <v>35</v>
      </c>
      <c r="J892">
        <v>36</v>
      </c>
      <c r="K892" s="1" t="s">
        <v>65</v>
      </c>
    </row>
    <row r="893" spans="1:11">
      <c r="A893" s="2">
        <v>43932</v>
      </c>
      <c r="B893" s="4"/>
      <c r="C893" s="1" t="s">
        <v>66</v>
      </c>
      <c r="E893">
        <v>183</v>
      </c>
      <c r="F893">
        <v>23</v>
      </c>
      <c r="G893">
        <v>5</v>
      </c>
      <c r="J893">
        <v>3</v>
      </c>
      <c r="K893" s="1" t="s">
        <v>483</v>
      </c>
    </row>
    <row r="894" spans="1:11">
      <c r="A894" s="2">
        <v>43932</v>
      </c>
      <c r="B894" s="4"/>
      <c r="C894" s="1" t="s">
        <v>71</v>
      </c>
      <c r="E894">
        <v>576</v>
      </c>
      <c r="F894">
        <v>64</v>
      </c>
      <c r="G894">
        <v>11</v>
      </c>
      <c r="H894">
        <v>9</v>
      </c>
      <c r="J894">
        <v>44</v>
      </c>
      <c r="K894" s="1" t="s">
        <v>434</v>
      </c>
    </row>
    <row r="895" spans="1:11">
      <c r="A895" s="2">
        <v>43932</v>
      </c>
      <c r="B895" s="4"/>
      <c r="C895" s="1" t="s">
        <v>73</v>
      </c>
      <c r="E895">
        <v>103</v>
      </c>
      <c r="F895">
        <v>8</v>
      </c>
      <c r="G895">
        <v>2</v>
      </c>
      <c r="J895">
        <v>1</v>
      </c>
      <c r="K895" s="1" t="s">
        <v>409</v>
      </c>
    </row>
    <row r="896" spans="1:11">
      <c r="A896" s="2">
        <v>43932</v>
      </c>
      <c r="B896" s="4"/>
      <c r="C896" s="1" t="s">
        <v>78</v>
      </c>
      <c r="E896">
        <v>641</v>
      </c>
      <c r="F896">
        <v>60</v>
      </c>
      <c r="G896">
        <v>11</v>
      </c>
      <c r="I896">
        <v>102</v>
      </c>
      <c r="J896">
        <v>18</v>
      </c>
      <c r="K896" s="1" t="s">
        <v>80</v>
      </c>
    </row>
    <row r="897" spans="1:11">
      <c r="A897" s="2">
        <v>43932</v>
      </c>
      <c r="B897" s="4"/>
      <c r="C897" s="1" t="s">
        <v>86</v>
      </c>
      <c r="E897">
        <v>249</v>
      </c>
      <c r="I897">
        <v>118</v>
      </c>
      <c r="J897">
        <v>10</v>
      </c>
      <c r="K897" s="1" t="s">
        <v>461</v>
      </c>
    </row>
    <row r="898" spans="1:11">
      <c r="A898" s="2">
        <v>43932</v>
      </c>
      <c r="B898" s="4"/>
      <c r="C898" s="1" t="s">
        <v>88</v>
      </c>
      <c r="E898">
        <v>274</v>
      </c>
      <c r="F898">
        <v>32</v>
      </c>
      <c r="G898">
        <v>14</v>
      </c>
      <c r="J898">
        <v>8</v>
      </c>
      <c r="K898" s="1" t="s">
        <v>90</v>
      </c>
    </row>
    <row r="899" spans="1:11">
      <c r="A899" s="2">
        <v>43932</v>
      </c>
      <c r="B899" s="4"/>
      <c r="C899" s="1" t="s">
        <v>97</v>
      </c>
      <c r="E899">
        <v>4770</v>
      </c>
      <c r="F899">
        <v>291</v>
      </c>
      <c r="G899">
        <v>67</v>
      </c>
      <c r="J899">
        <v>243</v>
      </c>
      <c r="K899" s="1" t="s">
        <v>99</v>
      </c>
    </row>
    <row r="900" spans="1:11">
      <c r="A900" s="2">
        <v>43932</v>
      </c>
      <c r="B900" s="4"/>
      <c r="C900" s="1" t="s">
        <v>100</v>
      </c>
      <c r="E900">
        <v>1652</v>
      </c>
      <c r="F900">
        <v>112</v>
      </c>
      <c r="G900">
        <v>20</v>
      </c>
      <c r="H900">
        <v>15</v>
      </c>
      <c r="I900">
        <v>148</v>
      </c>
      <c r="J900">
        <v>85</v>
      </c>
      <c r="K900" s="1" t="s">
        <v>484</v>
      </c>
    </row>
    <row r="901" spans="1:11">
      <c r="A901" s="2">
        <v>43932</v>
      </c>
      <c r="B901" s="4">
        <v>0</v>
      </c>
      <c r="C901" s="1" t="s">
        <v>83</v>
      </c>
      <c r="E901">
        <v>306</v>
      </c>
      <c r="J901">
        <v>6</v>
      </c>
      <c r="K901" s="1" t="s">
        <v>448</v>
      </c>
    </row>
    <row r="902" spans="1:11">
      <c r="A902" s="2">
        <v>43932</v>
      </c>
      <c r="B902" s="4">
        <v>0.33333333333333331</v>
      </c>
      <c r="C902" s="1" t="s">
        <v>44</v>
      </c>
      <c r="E902">
        <v>1419</v>
      </c>
      <c r="F902">
        <v>99</v>
      </c>
      <c r="G902">
        <v>33</v>
      </c>
      <c r="H902">
        <v>24</v>
      </c>
      <c r="J902">
        <v>44</v>
      </c>
      <c r="K902" s="1" t="s">
        <v>46</v>
      </c>
    </row>
    <row r="903" spans="1:11">
      <c r="A903" s="2">
        <v>43932</v>
      </c>
      <c r="B903" s="4">
        <v>0.33333333333333331</v>
      </c>
      <c r="C903" s="1" t="s">
        <v>91</v>
      </c>
      <c r="E903">
        <v>2818</v>
      </c>
      <c r="F903">
        <v>282</v>
      </c>
      <c r="G903">
        <v>68</v>
      </c>
      <c r="H903">
        <v>59</v>
      </c>
      <c r="I903">
        <v>493</v>
      </c>
      <c r="J903">
        <v>229</v>
      </c>
      <c r="K903" s="1" t="s">
        <v>313</v>
      </c>
    </row>
    <row r="904" spans="1:11">
      <c r="A904" s="2">
        <v>43932</v>
      </c>
      <c r="B904" s="4">
        <v>0.33333333333333331</v>
      </c>
      <c r="C904" s="1" t="s">
        <v>102</v>
      </c>
      <c r="E904">
        <v>168</v>
      </c>
      <c r="F904">
        <v>14</v>
      </c>
      <c r="G904">
        <v>9</v>
      </c>
      <c r="I904">
        <v>79</v>
      </c>
      <c r="J904">
        <v>4</v>
      </c>
      <c r="K904" s="1" t="s">
        <v>440</v>
      </c>
    </row>
    <row r="905" spans="1:11">
      <c r="A905" s="2">
        <v>43932</v>
      </c>
      <c r="B905" s="4">
        <v>0.39583333333333331</v>
      </c>
      <c r="C905" s="1" t="s">
        <v>50</v>
      </c>
      <c r="E905">
        <v>861</v>
      </c>
      <c r="I905">
        <v>612</v>
      </c>
      <c r="J905">
        <v>33</v>
      </c>
      <c r="K905" s="1" t="s">
        <v>302</v>
      </c>
    </row>
    <row r="906" spans="1:11">
      <c r="A906" s="2">
        <v>43932</v>
      </c>
      <c r="B906" s="4">
        <v>0.39583333333333331</v>
      </c>
      <c r="C906" s="1" t="s">
        <v>81</v>
      </c>
      <c r="E906">
        <v>55</v>
      </c>
      <c r="F906">
        <v>13</v>
      </c>
      <c r="G906">
        <v>2</v>
      </c>
      <c r="J906">
        <v>1</v>
      </c>
      <c r="K906" s="1" t="s">
        <v>460</v>
      </c>
    </row>
    <row r="907" spans="1:11">
      <c r="A907" s="2">
        <v>43932</v>
      </c>
      <c r="B907" s="4">
        <v>0.41666666666666669</v>
      </c>
      <c r="C907" s="1" t="s">
        <v>41</v>
      </c>
      <c r="E907">
        <v>77</v>
      </c>
      <c r="J907">
        <v>3</v>
      </c>
      <c r="K907" s="1" t="s">
        <v>43</v>
      </c>
    </row>
    <row r="908" spans="1:11">
      <c r="A908" s="2">
        <v>43932</v>
      </c>
      <c r="B908" s="4">
        <v>0.45833333333333331</v>
      </c>
      <c r="C908" s="1" t="s">
        <v>38</v>
      </c>
      <c r="E908">
        <v>24</v>
      </c>
      <c r="K908" s="1" t="s">
        <v>40</v>
      </c>
    </row>
    <row r="909" spans="1:11">
      <c r="A909" s="2">
        <v>43932</v>
      </c>
      <c r="B909" s="4">
        <v>0.45833333333333331</v>
      </c>
      <c r="C909" s="1" t="s">
        <v>68</v>
      </c>
      <c r="E909">
        <v>568</v>
      </c>
      <c r="J909">
        <v>10</v>
      </c>
      <c r="K909" s="1" t="s">
        <v>70</v>
      </c>
    </row>
    <row r="910" spans="1:11">
      <c r="A910" s="2">
        <v>43932</v>
      </c>
      <c r="B910" s="4">
        <v>0.60416666666666663</v>
      </c>
      <c r="C910" s="1" t="s">
        <v>104</v>
      </c>
      <c r="E910">
        <v>2985</v>
      </c>
      <c r="F910">
        <v>149</v>
      </c>
      <c r="H910">
        <v>50</v>
      </c>
      <c r="J910">
        <v>77</v>
      </c>
      <c r="K910" s="1" t="s">
        <v>106</v>
      </c>
    </row>
    <row r="911" spans="1:11">
      <c r="A911" s="2">
        <v>43932</v>
      </c>
      <c r="B911" s="4">
        <v>0.66666666666666663</v>
      </c>
      <c r="C911" s="1" t="s">
        <v>94</v>
      </c>
      <c r="E911">
        <v>75</v>
      </c>
      <c r="F911">
        <v>8</v>
      </c>
      <c r="I911">
        <v>50</v>
      </c>
      <c r="J911">
        <v>4</v>
      </c>
      <c r="K911" s="1" t="s">
        <v>96</v>
      </c>
    </row>
    <row r="912" spans="1:11">
      <c r="A912" s="2">
        <v>43932</v>
      </c>
      <c r="B912" s="4">
        <v>0.70833333333333337</v>
      </c>
      <c r="C912" s="1" t="s">
        <v>34</v>
      </c>
      <c r="E912">
        <v>878</v>
      </c>
      <c r="F912">
        <v>76</v>
      </c>
      <c r="G912">
        <v>23</v>
      </c>
      <c r="H912">
        <v>21</v>
      </c>
      <c r="I912">
        <v>300</v>
      </c>
      <c r="J912">
        <v>18</v>
      </c>
      <c r="K912" s="1" t="s">
        <v>310</v>
      </c>
    </row>
    <row r="913" spans="1:11">
      <c r="A913" s="2">
        <v>43933</v>
      </c>
      <c r="B913" s="4"/>
      <c r="C913" s="1" t="s">
        <v>47</v>
      </c>
      <c r="E913">
        <v>740</v>
      </c>
      <c r="F913">
        <v>48</v>
      </c>
      <c r="G913">
        <v>17</v>
      </c>
      <c r="H913">
        <v>14</v>
      </c>
      <c r="I913">
        <v>554</v>
      </c>
      <c r="J913">
        <v>23</v>
      </c>
      <c r="K913" s="1" t="s">
        <v>49</v>
      </c>
    </row>
    <row r="914" spans="1:11">
      <c r="A914" s="2">
        <v>43933</v>
      </c>
      <c r="B914" s="4"/>
      <c r="C914" s="1" t="s">
        <v>53</v>
      </c>
      <c r="E914">
        <v>80</v>
      </c>
      <c r="J914">
        <v>1</v>
      </c>
      <c r="K914" s="1" t="s">
        <v>370</v>
      </c>
    </row>
    <row r="915" spans="1:11">
      <c r="A915" s="2">
        <v>43933</v>
      </c>
      <c r="B915" s="4"/>
      <c r="C915" s="1" t="s">
        <v>56</v>
      </c>
      <c r="E915">
        <v>846</v>
      </c>
      <c r="F915">
        <v>65</v>
      </c>
      <c r="G915">
        <v>19</v>
      </c>
      <c r="I915">
        <v>97</v>
      </c>
      <c r="J915">
        <v>54</v>
      </c>
      <c r="K915" s="1" t="s">
        <v>459</v>
      </c>
    </row>
    <row r="916" spans="1:11">
      <c r="A916" s="2">
        <v>43933</v>
      </c>
      <c r="B916" s="4"/>
      <c r="C916" s="1" t="s">
        <v>58</v>
      </c>
      <c r="D916">
        <v>18691</v>
      </c>
      <c r="E916">
        <v>4265</v>
      </c>
      <c r="F916">
        <v>363</v>
      </c>
      <c r="G916">
        <v>47</v>
      </c>
      <c r="H916">
        <v>43</v>
      </c>
      <c r="I916">
        <v>479</v>
      </c>
      <c r="J916">
        <v>183</v>
      </c>
      <c r="K916" s="1" t="s">
        <v>60</v>
      </c>
    </row>
    <row r="917" spans="1:11">
      <c r="A917" s="2">
        <v>43933</v>
      </c>
      <c r="B917" s="4"/>
      <c r="C917" s="1" t="s">
        <v>61</v>
      </c>
      <c r="E917">
        <v>91</v>
      </c>
      <c r="F917">
        <v>2</v>
      </c>
      <c r="J917">
        <v>2</v>
      </c>
      <c r="K917" s="1" t="s">
        <v>446</v>
      </c>
    </row>
    <row r="918" spans="1:11">
      <c r="A918" s="2">
        <v>43933</v>
      </c>
      <c r="B918" s="4"/>
      <c r="C918" s="1" t="s">
        <v>63</v>
      </c>
      <c r="E918">
        <v>747</v>
      </c>
      <c r="F918">
        <v>35</v>
      </c>
      <c r="J918">
        <v>36</v>
      </c>
      <c r="K918" s="1" t="s">
        <v>65</v>
      </c>
    </row>
    <row r="919" spans="1:11">
      <c r="A919" s="2">
        <v>43933</v>
      </c>
      <c r="B919" s="4"/>
      <c r="C919" s="1" t="s">
        <v>66</v>
      </c>
      <c r="E919">
        <v>183</v>
      </c>
      <c r="F919">
        <v>22</v>
      </c>
      <c r="G919">
        <v>5</v>
      </c>
      <c r="J919">
        <v>3</v>
      </c>
      <c r="K919" s="1" t="s">
        <v>483</v>
      </c>
    </row>
    <row r="920" spans="1:11">
      <c r="A920" s="2">
        <v>43933</v>
      </c>
      <c r="B920" s="4"/>
      <c r="C920" s="1" t="s">
        <v>71</v>
      </c>
      <c r="E920">
        <v>586</v>
      </c>
      <c r="F920">
        <v>67</v>
      </c>
      <c r="G920">
        <v>10</v>
      </c>
      <c r="H920">
        <v>10</v>
      </c>
      <c r="J920">
        <v>49</v>
      </c>
      <c r="K920" s="1" t="s">
        <v>434</v>
      </c>
    </row>
    <row r="921" spans="1:11">
      <c r="A921" s="2">
        <v>43933</v>
      </c>
      <c r="B921" s="4"/>
      <c r="C921" s="1" t="s">
        <v>73</v>
      </c>
      <c r="E921">
        <v>104</v>
      </c>
      <c r="F921">
        <v>7</v>
      </c>
      <c r="G921">
        <v>2</v>
      </c>
      <c r="J921">
        <v>1</v>
      </c>
      <c r="K921" s="1" t="s">
        <v>409</v>
      </c>
    </row>
    <row r="922" spans="1:11">
      <c r="A922" s="2">
        <v>43933</v>
      </c>
      <c r="B922" s="4"/>
      <c r="C922" s="1" t="s">
        <v>78</v>
      </c>
      <c r="E922">
        <v>649</v>
      </c>
      <c r="F922">
        <v>58</v>
      </c>
      <c r="G922">
        <v>9</v>
      </c>
      <c r="I922">
        <v>109</v>
      </c>
      <c r="J922">
        <v>21</v>
      </c>
      <c r="K922" s="1" t="s">
        <v>80</v>
      </c>
    </row>
    <row r="923" spans="1:11">
      <c r="A923" s="2">
        <v>43933</v>
      </c>
      <c r="B923" s="4"/>
      <c r="C923" s="1" t="s">
        <v>86</v>
      </c>
      <c r="E923">
        <v>251</v>
      </c>
      <c r="I923">
        <v>119</v>
      </c>
      <c r="J923">
        <v>11</v>
      </c>
      <c r="K923" s="1" t="s">
        <v>461</v>
      </c>
    </row>
    <row r="924" spans="1:11">
      <c r="A924" s="2">
        <v>43933</v>
      </c>
      <c r="B924" s="4"/>
      <c r="C924" s="1" t="s">
        <v>88</v>
      </c>
      <c r="E924">
        <v>285</v>
      </c>
      <c r="F924">
        <v>32</v>
      </c>
      <c r="G924">
        <v>14</v>
      </c>
      <c r="J924">
        <v>8</v>
      </c>
      <c r="K924" s="1" t="s">
        <v>90</v>
      </c>
    </row>
    <row r="925" spans="1:11">
      <c r="A925" s="2">
        <v>43933</v>
      </c>
      <c r="B925" s="4"/>
      <c r="C925" s="1" t="s">
        <v>97</v>
      </c>
      <c r="E925">
        <v>4807</v>
      </c>
      <c r="F925">
        <v>300</v>
      </c>
      <c r="G925">
        <v>66</v>
      </c>
      <c r="J925">
        <v>251</v>
      </c>
      <c r="K925" s="1" t="s">
        <v>99</v>
      </c>
    </row>
    <row r="926" spans="1:11">
      <c r="A926" s="2">
        <v>43933</v>
      </c>
      <c r="B926" s="4"/>
      <c r="C926" s="1" t="s">
        <v>100</v>
      </c>
      <c r="E926">
        <v>1665</v>
      </c>
      <c r="F926">
        <v>110</v>
      </c>
      <c r="G926">
        <v>22</v>
      </c>
      <c r="H926">
        <v>14</v>
      </c>
      <c r="I926">
        <v>157</v>
      </c>
      <c r="J926">
        <v>91</v>
      </c>
      <c r="K926" s="1" t="s">
        <v>484</v>
      </c>
    </row>
    <row r="927" spans="1:11">
      <c r="A927" s="2">
        <v>43933</v>
      </c>
      <c r="B927" s="4">
        <v>0</v>
      </c>
      <c r="C927" s="1" t="s">
        <v>83</v>
      </c>
      <c r="E927">
        <v>315</v>
      </c>
      <c r="F927">
        <v>23</v>
      </c>
      <c r="J927">
        <v>7</v>
      </c>
      <c r="K927" s="1" t="s">
        <v>448</v>
      </c>
    </row>
    <row r="928" spans="1:11">
      <c r="A928" s="2">
        <v>43933</v>
      </c>
      <c r="B928" s="4">
        <v>0.33333333333333331</v>
      </c>
      <c r="C928" s="1" t="s">
        <v>44</v>
      </c>
      <c r="E928">
        <v>1441</v>
      </c>
      <c r="F928">
        <v>95</v>
      </c>
      <c r="G928">
        <v>33</v>
      </c>
      <c r="H928">
        <v>22</v>
      </c>
      <c r="J928">
        <v>49</v>
      </c>
      <c r="K928" s="1" t="s">
        <v>46</v>
      </c>
    </row>
    <row r="929" spans="1:11">
      <c r="A929" s="2">
        <v>43933</v>
      </c>
      <c r="B929" s="4">
        <v>0.33333333333333331</v>
      </c>
      <c r="C929" s="1" t="s">
        <v>91</v>
      </c>
      <c r="E929">
        <v>2869</v>
      </c>
      <c r="F929">
        <v>269</v>
      </c>
      <c r="G929">
        <v>63</v>
      </c>
      <c r="H929">
        <v>56</v>
      </c>
      <c r="I929">
        <v>511</v>
      </c>
      <c r="J929">
        <v>244</v>
      </c>
      <c r="K929" s="1" t="s">
        <v>371</v>
      </c>
    </row>
    <row r="930" spans="1:11">
      <c r="A930" s="2">
        <v>43933</v>
      </c>
      <c r="B930" s="4">
        <v>0.33333333333333331</v>
      </c>
      <c r="C930" s="1" t="s">
        <v>102</v>
      </c>
      <c r="E930">
        <v>168</v>
      </c>
      <c r="F930">
        <v>13</v>
      </c>
      <c r="G930">
        <v>9</v>
      </c>
      <c r="I930">
        <v>80</v>
      </c>
      <c r="J930">
        <v>5</v>
      </c>
      <c r="K930" s="1" t="s">
        <v>440</v>
      </c>
    </row>
    <row r="931" spans="1:11">
      <c r="A931" s="2">
        <v>43933</v>
      </c>
      <c r="B931" s="4">
        <v>0.39583333333333331</v>
      </c>
      <c r="C931" s="1" t="s">
        <v>81</v>
      </c>
      <c r="E931">
        <v>57</v>
      </c>
      <c r="F931">
        <v>16</v>
      </c>
      <c r="G931">
        <v>2</v>
      </c>
      <c r="J931">
        <v>1</v>
      </c>
      <c r="K931" s="1" t="s">
        <v>460</v>
      </c>
    </row>
    <row r="932" spans="1:11">
      <c r="A932" s="2">
        <v>43933</v>
      </c>
      <c r="B932" s="4">
        <v>0.41666666666666669</v>
      </c>
      <c r="C932" s="1" t="s">
        <v>50</v>
      </c>
      <c r="E932">
        <v>877</v>
      </c>
      <c r="F932">
        <v>86</v>
      </c>
      <c r="G932">
        <v>12</v>
      </c>
      <c r="I932">
        <v>629</v>
      </c>
      <c r="J932">
        <v>33</v>
      </c>
      <c r="K932" s="1" t="s">
        <v>314</v>
      </c>
    </row>
    <row r="933" spans="1:11">
      <c r="A933" s="2">
        <v>43933</v>
      </c>
      <c r="B933" s="4">
        <v>0.45833333333333331</v>
      </c>
      <c r="C933" s="1" t="s">
        <v>68</v>
      </c>
      <c r="E933">
        <v>576</v>
      </c>
      <c r="F933">
        <v>60</v>
      </c>
      <c r="G933">
        <v>5</v>
      </c>
      <c r="J933">
        <v>10</v>
      </c>
      <c r="K933" s="1" t="s">
        <v>70</v>
      </c>
    </row>
    <row r="934" spans="1:11">
      <c r="A934" s="2">
        <v>43933</v>
      </c>
      <c r="B934" s="4">
        <v>0.60416666666666663</v>
      </c>
      <c r="C934" s="1" t="s">
        <v>104</v>
      </c>
      <c r="E934">
        <v>3002</v>
      </c>
      <c r="F934">
        <v>153</v>
      </c>
      <c r="H934">
        <v>49</v>
      </c>
      <c r="J934">
        <v>79</v>
      </c>
      <c r="K934" s="1" t="s">
        <v>106</v>
      </c>
    </row>
    <row r="935" spans="1:11">
      <c r="A935" s="2">
        <v>43933</v>
      </c>
      <c r="B935" s="4">
        <v>0.61458333333333337</v>
      </c>
      <c r="C935" s="1" t="s">
        <v>34</v>
      </c>
      <c r="E935">
        <v>899</v>
      </c>
      <c r="J935">
        <v>18</v>
      </c>
      <c r="K935" s="1" t="s">
        <v>390</v>
      </c>
    </row>
    <row r="936" spans="1:11">
      <c r="A936" s="2">
        <v>43933</v>
      </c>
      <c r="B936" s="4">
        <v>0.625</v>
      </c>
      <c r="C936" s="1" t="s">
        <v>94</v>
      </c>
      <c r="E936">
        <v>77</v>
      </c>
      <c r="F936">
        <v>5</v>
      </c>
      <c r="I936">
        <v>52</v>
      </c>
      <c r="J936">
        <v>4</v>
      </c>
      <c r="K936" s="1" t="s">
        <v>96</v>
      </c>
    </row>
    <row r="937" spans="1:11">
      <c r="A937" s="2">
        <v>43934</v>
      </c>
      <c r="B937" s="4"/>
      <c r="C937" s="1" t="s">
        <v>47</v>
      </c>
      <c r="E937">
        <v>749</v>
      </c>
      <c r="F937">
        <v>48</v>
      </c>
      <c r="G937">
        <v>16</v>
      </c>
      <c r="H937">
        <v>12</v>
      </c>
      <c r="I937">
        <v>570</v>
      </c>
      <c r="J937">
        <v>24</v>
      </c>
      <c r="K937" s="1" t="s">
        <v>49</v>
      </c>
    </row>
    <row r="938" spans="1:11">
      <c r="A938" s="2">
        <v>43934</v>
      </c>
      <c r="B938" s="4"/>
      <c r="C938" s="1" t="s">
        <v>53</v>
      </c>
      <c r="E938">
        <v>80</v>
      </c>
      <c r="J938">
        <v>1</v>
      </c>
      <c r="K938" s="1" t="s">
        <v>379</v>
      </c>
    </row>
    <row r="939" spans="1:11">
      <c r="A939" s="2">
        <v>43934</v>
      </c>
      <c r="B939" s="4"/>
      <c r="C939" s="1" t="s">
        <v>56</v>
      </c>
      <c r="E939">
        <v>859</v>
      </c>
      <c r="F939">
        <v>68</v>
      </c>
      <c r="G939">
        <v>17</v>
      </c>
      <c r="I939">
        <v>97</v>
      </c>
      <c r="J939">
        <v>55</v>
      </c>
      <c r="K939" s="1" t="s">
        <v>459</v>
      </c>
    </row>
    <row r="940" spans="1:11">
      <c r="A940" s="2">
        <v>43934</v>
      </c>
      <c r="B940" s="4"/>
      <c r="C940" s="1" t="s">
        <v>58</v>
      </c>
      <c r="D940">
        <v>18996</v>
      </c>
      <c r="E940">
        <v>4315</v>
      </c>
      <c r="F940">
        <v>364</v>
      </c>
      <c r="G940">
        <v>47</v>
      </c>
      <c r="H940">
        <v>42</v>
      </c>
      <c r="I940">
        <v>490</v>
      </c>
      <c r="J940">
        <v>186</v>
      </c>
      <c r="K940" s="1" t="s">
        <v>60</v>
      </c>
    </row>
    <row r="941" spans="1:11">
      <c r="A941" s="2">
        <v>43934</v>
      </c>
      <c r="B941" s="4"/>
      <c r="C941" s="1" t="s">
        <v>61</v>
      </c>
      <c r="E941">
        <v>92</v>
      </c>
      <c r="F941">
        <v>2</v>
      </c>
      <c r="J941">
        <v>2</v>
      </c>
      <c r="K941" s="1" t="s">
        <v>446</v>
      </c>
    </row>
    <row r="942" spans="1:11">
      <c r="A942" s="2">
        <v>43934</v>
      </c>
      <c r="B942" s="4"/>
      <c r="C942" s="1" t="s">
        <v>63</v>
      </c>
      <c r="E942">
        <v>750</v>
      </c>
      <c r="F942">
        <v>34</v>
      </c>
      <c r="J942">
        <v>37</v>
      </c>
      <c r="K942" s="1" t="s">
        <v>65</v>
      </c>
    </row>
    <row r="943" spans="1:11">
      <c r="A943" s="2">
        <v>43934</v>
      </c>
      <c r="B943" s="4"/>
      <c r="C943" s="1" t="s">
        <v>66</v>
      </c>
      <c r="E943">
        <v>184</v>
      </c>
      <c r="F943">
        <v>24</v>
      </c>
      <c r="G943">
        <v>5</v>
      </c>
      <c r="J943">
        <v>3</v>
      </c>
      <c r="K943" s="1" t="s">
        <v>483</v>
      </c>
    </row>
    <row r="944" spans="1:11">
      <c r="A944" s="2">
        <v>43934</v>
      </c>
      <c r="B944" s="4"/>
      <c r="C944" s="1" t="s">
        <v>71</v>
      </c>
      <c r="E944">
        <v>592</v>
      </c>
      <c r="F944">
        <v>67</v>
      </c>
      <c r="G944">
        <v>10</v>
      </c>
      <c r="H944">
        <v>10</v>
      </c>
      <c r="J944">
        <v>51</v>
      </c>
      <c r="K944" s="1" t="s">
        <v>434</v>
      </c>
    </row>
    <row r="945" spans="1:11">
      <c r="A945" s="2">
        <v>43934</v>
      </c>
      <c r="B945" s="4"/>
      <c r="C945" s="1" t="s">
        <v>73</v>
      </c>
      <c r="E945">
        <v>104</v>
      </c>
      <c r="F945">
        <v>7</v>
      </c>
      <c r="G945">
        <v>2</v>
      </c>
      <c r="J945">
        <v>1</v>
      </c>
      <c r="K945" s="1" t="s">
        <v>409</v>
      </c>
    </row>
    <row r="946" spans="1:11">
      <c r="A946" s="2">
        <v>43934</v>
      </c>
      <c r="B946" s="4"/>
      <c r="C946" s="1" t="s">
        <v>78</v>
      </c>
      <c r="E946">
        <v>657</v>
      </c>
      <c r="F946">
        <v>58</v>
      </c>
      <c r="G946">
        <v>10</v>
      </c>
      <c r="I946">
        <v>119</v>
      </c>
      <c r="J946">
        <v>21</v>
      </c>
      <c r="K946" s="1" t="s">
        <v>80</v>
      </c>
    </row>
    <row r="947" spans="1:11">
      <c r="A947" s="2">
        <v>43934</v>
      </c>
      <c r="B947" s="4"/>
      <c r="C947" s="1" t="s">
        <v>86</v>
      </c>
      <c r="E947">
        <v>251</v>
      </c>
      <c r="I947">
        <v>128</v>
      </c>
      <c r="J947">
        <v>12</v>
      </c>
      <c r="K947" s="1" t="s">
        <v>461</v>
      </c>
    </row>
    <row r="948" spans="1:11">
      <c r="A948" s="2">
        <v>43934</v>
      </c>
      <c r="B948" s="4"/>
      <c r="C948" s="1" t="s">
        <v>88</v>
      </c>
      <c r="E948">
        <v>292</v>
      </c>
      <c r="F948">
        <v>32</v>
      </c>
      <c r="G948">
        <v>17</v>
      </c>
      <c r="J948">
        <v>8</v>
      </c>
      <c r="K948" s="1" t="s">
        <v>90</v>
      </c>
    </row>
    <row r="949" spans="1:11">
      <c r="A949" s="2">
        <v>43934</v>
      </c>
      <c r="B949" s="4"/>
      <c r="C949" s="1" t="s">
        <v>97</v>
      </c>
      <c r="E949">
        <v>4851</v>
      </c>
      <c r="F949">
        <v>300</v>
      </c>
      <c r="G949">
        <v>62</v>
      </c>
      <c r="J949">
        <v>257</v>
      </c>
      <c r="K949" s="1" t="s">
        <v>99</v>
      </c>
    </row>
    <row r="950" spans="1:11">
      <c r="A950" s="2">
        <v>43934</v>
      </c>
      <c r="B950" s="4"/>
      <c r="C950" s="1" t="s">
        <v>100</v>
      </c>
      <c r="E950">
        <v>1679</v>
      </c>
      <c r="F950">
        <v>106</v>
      </c>
      <c r="G950">
        <v>21</v>
      </c>
      <c r="H950">
        <v>12</v>
      </c>
      <c r="I950">
        <v>157</v>
      </c>
      <c r="J950">
        <v>93</v>
      </c>
      <c r="K950" s="1" t="s">
        <v>484</v>
      </c>
    </row>
    <row r="951" spans="1:11">
      <c r="A951" s="2">
        <v>43934</v>
      </c>
      <c r="B951" s="4">
        <v>0</v>
      </c>
      <c r="C951" s="1" t="s">
        <v>83</v>
      </c>
      <c r="E951">
        <v>321</v>
      </c>
      <c r="F951">
        <v>23</v>
      </c>
      <c r="J951">
        <v>7</v>
      </c>
      <c r="K951" s="1" t="s">
        <v>448</v>
      </c>
    </row>
    <row r="952" spans="1:11">
      <c r="A952" s="2">
        <v>43934</v>
      </c>
      <c r="B952" s="4">
        <v>0.33333333333333331</v>
      </c>
      <c r="C952" s="1" t="s">
        <v>41</v>
      </c>
      <c r="E952">
        <v>78</v>
      </c>
      <c r="J952">
        <v>3</v>
      </c>
      <c r="K952" s="1" t="s">
        <v>43</v>
      </c>
    </row>
    <row r="953" spans="1:11">
      <c r="A953" s="2">
        <v>43934</v>
      </c>
      <c r="B953" s="4">
        <v>0.33333333333333331</v>
      </c>
      <c r="C953" s="1" t="s">
        <v>44</v>
      </c>
      <c r="E953">
        <v>1456</v>
      </c>
      <c r="F953">
        <v>92</v>
      </c>
      <c r="G953">
        <v>32</v>
      </c>
      <c r="H953">
        <v>21</v>
      </c>
      <c r="J953">
        <v>49</v>
      </c>
      <c r="K953" s="1" t="s">
        <v>46</v>
      </c>
    </row>
    <row r="954" spans="1:11">
      <c r="A954" s="2">
        <v>43934</v>
      </c>
      <c r="B954" s="4">
        <v>0.33333333333333331</v>
      </c>
      <c r="C954" s="1" t="s">
        <v>91</v>
      </c>
      <c r="E954">
        <v>2900</v>
      </c>
      <c r="F954">
        <v>274</v>
      </c>
      <c r="G954">
        <v>63</v>
      </c>
      <c r="H954">
        <v>55</v>
      </c>
      <c r="I954">
        <v>517</v>
      </c>
      <c r="J954">
        <v>251</v>
      </c>
      <c r="K954" s="1" t="s">
        <v>380</v>
      </c>
    </row>
    <row r="955" spans="1:11">
      <c r="A955" s="2">
        <v>43934</v>
      </c>
      <c r="B955" s="4">
        <v>0.33333333333333331</v>
      </c>
      <c r="C955" s="1" t="s">
        <v>102</v>
      </c>
      <c r="E955">
        <v>170</v>
      </c>
      <c r="F955">
        <v>13</v>
      </c>
      <c r="G955">
        <v>9</v>
      </c>
      <c r="I955">
        <v>84</v>
      </c>
      <c r="J955">
        <v>5</v>
      </c>
      <c r="K955" s="1" t="s">
        <v>440</v>
      </c>
    </row>
    <row r="956" spans="1:11">
      <c r="A956" s="2">
        <v>43934</v>
      </c>
      <c r="B956" s="4">
        <v>0.39583333333333331</v>
      </c>
      <c r="C956" s="1" t="s">
        <v>81</v>
      </c>
      <c r="E956">
        <v>57</v>
      </c>
      <c r="F956">
        <v>16</v>
      </c>
      <c r="G956">
        <v>2</v>
      </c>
      <c r="J956">
        <v>1</v>
      </c>
      <c r="K956" s="1" t="s">
        <v>460</v>
      </c>
    </row>
    <row r="957" spans="1:11">
      <c r="A957" s="2">
        <v>43934</v>
      </c>
      <c r="B957" s="4">
        <v>0.41666666666666669</v>
      </c>
      <c r="C957" s="1" t="s">
        <v>50</v>
      </c>
      <c r="E957">
        <v>888</v>
      </c>
      <c r="I957">
        <v>653</v>
      </c>
      <c r="J957">
        <v>34</v>
      </c>
      <c r="K957" s="1" t="s">
        <v>372</v>
      </c>
    </row>
    <row r="958" spans="1:11">
      <c r="A958" s="2">
        <v>43934</v>
      </c>
      <c r="B958" s="4">
        <v>0.45833333333333331</v>
      </c>
      <c r="C958" s="1" t="s">
        <v>38</v>
      </c>
      <c r="E958">
        <v>24</v>
      </c>
      <c r="K958" s="1" t="s">
        <v>40</v>
      </c>
    </row>
    <row r="959" spans="1:11">
      <c r="A959" s="2">
        <v>43934</v>
      </c>
      <c r="B959" s="4">
        <v>0.45833333333333331</v>
      </c>
      <c r="C959" s="1" t="s">
        <v>68</v>
      </c>
      <c r="E959">
        <v>580</v>
      </c>
      <c r="F959">
        <v>40</v>
      </c>
      <c r="G959">
        <v>5</v>
      </c>
      <c r="J959">
        <v>10</v>
      </c>
      <c r="K959" s="1" t="s">
        <v>70</v>
      </c>
    </row>
    <row r="960" spans="1:11">
      <c r="A960" s="2">
        <v>43934</v>
      </c>
      <c r="B960" s="4">
        <v>0.58333333333333337</v>
      </c>
      <c r="C960" s="1" t="s">
        <v>94</v>
      </c>
      <c r="E960">
        <v>78</v>
      </c>
      <c r="F960">
        <v>4</v>
      </c>
      <c r="I960">
        <v>52</v>
      </c>
      <c r="J960">
        <v>4</v>
      </c>
      <c r="K960" s="1" t="s">
        <v>96</v>
      </c>
    </row>
    <row r="961" spans="1:11">
      <c r="A961" s="2">
        <v>43934</v>
      </c>
      <c r="B961" s="4">
        <v>0.60416666666666663</v>
      </c>
      <c r="C961" s="1" t="s">
        <v>104</v>
      </c>
      <c r="E961">
        <v>3019</v>
      </c>
      <c r="F961">
        <v>154</v>
      </c>
      <c r="H961">
        <v>50</v>
      </c>
      <c r="J961">
        <v>83</v>
      </c>
      <c r="K961" s="1" t="s">
        <v>106</v>
      </c>
    </row>
    <row r="962" spans="1:11">
      <c r="A962" s="2">
        <v>43934</v>
      </c>
      <c r="B962" s="4">
        <v>0.61458333333333337</v>
      </c>
      <c r="C962" s="1" t="s">
        <v>34</v>
      </c>
      <c r="E962">
        <v>906</v>
      </c>
      <c r="J962">
        <v>19</v>
      </c>
      <c r="K962" s="1" t="s">
        <v>390</v>
      </c>
    </row>
    <row r="963" spans="1:11">
      <c r="A963" s="2">
        <v>43935</v>
      </c>
      <c r="B963" s="4"/>
      <c r="C963" s="1" t="s">
        <v>47</v>
      </c>
      <c r="E963">
        <v>755</v>
      </c>
      <c r="F963">
        <v>48</v>
      </c>
      <c r="G963">
        <v>14</v>
      </c>
      <c r="H963">
        <v>8</v>
      </c>
      <c r="I963">
        <v>597</v>
      </c>
      <c r="J963">
        <v>25</v>
      </c>
      <c r="K963" s="1" t="s">
        <v>49</v>
      </c>
    </row>
    <row r="964" spans="1:11">
      <c r="A964" s="2">
        <v>43935</v>
      </c>
      <c r="B964" s="4"/>
      <c r="C964" s="1" t="s">
        <v>56</v>
      </c>
      <c r="E964">
        <v>879</v>
      </c>
      <c r="F964">
        <v>68</v>
      </c>
      <c r="G964">
        <v>14</v>
      </c>
      <c r="I964">
        <v>98</v>
      </c>
      <c r="J964">
        <v>57</v>
      </c>
      <c r="K964" s="1" t="s">
        <v>459</v>
      </c>
    </row>
    <row r="965" spans="1:11">
      <c r="A965" s="2">
        <v>43935</v>
      </c>
      <c r="B965" s="4"/>
      <c r="C965" s="1" t="s">
        <v>58</v>
      </c>
      <c r="D965">
        <v>19543</v>
      </c>
      <c r="E965">
        <v>4368</v>
      </c>
      <c r="F965">
        <v>365</v>
      </c>
      <c r="G965">
        <v>46</v>
      </c>
      <c r="H965">
        <v>41</v>
      </c>
      <c r="I965">
        <v>490</v>
      </c>
      <c r="J965">
        <v>191</v>
      </c>
      <c r="K965" s="1" t="s">
        <v>60</v>
      </c>
    </row>
    <row r="966" spans="1:11">
      <c r="A966" s="2">
        <v>43935</v>
      </c>
      <c r="B966" s="4"/>
      <c r="C966" s="1" t="s">
        <v>61</v>
      </c>
      <c r="E966">
        <v>105</v>
      </c>
      <c r="F966">
        <v>2</v>
      </c>
      <c r="J966">
        <v>2</v>
      </c>
      <c r="K966" s="1" t="s">
        <v>446</v>
      </c>
    </row>
    <row r="967" spans="1:11">
      <c r="A967" s="2">
        <v>43935</v>
      </c>
      <c r="B967" s="4"/>
      <c r="C967" s="1" t="s">
        <v>63</v>
      </c>
      <c r="E967">
        <v>753</v>
      </c>
      <c r="F967">
        <v>34</v>
      </c>
      <c r="J967">
        <v>37</v>
      </c>
      <c r="K967" s="1" t="s">
        <v>65</v>
      </c>
    </row>
    <row r="968" spans="1:11">
      <c r="A968" s="2">
        <v>43935</v>
      </c>
      <c r="B968" s="4"/>
      <c r="C968" s="1" t="s">
        <v>66</v>
      </c>
      <c r="E968">
        <v>185</v>
      </c>
      <c r="F968">
        <v>21</v>
      </c>
      <c r="G968">
        <v>5</v>
      </c>
      <c r="J968">
        <v>3</v>
      </c>
      <c r="K968" s="1" t="s">
        <v>483</v>
      </c>
    </row>
    <row r="969" spans="1:11">
      <c r="A969" s="2">
        <v>43935</v>
      </c>
      <c r="B969" s="4"/>
      <c r="C969" s="1" t="s">
        <v>71</v>
      </c>
      <c r="E969">
        <v>603</v>
      </c>
      <c r="F969">
        <v>60</v>
      </c>
      <c r="G969">
        <v>11</v>
      </c>
      <c r="H969">
        <v>10</v>
      </c>
      <c r="J969">
        <v>54</v>
      </c>
      <c r="K969" s="1" t="s">
        <v>434</v>
      </c>
    </row>
    <row r="970" spans="1:11">
      <c r="A970" s="2">
        <v>43935</v>
      </c>
      <c r="B970" s="4"/>
      <c r="C970" s="1" t="s">
        <v>73</v>
      </c>
      <c r="E970">
        <v>105</v>
      </c>
      <c r="F970">
        <v>7</v>
      </c>
      <c r="G970">
        <v>2</v>
      </c>
      <c r="J970">
        <v>1</v>
      </c>
      <c r="K970" s="1" t="s">
        <v>409</v>
      </c>
    </row>
    <row r="971" spans="1:11">
      <c r="A971" s="2">
        <v>43935</v>
      </c>
      <c r="B971" s="4"/>
      <c r="C971" s="1" t="s">
        <v>78</v>
      </c>
      <c r="E971">
        <v>664</v>
      </c>
      <c r="F971">
        <v>59</v>
      </c>
      <c r="G971">
        <v>9</v>
      </c>
      <c r="I971">
        <v>120</v>
      </c>
      <c r="J971">
        <v>21</v>
      </c>
      <c r="K971" s="1" t="s">
        <v>80</v>
      </c>
    </row>
    <row r="972" spans="1:11">
      <c r="A972" s="2">
        <v>43935</v>
      </c>
      <c r="B972" s="4"/>
      <c r="C972" s="1" t="s">
        <v>86</v>
      </c>
      <c r="E972">
        <v>258</v>
      </c>
      <c r="I972">
        <v>128</v>
      </c>
      <c r="J972">
        <v>13</v>
      </c>
      <c r="K972" s="1" t="s">
        <v>461</v>
      </c>
    </row>
    <row r="973" spans="1:11">
      <c r="A973" s="2">
        <v>43935</v>
      </c>
      <c r="B973" s="4"/>
      <c r="C973" s="1" t="s">
        <v>88</v>
      </c>
      <c r="E973">
        <v>296</v>
      </c>
      <c r="F973">
        <v>35</v>
      </c>
      <c r="G973">
        <v>16</v>
      </c>
      <c r="J973">
        <v>10</v>
      </c>
      <c r="K973" s="1" t="s">
        <v>90</v>
      </c>
    </row>
    <row r="974" spans="1:11">
      <c r="A974" s="2">
        <v>43935</v>
      </c>
      <c r="B974" s="4"/>
      <c r="C974" s="1" t="s">
        <v>97</v>
      </c>
      <c r="E974">
        <v>4918</v>
      </c>
      <c r="F974">
        <v>285</v>
      </c>
      <c r="G974">
        <v>61</v>
      </c>
      <c r="J974">
        <v>267</v>
      </c>
      <c r="K974" s="1" t="s">
        <v>99</v>
      </c>
    </row>
    <row r="975" spans="1:11">
      <c r="A975" s="2">
        <v>43935</v>
      </c>
      <c r="B975" s="4"/>
      <c r="C975" s="1" t="s">
        <v>100</v>
      </c>
      <c r="E975">
        <v>1706</v>
      </c>
      <c r="F975">
        <v>100</v>
      </c>
      <c r="G975">
        <v>20</v>
      </c>
      <c r="H975">
        <v>11</v>
      </c>
      <c r="I975">
        <v>165</v>
      </c>
      <c r="J975">
        <v>94</v>
      </c>
      <c r="K975" s="1" t="s">
        <v>484</v>
      </c>
    </row>
    <row r="976" spans="1:11">
      <c r="A976" s="2">
        <v>43935</v>
      </c>
      <c r="B976" s="4">
        <v>0</v>
      </c>
      <c r="C976" s="1" t="s">
        <v>83</v>
      </c>
      <c r="E976">
        <v>325</v>
      </c>
      <c r="F976">
        <v>22</v>
      </c>
      <c r="J976">
        <v>8</v>
      </c>
      <c r="K976" s="1" t="s">
        <v>448</v>
      </c>
    </row>
    <row r="977" spans="1:11">
      <c r="A977" s="2">
        <v>43935</v>
      </c>
      <c r="B977" s="4">
        <v>0.33333333333333331</v>
      </c>
      <c r="C977" s="1" t="s">
        <v>41</v>
      </c>
      <c r="E977">
        <v>79</v>
      </c>
      <c r="J977">
        <v>3</v>
      </c>
      <c r="K977" s="1" t="s">
        <v>43</v>
      </c>
    </row>
    <row r="978" spans="1:11">
      <c r="A978" s="2">
        <v>43935</v>
      </c>
      <c r="B978" s="4">
        <v>0.33333333333333331</v>
      </c>
      <c r="C978" s="1" t="s">
        <v>44</v>
      </c>
      <c r="E978">
        <v>1470</v>
      </c>
      <c r="F978">
        <v>85</v>
      </c>
      <c r="G978">
        <v>31</v>
      </c>
      <c r="H978">
        <v>21</v>
      </c>
      <c r="J978">
        <v>49</v>
      </c>
      <c r="K978" s="1" t="s">
        <v>46</v>
      </c>
    </row>
    <row r="979" spans="1:11">
      <c r="A979" s="2">
        <v>43935</v>
      </c>
      <c r="B979" s="4">
        <v>0.33333333333333331</v>
      </c>
      <c r="C979" s="1" t="s">
        <v>91</v>
      </c>
      <c r="E979">
        <v>2912</v>
      </c>
      <c r="F979">
        <v>274</v>
      </c>
      <c r="G979">
        <v>63</v>
      </c>
      <c r="H979">
        <v>54</v>
      </c>
      <c r="I979">
        <v>524</v>
      </c>
      <c r="J979">
        <v>258</v>
      </c>
      <c r="K979" s="1" t="s">
        <v>391</v>
      </c>
    </row>
    <row r="980" spans="1:11">
      <c r="A980" s="2">
        <v>43935</v>
      </c>
      <c r="B980" s="4">
        <v>0.33333333333333331</v>
      </c>
      <c r="C980" s="1" t="s">
        <v>102</v>
      </c>
      <c r="E980">
        <v>171</v>
      </c>
      <c r="F980">
        <v>13</v>
      </c>
      <c r="G980">
        <v>9</v>
      </c>
      <c r="I980">
        <v>88</v>
      </c>
      <c r="J980">
        <v>5</v>
      </c>
      <c r="K980" s="1" t="s">
        <v>440</v>
      </c>
    </row>
    <row r="981" spans="1:11">
      <c r="A981" s="2">
        <v>43935</v>
      </c>
      <c r="B981" s="4">
        <v>0.39583333333333331</v>
      </c>
      <c r="C981" s="1" t="s">
        <v>81</v>
      </c>
      <c r="E981">
        <v>57</v>
      </c>
      <c r="F981">
        <v>10</v>
      </c>
      <c r="G981">
        <v>2</v>
      </c>
      <c r="J981">
        <v>1</v>
      </c>
      <c r="K981" s="1" t="s">
        <v>460</v>
      </c>
    </row>
    <row r="982" spans="1:11">
      <c r="A982" s="2">
        <v>43935</v>
      </c>
      <c r="B982" s="4">
        <v>0.41666666666666669</v>
      </c>
      <c r="C982" s="1" t="s">
        <v>50</v>
      </c>
      <c r="E982">
        <v>894</v>
      </c>
      <c r="F982">
        <v>86</v>
      </c>
      <c r="G982">
        <v>9</v>
      </c>
      <c r="I982">
        <v>663</v>
      </c>
      <c r="J982">
        <v>34</v>
      </c>
      <c r="K982" s="1" t="s">
        <v>388</v>
      </c>
    </row>
    <row r="983" spans="1:11">
      <c r="A983" s="2">
        <v>43935</v>
      </c>
      <c r="B983" s="4">
        <v>0.45833333333333331</v>
      </c>
      <c r="C983" s="1" t="s">
        <v>38</v>
      </c>
      <c r="E983">
        <v>24</v>
      </c>
      <c r="K983" s="1" t="s">
        <v>40</v>
      </c>
    </row>
    <row r="984" spans="1:11">
      <c r="A984" s="2">
        <v>43935</v>
      </c>
      <c r="B984" s="4">
        <v>0.45833333333333331</v>
      </c>
      <c r="C984" s="1" t="s">
        <v>68</v>
      </c>
      <c r="E984">
        <v>589</v>
      </c>
      <c r="F984">
        <v>47</v>
      </c>
      <c r="G984">
        <v>4</v>
      </c>
      <c r="J984">
        <v>11</v>
      </c>
      <c r="K984" s="1" t="s">
        <v>70</v>
      </c>
    </row>
    <row r="985" spans="1:11">
      <c r="A985" s="2">
        <v>43935</v>
      </c>
      <c r="B985" s="4">
        <v>0.58333333333333337</v>
      </c>
      <c r="C985" s="1" t="s">
        <v>94</v>
      </c>
      <c r="E985">
        <v>78</v>
      </c>
      <c r="F985">
        <v>3</v>
      </c>
      <c r="I985">
        <v>56</v>
      </c>
      <c r="J985">
        <v>4</v>
      </c>
      <c r="K985" s="1" t="s">
        <v>96</v>
      </c>
    </row>
    <row r="986" spans="1:11">
      <c r="A986" s="2">
        <v>43935</v>
      </c>
      <c r="B986" s="4">
        <v>0.60416666666666663</v>
      </c>
      <c r="C986" s="1" t="s">
        <v>104</v>
      </c>
      <c r="E986">
        <v>3066</v>
      </c>
      <c r="F986">
        <v>149</v>
      </c>
      <c r="H986">
        <v>52</v>
      </c>
      <c r="J986">
        <v>87</v>
      </c>
      <c r="K986" s="1" t="s">
        <v>106</v>
      </c>
    </row>
    <row r="987" spans="1:11">
      <c r="A987" s="2">
        <v>43935</v>
      </c>
      <c r="B987" s="4">
        <v>0.61458333333333337</v>
      </c>
      <c r="C987" s="1" t="s">
        <v>34</v>
      </c>
      <c r="E987">
        <v>912</v>
      </c>
      <c r="F987">
        <v>78</v>
      </c>
      <c r="G987">
        <v>22</v>
      </c>
      <c r="H987">
        <v>22</v>
      </c>
      <c r="I987">
        <v>400</v>
      </c>
      <c r="J987">
        <v>19</v>
      </c>
      <c r="K987" s="1" t="s">
        <v>390</v>
      </c>
    </row>
    <row r="988" spans="1:11">
      <c r="A988" s="2">
        <v>43935</v>
      </c>
      <c r="B988" s="4">
        <v>0.65625</v>
      </c>
      <c r="C988" s="1" t="s">
        <v>75</v>
      </c>
      <c r="E988">
        <v>64</v>
      </c>
      <c r="F988">
        <v>0</v>
      </c>
      <c r="J988">
        <v>0</v>
      </c>
      <c r="K988" s="1" t="s">
        <v>77</v>
      </c>
    </row>
    <row r="989" spans="1:11">
      <c r="A989" s="2">
        <v>43936</v>
      </c>
      <c r="B989" s="4"/>
      <c r="C989" s="1" t="s">
        <v>47</v>
      </c>
      <c r="E989">
        <v>768</v>
      </c>
      <c r="F989">
        <v>45</v>
      </c>
      <c r="G989">
        <v>9</v>
      </c>
      <c r="H989">
        <v>7</v>
      </c>
      <c r="I989">
        <v>610</v>
      </c>
      <c r="J989">
        <v>25</v>
      </c>
      <c r="K989" s="1" t="s">
        <v>49</v>
      </c>
    </row>
    <row r="990" spans="1:11">
      <c r="A990" s="2">
        <v>43936</v>
      </c>
      <c r="B990" s="4"/>
      <c r="C990" s="1" t="s">
        <v>53</v>
      </c>
      <c r="E990">
        <v>80</v>
      </c>
      <c r="J990">
        <v>1</v>
      </c>
      <c r="K990" s="1" t="s">
        <v>395</v>
      </c>
    </row>
    <row r="991" spans="1:11">
      <c r="A991" s="2">
        <v>43936</v>
      </c>
      <c r="B991" s="4"/>
      <c r="C991" s="1" t="s">
        <v>56</v>
      </c>
      <c r="E991">
        <v>890</v>
      </c>
      <c r="F991">
        <v>61</v>
      </c>
      <c r="G991">
        <v>16</v>
      </c>
      <c r="I991">
        <v>105</v>
      </c>
      <c r="J991">
        <v>63</v>
      </c>
      <c r="K991" s="1" t="s">
        <v>459</v>
      </c>
    </row>
    <row r="992" spans="1:11">
      <c r="A992" s="2">
        <v>43936</v>
      </c>
      <c r="B992" s="4"/>
      <c r="C992" s="1" t="s">
        <v>58</v>
      </c>
      <c r="D992">
        <v>20004</v>
      </c>
      <c r="E992">
        <v>4432</v>
      </c>
      <c r="F992">
        <v>352</v>
      </c>
      <c r="G992">
        <v>41</v>
      </c>
      <c r="H992">
        <v>37</v>
      </c>
      <c r="I992">
        <v>502</v>
      </c>
      <c r="J992">
        <v>196</v>
      </c>
      <c r="K992" s="1" t="s">
        <v>60</v>
      </c>
    </row>
    <row r="993" spans="1:11">
      <c r="A993" s="2">
        <v>43936</v>
      </c>
      <c r="B993" s="4"/>
      <c r="C993" s="1" t="s">
        <v>61</v>
      </c>
      <c r="E993">
        <v>105</v>
      </c>
      <c r="F993">
        <v>2</v>
      </c>
      <c r="J993">
        <v>2</v>
      </c>
      <c r="K993" s="1" t="s">
        <v>446</v>
      </c>
    </row>
    <row r="994" spans="1:11">
      <c r="A994" s="2">
        <v>43936</v>
      </c>
      <c r="B994" s="4"/>
      <c r="C994" s="1" t="s">
        <v>63</v>
      </c>
      <c r="E994">
        <v>759</v>
      </c>
      <c r="F994">
        <v>36</v>
      </c>
      <c r="J994">
        <v>38</v>
      </c>
      <c r="K994" s="1" t="s">
        <v>65</v>
      </c>
    </row>
    <row r="995" spans="1:11">
      <c r="A995" s="2">
        <v>43936</v>
      </c>
      <c r="B995" s="4"/>
      <c r="C995" s="1" t="s">
        <v>66</v>
      </c>
      <c r="E995">
        <v>188</v>
      </c>
      <c r="F995">
        <v>17</v>
      </c>
      <c r="G995">
        <v>5</v>
      </c>
      <c r="J995">
        <v>3</v>
      </c>
      <c r="K995" s="1" t="s">
        <v>483</v>
      </c>
    </row>
    <row r="996" spans="1:11">
      <c r="A996" s="2">
        <v>43936</v>
      </c>
      <c r="B996" s="4"/>
      <c r="C996" s="1" t="s">
        <v>71</v>
      </c>
      <c r="E996">
        <v>616</v>
      </c>
      <c r="F996">
        <v>54</v>
      </c>
      <c r="G996">
        <v>12</v>
      </c>
      <c r="H996">
        <v>10</v>
      </c>
      <c r="J996">
        <v>55</v>
      </c>
      <c r="K996" s="1" t="s">
        <v>434</v>
      </c>
    </row>
    <row r="997" spans="1:11">
      <c r="A997" s="2">
        <v>43936</v>
      </c>
      <c r="B997" s="4"/>
      <c r="C997" s="1" t="s">
        <v>73</v>
      </c>
      <c r="E997">
        <v>106</v>
      </c>
      <c r="F997">
        <v>7</v>
      </c>
      <c r="G997">
        <v>2</v>
      </c>
      <c r="J997">
        <v>2</v>
      </c>
      <c r="K997" s="1" t="s">
        <v>409</v>
      </c>
    </row>
    <row r="998" spans="1:11">
      <c r="A998" s="2">
        <v>43936</v>
      </c>
      <c r="B998" s="4"/>
      <c r="C998" s="1" t="s">
        <v>78</v>
      </c>
      <c r="E998">
        <v>676</v>
      </c>
      <c r="F998">
        <v>47</v>
      </c>
      <c r="G998">
        <v>9</v>
      </c>
      <c r="I998">
        <v>123</v>
      </c>
      <c r="J998">
        <v>23</v>
      </c>
      <c r="K998" s="1" t="s">
        <v>80</v>
      </c>
    </row>
    <row r="999" spans="1:11">
      <c r="A999" s="2">
        <v>43936</v>
      </c>
      <c r="B999" s="4"/>
      <c r="C999" s="1" t="s">
        <v>86</v>
      </c>
      <c r="E999">
        <v>261</v>
      </c>
      <c r="I999">
        <v>144</v>
      </c>
      <c r="J999">
        <v>13</v>
      </c>
      <c r="K999" s="1" t="s">
        <v>461</v>
      </c>
    </row>
    <row r="1000" spans="1:11">
      <c r="A1000" s="2">
        <v>43936</v>
      </c>
      <c r="B1000" s="4"/>
      <c r="C1000" s="1" t="s">
        <v>88</v>
      </c>
      <c r="E1000">
        <v>302</v>
      </c>
      <c r="F1000">
        <v>28</v>
      </c>
      <c r="G1000">
        <v>14</v>
      </c>
      <c r="J1000">
        <v>11</v>
      </c>
      <c r="K1000" s="1" t="s">
        <v>90</v>
      </c>
    </row>
    <row r="1001" spans="1:11">
      <c r="A1001" s="2">
        <v>43936</v>
      </c>
      <c r="B1001" s="4"/>
      <c r="C1001" s="1" t="s">
        <v>97</v>
      </c>
      <c r="E1001">
        <v>4967</v>
      </c>
      <c r="F1001">
        <v>258</v>
      </c>
      <c r="G1001">
        <v>58</v>
      </c>
      <c r="J1001">
        <v>284</v>
      </c>
      <c r="K1001" s="1" t="s">
        <v>99</v>
      </c>
    </row>
    <row r="1002" spans="1:11">
      <c r="A1002" s="2">
        <v>43936</v>
      </c>
      <c r="B1002" s="4"/>
      <c r="C1002" s="1" t="s">
        <v>100</v>
      </c>
      <c r="E1002">
        <v>1722</v>
      </c>
      <c r="F1002">
        <v>93</v>
      </c>
      <c r="G1002">
        <v>20</v>
      </c>
      <c r="H1002">
        <v>12</v>
      </c>
      <c r="I1002">
        <v>175</v>
      </c>
      <c r="J1002">
        <v>94</v>
      </c>
      <c r="K1002" s="1" t="s">
        <v>484</v>
      </c>
    </row>
    <row r="1003" spans="1:11">
      <c r="A1003" s="2">
        <v>43936</v>
      </c>
      <c r="B1003" s="4">
        <v>0</v>
      </c>
      <c r="C1003" s="1" t="s">
        <v>83</v>
      </c>
      <c r="E1003">
        <v>329</v>
      </c>
      <c r="F1003">
        <v>22</v>
      </c>
      <c r="J1003">
        <v>8</v>
      </c>
      <c r="K1003" s="1" t="s">
        <v>448</v>
      </c>
    </row>
    <row r="1004" spans="1:11">
      <c r="A1004" s="2">
        <v>43936</v>
      </c>
      <c r="B1004" s="4">
        <v>0.33333333333333331</v>
      </c>
      <c r="C1004" s="1" t="s">
        <v>41</v>
      </c>
      <c r="E1004">
        <v>79</v>
      </c>
      <c r="J1004">
        <v>3</v>
      </c>
      <c r="K1004" s="1" t="s">
        <v>43</v>
      </c>
    </row>
    <row r="1005" spans="1:11">
      <c r="A1005" s="2">
        <v>43936</v>
      </c>
      <c r="B1005" s="4">
        <v>0.33333333333333331</v>
      </c>
      <c r="C1005" s="1" t="s">
        <v>44</v>
      </c>
      <c r="E1005">
        <v>1489</v>
      </c>
      <c r="F1005">
        <v>82</v>
      </c>
      <c r="G1005">
        <v>30</v>
      </c>
      <c r="H1005">
        <v>18</v>
      </c>
      <c r="J1005">
        <v>53</v>
      </c>
      <c r="K1005" s="1" t="s">
        <v>46</v>
      </c>
    </row>
    <row r="1006" spans="1:11">
      <c r="A1006" s="2">
        <v>43936</v>
      </c>
      <c r="B1006" s="4">
        <v>0.33333333333333331</v>
      </c>
      <c r="C1006" s="1" t="s">
        <v>91</v>
      </c>
      <c r="E1006">
        <v>2927</v>
      </c>
      <c r="F1006">
        <v>265</v>
      </c>
      <c r="G1006">
        <v>60</v>
      </c>
      <c r="H1006">
        <v>50</v>
      </c>
      <c r="I1006">
        <v>548</v>
      </c>
      <c r="J1006">
        <v>263</v>
      </c>
      <c r="K1006" s="1" t="s">
        <v>396</v>
      </c>
    </row>
    <row r="1007" spans="1:11">
      <c r="A1007" s="2">
        <v>43936</v>
      </c>
      <c r="B1007" s="4">
        <v>0.33333333333333331</v>
      </c>
      <c r="C1007" s="1" t="s">
        <v>102</v>
      </c>
      <c r="E1007">
        <v>171</v>
      </c>
      <c r="F1007">
        <v>13</v>
      </c>
      <c r="G1007">
        <v>9</v>
      </c>
      <c r="I1007">
        <v>92</v>
      </c>
      <c r="J1007">
        <v>5</v>
      </c>
      <c r="K1007" s="1" t="s">
        <v>440</v>
      </c>
    </row>
    <row r="1008" spans="1:11">
      <c r="A1008" s="2">
        <v>43936</v>
      </c>
      <c r="B1008" s="4">
        <v>0.39583333333333331</v>
      </c>
      <c r="C1008" s="1" t="s">
        <v>81</v>
      </c>
      <c r="E1008">
        <v>59</v>
      </c>
      <c r="F1008">
        <v>11</v>
      </c>
      <c r="G1008">
        <v>2</v>
      </c>
      <c r="J1008">
        <v>1</v>
      </c>
      <c r="K1008" s="1" t="s">
        <v>460</v>
      </c>
    </row>
    <row r="1009" spans="1:11">
      <c r="A1009" s="2">
        <v>43936</v>
      </c>
      <c r="B1009" s="4">
        <v>0.41666666666666669</v>
      </c>
      <c r="C1009" s="1" t="s">
        <v>50</v>
      </c>
      <c r="E1009">
        <v>904</v>
      </c>
      <c r="F1009">
        <v>80</v>
      </c>
      <c r="G1009">
        <v>7</v>
      </c>
      <c r="I1009">
        <v>682</v>
      </c>
      <c r="J1009">
        <v>36</v>
      </c>
      <c r="K1009" s="1" t="s">
        <v>392</v>
      </c>
    </row>
    <row r="1010" spans="1:11">
      <c r="A1010" s="2">
        <v>43936</v>
      </c>
      <c r="B1010" s="4">
        <v>0.45833333333333331</v>
      </c>
      <c r="C1010" s="1" t="s">
        <v>38</v>
      </c>
      <c r="E1010">
        <v>24</v>
      </c>
      <c r="K1010" s="1" t="s">
        <v>40</v>
      </c>
    </row>
    <row r="1011" spans="1:11">
      <c r="A1011" s="2">
        <v>43936</v>
      </c>
      <c r="B1011" s="4">
        <v>0.45833333333333331</v>
      </c>
      <c r="C1011" s="1" t="s">
        <v>68</v>
      </c>
      <c r="E1011">
        <v>596</v>
      </c>
      <c r="F1011">
        <v>46</v>
      </c>
      <c r="G1011">
        <v>4</v>
      </c>
      <c r="J1011">
        <v>12</v>
      </c>
      <c r="K1011" s="1" t="s">
        <v>70</v>
      </c>
    </row>
    <row r="1012" spans="1:11">
      <c r="A1012" s="2">
        <v>43936</v>
      </c>
      <c r="B1012" s="4">
        <v>0.60416666666666663</v>
      </c>
      <c r="C1012" s="1" t="s">
        <v>104</v>
      </c>
      <c r="E1012">
        <v>3113</v>
      </c>
      <c r="F1012">
        <v>136</v>
      </c>
      <c r="H1012">
        <v>50</v>
      </c>
      <c r="J1012">
        <v>91</v>
      </c>
      <c r="K1012" s="1" t="s">
        <v>106</v>
      </c>
    </row>
    <row r="1013" spans="1:11">
      <c r="A1013" s="2">
        <v>43936</v>
      </c>
      <c r="B1013" s="4">
        <v>0.61458333333333337</v>
      </c>
      <c r="C1013" s="1" t="s">
        <v>34</v>
      </c>
      <c r="E1013">
        <v>929</v>
      </c>
      <c r="F1013">
        <v>69</v>
      </c>
      <c r="G1013">
        <v>20</v>
      </c>
      <c r="H1013">
        <v>20</v>
      </c>
      <c r="I1013">
        <v>450</v>
      </c>
      <c r="J1013">
        <v>22</v>
      </c>
      <c r="K1013" s="1" t="s">
        <v>397</v>
      </c>
    </row>
    <row r="1014" spans="1:11">
      <c r="A1014" s="2">
        <v>43936</v>
      </c>
      <c r="B1014" s="4">
        <v>0.64236111111111116</v>
      </c>
      <c r="C1014" s="1" t="s">
        <v>75</v>
      </c>
      <c r="E1014">
        <v>64</v>
      </c>
      <c r="F1014">
        <v>0</v>
      </c>
      <c r="J1014">
        <v>0</v>
      </c>
      <c r="K1014" s="1" t="s">
        <v>77</v>
      </c>
    </row>
    <row r="1015" spans="1:11">
      <c r="A1015" s="2">
        <v>43936</v>
      </c>
      <c r="B1015" s="4">
        <v>0.66666666666666663</v>
      </c>
      <c r="C1015" s="1" t="s">
        <v>94</v>
      </c>
      <c r="E1015">
        <v>78</v>
      </c>
      <c r="F1015">
        <v>3</v>
      </c>
      <c r="I1015">
        <v>62</v>
      </c>
      <c r="J1015">
        <v>4</v>
      </c>
      <c r="K1015" s="1" t="s">
        <v>96</v>
      </c>
    </row>
    <row r="1016" spans="1:11">
      <c r="A1016" s="2">
        <v>43937</v>
      </c>
      <c r="B1016" s="4"/>
      <c r="C1016" s="1" t="s">
        <v>47</v>
      </c>
      <c r="E1016">
        <v>781</v>
      </c>
      <c r="F1016">
        <v>46</v>
      </c>
      <c r="G1016">
        <v>8</v>
      </c>
      <c r="H1016">
        <v>6</v>
      </c>
      <c r="I1016">
        <v>623</v>
      </c>
      <c r="J1016">
        <v>25</v>
      </c>
      <c r="K1016" s="1" t="s">
        <v>49</v>
      </c>
    </row>
    <row r="1017" spans="1:11">
      <c r="A1017" s="2">
        <v>43937</v>
      </c>
      <c r="B1017" s="4"/>
      <c r="C1017" s="1" t="s">
        <v>53</v>
      </c>
      <c r="E1017">
        <v>80</v>
      </c>
      <c r="J1017">
        <v>1</v>
      </c>
      <c r="K1017" s="1" t="s">
        <v>411</v>
      </c>
    </row>
    <row r="1018" spans="1:11">
      <c r="A1018" s="2">
        <v>43937</v>
      </c>
      <c r="B1018" s="4"/>
      <c r="C1018" s="1" t="s">
        <v>56</v>
      </c>
      <c r="E1018">
        <v>907</v>
      </c>
      <c r="F1018">
        <v>60</v>
      </c>
      <c r="G1018">
        <v>15</v>
      </c>
      <c r="I1018">
        <v>105</v>
      </c>
      <c r="J1018">
        <v>65</v>
      </c>
      <c r="K1018" s="1" t="s">
        <v>459</v>
      </c>
    </row>
    <row r="1019" spans="1:11">
      <c r="A1019" s="2">
        <v>43937</v>
      </c>
      <c r="B1019" s="4"/>
      <c r="C1019" s="1" t="s">
        <v>58</v>
      </c>
      <c r="D1019">
        <v>20687</v>
      </c>
      <c r="E1019">
        <v>4497</v>
      </c>
      <c r="F1019">
        <v>350</v>
      </c>
      <c r="G1019">
        <v>38</v>
      </c>
      <c r="H1019">
        <v>33</v>
      </c>
      <c r="I1019">
        <v>520</v>
      </c>
      <c r="J1019">
        <v>202</v>
      </c>
      <c r="K1019" s="1" t="s">
        <v>60</v>
      </c>
    </row>
    <row r="1020" spans="1:11">
      <c r="A1020" s="2">
        <v>43937</v>
      </c>
      <c r="B1020" s="4"/>
      <c r="C1020" s="1" t="s">
        <v>61</v>
      </c>
      <c r="E1020">
        <v>106</v>
      </c>
      <c r="F1020">
        <v>4</v>
      </c>
      <c r="J1020">
        <v>3</v>
      </c>
      <c r="K1020" s="1" t="s">
        <v>446</v>
      </c>
    </row>
    <row r="1021" spans="1:11">
      <c r="A1021" s="2">
        <v>43937</v>
      </c>
      <c r="B1021" s="4"/>
      <c r="C1021" s="1" t="s">
        <v>63</v>
      </c>
      <c r="E1021">
        <v>764</v>
      </c>
      <c r="F1021">
        <v>37</v>
      </c>
      <c r="J1021">
        <v>39</v>
      </c>
      <c r="K1021" s="1" t="s">
        <v>65</v>
      </c>
    </row>
    <row r="1022" spans="1:11">
      <c r="A1022" s="2">
        <v>43937</v>
      </c>
      <c r="B1022" s="4"/>
      <c r="C1022" s="1" t="s">
        <v>66</v>
      </c>
      <c r="E1022">
        <v>189</v>
      </c>
      <c r="F1022">
        <v>18</v>
      </c>
      <c r="G1022">
        <v>5</v>
      </c>
      <c r="J1022">
        <v>3</v>
      </c>
      <c r="K1022" s="1" t="s">
        <v>483</v>
      </c>
    </row>
    <row r="1023" spans="1:11">
      <c r="A1023" s="2">
        <v>43937</v>
      </c>
      <c r="B1023" s="4"/>
      <c r="C1023" s="1" t="s">
        <v>71</v>
      </c>
      <c r="E1023">
        <v>625</v>
      </c>
      <c r="F1023">
        <v>52</v>
      </c>
      <c r="G1023">
        <v>11</v>
      </c>
      <c r="H1023">
        <v>9</v>
      </c>
      <c r="J1023">
        <v>56</v>
      </c>
      <c r="K1023" s="1" t="s">
        <v>434</v>
      </c>
    </row>
    <row r="1024" spans="1:11">
      <c r="A1024" s="2">
        <v>43937</v>
      </c>
      <c r="B1024" s="4"/>
      <c r="C1024" s="1" t="s">
        <v>73</v>
      </c>
      <c r="E1024">
        <v>106</v>
      </c>
      <c r="F1024">
        <v>5</v>
      </c>
      <c r="G1024">
        <v>2</v>
      </c>
      <c r="J1024">
        <v>2</v>
      </c>
      <c r="K1024" s="1" t="s">
        <v>409</v>
      </c>
    </row>
    <row r="1025" spans="1:11">
      <c r="A1025" s="2">
        <v>43937</v>
      </c>
      <c r="B1025" s="4"/>
      <c r="C1025" s="1" t="s">
        <v>78</v>
      </c>
      <c r="E1025">
        <v>680</v>
      </c>
      <c r="F1025">
        <v>56</v>
      </c>
      <c r="G1025">
        <v>7</v>
      </c>
      <c r="I1025">
        <v>138</v>
      </c>
      <c r="J1025">
        <v>25</v>
      </c>
      <c r="K1025" s="1" t="s">
        <v>80</v>
      </c>
    </row>
    <row r="1026" spans="1:11">
      <c r="A1026" s="2">
        <v>43937</v>
      </c>
      <c r="B1026" s="4"/>
      <c r="C1026" s="1" t="s">
        <v>86</v>
      </c>
      <c r="E1026">
        <v>265</v>
      </c>
      <c r="I1026">
        <v>154</v>
      </c>
      <c r="J1026">
        <v>14</v>
      </c>
      <c r="K1026" s="1" t="s">
        <v>461</v>
      </c>
    </row>
    <row r="1027" spans="1:11">
      <c r="A1027" s="2">
        <v>43937</v>
      </c>
      <c r="B1027" s="4"/>
      <c r="C1027" s="1" t="s">
        <v>88</v>
      </c>
      <c r="E1027">
        <v>308</v>
      </c>
      <c r="F1027">
        <v>28</v>
      </c>
      <c r="G1027">
        <v>14</v>
      </c>
      <c r="J1027">
        <v>11</v>
      </c>
      <c r="K1027" s="1" t="s">
        <v>90</v>
      </c>
    </row>
    <row r="1028" spans="1:11">
      <c r="A1028" s="2">
        <v>43937</v>
      </c>
      <c r="B1028" s="4"/>
      <c r="C1028" s="1" t="s">
        <v>97</v>
      </c>
      <c r="E1028">
        <v>4996</v>
      </c>
      <c r="F1028">
        <v>252</v>
      </c>
      <c r="G1028">
        <v>57</v>
      </c>
      <c r="J1028">
        <v>297</v>
      </c>
      <c r="K1028" s="1" t="s">
        <v>99</v>
      </c>
    </row>
    <row r="1029" spans="1:11">
      <c r="A1029" s="2">
        <v>43937</v>
      </c>
      <c r="B1029" s="4"/>
      <c r="C1029" s="1" t="s">
        <v>100</v>
      </c>
      <c r="E1029">
        <v>1739</v>
      </c>
      <c r="F1029">
        <v>89</v>
      </c>
      <c r="G1029">
        <v>17</v>
      </c>
      <c r="H1029">
        <v>12</v>
      </c>
      <c r="I1029">
        <v>178</v>
      </c>
      <c r="J1029">
        <v>95</v>
      </c>
      <c r="K1029" s="1" t="s">
        <v>484</v>
      </c>
    </row>
    <row r="1030" spans="1:11">
      <c r="A1030" s="2">
        <v>43937</v>
      </c>
      <c r="B1030" s="4">
        <v>0</v>
      </c>
      <c r="C1030" s="1" t="s">
        <v>83</v>
      </c>
      <c r="E1030">
        <v>343</v>
      </c>
      <c r="F1030">
        <v>22</v>
      </c>
      <c r="J1030">
        <v>8</v>
      </c>
      <c r="K1030" s="1" t="s">
        <v>448</v>
      </c>
    </row>
    <row r="1031" spans="1:11">
      <c r="A1031" s="2">
        <v>43937</v>
      </c>
      <c r="B1031" s="4">
        <v>0.33333333333333331</v>
      </c>
      <c r="C1031" s="1" t="s">
        <v>41</v>
      </c>
      <c r="E1031">
        <v>79</v>
      </c>
      <c r="J1031">
        <v>3</v>
      </c>
      <c r="K1031" s="1" t="s">
        <v>43</v>
      </c>
    </row>
    <row r="1032" spans="1:11">
      <c r="A1032" s="2">
        <v>43937</v>
      </c>
      <c r="B1032" s="4">
        <v>0.33333333333333331</v>
      </c>
      <c r="C1032" s="1" t="s">
        <v>44</v>
      </c>
      <c r="E1032">
        <v>1515</v>
      </c>
      <c r="F1032">
        <v>70</v>
      </c>
      <c r="G1032">
        <v>26</v>
      </c>
      <c r="H1032">
        <v>12</v>
      </c>
      <c r="J1032">
        <v>55</v>
      </c>
      <c r="K1032" s="1" t="s">
        <v>46</v>
      </c>
    </row>
    <row r="1033" spans="1:11">
      <c r="A1033" s="2">
        <v>43937</v>
      </c>
      <c r="B1033" s="4">
        <v>0.33333333333333331</v>
      </c>
      <c r="C1033" s="1" t="s">
        <v>91</v>
      </c>
      <c r="E1033">
        <v>2953</v>
      </c>
      <c r="F1033">
        <v>249</v>
      </c>
      <c r="G1033">
        <v>59</v>
      </c>
      <c r="H1033">
        <v>49</v>
      </c>
      <c r="I1033">
        <v>568</v>
      </c>
      <c r="J1033">
        <v>269</v>
      </c>
      <c r="K1033" s="1" t="s">
        <v>412</v>
      </c>
    </row>
    <row r="1034" spans="1:11">
      <c r="A1034" s="2">
        <v>43937</v>
      </c>
      <c r="B1034" s="4">
        <v>0.33333333333333331</v>
      </c>
      <c r="C1034" s="1" t="s">
        <v>102</v>
      </c>
      <c r="E1034">
        <v>171</v>
      </c>
      <c r="F1034">
        <v>9</v>
      </c>
      <c r="G1034">
        <v>7</v>
      </c>
      <c r="I1034">
        <v>94</v>
      </c>
      <c r="J1034">
        <v>6</v>
      </c>
      <c r="K1034" s="1" t="s">
        <v>440</v>
      </c>
    </row>
    <row r="1035" spans="1:11">
      <c r="A1035" s="2">
        <v>43937</v>
      </c>
      <c r="B1035" s="4">
        <v>0.375</v>
      </c>
      <c r="C1035" s="1" t="s">
        <v>50</v>
      </c>
      <c r="E1035">
        <v>912</v>
      </c>
      <c r="F1035">
        <v>76</v>
      </c>
      <c r="G1035">
        <v>6</v>
      </c>
      <c r="I1035">
        <v>711</v>
      </c>
      <c r="J1035">
        <v>37</v>
      </c>
      <c r="K1035" s="1" t="s">
        <v>394</v>
      </c>
    </row>
    <row r="1036" spans="1:11">
      <c r="A1036" s="2">
        <v>43937</v>
      </c>
      <c r="B1036" s="4">
        <v>0.39583333333333331</v>
      </c>
      <c r="C1036" s="1" t="s">
        <v>81</v>
      </c>
      <c r="E1036">
        <v>60</v>
      </c>
      <c r="F1036">
        <v>10</v>
      </c>
      <c r="G1036">
        <v>2</v>
      </c>
      <c r="J1036">
        <v>1</v>
      </c>
      <c r="K1036" s="1" t="s">
        <v>460</v>
      </c>
    </row>
    <row r="1037" spans="1:11">
      <c r="A1037" s="2">
        <v>43937</v>
      </c>
      <c r="B1037" s="4">
        <v>0.45833333333333331</v>
      </c>
      <c r="C1037" s="1" t="s">
        <v>38</v>
      </c>
      <c r="E1037">
        <v>24</v>
      </c>
      <c r="K1037" s="1" t="s">
        <v>40</v>
      </c>
    </row>
    <row r="1038" spans="1:11">
      <c r="A1038" s="2">
        <v>43937</v>
      </c>
      <c r="B1038" s="4">
        <v>0.52083333333333337</v>
      </c>
      <c r="C1038" s="1" t="s">
        <v>68</v>
      </c>
      <c r="E1038">
        <v>599</v>
      </c>
      <c r="F1038">
        <v>40</v>
      </c>
      <c r="G1038">
        <v>3</v>
      </c>
      <c r="J1038">
        <v>13</v>
      </c>
      <c r="K1038" s="1" t="s">
        <v>70</v>
      </c>
    </row>
    <row r="1039" spans="1:11">
      <c r="A1039" s="2">
        <v>43937</v>
      </c>
      <c r="B1039" s="4">
        <v>0.60416666666666663</v>
      </c>
      <c r="C1039" s="1" t="s">
        <v>104</v>
      </c>
      <c r="E1039">
        <v>3148</v>
      </c>
      <c r="F1039">
        <v>135</v>
      </c>
      <c r="H1039">
        <v>51</v>
      </c>
      <c r="J1039">
        <v>95</v>
      </c>
      <c r="K1039" s="1" t="s">
        <v>106</v>
      </c>
    </row>
    <row r="1040" spans="1:11">
      <c r="A1040" s="2">
        <v>43937</v>
      </c>
      <c r="B1040" s="4">
        <v>0.61458333333333337</v>
      </c>
      <c r="C1040" s="1" t="s">
        <v>34</v>
      </c>
      <c r="E1040">
        <v>943</v>
      </c>
      <c r="F1040">
        <v>61</v>
      </c>
      <c r="G1040">
        <v>20</v>
      </c>
      <c r="H1040">
        <v>20</v>
      </c>
      <c r="I1040">
        <v>500</v>
      </c>
      <c r="J1040">
        <v>23</v>
      </c>
      <c r="K1040" s="1" t="s">
        <v>410</v>
      </c>
    </row>
    <row r="1041" spans="1:11">
      <c r="A1041" s="2">
        <v>43937</v>
      </c>
      <c r="B1041" s="4">
        <v>0.625</v>
      </c>
      <c r="C1041" s="1" t="s">
        <v>94</v>
      </c>
      <c r="E1041">
        <v>78</v>
      </c>
      <c r="F1041">
        <v>2</v>
      </c>
      <c r="I1041">
        <v>62</v>
      </c>
      <c r="J1041">
        <v>5</v>
      </c>
      <c r="K1041" s="1" t="s">
        <v>96</v>
      </c>
    </row>
    <row r="1042" spans="1:11">
      <c r="A1042" s="2">
        <v>43937</v>
      </c>
      <c r="B1042" s="4">
        <v>0.64583333333333337</v>
      </c>
      <c r="C1042" s="1" t="s">
        <v>75</v>
      </c>
      <c r="E1042">
        <v>65</v>
      </c>
      <c r="F1042">
        <v>0</v>
      </c>
      <c r="J1042">
        <v>0</v>
      </c>
      <c r="K1042" s="1" t="s">
        <v>77</v>
      </c>
    </row>
    <row r="1043" spans="1:11">
      <c r="A1043" s="2">
        <v>43938</v>
      </c>
      <c r="B1043" s="4"/>
      <c r="C1043" s="1" t="s">
        <v>47</v>
      </c>
      <c r="E1043">
        <v>794</v>
      </c>
      <c r="F1043">
        <v>40</v>
      </c>
      <c r="G1043">
        <v>8</v>
      </c>
      <c r="H1043">
        <v>5</v>
      </c>
      <c r="I1043">
        <v>632</v>
      </c>
      <c r="J1043">
        <v>25</v>
      </c>
      <c r="K1043" s="1" t="s">
        <v>49</v>
      </c>
    </row>
    <row r="1044" spans="1:11">
      <c r="A1044" s="2">
        <v>43938</v>
      </c>
      <c r="B1044" s="4"/>
      <c r="C1044" s="1" t="s">
        <v>53</v>
      </c>
      <c r="E1044">
        <v>81</v>
      </c>
      <c r="J1044">
        <v>1</v>
      </c>
      <c r="K1044" s="1" t="s">
        <v>415</v>
      </c>
    </row>
    <row r="1045" spans="1:11">
      <c r="A1045" s="2">
        <v>43938</v>
      </c>
      <c r="B1045" s="4"/>
      <c r="C1045" s="1" t="s">
        <v>56</v>
      </c>
      <c r="E1045">
        <v>930</v>
      </c>
      <c r="F1045">
        <v>66</v>
      </c>
      <c r="G1045">
        <v>13</v>
      </c>
      <c r="I1045">
        <v>106</v>
      </c>
      <c r="J1045">
        <v>67</v>
      </c>
      <c r="K1045" s="1" t="s">
        <v>459</v>
      </c>
    </row>
    <row r="1046" spans="1:11">
      <c r="A1046" s="2">
        <v>43938</v>
      </c>
      <c r="B1046" s="4"/>
      <c r="C1046" s="1" t="s">
        <v>58</v>
      </c>
      <c r="D1046">
        <v>21128</v>
      </c>
      <c r="E1046">
        <v>4557</v>
      </c>
      <c r="F1046">
        <v>329</v>
      </c>
      <c r="G1046">
        <v>39</v>
      </c>
      <c r="H1046">
        <v>33</v>
      </c>
      <c r="I1046">
        <v>532</v>
      </c>
      <c r="J1046">
        <v>208</v>
      </c>
      <c r="K1046" s="1" t="s">
        <v>60</v>
      </c>
    </row>
    <row r="1047" spans="1:11">
      <c r="A1047" s="2">
        <v>43938</v>
      </c>
      <c r="B1047" s="4"/>
      <c r="C1047" s="1" t="s">
        <v>63</v>
      </c>
      <c r="E1047">
        <v>770</v>
      </c>
      <c r="F1047">
        <v>33</v>
      </c>
      <c r="J1047">
        <v>40</v>
      </c>
      <c r="K1047" s="1" t="s">
        <v>65</v>
      </c>
    </row>
    <row r="1048" spans="1:11">
      <c r="A1048" s="2">
        <v>43938</v>
      </c>
      <c r="B1048" s="4"/>
      <c r="C1048" s="1" t="s">
        <v>66</v>
      </c>
      <c r="E1048">
        <v>191</v>
      </c>
      <c r="F1048">
        <v>18</v>
      </c>
      <c r="G1048">
        <v>5</v>
      </c>
      <c r="J1048">
        <v>3</v>
      </c>
      <c r="K1048" s="1" t="s">
        <v>483</v>
      </c>
    </row>
    <row r="1049" spans="1:11">
      <c r="A1049" s="2">
        <v>43938</v>
      </c>
      <c r="B1049" s="4"/>
      <c r="C1049" s="1" t="s">
        <v>71</v>
      </c>
      <c r="E1049">
        <v>636</v>
      </c>
      <c r="F1049">
        <v>44</v>
      </c>
      <c r="G1049">
        <v>10</v>
      </c>
      <c r="H1049">
        <v>8</v>
      </c>
      <c r="J1049">
        <v>59</v>
      </c>
      <c r="K1049" s="1" t="s">
        <v>434</v>
      </c>
    </row>
    <row r="1050" spans="1:11">
      <c r="A1050" s="2">
        <v>43938</v>
      </c>
      <c r="B1050" s="4"/>
      <c r="C1050" s="1" t="s">
        <v>73</v>
      </c>
      <c r="E1050">
        <v>107</v>
      </c>
      <c r="F1050">
        <v>4</v>
      </c>
      <c r="G1050">
        <v>2</v>
      </c>
      <c r="J1050">
        <v>3</v>
      </c>
      <c r="K1050" s="1" t="s">
        <v>409</v>
      </c>
    </row>
    <row r="1051" spans="1:11">
      <c r="A1051" s="2">
        <v>43938</v>
      </c>
      <c r="B1051" s="4"/>
      <c r="C1051" s="1" t="s">
        <v>78</v>
      </c>
      <c r="E1051">
        <v>683</v>
      </c>
      <c r="F1051">
        <v>41</v>
      </c>
      <c r="G1051">
        <v>9</v>
      </c>
      <c r="I1051">
        <v>144</v>
      </c>
      <c r="J1051">
        <v>27</v>
      </c>
      <c r="K1051" s="1" t="s">
        <v>80</v>
      </c>
    </row>
    <row r="1052" spans="1:11">
      <c r="A1052" s="2">
        <v>43938</v>
      </c>
      <c r="B1052" s="4"/>
      <c r="C1052" s="1" t="s">
        <v>86</v>
      </c>
      <c r="E1052">
        <v>266</v>
      </c>
      <c r="I1052">
        <v>161</v>
      </c>
      <c r="J1052">
        <v>14</v>
      </c>
      <c r="K1052" s="1" t="s">
        <v>461</v>
      </c>
    </row>
    <row r="1053" spans="1:11">
      <c r="A1053" s="2">
        <v>43938</v>
      </c>
      <c r="B1053" s="4"/>
      <c r="C1053" s="1" t="s">
        <v>88</v>
      </c>
      <c r="E1053">
        <v>321</v>
      </c>
      <c r="F1053">
        <v>25</v>
      </c>
      <c r="G1053">
        <v>13</v>
      </c>
      <c r="J1053">
        <v>12</v>
      </c>
      <c r="K1053" s="1" t="s">
        <v>90</v>
      </c>
    </row>
    <row r="1054" spans="1:11">
      <c r="A1054" s="2">
        <v>43938</v>
      </c>
      <c r="B1054" s="4"/>
      <c r="C1054" s="1" t="s">
        <v>97</v>
      </c>
      <c r="E1054">
        <v>5028</v>
      </c>
      <c r="F1054">
        <v>236</v>
      </c>
      <c r="G1054">
        <v>55</v>
      </c>
      <c r="J1054">
        <v>302</v>
      </c>
      <c r="K1054" s="1" t="s">
        <v>99</v>
      </c>
    </row>
    <row r="1055" spans="1:11">
      <c r="A1055" s="2">
        <v>43938</v>
      </c>
      <c r="B1055" s="4"/>
      <c r="C1055" s="1" t="s">
        <v>100</v>
      </c>
      <c r="E1055">
        <v>1758</v>
      </c>
      <c r="F1055">
        <v>83</v>
      </c>
      <c r="G1055">
        <v>16</v>
      </c>
      <c r="H1055">
        <v>10</v>
      </c>
      <c r="I1055">
        <v>184</v>
      </c>
      <c r="J1055">
        <v>99</v>
      </c>
      <c r="K1055" s="1" t="s">
        <v>484</v>
      </c>
    </row>
    <row r="1056" spans="1:11">
      <c r="A1056" s="2">
        <v>43938</v>
      </c>
      <c r="B1056" s="4">
        <v>0</v>
      </c>
      <c r="C1056" s="1" t="s">
        <v>83</v>
      </c>
      <c r="E1056">
        <v>350</v>
      </c>
      <c r="F1056">
        <v>20</v>
      </c>
      <c r="J1056">
        <v>9</v>
      </c>
      <c r="K1056" s="1" t="s">
        <v>448</v>
      </c>
    </row>
    <row r="1057" spans="1:11">
      <c r="A1057" s="2">
        <v>43938</v>
      </c>
      <c r="B1057" s="4">
        <v>0.33333333333333331</v>
      </c>
      <c r="C1057" s="1" t="s">
        <v>44</v>
      </c>
      <c r="E1057">
        <v>1553</v>
      </c>
      <c r="F1057">
        <v>69</v>
      </c>
      <c r="G1057">
        <v>25</v>
      </c>
      <c r="H1057">
        <v>13</v>
      </c>
      <c r="J1057">
        <v>67</v>
      </c>
      <c r="K1057" s="1" t="s">
        <v>46</v>
      </c>
    </row>
    <row r="1058" spans="1:11">
      <c r="A1058" s="2">
        <v>43938</v>
      </c>
      <c r="B1058" s="4">
        <v>0.33333333333333331</v>
      </c>
      <c r="C1058" s="1" t="s">
        <v>91</v>
      </c>
      <c r="E1058">
        <v>2977</v>
      </c>
      <c r="F1058">
        <v>254</v>
      </c>
      <c r="G1058">
        <v>57</v>
      </c>
      <c r="H1058">
        <v>44</v>
      </c>
      <c r="I1058">
        <v>580</v>
      </c>
      <c r="J1058">
        <v>270</v>
      </c>
      <c r="K1058" s="1" t="s">
        <v>416</v>
      </c>
    </row>
    <row r="1059" spans="1:11">
      <c r="A1059" s="2">
        <v>43938</v>
      </c>
      <c r="B1059" s="4">
        <v>0.33333333333333331</v>
      </c>
      <c r="C1059" s="1" t="s">
        <v>102</v>
      </c>
      <c r="E1059">
        <v>172</v>
      </c>
      <c r="F1059">
        <v>8</v>
      </c>
      <c r="G1059">
        <v>6</v>
      </c>
      <c r="I1059">
        <v>96</v>
      </c>
      <c r="J1059">
        <v>6</v>
      </c>
      <c r="K1059" s="1" t="s">
        <v>440</v>
      </c>
    </row>
    <row r="1060" spans="1:11">
      <c r="A1060" s="2">
        <v>43938</v>
      </c>
      <c r="B1060" s="4">
        <v>0.375</v>
      </c>
      <c r="C1060" s="1" t="s">
        <v>50</v>
      </c>
      <c r="E1060">
        <v>918</v>
      </c>
      <c r="F1060">
        <v>68</v>
      </c>
      <c r="G1060">
        <v>7</v>
      </c>
      <c r="I1060">
        <v>720</v>
      </c>
      <c r="J1060">
        <v>37</v>
      </c>
      <c r="K1060" s="1" t="s">
        <v>414</v>
      </c>
    </row>
    <row r="1061" spans="1:11">
      <c r="A1061" s="2">
        <v>43938</v>
      </c>
      <c r="B1061" s="4">
        <v>0.39583333333333331</v>
      </c>
      <c r="C1061" s="1" t="s">
        <v>81</v>
      </c>
      <c r="E1061">
        <v>60</v>
      </c>
      <c r="F1061">
        <v>8</v>
      </c>
      <c r="G1061">
        <v>2</v>
      </c>
      <c r="J1061">
        <v>1</v>
      </c>
      <c r="K1061" s="1" t="s">
        <v>460</v>
      </c>
    </row>
    <row r="1062" spans="1:11">
      <c r="A1062" s="2">
        <v>43938</v>
      </c>
      <c r="B1062" s="4">
        <v>0.45833333333333331</v>
      </c>
      <c r="C1062" s="1" t="s">
        <v>38</v>
      </c>
      <c r="E1062">
        <v>24</v>
      </c>
      <c r="K1062" s="1" t="s">
        <v>40</v>
      </c>
    </row>
    <row r="1063" spans="1:11">
      <c r="A1063" s="2">
        <v>43938</v>
      </c>
      <c r="B1063" s="4">
        <v>0.45833333333333331</v>
      </c>
      <c r="C1063" s="1" t="s">
        <v>68</v>
      </c>
      <c r="E1063">
        <v>607</v>
      </c>
      <c r="F1063">
        <v>40</v>
      </c>
      <c r="G1063">
        <v>3</v>
      </c>
      <c r="J1063">
        <v>14</v>
      </c>
      <c r="K1063" s="1" t="s">
        <v>70</v>
      </c>
    </row>
    <row r="1064" spans="1:11">
      <c r="A1064" s="2">
        <v>43938</v>
      </c>
      <c r="B1064" s="4">
        <v>0.5</v>
      </c>
      <c r="C1064" s="1" t="s">
        <v>41</v>
      </c>
      <c r="E1064">
        <v>82</v>
      </c>
      <c r="J1064">
        <v>3</v>
      </c>
      <c r="K1064" s="1" t="s">
        <v>43</v>
      </c>
    </row>
    <row r="1065" spans="1:11">
      <c r="A1065" s="2">
        <v>43938</v>
      </c>
      <c r="B1065" s="4">
        <v>0.54166666666666663</v>
      </c>
      <c r="C1065" s="1" t="s">
        <v>61</v>
      </c>
      <c r="E1065">
        <v>108</v>
      </c>
      <c r="F1065">
        <v>4</v>
      </c>
      <c r="J1065">
        <v>3</v>
      </c>
      <c r="K1065" s="1" t="s">
        <v>446</v>
      </c>
    </row>
    <row r="1066" spans="1:11">
      <c r="A1066" s="2">
        <v>43938</v>
      </c>
      <c r="B1066" s="4">
        <v>0.58333333333333337</v>
      </c>
      <c r="C1066" s="1" t="s">
        <v>94</v>
      </c>
      <c r="E1066">
        <v>78</v>
      </c>
      <c r="F1066">
        <v>2</v>
      </c>
      <c r="I1066">
        <v>66</v>
      </c>
      <c r="J1066">
        <v>5</v>
      </c>
      <c r="K1066" s="1" t="s">
        <v>96</v>
      </c>
    </row>
    <row r="1067" spans="1:11">
      <c r="A1067" s="2">
        <v>43938</v>
      </c>
      <c r="B1067" s="4">
        <v>0.60416666666666663</v>
      </c>
      <c r="C1067" s="1" t="s">
        <v>104</v>
      </c>
      <c r="E1067">
        <v>3171</v>
      </c>
      <c r="F1067">
        <v>123</v>
      </c>
      <c r="H1067">
        <v>45</v>
      </c>
      <c r="J1067">
        <v>99</v>
      </c>
      <c r="K1067" s="1" t="s">
        <v>106</v>
      </c>
    </row>
    <row r="1068" spans="1:11">
      <c r="A1068" s="2">
        <v>43938</v>
      </c>
      <c r="B1068" s="4">
        <v>0.61458333333333337</v>
      </c>
      <c r="C1068" s="1" t="s">
        <v>34</v>
      </c>
      <c r="E1068">
        <v>960</v>
      </c>
      <c r="F1068">
        <v>58</v>
      </c>
      <c r="G1068">
        <v>20</v>
      </c>
      <c r="H1068">
        <v>20</v>
      </c>
      <c r="I1068">
        <v>540</v>
      </c>
      <c r="J1068">
        <v>24</v>
      </c>
      <c r="K1068" s="1" t="s">
        <v>413</v>
      </c>
    </row>
    <row r="1069" spans="1:11">
      <c r="A1069" s="2">
        <v>43938</v>
      </c>
      <c r="B1069" s="4">
        <v>0.66666666666666663</v>
      </c>
      <c r="C1069" s="1" t="s">
        <v>75</v>
      </c>
      <c r="E1069">
        <v>66</v>
      </c>
      <c r="F1069">
        <v>0</v>
      </c>
      <c r="J1069">
        <v>0</v>
      </c>
      <c r="K1069" s="1" t="s">
        <v>77</v>
      </c>
    </row>
    <row r="1070" spans="1:11">
      <c r="A1070" s="2">
        <v>43939</v>
      </c>
      <c r="B1070" s="4"/>
      <c r="C1070" s="1" t="s">
        <v>47</v>
      </c>
      <c r="E1070">
        <v>798</v>
      </c>
      <c r="F1070">
        <v>44</v>
      </c>
      <c r="G1070">
        <v>7</v>
      </c>
      <c r="H1070">
        <v>5</v>
      </c>
      <c r="I1070">
        <v>636</v>
      </c>
      <c r="J1070">
        <v>25</v>
      </c>
      <c r="K1070" s="1" t="s">
        <v>49</v>
      </c>
    </row>
    <row r="1071" spans="1:11">
      <c r="A1071" s="2">
        <v>43939</v>
      </c>
      <c r="B1071" s="4"/>
      <c r="C1071" s="1" t="s">
        <v>53</v>
      </c>
      <c r="E1071">
        <v>81</v>
      </c>
      <c r="J1071">
        <v>1</v>
      </c>
      <c r="K1071" s="1" t="s">
        <v>418</v>
      </c>
    </row>
    <row r="1072" spans="1:11">
      <c r="A1072" s="2">
        <v>43939</v>
      </c>
      <c r="B1072" s="4"/>
      <c r="C1072" s="1" t="s">
        <v>56</v>
      </c>
      <c r="E1072">
        <v>956</v>
      </c>
      <c r="F1072">
        <v>64</v>
      </c>
      <c r="G1072">
        <v>11</v>
      </c>
      <c r="I1072">
        <v>109</v>
      </c>
      <c r="J1072">
        <v>69</v>
      </c>
      <c r="K1072" s="1" t="s">
        <v>459</v>
      </c>
    </row>
    <row r="1073" spans="1:11">
      <c r="A1073" s="2">
        <v>43939</v>
      </c>
      <c r="B1073" s="4"/>
      <c r="C1073" s="1" t="s">
        <v>58</v>
      </c>
      <c r="D1073">
        <v>21570</v>
      </c>
      <c r="E1073">
        <v>4606</v>
      </c>
      <c r="F1073">
        <v>315</v>
      </c>
      <c r="G1073">
        <v>34</v>
      </c>
      <c r="H1073">
        <v>33</v>
      </c>
      <c r="I1073">
        <v>553</v>
      </c>
      <c r="J1073">
        <v>212</v>
      </c>
      <c r="K1073" s="1" t="s">
        <v>60</v>
      </c>
    </row>
    <row r="1074" spans="1:11">
      <c r="A1074" s="2">
        <v>43939</v>
      </c>
      <c r="B1074" s="4"/>
      <c r="C1074" s="1" t="s">
        <v>63</v>
      </c>
      <c r="E1074">
        <v>773</v>
      </c>
      <c r="F1074">
        <v>29</v>
      </c>
      <c r="J1074">
        <v>40</v>
      </c>
      <c r="K1074" s="1" t="s">
        <v>65</v>
      </c>
    </row>
    <row r="1075" spans="1:11">
      <c r="A1075" s="2">
        <v>43939</v>
      </c>
      <c r="B1075" s="4"/>
      <c r="C1075" s="1" t="s">
        <v>66</v>
      </c>
      <c r="E1075">
        <v>192</v>
      </c>
      <c r="F1075">
        <v>17</v>
      </c>
      <c r="G1075">
        <v>5</v>
      </c>
      <c r="J1075">
        <v>3</v>
      </c>
      <c r="K1075" s="1" t="s">
        <v>483</v>
      </c>
    </row>
    <row r="1076" spans="1:11">
      <c r="A1076" s="2">
        <v>43939</v>
      </c>
      <c r="B1076" s="4"/>
      <c r="C1076" s="1" t="s">
        <v>71</v>
      </c>
      <c r="E1076">
        <v>639</v>
      </c>
      <c r="F1076">
        <v>44</v>
      </c>
      <c r="G1076">
        <v>10</v>
      </c>
      <c r="H1076">
        <v>8</v>
      </c>
      <c r="J1076">
        <v>59</v>
      </c>
      <c r="K1076" s="1" t="s">
        <v>434</v>
      </c>
    </row>
    <row r="1077" spans="1:11">
      <c r="A1077" s="2">
        <v>43939</v>
      </c>
      <c r="B1077" s="4"/>
      <c r="C1077" s="1" t="s">
        <v>73</v>
      </c>
      <c r="E1077">
        <v>108</v>
      </c>
      <c r="F1077">
        <v>4</v>
      </c>
      <c r="G1077">
        <v>2</v>
      </c>
      <c r="J1077">
        <v>3</v>
      </c>
      <c r="K1077" s="1" t="s">
        <v>409</v>
      </c>
    </row>
    <row r="1078" spans="1:11">
      <c r="A1078" s="2">
        <v>43939</v>
      </c>
      <c r="B1078" s="4"/>
      <c r="C1078" s="1" t="s">
        <v>78</v>
      </c>
      <c r="E1078">
        <v>699</v>
      </c>
      <c r="F1078">
        <v>44</v>
      </c>
      <c r="G1078">
        <v>7</v>
      </c>
      <c r="I1078">
        <v>150</v>
      </c>
      <c r="J1078">
        <v>27</v>
      </c>
      <c r="K1078" s="1" t="s">
        <v>80</v>
      </c>
    </row>
    <row r="1079" spans="1:11">
      <c r="A1079" s="2">
        <v>43939</v>
      </c>
      <c r="B1079" s="4"/>
      <c r="C1079" s="1" t="s">
        <v>86</v>
      </c>
      <c r="E1079">
        <v>266</v>
      </c>
      <c r="I1079">
        <v>176</v>
      </c>
      <c r="J1079">
        <v>14</v>
      </c>
      <c r="K1079" s="1" t="s">
        <v>461</v>
      </c>
    </row>
    <row r="1080" spans="1:11">
      <c r="A1080" s="2">
        <v>43939</v>
      </c>
      <c r="B1080" s="4"/>
      <c r="C1080" s="1" t="s">
        <v>88</v>
      </c>
      <c r="E1080">
        <v>332</v>
      </c>
      <c r="F1080">
        <v>23</v>
      </c>
      <c r="G1080">
        <v>12</v>
      </c>
      <c r="J1080">
        <v>13</v>
      </c>
      <c r="K1080" s="1" t="s">
        <v>90</v>
      </c>
    </row>
    <row r="1081" spans="1:11">
      <c r="A1081" s="2">
        <v>43939</v>
      </c>
      <c r="B1081" s="4"/>
      <c r="C1081" s="1" t="s">
        <v>97</v>
      </c>
      <c r="E1081">
        <v>5050</v>
      </c>
      <c r="F1081">
        <v>233</v>
      </c>
      <c r="G1081">
        <v>52</v>
      </c>
      <c r="J1081">
        <v>310</v>
      </c>
      <c r="K1081" s="1" t="s">
        <v>99</v>
      </c>
    </row>
    <row r="1082" spans="1:11">
      <c r="A1082" s="2">
        <v>43939</v>
      </c>
      <c r="B1082" s="4"/>
      <c r="C1082" s="1" t="s">
        <v>100</v>
      </c>
      <c r="E1082">
        <v>1767</v>
      </c>
      <c r="F1082">
        <v>82</v>
      </c>
      <c r="G1082">
        <v>18</v>
      </c>
      <c r="H1082">
        <v>10</v>
      </c>
      <c r="I1082">
        <v>185</v>
      </c>
      <c r="J1082">
        <v>104</v>
      </c>
      <c r="K1082" s="1" t="s">
        <v>484</v>
      </c>
    </row>
    <row r="1083" spans="1:11">
      <c r="A1083" s="2">
        <v>43939</v>
      </c>
      <c r="B1083" s="4">
        <v>0</v>
      </c>
      <c r="C1083" s="1" t="s">
        <v>83</v>
      </c>
      <c r="E1083">
        <v>353</v>
      </c>
      <c r="F1083">
        <v>19</v>
      </c>
      <c r="J1083">
        <v>10</v>
      </c>
      <c r="K1083" s="1" t="s">
        <v>448</v>
      </c>
    </row>
    <row r="1084" spans="1:11">
      <c r="A1084" s="2">
        <v>43939</v>
      </c>
      <c r="B1084" s="4">
        <v>0.33333333333333331</v>
      </c>
      <c r="C1084" s="1" t="s">
        <v>44</v>
      </c>
      <c r="E1084">
        <v>1586</v>
      </c>
      <c r="F1084">
        <v>71</v>
      </c>
      <c r="G1084">
        <v>22</v>
      </c>
      <c r="H1084">
        <v>12</v>
      </c>
      <c r="J1084">
        <v>69</v>
      </c>
      <c r="K1084" s="1" t="s">
        <v>46</v>
      </c>
    </row>
    <row r="1085" spans="1:11">
      <c r="A1085" s="2">
        <v>43939</v>
      </c>
      <c r="B1085" s="4">
        <v>0.33333333333333331</v>
      </c>
      <c r="C1085" s="1" t="s">
        <v>91</v>
      </c>
      <c r="E1085">
        <v>2994</v>
      </c>
      <c r="F1085">
        <v>244</v>
      </c>
      <c r="G1085">
        <v>56</v>
      </c>
      <c r="H1085">
        <v>42</v>
      </c>
      <c r="I1085">
        <v>606</v>
      </c>
      <c r="J1085">
        <v>277</v>
      </c>
      <c r="K1085" s="1" t="s">
        <v>419</v>
      </c>
    </row>
    <row r="1086" spans="1:11">
      <c r="A1086" s="2">
        <v>43939</v>
      </c>
      <c r="B1086" s="4">
        <v>0.33333333333333331</v>
      </c>
      <c r="C1086" s="1" t="s">
        <v>102</v>
      </c>
      <c r="E1086">
        <v>174</v>
      </c>
      <c r="F1086">
        <v>6</v>
      </c>
      <c r="G1086">
        <v>6</v>
      </c>
      <c r="I1086">
        <v>99</v>
      </c>
      <c r="J1086">
        <v>7</v>
      </c>
      <c r="K1086" s="1" t="s">
        <v>440</v>
      </c>
    </row>
    <row r="1087" spans="1:11">
      <c r="A1087" s="2">
        <v>43939</v>
      </c>
      <c r="B1087" s="4">
        <v>0.39583333333333331</v>
      </c>
      <c r="C1087" s="1" t="s">
        <v>81</v>
      </c>
      <c r="E1087">
        <v>61</v>
      </c>
      <c r="F1087">
        <v>11</v>
      </c>
      <c r="G1087">
        <v>4</v>
      </c>
      <c r="J1087">
        <v>1</v>
      </c>
      <c r="K1087" s="1" t="s">
        <v>460</v>
      </c>
    </row>
    <row r="1088" spans="1:11">
      <c r="A1088" s="2">
        <v>43939</v>
      </c>
      <c r="B1088" s="4">
        <v>0.40625</v>
      </c>
      <c r="C1088" s="1" t="s">
        <v>50</v>
      </c>
      <c r="E1088">
        <v>924</v>
      </c>
      <c r="I1088">
        <v>753</v>
      </c>
      <c r="J1088">
        <v>40</v>
      </c>
      <c r="K1088" s="1" t="s">
        <v>417</v>
      </c>
    </row>
    <row r="1089" spans="1:11">
      <c r="A1089" s="2">
        <v>43939</v>
      </c>
      <c r="B1089" s="4">
        <v>0.52083333333333337</v>
      </c>
      <c r="C1089" s="1" t="s">
        <v>68</v>
      </c>
      <c r="E1089">
        <v>623</v>
      </c>
      <c r="F1089">
        <v>26</v>
      </c>
      <c r="G1089">
        <v>4</v>
      </c>
      <c r="J1089">
        <v>15</v>
      </c>
      <c r="K1089" s="1" t="s">
        <v>70</v>
      </c>
    </row>
    <row r="1090" spans="1:11">
      <c r="A1090" s="2">
        <v>43939</v>
      </c>
      <c r="B1090" s="4">
        <v>0.54166666666666663</v>
      </c>
      <c r="C1090" s="1" t="s">
        <v>61</v>
      </c>
      <c r="E1090">
        <v>111</v>
      </c>
      <c r="F1090">
        <v>4</v>
      </c>
      <c r="J1090">
        <v>3</v>
      </c>
      <c r="K1090" s="1" t="s">
        <v>446</v>
      </c>
    </row>
    <row r="1091" spans="1:11">
      <c r="A1091" s="2">
        <v>43939</v>
      </c>
      <c r="B1091" s="4">
        <v>0.60416666666666663</v>
      </c>
      <c r="C1091" s="1" t="s">
        <v>104</v>
      </c>
      <c r="E1091">
        <v>3211</v>
      </c>
      <c r="F1091">
        <v>114</v>
      </c>
      <c r="H1091">
        <v>44</v>
      </c>
      <c r="J1091">
        <v>105</v>
      </c>
      <c r="K1091" s="1" t="s">
        <v>106</v>
      </c>
    </row>
    <row r="1092" spans="1:11">
      <c r="A1092" s="2">
        <v>43939</v>
      </c>
      <c r="B1092" s="4">
        <v>0.61458333333333337</v>
      </c>
      <c r="C1092" s="1" t="s">
        <v>34</v>
      </c>
      <c r="E1092">
        <v>987</v>
      </c>
      <c r="J1092">
        <v>25</v>
      </c>
      <c r="K1092" s="1" t="s">
        <v>404</v>
      </c>
    </row>
    <row r="1093" spans="1:11">
      <c r="A1093" s="2">
        <v>43939</v>
      </c>
      <c r="B1093" s="4">
        <v>0.625</v>
      </c>
      <c r="C1093" s="1" t="s">
        <v>94</v>
      </c>
      <c r="E1093">
        <v>78</v>
      </c>
      <c r="F1093">
        <v>2</v>
      </c>
      <c r="I1093">
        <v>69</v>
      </c>
      <c r="J1093">
        <v>5</v>
      </c>
      <c r="K1093" s="1" t="s">
        <v>96</v>
      </c>
    </row>
    <row r="1094" spans="1:11">
      <c r="A1094" s="2">
        <v>43940</v>
      </c>
      <c r="B1094" s="4"/>
      <c r="C1094" s="1" t="s">
        <v>47</v>
      </c>
      <c r="E1094">
        <v>803</v>
      </c>
      <c r="F1094">
        <v>40</v>
      </c>
      <c r="G1094">
        <v>7</v>
      </c>
      <c r="H1094">
        <v>5</v>
      </c>
      <c r="I1094">
        <v>653</v>
      </c>
      <c r="J1094">
        <v>25</v>
      </c>
      <c r="K1094" s="1" t="s">
        <v>49</v>
      </c>
    </row>
    <row r="1095" spans="1:11">
      <c r="A1095" s="2">
        <v>43940</v>
      </c>
      <c r="B1095" s="4"/>
      <c r="C1095" s="1" t="s">
        <v>53</v>
      </c>
      <c r="E1095">
        <v>81</v>
      </c>
      <c r="J1095">
        <v>1</v>
      </c>
      <c r="K1095" s="1" t="s">
        <v>421</v>
      </c>
    </row>
    <row r="1096" spans="1:11">
      <c r="A1096" s="2">
        <v>43940</v>
      </c>
      <c r="B1096" s="4"/>
      <c r="C1096" s="1" t="s">
        <v>56</v>
      </c>
      <c r="E1096">
        <v>980</v>
      </c>
      <c r="F1096">
        <v>61</v>
      </c>
      <c r="G1096">
        <v>12</v>
      </c>
      <c r="I1096">
        <v>113</v>
      </c>
      <c r="J1096">
        <v>71</v>
      </c>
      <c r="K1096" s="1" t="s">
        <v>459</v>
      </c>
    </row>
    <row r="1097" spans="1:11">
      <c r="A1097" s="2">
        <v>43940</v>
      </c>
      <c r="B1097" s="4"/>
      <c r="C1097" s="1" t="s">
        <v>58</v>
      </c>
      <c r="D1097">
        <v>21752</v>
      </c>
      <c r="E1097">
        <v>4617</v>
      </c>
      <c r="F1097">
        <v>315</v>
      </c>
      <c r="G1097">
        <v>35</v>
      </c>
      <c r="H1097">
        <v>33</v>
      </c>
      <c r="I1097">
        <v>558</v>
      </c>
      <c r="J1097">
        <v>215</v>
      </c>
      <c r="K1097" s="1" t="s">
        <v>60</v>
      </c>
    </row>
    <row r="1098" spans="1:11">
      <c r="A1098" s="2">
        <v>43940</v>
      </c>
      <c r="B1098" s="4"/>
      <c r="C1098" s="1" t="s">
        <v>63</v>
      </c>
      <c r="E1098">
        <v>778</v>
      </c>
      <c r="F1098">
        <v>28</v>
      </c>
      <c r="J1098">
        <v>41</v>
      </c>
      <c r="K1098" s="1" t="s">
        <v>65</v>
      </c>
    </row>
    <row r="1099" spans="1:11">
      <c r="A1099" s="2">
        <v>43940</v>
      </c>
      <c r="B1099" s="4"/>
      <c r="C1099" s="1" t="s">
        <v>66</v>
      </c>
      <c r="E1099">
        <v>192</v>
      </c>
      <c r="F1099">
        <v>16</v>
      </c>
      <c r="G1099">
        <v>5</v>
      </c>
      <c r="J1099">
        <v>5</v>
      </c>
      <c r="K1099" s="1" t="s">
        <v>483</v>
      </c>
    </row>
    <row r="1100" spans="1:11">
      <c r="A1100" s="2">
        <v>43940</v>
      </c>
      <c r="B1100" s="4"/>
      <c r="C1100" s="1" t="s">
        <v>71</v>
      </c>
      <c r="E1100">
        <v>640</v>
      </c>
      <c r="F1100">
        <v>43</v>
      </c>
      <c r="G1100">
        <v>9</v>
      </c>
      <c r="H1100">
        <v>4</v>
      </c>
      <c r="J1100">
        <v>60</v>
      </c>
      <c r="K1100" s="1" t="s">
        <v>434</v>
      </c>
    </row>
    <row r="1101" spans="1:11">
      <c r="A1101" s="2">
        <v>43940</v>
      </c>
      <c r="B1101" s="4"/>
      <c r="C1101" s="1" t="s">
        <v>73</v>
      </c>
      <c r="E1101">
        <v>108</v>
      </c>
      <c r="F1101">
        <v>4</v>
      </c>
      <c r="G1101">
        <v>2</v>
      </c>
      <c r="J1101">
        <v>3</v>
      </c>
      <c r="K1101" s="1" t="s">
        <v>409</v>
      </c>
    </row>
    <row r="1102" spans="1:11">
      <c r="A1102" s="2">
        <v>43940</v>
      </c>
      <c r="B1102" s="4"/>
      <c r="C1102" s="1" t="s">
        <v>78</v>
      </c>
      <c r="E1102">
        <v>705</v>
      </c>
      <c r="F1102">
        <v>45</v>
      </c>
      <c r="G1102">
        <v>7</v>
      </c>
      <c r="I1102">
        <v>150</v>
      </c>
      <c r="J1102">
        <v>27</v>
      </c>
      <c r="K1102" s="1" t="s">
        <v>80</v>
      </c>
    </row>
    <row r="1103" spans="1:11">
      <c r="A1103" s="2">
        <v>43940</v>
      </c>
      <c r="B1103" s="4"/>
      <c r="C1103" s="1" t="s">
        <v>86</v>
      </c>
      <c r="E1103">
        <v>268</v>
      </c>
      <c r="I1103">
        <v>180</v>
      </c>
      <c r="J1103">
        <v>15</v>
      </c>
      <c r="K1103" s="1" t="s">
        <v>461</v>
      </c>
    </row>
    <row r="1104" spans="1:11">
      <c r="A1104" s="2">
        <v>43940</v>
      </c>
      <c r="B1104" s="4"/>
      <c r="C1104" s="1" t="s">
        <v>88</v>
      </c>
      <c r="E1104">
        <v>333</v>
      </c>
      <c r="F1104">
        <v>23</v>
      </c>
      <c r="G1104">
        <v>12</v>
      </c>
      <c r="J1104">
        <v>13</v>
      </c>
      <c r="K1104" s="1" t="s">
        <v>90</v>
      </c>
    </row>
    <row r="1105" spans="1:11">
      <c r="A1105" s="2">
        <v>43940</v>
      </c>
      <c r="B1105" s="4"/>
      <c r="C1105" s="1" t="s">
        <v>97</v>
      </c>
      <c r="E1105">
        <v>5061</v>
      </c>
      <c r="F1105">
        <v>236</v>
      </c>
      <c r="G1105">
        <v>52</v>
      </c>
      <c r="J1105">
        <v>315</v>
      </c>
      <c r="K1105" s="1" t="s">
        <v>99</v>
      </c>
    </row>
    <row r="1106" spans="1:11">
      <c r="A1106" s="2">
        <v>43940</v>
      </c>
      <c r="B1106" s="4"/>
      <c r="C1106" s="1" t="s">
        <v>100</v>
      </c>
      <c r="E1106">
        <v>1774</v>
      </c>
      <c r="F1106">
        <v>80</v>
      </c>
      <c r="G1106">
        <v>16</v>
      </c>
      <c r="H1106">
        <v>9</v>
      </c>
      <c r="I1106">
        <v>204</v>
      </c>
      <c r="J1106">
        <v>107</v>
      </c>
      <c r="K1106" s="1" t="s">
        <v>484</v>
      </c>
    </row>
    <row r="1107" spans="1:11">
      <c r="A1107" s="2">
        <v>43940</v>
      </c>
      <c r="B1107" s="4">
        <v>0</v>
      </c>
      <c r="C1107" s="1" t="s">
        <v>83</v>
      </c>
      <c r="E1107">
        <v>355</v>
      </c>
      <c r="F1107">
        <v>19</v>
      </c>
      <c r="J1107">
        <v>11</v>
      </c>
      <c r="K1107" s="1" t="s">
        <v>448</v>
      </c>
    </row>
    <row r="1108" spans="1:11">
      <c r="A1108" s="2">
        <v>43940</v>
      </c>
      <c r="B1108" s="4">
        <v>0.33333333333333331</v>
      </c>
      <c r="C1108" s="1" t="s">
        <v>44</v>
      </c>
      <c r="E1108">
        <v>1599</v>
      </c>
      <c r="F1108">
        <v>78</v>
      </c>
      <c r="G1108">
        <v>20</v>
      </c>
      <c r="H1108">
        <v>13</v>
      </c>
      <c r="J1108">
        <v>69</v>
      </c>
      <c r="K1108" s="1" t="s">
        <v>46</v>
      </c>
    </row>
    <row r="1109" spans="1:11">
      <c r="A1109" s="2">
        <v>43940</v>
      </c>
      <c r="B1109" s="4">
        <v>0.33333333333333331</v>
      </c>
      <c r="C1109" s="1" t="s">
        <v>91</v>
      </c>
      <c r="E1109">
        <v>3032</v>
      </c>
      <c r="F1109">
        <v>237</v>
      </c>
      <c r="G1109">
        <v>54</v>
      </c>
      <c r="H1109">
        <v>42</v>
      </c>
      <c r="I1109">
        <v>616</v>
      </c>
      <c r="J1109">
        <v>281</v>
      </c>
      <c r="K1109" s="1" t="s">
        <v>422</v>
      </c>
    </row>
    <row r="1110" spans="1:11">
      <c r="A1110" s="2">
        <v>43940</v>
      </c>
      <c r="B1110" s="4">
        <v>0.33333333333333331</v>
      </c>
      <c r="C1110" s="1" t="s">
        <v>102</v>
      </c>
      <c r="E1110">
        <v>175</v>
      </c>
      <c r="F1110">
        <v>11</v>
      </c>
      <c r="G1110">
        <v>6</v>
      </c>
      <c r="I1110">
        <v>99</v>
      </c>
      <c r="J1110">
        <v>7</v>
      </c>
      <c r="K1110" s="1" t="s">
        <v>440</v>
      </c>
    </row>
    <row r="1111" spans="1:11">
      <c r="A1111" s="2">
        <v>43940</v>
      </c>
      <c r="B1111" s="4">
        <v>0.39583333333333331</v>
      </c>
      <c r="C1111" s="1" t="s">
        <v>81</v>
      </c>
      <c r="E1111">
        <v>62</v>
      </c>
      <c r="F1111">
        <v>6</v>
      </c>
      <c r="G1111">
        <v>2</v>
      </c>
      <c r="J1111">
        <v>1</v>
      </c>
      <c r="K1111" s="1" t="s">
        <v>460</v>
      </c>
    </row>
    <row r="1112" spans="1:11">
      <c r="A1112" s="2">
        <v>43940</v>
      </c>
      <c r="B1112" s="4">
        <v>0.41666666666666669</v>
      </c>
      <c r="C1112" s="1" t="s">
        <v>50</v>
      </c>
      <c r="E1112">
        <v>927</v>
      </c>
      <c r="I1112">
        <v>764</v>
      </c>
      <c r="J1112">
        <v>40</v>
      </c>
      <c r="K1112" s="1" t="s">
        <v>420</v>
      </c>
    </row>
    <row r="1113" spans="1:11">
      <c r="A1113" s="2">
        <v>43940</v>
      </c>
      <c r="B1113" s="4">
        <v>0.45833333333333331</v>
      </c>
      <c r="C1113" s="1" t="s">
        <v>38</v>
      </c>
      <c r="E1113">
        <v>24</v>
      </c>
      <c r="K1113" s="1" t="s">
        <v>40</v>
      </c>
    </row>
    <row r="1114" spans="1:11">
      <c r="A1114" s="2">
        <v>43940</v>
      </c>
      <c r="B1114" s="4">
        <v>0.45833333333333331</v>
      </c>
      <c r="C1114" s="1" t="s">
        <v>68</v>
      </c>
      <c r="E1114">
        <v>626</v>
      </c>
      <c r="F1114">
        <v>26</v>
      </c>
      <c r="G1114">
        <v>4</v>
      </c>
      <c r="J1114">
        <v>15</v>
      </c>
      <c r="K1114" s="1" t="s">
        <v>70</v>
      </c>
    </row>
    <row r="1115" spans="1:11">
      <c r="A1115" s="2">
        <v>43940</v>
      </c>
      <c r="B1115" s="4">
        <v>0.54166666666666663</v>
      </c>
      <c r="C1115" s="1" t="s">
        <v>61</v>
      </c>
      <c r="E1115">
        <v>111</v>
      </c>
      <c r="F1115">
        <v>4</v>
      </c>
      <c r="J1115">
        <v>3</v>
      </c>
      <c r="K1115" s="1" t="s">
        <v>446</v>
      </c>
    </row>
    <row r="1116" spans="1:11">
      <c r="A1116" s="2">
        <v>43940</v>
      </c>
      <c r="B1116" s="4">
        <v>0.54166666666666663</v>
      </c>
      <c r="C1116" s="1" t="s">
        <v>94</v>
      </c>
      <c r="E1116">
        <v>78</v>
      </c>
      <c r="F1116">
        <v>2</v>
      </c>
      <c r="I1116">
        <v>69</v>
      </c>
      <c r="J1116">
        <v>5</v>
      </c>
      <c r="K1116" s="1" t="s">
        <v>96</v>
      </c>
    </row>
    <row r="1117" spans="1:11">
      <c r="A1117" s="2">
        <v>43940</v>
      </c>
      <c r="B1117" s="4">
        <v>0.60416666666666663</v>
      </c>
      <c r="C1117" s="1" t="s">
        <v>104</v>
      </c>
      <c r="E1117">
        <v>3238</v>
      </c>
      <c r="F1117">
        <v>116</v>
      </c>
      <c r="H1117">
        <v>43</v>
      </c>
      <c r="J1117">
        <v>105</v>
      </c>
      <c r="K1117" s="1" t="s">
        <v>106</v>
      </c>
    </row>
    <row r="1118" spans="1:11">
      <c r="A1118" s="2">
        <v>43940</v>
      </c>
      <c r="B1118" s="4">
        <v>0.61458333333333337</v>
      </c>
      <c r="C1118" s="1" t="s">
        <v>34</v>
      </c>
      <c r="E1118">
        <v>1003</v>
      </c>
      <c r="J1118">
        <v>25</v>
      </c>
      <c r="K1118" s="1" t="s">
        <v>404</v>
      </c>
    </row>
    <row r="1119" spans="1:11">
      <c r="A1119" s="2">
        <v>43941</v>
      </c>
      <c r="B1119" s="4"/>
      <c r="C1119" s="1" t="s">
        <v>47</v>
      </c>
      <c r="E1119">
        <v>806</v>
      </c>
      <c r="F1119">
        <v>40</v>
      </c>
      <c r="G1119">
        <v>6</v>
      </c>
      <c r="H1119">
        <v>3</v>
      </c>
      <c r="I1119">
        <v>664</v>
      </c>
      <c r="J1119">
        <v>25</v>
      </c>
      <c r="K1119" s="1" t="s">
        <v>49</v>
      </c>
    </row>
    <row r="1120" spans="1:11">
      <c r="A1120" s="2">
        <v>43941</v>
      </c>
      <c r="B1120" s="4"/>
      <c r="C1120" s="1" t="s">
        <v>53</v>
      </c>
      <c r="E1120">
        <v>81</v>
      </c>
      <c r="J1120">
        <v>1</v>
      </c>
      <c r="K1120" s="1" t="s">
        <v>406</v>
      </c>
    </row>
    <row r="1121" spans="1:11">
      <c r="A1121" s="2">
        <v>43941</v>
      </c>
      <c r="B1121" s="4"/>
      <c r="C1121" s="1" t="s">
        <v>56</v>
      </c>
      <c r="E1121">
        <v>989</v>
      </c>
      <c r="F1121">
        <v>62</v>
      </c>
      <c r="G1121">
        <v>11</v>
      </c>
      <c r="I1121">
        <v>113</v>
      </c>
      <c r="J1121">
        <v>72</v>
      </c>
      <c r="K1121" s="1" t="s">
        <v>459</v>
      </c>
    </row>
    <row r="1122" spans="1:11">
      <c r="A1122" s="2">
        <v>43941</v>
      </c>
      <c r="B1122" s="4"/>
      <c r="C1122" s="1" t="s">
        <v>58</v>
      </c>
      <c r="D1122">
        <v>22130</v>
      </c>
      <c r="E1122">
        <v>4644</v>
      </c>
      <c r="F1122">
        <v>321</v>
      </c>
      <c r="G1122">
        <v>34</v>
      </c>
      <c r="H1122">
        <v>29</v>
      </c>
      <c r="I1122">
        <v>561</v>
      </c>
      <c r="J1122">
        <v>217</v>
      </c>
      <c r="K1122" s="1" t="s">
        <v>60</v>
      </c>
    </row>
    <row r="1123" spans="1:11">
      <c r="A1123" s="2">
        <v>43941</v>
      </c>
      <c r="B1123" s="4"/>
      <c r="C1123" s="1" t="s">
        <v>63</v>
      </c>
      <c r="E1123">
        <v>785</v>
      </c>
      <c r="F1123">
        <v>29</v>
      </c>
      <c r="J1123">
        <v>42</v>
      </c>
      <c r="K1123" s="1" t="s">
        <v>65</v>
      </c>
    </row>
    <row r="1124" spans="1:11">
      <c r="A1124" s="2">
        <v>43941</v>
      </c>
      <c r="B1124" s="4"/>
      <c r="C1124" s="1" t="s">
        <v>66</v>
      </c>
      <c r="E1124">
        <v>195</v>
      </c>
      <c r="F1124">
        <v>14</v>
      </c>
      <c r="G1124">
        <v>4</v>
      </c>
      <c r="J1124">
        <v>6</v>
      </c>
      <c r="K1124" s="1" t="s">
        <v>483</v>
      </c>
    </row>
    <row r="1125" spans="1:11">
      <c r="A1125" s="2">
        <v>43941</v>
      </c>
      <c r="B1125" s="4"/>
      <c r="C1125" s="1" t="s">
        <v>71</v>
      </c>
      <c r="E1125">
        <v>651</v>
      </c>
      <c r="F1125">
        <v>44</v>
      </c>
      <c r="G1125">
        <v>10</v>
      </c>
      <c r="H1125">
        <v>5</v>
      </c>
      <c r="J1125">
        <v>62</v>
      </c>
      <c r="K1125" s="1" t="s">
        <v>434</v>
      </c>
    </row>
    <row r="1126" spans="1:11">
      <c r="A1126" s="2">
        <v>43941</v>
      </c>
      <c r="B1126" s="4"/>
      <c r="C1126" s="1" t="s">
        <v>73</v>
      </c>
      <c r="E1126">
        <v>108</v>
      </c>
      <c r="F1126">
        <v>4</v>
      </c>
      <c r="G1126">
        <v>2</v>
      </c>
      <c r="J1126">
        <v>3</v>
      </c>
      <c r="K1126" s="1" t="s">
        <v>409</v>
      </c>
    </row>
    <row r="1127" spans="1:11">
      <c r="A1127" s="2">
        <v>43941</v>
      </c>
      <c r="B1127" s="4"/>
      <c r="C1127" s="1" t="s">
        <v>78</v>
      </c>
      <c r="E1127">
        <v>711</v>
      </c>
      <c r="F1127">
        <v>42</v>
      </c>
      <c r="G1127">
        <v>7</v>
      </c>
      <c r="I1127">
        <v>159</v>
      </c>
      <c r="J1127">
        <v>27</v>
      </c>
      <c r="K1127" s="1" t="s">
        <v>80</v>
      </c>
    </row>
    <row r="1128" spans="1:11">
      <c r="A1128" s="2">
        <v>43941</v>
      </c>
      <c r="B1128" s="4"/>
      <c r="C1128" s="1" t="s">
        <v>86</v>
      </c>
      <c r="E1128">
        <v>272</v>
      </c>
      <c r="I1128">
        <v>180</v>
      </c>
      <c r="J1128">
        <v>15</v>
      </c>
      <c r="K1128" s="1" t="s">
        <v>461</v>
      </c>
    </row>
    <row r="1129" spans="1:11">
      <c r="A1129" s="2">
        <v>43941</v>
      </c>
      <c r="B1129" s="4"/>
      <c r="C1129" s="1" t="s">
        <v>88</v>
      </c>
      <c r="E1129">
        <v>335</v>
      </c>
      <c r="F1129">
        <v>24</v>
      </c>
      <c r="G1129">
        <v>12</v>
      </c>
      <c r="J1129">
        <v>13</v>
      </c>
      <c r="K1129" s="1" t="s">
        <v>90</v>
      </c>
    </row>
    <row r="1130" spans="1:11">
      <c r="A1130" s="2">
        <v>43941</v>
      </c>
      <c r="B1130" s="4"/>
      <c r="C1130" s="1" t="s">
        <v>97</v>
      </c>
      <c r="E1130">
        <v>5093</v>
      </c>
      <c r="F1130">
        <v>219</v>
      </c>
      <c r="G1130">
        <v>49</v>
      </c>
      <c r="J1130">
        <v>326</v>
      </c>
      <c r="K1130" s="1" t="s">
        <v>99</v>
      </c>
    </row>
    <row r="1131" spans="1:11">
      <c r="A1131" s="2">
        <v>43941</v>
      </c>
      <c r="B1131" s="4"/>
      <c r="C1131" s="1" t="s">
        <v>100</v>
      </c>
      <c r="E1131">
        <v>1791</v>
      </c>
      <c r="F1131">
        <v>75</v>
      </c>
      <c r="G1131">
        <v>15</v>
      </c>
      <c r="H1131">
        <v>9</v>
      </c>
      <c r="I1131">
        <v>206</v>
      </c>
      <c r="J1131">
        <v>110</v>
      </c>
      <c r="K1131" s="1" t="s">
        <v>484</v>
      </c>
    </row>
    <row r="1132" spans="1:11">
      <c r="A1132" s="2">
        <v>43941</v>
      </c>
      <c r="B1132" s="4">
        <v>0</v>
      </c>
      <c r="C1132" s="1" t="s">
        <v>83</v>
      </c>
      <c r="E1132">
        <v>355</v>
      </c>
      <c r="F1132">
        <v>19</v>
      </c>
      <c r="J1132">
        <v>11</v>
      </c>
      <c r="K1132" s="1" t="s">
        <v>448</v>
      </c>
    </row>
    <row r="1133" spans="1:11">
      <c r="A1133" s="2">
        <v>43941</v>
      </c>
      <c r="B1133" s="4">
        <v>0.33333333333333331</v>
      </c>
      <c r="C1133" s="1" t="s">
        <v>44</v>
      </c>
      <c r="E1133">
        <v>1613</v>
      </c>
      <c r="F1133">
        <v>71</v>
      </c>
      <c r="G1133">
        <v>19</v>
      </c>
      <c r="H1133">
        <v>11</v>
      </c>
      <c r="J1133">
        <v>73</v>
      </c>
      <c r="K1133" s="1" t="s">
        <v>46</v>
      </c>
    </row>
    <row r="1134" spans="1:11">
      <c r="A1134" s="2">
        <v>43941</v>
      </c>
      <c r="B1134" s="4">
        <v>0.33333333333333331</v>
      </c>
      <c r="C1134" s="1" t="s">
        <v>91</v>
      </c>
      <c r="E1134">
        <v>3058</v>
      </c>
      <c r="F1134">
        <v>237</v>
      </c>
      <c r="G1134">
        <v>55</v>
      </c>
      <c r="H1134">
        <v>42</v>
      </c>
      <c r="I1134">
        <v>621</v>
      </c>
      <c r="J1134">
        <v>288</v>
      </c>
      <c r="K1134" s="1" t="s">
        <v>407</v>
      </c>
    </row>
    <row r="1135" spans="1:11">
      <c r="A1135" s="2">
        <v>43941</v>
      </c>
      <c r="B1135" s="4">
        <v>0.33333333333333331</v>
      </c>
      <c r="C1135" s="1" t="s">
        <v>102</v>
      </c>
      <c r="E1135">
        <v>175</v>
      </c>
      <c r="F1135">
        <v>11</v>
      </c>
      <c r="G1135">
        <v>5</v>
      </c>
      <c r="I1135">
        <v>99</v>
      </c>
      <c r="J1135">
        <v>7</v>
      </c>
      <c r="K1135" s="1" t="s">
        <v>440</v>
      </c>
    </row>
    <row r="1136" spans="1:11">
      <c r="A1136" s="2">
        <v>43941</v>
      </c>
      <c r="B1136" s="4">
        <v>0.39583333333333331</v>
      </c>
      <c r="C1136" s="1" t="s">
        <v>50</v>
      </c>
      <c r="E1136">
        <v>928</v>
      </c>
      <c r="I1136">
        <v>770</v>
      </c>
      <c r="J1136">
        <v>42</v>
      </c>
      <c r="K1136" s="1" t="s">
        <v>405</v>
      </c>
    </row>
    <row r="1137" spans="1:11">
      <c r="A1137" s="2">
        <v>43941</v>
      </c>
      <c r="B1137" s="4">
        <v>0.39583333333333331</v>
      </c>
      <c r="C1137" s="1" t="s">
        <v>81</v>
      </c>
      <c r="E1137">
        <v>63</v>
      </c>
      <c r="F1137">
        <v>6</v>
      </c>
      <c r="G1137">
        <v>2</v>
      </c>
      <c r="J1137">
        <v>1</v>
      </c>
      <c r="K1137" s="1" t="s">
        <v>460</v>
      </c>
    </row>
    <row r="1138" spans="1:11">
      <c r="A1138" s="2">
        <v>43941</v>
      </c>
      <c r="B1138" s="4">
        <v>0.45833333333333331</v>
      </c>
      <c r="C1138" s="1" t="s">
        <v>38</v>
      </c>
      <c r="E1138">
        <v>24</v>
      </c>
      <c r="K1138" s="1" t="s">
        <v>40</v>
      </c>
    </row>
    <row r="1139" spans="1:11">
      <c r="A1139" s="2">
        <v>43941</v>
      </c>
      <c r="B1139" s="4">
        <v>0.45833333333333331</v>
      </c>
      <c r="C1139" s="1" t="s">
        <v>68</v>
      </c>
      <c r="E1139">
        <v>633</v>
      </c>
      <c r="F1139">
        <v>33</v>
      </c>
      <c r="G1139">
        <v>5</v>
      </c>
      <c r="J1139">
        <v>15</v>
      </c>
      <c r="K1139" s="1" t="s">
        <v>70</v>
      </c>
    </row>
    <row r="1140" spans="1:11">
      <c r="A1140" s="2">
        <v>43941</v>
      </c>
      <c r="B1140" s="4">
        <v>0.54166666666666663</v>
      </c>
      <c r="C1140" s="1" t="s">
        <v>41</v>
      </c>
      <c r="E1140">
        <v>86</v>
      </c>
      <c r="J1140">
        <v>3</v>
      </c>
      <c r="K1140" s="1" t="s">
        <v>43</v>
      </c>
    </row>
    <row r="1141" spans="1:11">
      <c r="A1141" s="2">
        <v>43941</v>
      </c>
      <c r="B1141" s="4">
        <v>0.54166666666666663</v>
      </c>
      <c r="C1141" s="1" t="s">
        <v>61</v>
      </c>
      <c r="E1141">
        <v>114</v>
      </c>
      <c r="F1141">
        <v>5</v>
      </c>
      <c r="J1141">
        <v>5</v>
      </c>
      <c r="K1141" s="1" t="s">
        <v>446</v>
      </c>
    </row>
    <row r="1142" spans="1:11">
      <c r="A1142" s="2">
        <v>43941</v>
      </c>
      <c r="B1142" s="4">
        <v>0.58333333333333337</v>
      </c>
      <c r="C1142" s="1" t="s">
        <v>94</v>
      </c>
      <c r="E1142">
        <v>78</v>
      </c>
      <c r="F1142">
        <v>2</v>
      </c>
      <c r="I1142">
        <v>69</v>
      </c>
      <c r="J1142">
        <v>5</v>
      </c>
      <c r="K1142" s="1" t="s">
        <v>96</v>
      </c>
    </row>
    <row r="1143" spans="1:11">
      <c r="A1143" s="2">
        <v>43941</v>
      </c>
      <c r="B1143" s="4">
        <v>0.60416666666666663</v>
      </c>
      <c r="C1143" s="1" t="s">
        <v>104</v>
      </c>
      <c r="E1143">
        <v>3254</v>
      </c>
      <c r="F1143">
        <v>121</v>
      </c>
      <c r="H1143">
        <v>43</v>
      </c>
      <c r="J1143">
        <v>107</v>
      </c>
      <c r="K1143" s="1" t="s">
        <v>106</v>
      </c>
    </row>
    <row r="1144" spans="1:11">
      <c r="A1144" s="2">
        <v>43941</v>
      </c>
      <c r="B1144" s="4">
        <v>0.61458333333333337</v>
      </c>
      <c r="C1144" s="1" t="s">
        <v>34</v>
      </c>
      <c r="E1144">
        <v>1012</v>
      </c>
      <c r="F1144">
        <v>45</v>
      </c>
      <c r="G1144">
        <v>16</v>
      </c>
      <c r="H1144">
        <v>16</v>
      </c>
      <c r="I1144">
        <v>640</v>
      </c>
      <c r="J1144">
        <v>28</v>
      </c>
      <c r="K1144" s="1" t="s">
        <v>404</v>
      </c>
    </row>
    <row r="1145" spans="1:11">
      <c r="A1145" s="2">
        <v>43941</v>
      </c>
      <c r="B1145" s="4">
        <v>0.625</v>
      </c>
      <c r="C1145" s="1" t="s">
        <v>75</v>
      </c>
      <c r="E1145">
        <v>67</v>
      </c>
      <c r="F1145">
        <v>0</v>
      </c>
      <c r="J1145">
        <v>0</v>
      </c>
      <c r="K1145" s="1" t="s">
        <v>77</v>
      </c>
    </row>
    <row r="1146" spans="1:11">
      <c r="A1146" s="2">
        <v>43942</v>
      </c>
      <c r="B1146" s="4"/>
      <c r="C1146" s="1" t="s">
        <v>47</v>
      </c>
      <c r="E1146">
        <v>809</v>
      </c>
      <c r="F1146">
        <v>33</v>
      </c>
      <c r="G1146">
        <v>3</v>
      </c>
      <c r="H1146">
        <v>3</v>
      </c>
      <c r="I1146">
        <v>679</v>
      </c>
      <c r="J1146">
        <v>26</v>
      </c>
      <c r="K1146" s="1" t="s">
        <v>49</v>
      </c>
    </row>
    <row r="1147" spans="1:11">
      <c r="A1147" s="2">
        <v>43942</v>
      </c>
      <c r="B1147" s="4"/>
      <c r="C1147" s="1" t="s">
        <v>53</v>
      </c>
      <c r="E1147">
        <v>81</v>
      </c>
      <c r="J1147">
        <v>1</v>
      </c>
      <c r="K1147" s="1" t="s">
        <v>424</v>
      </c>
    </row>
    <row r="1148" spans="1:11">
      <c r="A1148" s="2">
        <v>43942</v>
      </c>
      <c r="B1148" s="4"/>
      <c r="C1148" s="1" t="s">
        <v>56</v>
      </c>
      <c r="E1148">
        <v>995</v>
      </c>
      <c r="F1148">
        <v>60</v>
      </c>
      <c r="G1148">
        <v>8</v>
      </c>
      <c r="I1148">
        <v>115</v>
      </c>
      <c r="J1148">
        <v>74</v>
      </c>
      <c r="K1148" s="1" t="s">
        <v>459</v>
      </c>
    </row>
    <row r="1149" spans="1:11">
      <c r="A1149" s="2">
        <v>43942</v>
      </c>
      <c r="B1149" s="4"/>
      <c r="C1149" s="1" t="s">
        <v>58</v>
      </c>
      <c r="D1149">
        <v>22509</v>
      </c>
      <c r="E1149">
        <v>4670</v>
      </c>
      <c r="F1149">
        <v>304</v>
      </c>
      <c r="G1149">
        <v>32</v>
      </c>
      <c r="H1149">
        <v>29</v>
      </c>
      <c r="I1149">
        <v>581</v>
      </c>
      <c r="J1149">
        <v>222</v>
      </c>
      <c r="K1149" s="1" t="s">
        <v>60</v>
      </c>
    </row>
    <row r="1150" spans="1:11">
      <c r="A1150" s="2">
        <v>43942</v>
      </c>
      <c r="B1150" s="4"/>
      <c r="C1150" s="1" t="s">
        <v>63</v>
      </c>
      <c r="E1150">
        <v>787</v>
      </c>
      <c r="F1150">
        <v>27</v>
      </c>
      <c r="J1150">
        <v>43</v>
      </c>
      <c r="K1150" s="1" t="s">
        <v>65</v>
      </c>
    </row>
    <row r="1151" spans="1:11">
      <c r="A1151" s="2">
        <v>43942</v>
      </c>
      <c r="B1151" s="4"/>
      <c r="C1151" s="1" t="s">
        <v>66</v>
      </c>
      <c r="E1151">
        <v>195</v>
      </c>
      <c r="F1151">
        <v>12</v>
      </c>
      <c r="G1151">
        <v>4</v>
      </c>
      <c r="J1151">
        <v>6</v>
      </c>
      <c r="K1151" s="1" t="s">
        <v>483</v>
      </c>
    </row>
    <row r="1152" spans="1:11">
      <c r="A1152" s="2">
        <v>43942</v>
      </c>
      <c r="B1152" s="4"/>
      <c r="C1152" s="1" t="s">
        <v>71</v>
      </c>
      <c r="E1152">
        <v>656</v>
      </c>
      <c r="F1152">
        <v>37</v>
      </c>
      <c r="G1152">
        <v>7</v>
      </c>
      <c r="H1152">
        <v>4</v>
      </c>
      <c r="J1152">
        <v>63</v>
      </c>
      <c r="K1152" s="1" t="s">
        <v>434</v>
      </c>
    </row>
    <row r="1153" spans="1:11">
      <c r="A1153" s="2">
        <v>43942</v>
      </c>
      <c r="B1153" s="4"/>
      <c r="C1153" s="1" t="s">
        <v>73</v>
      </c>
      <c r="E1153">
        <v>108</v>
      </c>
      <c r="F1153">
        <v>4</v>
      </c>
      <c r="G1153">
        <v>1</v>
      </c>
      <c r="J1153">
        <v>3</v>
      </c>
      <c r="K1153" s="1" t="s">
        <v>409</v>
      </c>
    </row>
    <row r="1154" spans="1:11">
      <c r="A1154" s="2">
        <v>43942</v>
      </c>
      <c r="B1154" s="4"/>
      <c r="C1154" s="1" t="s">
        <v>78</v>
      </c>
      <c r="E1154">
        <v>718</v>
      </c>
      <c r="F1154">
        <v>48</v>
      </c>
      <c r="G1154">
        <v>8</v>
      </c>
      <c r="I1154">
        <v>159</v>
      </c>
      <c r="J1154">
        <v>29</v>
      </c>
      <c r="K1154" s="1" t="s">
        <v>80</v>
      </c>
    </row>
    <row r="1155" spans="1:11">
      <c r="A1155" s="2">
        <v>43942</v>
      </c>
      <c r="B1155" s="4"/>
      <c r="C1155" s="1" t="s">
        <v>88</v>
      </c>
      <c r="E1155">
        <v>339</v>
      </c>
      <c r="F1155">
        <v>24</v>
      </c>
      <c r="G1155">
        <v>12</v>
      </c>
      <c r="J1155">
        <v>13</v>
      </c>
      <c r="K1155" s="1" t="s">
        <v>90</v>
      </c>
    </row>
    <row r="1156" spans="1:11">
      <c r="A1156" s="2">
        <v>43942</v>
      </c>
      <c r="B1156" s="4"/>
      <c r="C1156" s="1" t="s">
        <v>97</v>
      </c>
      <c r="E1156">
        <v>5125</v>
      </c>
      <c r="F1156">
        <v>207</v>
      </c>
      <c r="G1156">
        <v>48</v>
      </c>
      <c r="J1156">
        <v>334</v>
      </c>
      <c r="K1156" s="1" t="s">
        <v>99</v>
      </c>
    </row>
    <row r="1157" spans="1:11">
      <c r="A1157" s="2">
        <v>43942</v>
      </c>
      <c r="B1157" s="4"/>
      <c r="C1157" s="1" t="s">
        <v>100</v>
      </c>
      <c r="E1157">
        <v>1798</v>
      </c>
      <c r="F1157">
        <v>72</v>
      </c>
      <c r="G1157">
        <v>14</v>
      </c>
      <c r="H1157">
        <v>11</v>
      </c>
      <c r="I1157">
        <v>210</v>
      </c>
      <c r="J1157">
        <v>115</v>
      </c>
      <c r="K1157" s="1" t="s">
        <v>484</v>
      </c>
    </row>
    <row r="1158" spans="1:11">
      <c r="A1158" s="2">
        <v>43942</v>
      </c>
      <c r="B1158" s="4">
        <v>0</v>
      </c>
      <c r="C1158" s="1" t="s">
        <v>83</v>
      </c>
      <c r="E1158">
        <v>359</v>
      </c>
      <c r="F1158">
        <v>19</v>
      </c>
      <c r="J1158">
        <v>11</v>
      </c>
      <c r="K1158" s="1" t="s">
        <v>448</v>
      </c>
    </row>
    <row r="1159" spans="1:11">
      <c r="A1159" s="2">
        <v>43942</v>
      </c>
      <c r="B1159" s="4">
        <v>0.33333333333333331</v>
      </c>
      <c r="C1159" s="1" t="s">
        <v>44</v>
      </c>
      <c r="E1159">
        <v>1622</v>
      </c>
      <c r="F1159">
        <v>66</v>
      </c>
      <c r="G1159">
        <v>17</v>
      </c>
      <c r="H1159">
        <v>11</v>
      </c>
      <c r="J1159">
        <v>77</v>
      </c>
      <c r="K1159" s="1" t="s">
        <v>46</v>
      </c>
    </row>
    <row r="1160" spans="1:11">
      <c r="A1160" s="2">
        <v>43942</v>
      </c>
      <c r="B1160" s="4">
        <v>0.33333333333333331</v>
      </c>
      <c r="C1160" s="1" t="s">
        <v>91</v>
      </c>
      <c r="E1160">
        <v>3065</v>
      </c>
      <c r="F1160">
        <v>236</v>
      </c>
      <c r="G1160">
        <v>54</v>
      </c>
      <c r="H1160">
        <v>36</v>
      </c>
      <c r="I1160">
        <v>639</v>
      </c>
      <c r="J1160">
        <v>291</v>
      </c>
      <c r="K1160" s="1" t="s">
        <v>425</v>
      </c>
    </row>
    <row r="1161" spans="1:11">
      <c r="A1161" s="2">
        <v>43942</v>
      </c>
      <c r="B1161" s="4">
        <v>0.33333333333333331</v>
      </c>
      <c r="C1161" s="1" t="s">
        <v>102</v>
      </c>
      <c r="E1161">
        <v>176</v>
      </c>
      <c r="F1161">
        <v>9</v>
      </c>
      <c r="G1161">
        <v>4</v>
      </c>
      <c r="I1161">
        <v>99</v>
      </c>
      <c r="J1161">
        <v>8</v>
      </c>
      <c r="K1161" s="1" t="s">
        <v>440</v>
      </c>
    </row>
    <row r="1162" spans="1:11">
      <c r="A1162" s="2">
        <v>43942</v>
      </c>
      <c r="B1162" s="4">
        <v>0.38541666666666669</v>
      </c>
      <c r="C1162" s="1" t="s">
        <v>50</v>
      </c>
      <c r="E1162">
        <v>928</v>
      </c>
      <c r="F1162">
        <v>54</v>
      </c>
      <c r="G1162">
        <v>9</v>
      </c>
      <c r="I1162">
        <v>781</v>
      </c>
      <c r="J1162">
        <v>44</v>
      </c>
      <c r="K1162" s="1" t="s">
        <v>408</v>
      </c>
    </row>
    <row r="1163" spans="1:11">
      <c r="A1163" s="2">
        <v>43942</v>
      </c>
      <c r="B1163" s="4">
        <v>0.39583333333333331</v>
      </c>
      <c r="C1163" s="1" t="s">
        <v>81</v>
      </c>
      <c r="E1163">
        <v>63</v>
      </c>
      <c r="F1163">
        <v>10</v>
      </c>
      <c r="G1163">
        <v>2</v>
      </c>
      <c r="J1163">
        <v>2</v>
      </c>
      <c r="K1163" s="1" t="s">
        <v>460</v>
      </c>
    </row>
    <row r="1164" spans="1:11">
      <c r="A1164" s="2">
        <v>43942</v>
      </c>
      <c r="B1164" s="4">
        <v>0.41666666666666669</v>
      </c>
      <c r="C1164" s="1" t="s">
        <v>86</v>
      </c>
      <c r="E1164">
        <v>276</v>
      </c>
      <c r="I1164">
        <v>192</v>
      </c>
      <c r="J1164">
        <v>16</v>
      </c>
      <c r="K1164" s="1" t="s">
        <v>461</v>
      </c>
    </row>
    <row r="1165" spans="1:11">
      <c r="A1165" s="2">
        <v>43942</v>
      </c>
      <c r="B1165" s="4">
        <v>0.45833333333333331</v>
      </c>
      <c r="C1165" s="1" t="s">
        <v>38</v>
      </c>
      <c r="E1165">
        <v>24</v>
      </c>
      <c r="K1165" s="1" t="s">
        <v>40</v>
      </c>
    </row>
    <row r="1166" spans="1:11">
      <c r="A1166" s="2">
        <v>43942</v>
      </c>
      <c r="B1166" s="4">
        <v>0.47916666666666669</v>
      </c>
      <c r="C1166" s="1" t="s">
        <v>75</v>
      </c>
      <c r="E1166">
        <v>67</v>
      </c>
      <c r="F1166">
        <v>0</v>
      </c>
      <c r="J1166">
        <v>0</v>
      </c>
      <c r="K1166" s="1" t="s">
        <v>77</v>
      </c>
    </row>
    <row r="1167" spans="1:11">
      <c r="A1167" s="2">
        <v>43942</v>
      </c>
      <c r="B1167" s="4">
        <v>0.5</v>
      </c>
      <c r="C1167" s="1" t="s">
        <v>68</v>
      </c>
      <c r="E1167">
        <v>643</v>
      </c>
      <c r="F1167">
        <v>35</v>
      </c>
      <c r="G1167">
        <v>5</v>
      </c>
      <c r="J1167">
        <v>15</v>
      </c>
      <c r="K1167" s="1" t="s">
        <v>70</v>
      </c>
    </row>
    <row r="1168" spans="1:11">
      <c r="A1168" s="2">
        <v>43942</v>
      </c>
      <c r="B1168" s="4">
        <v>0.54166666666666663</v>
      </c>
      <c r="C1168" s="1" t="s">
        <v>41</v>
      </c>
      <c r="E1168">
        <v>86</v>
      </c>
      <c r="J1168">
        <v>3</v>
      </c>
      <c r="K1168" s="1" t="s">
        <v>43</v>
      </c>
    </row>
    <row r="1169" spans="1:11">
      <c r="A1169" s="2">
        <v>43942</v>
      </c>
      <c r="B1169" s="4">
        <v>0.5625</v>
      </c>
      <c r="C1169" s="1" t="s">
        <v>61</v>
      </c>
      <c r="E1169">
        <v>115</v>
      </c>
      <c r="F1169">
        <v>3</v>
      </c>
      <c r="J1169">
        <v>6</v>
      </c>
      <c r="K1169" s="1" t="s">
        <v>446</v>
      </c>
    </row>
    <row r="1170" spans="1:11">
      <c r="A1170" s="2">
        <v>43942</v>
      </c>
      <c r="B1170" s="4">
        <v>0.60416666666666663</v>
      </c>
      <c r="C1170" s="1" t="s">
        <v>104</v>
      </c>
      <c r="E1170">
        <v>3280</v>
      </c>
      <c r="F1170">
        <v>110</v>
      </c>
      <c r="H1170">
        <v>41</v>
      </c>
      <c r="J1170">
        <v>109</v>
      </c>
      <c r="K1170" s="1" t="s">
        <v>106</v>
      </c>
    </row>
    <row r="1171" spans="1:11">
      <c r="A1171" s="2">
        <v>43942</v>
      </c>
      <c r="B1171" s="4">
        <v>0.61458333333333337</v>
      </c>
      <c r="C1171" s="1" t="s">
        <v>34</v>
      </c>
      <c r="E1171">
        <v>1017</v>
      </c>
      <c r="F1171">
        <v>43</v>
      </c>
      <c r="G1171">
        <v>18</v>
      </c>
      <c r="H1171">
        <v>18</v>
      </c>
      <c r="I1171">
        <v>680</v>
      </c>
      <c r="J1171">
        <v>29</v>
      </c>
      <c r="K1171" s="1" t="s">
        <v>423</v>
      </c>
    </row>
    <row r="1172" spans="1:11">
      <c r="A1172" s="2">
        <v>43942</v>
      </c>
      <c r="B1172" s="4">
        <v>0.70833333333333337</v>
      </c>
      <c r="C1172" s="1" t="s">
        <v>94</v>
      </c>
      <c r="E1172">
        <v>78</v>
      </c>
      <c r="F1172">
        <v>2</v>
      </c>
      <c r="I1172">
        <v>69</v>
      </c>
      <c r="J1172">
        <v>5</v>
      </c>
      <c r="K1172" s="1" t="s">
        <v>96</v>
      </c>
    </row>
    <row r="1173" spans="1:11">
      <c r="A1173" s="2">
        <v>43943</v>
      </c>
      <c r="B1173" s="4"/>
      <c r="C1173" s="1" t="s">
        <v>47</v>
      </c>
      <c r="E1173">
        <v>811</v>
      </c>
      <c r="F1173">
        <v>33</v>
      </c>
      <c r="G1173">
        <v>3</v>
      </c>
      <c r="H1173">
        <v>3</v>
      </c>
      <c r="I1173">
        <v>683</v>
      </c>
      <c r="J1173">
        <v>26</v>
      </c>
      <c r="K1173" s="1" t="s">
        <v>49</v>
      </c>
    </row>
    <row r="1174" spans="1:11">
      <c r="A1174" s="2">
        <v>43943</v>
      </c>
      <c r="B1174" s="4"/>
      <c r="C1174" s="1" t="s">
        <v>53</v>
      </c>
      <c r="E1174">
        <v>81</v>
      </c>
      <c r="J1174">
        <v>1</v>
      </c>
      <c r="K1174" s="1" t="s">
        <v>433</v>
      </c>
    </row>
    <row r="1175" spans="1:11">
      <c r="A1175" s="2">
        <v>43943</v>
      </c>
      <c r="B1175" s="4"/>
      <c r="C1175" s="1" t="s">
        <v>56</v>
      </c>
      <c r="E1175">
        <v>1006</v>
      </c>
      <c r="F1175">
        <v>57</v>
      </c>
      <c r="G1175">
        <v>5</v>
      </c>
      <c r="I1175">
        <v>116</v>
      </c>
      <c r="J1175">
        <v>76</v>
      </c>
      <c r="K1175" s="1" t="s">
        <v>459</v>
      </c>
    </row>
    <row r="1176" spans="1:11">
      <c r="A1176" s="2">
        <v>43943</v>
      </c>
      <c r="B1176" s="4"/>
      <c r="C1176" s="1" t="s">
        <v>58</v>
      </c>
      <c r="D1176">
        <v>22872</v>
      </c>
      <c r="E1176">
        <v>4691</v>
      </c>
      <c r="F1176">
        <v>288</v>
      </c>
      <c r="G1176">
        <v>30</v>
      </c>
      <c r="H1176">
        <v>27</v>
      </c>
      <c r="I1176">
        <v>589</v>
      </c>
      <c r="J1176">
        <v>227</v>
      </c>
      <c r="K1176" s="1" t="s">
        <v>60</v>
      </c>
    </row>
    <row r="1177" spans="1:11">
      <c r="A1177" s="2">
        <v>43943</v>
      </c>
      <c r="B1177" s="4"/>
      <c r="C1177" s="1" t="s">
        <v>63</v>
      </c>
      <c r="E1177">
        <v>791</v>
      </c>
      <c r="F1177">
        <v>26</v>
      </c>
      <c r="J1177">
        <v>43</v>
      </c>
      <c r="K1177" s="1" t="s">
        <v>65</v>
      </c>
    </row>
    <row r="1178" spans="1:11">
      <c r="A1178" s="2">
        <v>43943</v>
      </c>
      <c r="B1178" s="4"/>
      <c r="C1178" s="1" t="s">
        <v>66</v>
      </c>
      <c r="E1178">
        <v>196</v>
      </c>
      <c r="F1178">
        <v>12</v>
      </c>
      <c r="G1178">
        <v>4</v>
      </c>
      <c r="J1178">
        <v>6</v>
      </c>
      <c r="K1178" s="1" t="s">
        <v>483</v>
      </c>
    </row>
    <row r="1179" spans="1:11">
      <c r="A1179" s="2">
        <v>43943</v>
      </c>
      <c r="B1179" s="4"/>
      <c r="C1179" s="1" t="s">
        <v>71</v>
      </c>
      <c r="E1179">
        <v>663</v>
      </c>
      <c r="F1179">
        <v>37</v>
      </c>
      <c r="G1179">
        <v>6</v>
      </c>
      <c r="H1179">
        <v>4</v>
      </c>
      <c r="J1179">
        <v>65</v>
      </c>
      <c r="K1179" s="1" t="s">
        <v>434</v>
      </c>
    </row>
    <row r="1180" spans="1:11">
      <c r="A1180" s="2">
        <v>43943</v>
      </c>
      <c r="B1180" s="4"/>
      <c r="C1180" s="1" t="s">
        <v>73</v>
      </c>
      <c r="E1180">
        <v>108</v>
      </c>
      <c r="F1180">
        <v>4</v>
      </c>
      <c r="G1180">
        <v>1</v>
      </c>
      <c r="J1180">
        <v>3</v>
      </c>
      <c r="K1180" s="1" t="s">
        <v>409</v>
      </c>
    </row>
    <row r="1181" spans="1:11">
      <c r="A1181" s="2">
        <v>43943</v>
      </c>
      <c r="B1181" s="4"/>
      <c r="C1181" s="1" t="s">
        <v>78</v>
      </c>
      <c r="E1181">
        <v>724</v>
      </c>
      <c r="F1181">
        <v>52</v>
      </c>
      <c r="G1181">
        <v>6</v>
      </c>
      <c r="I1181">
        <v>162</v>
      </c>
      <c r="J1181">
        <v>29</v>
      </c>
      <c r="K1181" s="1" t="s">
        <v>80</v>
      </c>
    </row>
    <row r="1182" spans="1:11">
      <c r="A1182" s="2">
        <v>43943</v>
      </c>
      <c r="B1182" s="4"/>
      <c r="C1182" s="1" t="s">
        <v>88</v>
      </c>
      <c r="E1182">
        <v>340</v>
      </c>
      <c r="F1182">
        <v>23</v>
      </c>
      <c r="G1182">
        <v>9</v>
      </c>
      <c r="J1182">
        <v>14</v>
      </c>
      <c r="K1182" s="1" t="s">
        <v>90</v>
      </c>
    </row>
    <row r="1183" spans="1:11">
      <c r="A1183" s="2">
        <v>43943</v>
      </c>
      <c r="B1183" s="4"/>
      <c r="C1183" s="1" t="s">
        <v>97</v>
      </c>
      <c r="E1183">
        <v>5146</v>
      </c>
      <c r="F1183">
        <v>194</v>
      </c>
      <c r="G1183">
        <v>46</v>
      </c>
      <c r="J1183">
        <v>338</v>
      </c>
      <c r="K1183" s="1" t="s">
        <v>99</v>
      </c>
    </row>
    <row r="1184" spans="1:11">
      <c r="A1184" s="2">
        <v>43943</v>
      </c>
      <c r="B1184" s="4"/>
      <c r="C1184" s="1" t="s">
        <v>100</v>
      </c>
      <c r="E1184">
        <v>1804</v>
      </c>
      <c r="F1184">
        <v>73</v>
      </c>
      <c r="G1184">
        <v>13</v>
      </c>
      <c r="H1184">
        <v>11</v>
      </c>
      <c r="I1184">
        <v>210</v>
      </c>
      <c r="J1184">
        <v>118</v>
      </c>
      <c r="K1184" s="1" t="s">
        <v>484</v>
      </c>
    </row>
    <row r="1185" spans="1:11">
      <c r="A1185" s="2">
        <v>43943</v>
      </c>
      <c r="B1185" s="4">
        <v>0</v>
      </c>
      <c r="C1185" s="1" t="s">
        <v>83</v>
      </c>
      <c r="E1185">
        <v>368</v>
      </c>
      <c r="F1185">
        <v>18</v>
      </c>
      <c r="J1185">
        <v>11</v>
      </c>
      <c r="K1185" s="1" t="s">
        <v>448</v>
      </c>
    </row>
    <row r="1186" spans="1:11">
      <c r="A1186" s="2">
        <v>43943</v>
      </c>
      <c r="B1186" s="4">
        <v>0.33333333333333331</v>
      </c>
      <c r="C1186" s="1" t="s">
        <v>44</v>
      </c>
      <c r="E1186">
        <v>1643</v>
      </c>
      <c r="F1186">
        <v>67</v>
      </c>
      <c r="G1186">
        <v>14</v>
      </c>
      <c r="H1186">
        <v>10</v>
      </c>
      <c r="J1186">
        <v>77</v>
      </c>
      <c r="K1186" s="1" t="s">
        <v>46</v>
      </c>
    </row>
    <row r="1187" spans="1:11">
      <c r="A1187" s="2">
        <v>43943</v>
      </c>
      <c r="B1187" s="4">
        <v>0.33333333333333331</v>
      </c>
      <c r="C1187" s="1" t="s">
        <v>91</v>
      </c>
      <c r="E1187">
        <v>3089</v>
      </c>
      <c r="F1187">
        <v>213</v>
      </c>
      <c r="G1187">
        <v>42</v>
      </c>
      <c r="H1187">
        <v>32</v>
      </c>
      <c r="I1187">
        <v>661</v>
      </c>
      <c r="J1187">
        <v>295</v>
      </c>
      <c r="K1187" s="1" t="s">
        <v>435</v>
      </c>
    </row>
    <row r="1188" spans="1:11">
      <c r="A1188" s="2">
        <v>43943</v>
      </c>
      <c r="B1188" s="4">
        <v>0.33333333333333331</v>
      </c>
      <c r="C1188" s="1" t="s">
        <v>102</v>
      </c>
      <c r="E1188">
        <v>176</v>
      </c>
      <c r="F1188">
        <v>6</v>
      </c>
      <c r="G1188">
        <v>3</v>
      </c>
      <c r="I1188">
        <v>131</v>
      </c>
      <c r="J1188">
        <v>8</v>
      </c>
      <c r="K1188" s="1" t="s">
        <v>440</v>
      </c>
    </row>
    <row r="1189" spans="1:11">
      <c r="A1189" s="2">
        <v>43943</v>
      </c>
      <c r="B1189" s="4">
        <v>0.39583333333333331</v>
      </c>
      <c r="C1189" s="1" t="s">
        <v>81</v>
      </c>
      <c r="E1189">
        <v>63</v>
      </c>
      <c r="F1189">
        <v>10</v>
      </c>
      <c r="G1189">
        <v>2</v>
      </c>
      <c r="J1189">
        <v>3</v>
      </c>
      <c r="K1189" s="1" t="s">
        <v>460</v>
      </c>
    </row>
    <row r="1190" spans="1:11">
      <c r="A1190" s="2">
        <v>43943</v>
      </c>
      <c r="B1190" s="4">
        <v>0.40625</v>
      </c>
      <c r="C1190" s="1" t="s">
        <v>50</v>
      </c>
      <c r="E1190">
        <v>928</v>
      </c>
      <c r="F1190">
        <v>49</v>
      </c>
      <c r="G1190">
        <v>7</v>
      </c>
      <c r="I1190">
        <v>786</v>
      </c>
      <c r="J1190">
        <v>45</v>
      </c>
      <c r="K1190" s="1" t="s">
        <v>431</v>
      </c>
    </row>
    <row r="1191" spans="1:11">
      <c r="A1191" s="2">
        <v>43943</v>
      </c>
      <c r="B1191" s="4">
        <v>0.41666666666666669</v>
      </c>
      <c r="C1191" s="1" t="s">
        <v>86</v>
      </c>
      <c r="E1191">
        <v>282</v>
      </c>
      <c r="I1191">
        <v>194</v>
      </c>
      <c r="J1191">
        <v>16</v>
      </c>
      <c r="K1191" s="1" t="s">
        <v>461</v>
      </c>
    </row>
    <row r="1192" spans="1:11">
      <c r="A1192" s="2">
        <v>43943</v>
      </c>
      <c r="B1192" s="4">
        <v>0.45833333333333331</v>
      </c>
      <c r="C1192" s="1" t="s">
        <v>38</v>
      </c>
      <c r="E1192">
        <v>24</v>
      </c>
      <c r="K1192" s="1" t="s">
        <v>40</v>
      </c>
    </row>
    <row r="1193" spans="1:11">
      <c r="A1193" s="2">
        <v>43943</v>
      </c>
      <c r="B1193" s="4">
        <v>0.45833333333333331</v>
      </c>
      <c r="C1193" s="1" t="s">
        <v>68</v>
      </c>
      <c r="E1193">
        <v>648</v>
      </c>
      <c r="J1193">
        <v>15</v>
      </c>
      <c r="K1193" s="1" t="s">
        <v>70</v>
      </c>
    </row>
    <row r="1194" spans="1:11">
      <c r="A1194" s="2">
        <v>43943</v>
      </c>
      <c r="B1194" s="4">
        <v>0.5625</v>
      </c>
      <c r="C1194" s="1" t="s">
        <v>61</v>
      </c>
      <c r="E1194">
        <v>117</v>
      </c>
      <c r="F1194">
        <v>3</v>
      </c>
      <c r="J1194">
        <v>6</v>
      </c>
      <c r="K1194" s="1" t="s">
        <v>446</v>
      </c>
    </row>
    <row r="1195" spans="1:11">
      <c r="A1195" s="2">
        <v>43943</v>
      </c>
      <c r="B1195" s="4">
        <v>0.60416666666666663</v>
      </c>
      <c r="C1195" s="1" t="s">
        <v>104</v>
      </c>
      <c r="E1195">
        <v>3320</v>
      </c>
      <c r="F1195">
        <v>110</v>
      </c>
      <c r="H1195">
        <v>44</v>
      </c>
      <c r="J1195">
        <v>110</v>
      </c>
      <c r="K1195" s="1" t="s">
        <v>106</v>
      </c>
    </row>
    <row r="1196" spans="1:11">
      <c r="A1196" s="2">
        <v>43943</v>
      </c>
      <c r="B1196" s="4">
        <v>0.61458333333333337</v>
      </c>
      <c r="C1196" s="1" t="s">
        <v>34</v>
      </c>
      <c r="E1196">
        <v>1026</v>
      </c>
      <c r="F1196">
        <v>37</v>
      </c>
      <c r="G1196">
        <v>15</v>
      </c>
      <c r="H1196">
        <v>15</v>
      </c>
      <c r="I1196">
        <v>710</v>
      </c>
      <c r="J1196">
        <v>31</v>
      </c>
      <c r="K1196" s="1" t="s">
        <v>432</v>
      </c>
    </row>
    <row r="1197" spans="1:11">
      <c r="A1197" s="2">
        <v>43943</v>
      </c>
      <c r="B1197" s="4">
        <v>0.625</v>
      </c>
      <c r="C1197" s="1" t="s">
        <v>94</v>
      </c>
      <c r="E1197">
        <v>78</v>
      </c>
      <c r="F1197">
        <v>3</v>
      </c>
      <c r="I1197">
        <v>69</v>
      </c>
      <c r="J1197">
        <v>5</v>
      </c>
      <c r="K1197" s="1" t="s">
        <v>96</v>
      </c>
    </row>
    <row r="1198" spans="1:11">
      <c r="A1198" s="2">
        <v>43943</v>
      </c>
      <c r="B1198" s="4">
        <v>0.66666666666666663</v>
      </c>
      <c r="C1198" s="1" t="s">
        <v>75</v>
      </c>
      <c r="E1198">
        <v>67</v>
      </c>
      <c r="F1198">
        <v>0</v>
      </c>
      <c r="J1198">
        <v>0</v>
      </c>
      <c r="K1198" s="1" t="s">
        <v>77</v>
      </c>
    </row>
    <row r="1199" spans="1:11">
      <c r="A1199" s="2">
        <v>43943</v>
      </c>
      <c r="B1199" s="4">
        <v>0.75</v>
      </c>
      <c r="C1199" s="1" t="s">
        <v>41</v>
      </c>
      <c r="E1199">
        <v>87</v>
      </c>
      <c r="J1199">
        <v>3</v>
      </c>
      <c r="K1199" s="1" t="s">
        <v>43</v>
      </c>
    </row>
    <row r="1200" spans="1:11">
      <c r="A1200" s="2">
        <v>43944</v>
      </c>
      <c r="B1200" s="4"/>
      <c r="C1200" s="1" t="s">
        <v>47</v>
      </c>
      <c r="E1200">
        <v>811</v>
      </c>
      <c r="F1200">
        <v>32</v>
      </c>
      <c r="G1200">
        <v>3</v>
      </c>
      <c r="H1200">
        <v>2</v>
      </c>
      <c r="I1200">
        <v>692</v>
      </c>
      <c r="J1200">
        <v>26</v>
      </c>
      <c r="K1200" s="1" t="s">
        <v>49</v>
      </c>
    </row>
    <row r="1201" spans="1:11">
      <c r="A1201" s="2">
        <v>43944</v>
      </c>
      <c r="B1201" s="4"/>
      <c r="C1201" s="1" t="s">
        <v>53</v>
      </c>
      <c r="E1201">
        <v>81</v>
      </c>
      <c r="J1201">
        <v>1</v>
      </c>
      <c r="K1201" s="1" t="s">
        <v>443</v>
      </c>
    </row>
    <row r="1202" spans="1:11">
      <c r="A1202" s="2">
        <v>43944</v>
      </c>
      <c r="B1202" s="4"/>
      <c r="C1202" s="1" t="s">
        <v>56</v>
      </c>
      <c r="E1202">
        <v>1014</v>
      </c>
      <c r="F1202">
        <v>57</v>
      </c>
      <c r="G1202">
        <v>5</v>
      </c>
      <c r="I1202">
        <v>118</v>
      </c>
      <c r="J1202">
        <v>76</v>
      </c>
      <c r="K1202" s="1" t="s">
        <v>459</v>
      </c>
    </row>
    <row r="1203" spans="1:11">
      <c r="A1203" s="2">
        <v>43944</v>
      </c>
      <c r="B1203" s="4"/>
      <c r="C1203" s="1" t="s">
        <v>58</v>
      </c>
      <c r="D1203">
        <v>23330</v>
      </c>
      <c r="E1203">
        <v>4721</v>
      </c>
      <c r="F1203">
        <v>284</v>
      </c>
      <c r="G1203">
        <v>29</v>
      </c>
      <c r="H1203">
        <v>27</v>
      </c>
      <c r="I1203">
        <v>592</v>
      </c>
      <c r="J1203">
        <v>231</v>
      </c>
      <c r="K1203" s="1" t="s">
        <v>60</v>
      </c>
    </row>
    <row r="1204" spans="1:11">
      <c r="A1204" s="2">
        <v>43944</v>
      </c>
      <c r="B1204" s="4"/>
      <c r="C1204" s="1" t="s">
        <v>63</v>
      </c>
      <c r="E1204">
        <v>794</v>
      </c>
      <c r="F1204">
        <v>26</v>
      </c>
      <c r="J1204">
        <v>43</v>
      </c>
      <c r="K1204" s="1" t="s">
        <v>65</v>
      </c>
    </row>
    <row r="1205" spans="1:11">
      <c r="A1205" s="2">
        <v>43944</v>
      </c>
      <c r="B1205" s="4"/>
      <c r="C1205" s="1" t="s">
        <v>66</v>
      </c>
      <c r="E1205">
        <v>196</v>
      </c>
      <c r="F1205">
        <v>11</v>
      </c>
      <c r="G1205">
        <v>4</v>
      </c>
      <c r="J1205">
        <v>6</v>
      </c>
      <c r="K1205" s="1" t="s">
        <v>483</v>
      </c>
    </row>
    <row r="1206" spans="1:11">
      <c r="A1206" s="2">
        <v>43944</v>
      </c>
      <c r="B1206" s="4"/>
      <c r="C1206" s="1" t="s">
        <v>71</v>
      </c>
      <c r="E1206">
        <v>670</v>
      </c>
      <c r="F1206">
        <v>35</v>
      </c>
      <c r="G1206">
        <v>6</v>
      </c>
      <c r="H1206">
        <v>4</v>
      </c>
      <c r="K1206" s="1" t="s">
        <v>434</v>
      </c>
    </row>
    <row r="1207" spans="1:11">
      <c r="A1207" s="2">
        <v>43944</v>
      </c>
      <c r="B1207" s="4"/>
      <c r="C1207" s="1" t="s">
        <v>73</v>
      </c>
      <c r="E1207">
        <v>108</v>
      </c>
      <c r="F1207">
        <v>4</v>
      </c>
      <c r="G1207">
        <v>1</v>
      </c>
      <c r="J1207">
        <v>3</v>
      </c>
      <c r="K1207" s="1" t="s">
        <v>409</v>
      </c>
    </row>
    <row r="1208" spans="1:11">
      <c r="A1208" s="2">
        <v>43944</v>
      </c>
      <c r="B1208" s="4"/>
      <c r="C1208" s="1" t="s">
        <v>78</v>
      </c>
      <c r="E1208">
        <v>736</v>
      </c>
      <c r="F1208">
        <v>37</v>
      </c>
      <c r="G1208">
        <v>2</v>
      </c>
      <c r="I1208">
        <v>170</v>
      </c>
      <c r="J1208">
        <v>31</v>
      </c>
      <c r="K1208" s="1" t="s">
        <v>80</v>
      </c>
    </row>
    <row r="1209" spans="1:11">
      <c r="A1209" s="2">
        <v>43944</v>
      </c>
      <c r="B1209" s="4"/>
      <c r="C1209" s="1" t="s">
        <v>88</v>
      </c>
      <c r="E1209">
        <v>353</v>
      </c>
      <c r="F1209">
        <v>21</v>
      </c>
      <c r="G1209">
        <v>9</v>
      </c>
      <c r="J1209">
        <v>14</v>
      </c>
      <c r="K1209" s="1" t="s">
        <v>90</v>
      </c>
    </row>
    <row r="1210" spans="1:11">
      <c r="A1210" s="2">
        <v>43944</v>
      </c>
      <c r="B1210" s="4"/>
      <c r="C1210" s="1" t="s">
        <v>97</v>
      </c>
      <c r="E1210">
        <v>5180</v>
      </c>
      <c r="F1210">
        <v>195</v>
      </c>
      <c r="G1210">
        <v>44</v>
      </c>
      <c r="J1210">
        <v>347</v>
      </c>
      <c r="K1210" s="1" t="s">
        <v>99</v>
      </c>
    </row>
    <row r="1211" spans="1:11">
      <c r="A1211" s="2">
        <v>43944</v>
      </c>
      <c r="B1211" s="4"/>
      <c r="C1211" s="1" t="s">
        <v>100</v>
      </c>
      <c r="E1211">
        <v>1820</v>
      </c>
      <c r="F1211">
        <v>69</v>
      </c>
      <c r="G1211">
        <v>13</v>
      </c>
      <c r="H1211">
        <v>10</v>
      </c>
      <c r="I1211">
        <v>211</v>
      </c>
      <c r="J1211">
        <v>123</v>
      </c>
      <c r="K1211" s="1" t="s">
        <v>484</v>
      </c>
    </row>
    <row r="1212" spans="1:11">
      <c r="A1212" s="2">
        <v>43944</v>
      </c>
      <c r="B1212" s="4">
        <v>0</v>
      </c>
      <c r="C1212" s="1" t="s">
        <v>83</v>
      </c>
      <c r="E1212">
        <v>375</v>
      </c>
      <c r="F1212">
        <v>15</v>
      </c>
      <c r="J1212">
        <v>12</v>
      </c>
      <c r="K1212" s="1" t="s">
        <v>448</v>
      </c>
    </row>
    <row r="1213" spans="1:11">
      <c r="A1213" s="2">
        <v>43944</v>
      </c>
      <c r="B1213" s="4">
        <v>0.33333333333333331</v>
      </c>
      <c r="C1213" s="1" t="s">
        <v>44</v>
      </c>
      <c r="E1213">
        <v>1670</v>
      </c>
      <c r="F1213">
        <v>66</v>
      </c>
      <c r="G1213">
        <v>11</v>
      </c>
      <c r="H1213">
        <v>7</v>
      </c>
      <c r="J1213">
        <v>79</v>
      </c>
      <c r="K1213" s="1" t="s">
        <v>46</v>
      </c>
    </row>
    <row r="1214" spans="1:11">
      <c r="A1214" s="2">
        <v>43944</v>
      </c>
      <c r="B1214" s="4">
        <v>0.33333333333333331</v>
      </c>
      <c r="C1214" s="1" t="s">
        <v>91</v>
      </c>
      <c r="E1214">
        <v>3106</v>
      </c>
      <c r="F1214">
        <v>215</v>
      </c>
      <c r="G1214">
        <v>41</v>
      </c>
      <c r="H1214">
        <v>32</v>
      </c>
      <c r="I1214">
        <v>676</v>
      </c>
      <c r="J1214">
        <v>298</v>
      </c>
      <c r="K1214" s="1" t="s">
        <v>442</v>
      </c>
    </row>
    <row r="1215" spans="1:11">
      <c r="A1215" s="2">
        <v>43944</v>
      </c>
      <c r="B1215" s="4">
        <v>0.33333333333333331</v>
      </c>
      <c r="C1215" s="1" t="s">
        <v>102</v>
      </c>
      <c r="E1215">
        <v>178</v>
      </c>
      <c r="F1215">
        <v>6</v>
      </c>
      <c r="G1215">
        <v>3</v>
      </c>
      <c r="I1215">
        <v>133</v>
      </c>
      <c r="J1215">
        <v>8</v>
      </c>
      <c r="K1215" s="1" t="s">
        <v>440</v>
      </c>
    </row>
    <row r="1216" spans="1:11">
      <c r="A1216" s="2">
        <v>43944</v>
      </c>
      <c r="B1216" s="4">
        <v>0.375</v>
      </c>
      <c r="C1216" s="1" t="s">
        <v>50</v>
      </c>
      <c r="E1216">
        <v>931</v>
      </c>
      <c r="F1216">
        <v>42</v>
      </c>
      <c r="G1216">
        <v>7</v>
      </c>
      <c r="I1216">
        <v>793</v>
      </c>
      <c r="J1216">
        <v>45</v>
      </c>
      <c r="K1216" s="1" t="s">
        <v>445</v>
      </c>
    </row>
    <row r="1217" spans="1:11">
      <c r="A1217" s="2">
        <v>43944</v>
      </c>
      <c r="B1217" s="4">
        <v>0.39583333333333331</v>
      </c>
      <c r="C1217" s="1" t="s">
        <v>81</v>
      </c>
      <c r="E1217">
        <v>65</v>
      </c>
      <c r="F1217">
        <v>8</v>
      </c>
      <c r="G1217">
        <v>2</v>
      </c>
      <c r="J1217">
        <v>3</v>
      </c>
      <c r="K1217" s="1" t="s">
        <v>460</v>
      </c>
    </row>
    <row r="1218" spans="1:11">
      <c r="A1218" s="2">
        <v>43944</v>
      </c>
      <c r="B1218" s="4">
        <v>0.41666666666666669</v>
      </c>
      <c r="C1218" s="1" t="s">
        <v>86</v>
      </c>
      <c r="E1218">
        <v>282</v>
      </c>
      <c r="I1218">
        <v>198</v>
      </c>
      <c r="J1218">
        <v>16</v>
      </c>
      <c r="K1218" s="1" t="s">
        <v>461</v>
      </c>
    </row>
    <row r="1219" spans="1:11">
      <c r="A1219" s="2">
        <v>43944</v>
      </c>
      <c r="B1219" s="4">
        <v>0.45833333333333331</v>
      </c>
      <c r="C1219" s="1" t="s">
        <v>38</v>
      </c>
      <c r="E1219">
        <v>25</v>
      </c>
      <c r="K1219" s="1" t="s">
        <v>40</v>
      </c>
    </row>
    <row r="1220" spans="1:11">
      <c r="A1220" s="2">
        <v>43944</v>
      </c>
      <c r="B1220" s="4">
        <v>0.45833333333333331</v>
      </c>
      <c r="C1220" s="1" t="s">
        <v>68</v>
      </c>
      <c r="E1220">
        <v>654</v>
      </c>
      <c r="F1220">
        <v>38</v>
      </c>
      <c r="G1220">
        <v>7</v>
      </c>
      <c r="J1220">
        <v>15</v>
      </c>
      <c r="K1220" s="1" t="s">
        <v>70</v>
      </c>
    </row>
    <row r="1221" spans="1:11">
      <c r="A1221" s="2">
        <v>43944</v>
      </c>
      <c r="B1221" s="4">
        <v>0.54166666666666663</v>
      </c>
      <c r="C1221" s="1" t="s">
        <v>75</v>
      </c>
      <c r="E1221">
        <v>68</v>
      </c>
      <c r="F1221">
        <v>0</v>
      </c>
      <c r="J1221">
        <v>0</v>
      </c>
      <c r="K1221" s="1" t="s">
        <v>77</v>
      </c>
    </row>
    <row r="1222" spans="1:11">
      <c r="A1222" s="2">
        <v>43944</v>
      </c>
      <c r="B1222" s="4">
        <v>0.5625</v>
      </c>
      <c r="C1222" s="1" t="s">
        <v>61</v>
      </c>
      <c r="E1222">
        <v>117</v>
      </c>
      <c r="F1222">
        <v>3</v>
      </c>
      <c r="J1222">
        <v>6</v>
      </c>
      <c r="K1222" s="1" t="s">
        <v>446</v>
      </c>
    </row>
    <row r="1223" spans="1:11">
      <c r="A1223" s="2">
        <v>43944</v>
      </c>
      <c r="B1223" s="4">
        <v>0.58333333333333337</v>
      </c>
      <c r="C1223" s="1" t="s">
        <v>41</v>
      </c>
      <c r="E1223">
        <v>88</v>
      </c>
      <c r="F1223">
        <v>5</v>
      </c>
      <c r="G1223">
        <v>2</v>
      </c>
      <c r="J1223">
        <v>3</v>
      </c>
      <c r="K1223" s="1" t="s">
        <v>43</v>
      </c>
    </row>
    <row r="1224" spans="1:11">
      <c r="A1224" s="2">
        <v>43944</v>
      </c>
      <c r="B1224" s="4">
        <v>0.60416666666666663</v>
      </c>
      <c r="C1224" s="1" t="s">
        <v>104</v>
      </c>
      <c r="E1224">
        <v>3337</v>
      </c>
      <c r="F1224">
        <v>96</v>
      </c>
      <c r="H1224">
        <v>44</v>
      </c>
      <c r="J1224">
        <v>113</v>
      </c>
      <c r="K1224" s="1" t="s">
        <v>106</v>
      </c>
    </row>
    <row r="1225" spans="1:11">
      <c r="A1225" s="2">
        <v>43944</v>
      </c>
      <c r="B1225" s="4">
        <v>0.61458333333333337</v>
      </c>
      <c r="C1225" s="1" t="s">
        <v>34</v>
      </c>
      <c r="E1225">
        <v>1037</v>
      </c>
      <c r="F1225">
        <v>35</v>
      </c>
      <c r="G1225">
        <v>14</v>
      </c>
      <c r="H1225">
        <v>14</v>
      </c>
      <c r="I1225">
        <v>750</v>
      </c>
      <c r="J1225">
        <v>31</v>
      </c>
      <c r="K1225" s="1" t="s">
        <v>441</v>
      </c>
    </row>
    <row r="1226" spans="1:11">
      <c r="A1226" s="2">
        <v>43944</v>
      </c>
      <c r="B1226" s="4">
        <v>0.625</v>
      </c>
      <c r="C1226" s="1" t="s">
        <v>94</v>
      </c>
      <c r="E1226">
        <v>78</v>
      </c>
      <c r="F1226">
        <v>4</v>
      </c>
      <c r="I1226">
        <v>69</v>
      </c>
      <c r="J1226">
        <v>5</v>
      </c>
      <c r="K1226" s="1" t="s">
        <v>96</v>
      </c>
    </row>
    <row r="1227" spans="1:11">
      <c r="A1227" s="2">
        <v>43945</v>
      </c>
      <c r="B1227" s="4"/>
      <c r="C1227" s="1" t="s">
        <v>47</v>
      </c>
      <c r="E1227">
        <v>813</v>
      </c>
      <c r="F1227">
        <v>24</v>
      </c>
      <c r="G1227">
        <v>2</v>
      </c>
      <c r="H1227">
        <v>1</v>
      </c>
      <c r="I1227">
        <v>698</v>
      </c>
      <c r="J1227">
        <v>30</v>
      </c>
      <c r="K1227" s="1" t="s">
        <v>49</v>
      </c>
    </row>
    <row r="1228" spans="1:11">
      <c r="A1228" s="2">
        <v>43945</v>
      </c>
      <c r="B1228" s="4"/>
      <c r="C1228" s="1" t="s">
        <v>53</v>
      </c>
      <c r="E1228">
        <v>82</v>
      </c>
      <c r="J1228">
        <v>1</v>
      </c>
      <c r="K1228" s="1" t="s">
        <v>451</v>
      </c>
    </row>
    <row r="1229" spans="1:11">
      <c r="A1229" s="2">
        <v>43945</v>
      </c>
      <c r="B1229" s="4"/>
      <c r="C1229" s="1" t="s">
        <v>56</v>
      </c>
      <c r="E1229">
        <v>1021</v>
      </c>
      <c r="F1229">
        <v>55</v>
      </c>
      <c r="G1229">
        <v>8</v>
      </c>
      <c r="I1229">
        <v>119</v>
      </c>
      <c r="J1229">
        <v>76</v>
      </c>
      <c r="K1229" s="1" t="s">
        <v>459</v>
      </c>
    </row>
    <row r="1230" spans="1:11">
      <c r="A1230" s="2">
        <v>43945</v>
      </c>
      <c r="B1230" s="4"/>
      <c r="C1230" s="1" t="s">
        <v>58</v>
      </c>
      <c r="D1230">
        <v>23694</v>
      </c>
      <c r="E1230">
        <v>4741</v>
      </c>
      <c r="F1230">
        <v>278</v>
      </c>
      <c r="G1230">
        <v>26</v>
      </c>
      <c r="H1230">
        <v>25</v>
      </c>
      <c r="I1230">
        <v>600</v>
      </c>
      <c r="J1230">
        <v>236</v>
      </c>
      <c r="K1230" s="1" t="s">
        <v>60</v>
      </c>
    </row>
    <row r="1231" spans="1:11">
      <c r="A1231" s="2">
        <v>43945</v>
      </c>
      <c r="B1231" s="4"/>
      <c r="C1231" s="1" t="s">
        <v>63</v>
      </c>
      <c r="E1231">
        <v>799</v>
      </c>
      <c r="F1231">
        <v>29</v>
      </c>
      <c r="J1231">
        <v>43</v>
      </c>
      <c r="K1231" s="1" t="s">
        <v>65</v>
      </c>
    </row>
    <row r="1232" spans="1:11">
      <c r="A1232" s="2">
        <v>43945</v>
      </c>
      <c r="B1232" s="4"/>
      <c r="C1232" s="1" t="s">
        <v>66</v>
      </c>
      <c r="E1232">
        <v>196</v>
      </c>
      <c r="F1232">
        <v>11</v>
      </c>
      <c r="G1232">
        <v>4</v>
      </c>
      <c r="J1232">
        <v>6</v>
      </c>
      <c r="K1232" s="1" t="s">
        <v>483</v>
      </c>
    </row>
    <row r="1233" spans="1:11">
      <c r="A1233" s="2">
        <v>43945</v>
      </c>
      <c r="B1233" s="4"/>
      <c r="C1233" s="1" t="s">
        <v>71</v>
      </c>
      <c r="E1233">
        <v>673</v>
      </c>
      <c r="F1233">
        <v>36</v>
      </c>
      <c r="G1233">
        <v>6</v>
      </c>
      <c r="H1233">
        <v>4</v>
      </c>
      <c r="K1233" s="1" t="s">
        <v>434</v>
      </c>
    </row>
    <row r="1234" spans="1:11">
      <c r="A1234" s="2">
        <v>43945</v>
      </c>
      <c r="B1234" s="4"/>
      <c r="C1234" s="1" t="s">
        <v>73</v>
      </c>
      <c r="E1234">
        <v>108</v>
      </c>
      <c r="F1234">
        <v>3</v>
      </c>
      <c r="G1234">
        <v>0</v>
      </c>
      <c r="J1234">
        <v>3</v>
      </c>
      <c r="K1234" s="1" t="s">
        <v>409</v>
      </c>
    </row>
    <row r="1235" spans="1:11">
      <c r="A1235" s="2">
        <v>43945</v>
      </c>
      <c r="B1235" s="4"/>
      <c r="C1235" s="1" t="s">
        <v>78</v>
      </c>
      <c r="E1235">
        <v>745</v>
      </c>
      <c r="F1235">
        <v>43</v>
      </c>
      <c r="G1235">
        <v>4</v>
      </c>
      <c r="I1235">
        <v>175</v>
      </c>
      <c r="J1235">
        <v>31</v>
      </c>
      <c r="K1235" s="1" t="s">
        <v>80</v>
      </c>
    </row>
    <row r="1236" spans="1:11">
      <c r="A1236" s="2">
        <v>43945</v>
      </c>
      <c r="B1236" s="4"/>
      <c r="C1236" s="1" t="s">
        <v>88</v>
      </c>
      <c r="E1236">
        <v>358</v>
      </c>
      <c r="F1236">
        <v>21</v>
      </c>
      <c r="G1236">
        <v>9</v>
      </c>
      <c r="J1236">
        <v>14</v>
      </c>
      <c r="K1236" s="1" t="s">
        <v>90</v>
      </c>
    </row>
    <row r="1237" spans="1:11">
      <c r="A1237" s="2">
        <v>43945</v>
      </c>
      <c r="B1237" s="4"/>
      <c r="C1237" s="1" t="s">
        <v>97</v>
      </c>
      <c r="E1237">
        <v>5201</v>
      </c>
      <c r="F1237">
        <v>181</v>
      </c>
      <c r="G1237">
        <v>39</v>
      </c>
      <c r="J1237">
        <v>349</v>
      </c>
      <c r="K1237" s="1" t="s">
        <v>99</v>
      </c>
    </row>
    <row r="1238" spans="1:11">
      <c r="A1238" s="2">
        <v>43945</v>
      </c>
      <c r="B1238" s="4"/>
      <c r="C1238" s="1" t="s">
        <v>100</v>
      </c>
      <c r="E1238">
        <v>1829</v>
      </c>
      <c r="F1238">
        <v>67</v>
      </c>
      <c r="G1238">
        <v>14</v>
      </c>
      <c r="H1238">
        <v>10</v>
      </c>
      <c r="I1238">
        <v>218</v>
      </c>
      <c r="J1238">
        <v>127</v>
      </c>
      <c r="K1238" s="1" t="s">
        <v>484</v>
      </c>
    </row>
    <row r="1239" spans="1:11">
      <c r="A1239" s="2">
        <v>43945</v>
      </c>
      <c r="B1239" s="4">
        <v>0</v>
      </c>
      <c r="C1239" s="1" t="s">
        <v>83</v>
      </c>
      <c r="E1239">
        <v>376</v>
      </c>
      <c r="F1239">
        <v>15</v>
      </c>
      <c r="J1239">
        <v>14</v>
      </c>
      <c r="K1239" s="1" t="s">
        <v>448</v>
      </c>
    </row>
    <row r="1240" spans="1:11">
      <c r="A1240" s="2">
        <v>43945</v>
      </c>
      <c r="B1240" s="4">
        <v>0.33333333333333331</v>
      </c>
      <c r="C1240" s="1" t="s">
        <v>44</v>
      </c>
      <c r="E1240">
        <v>1694</v>
      </c>
      <c r="F1240">
        <v>60</v>
      </c>
      <c r="G1240">
        <v>11</v>
      </c>
      <c r="H1240">
        <v>8</v>
      </c>
      <c r="J1240">
        <v>82</v>
      </c>
      <c r="K1240" s="1" t="s">
        <v>46</v>
      </c>
    </row>
    <row r="1241" spans="1:11">
      <c r="A1241" s="2">
        <v>43945</v>
      </c>
      <c r="B1241" s="4">
        <v>0.33333333333333331</v>
      </c>
      <c r="C1241" s="1" t="s">
        <v>91</v>
      </c>
      <c r="E1241">
        <v>3121</v>
      </c>
      <c r="F1241">
        <v>214</v>
      </c>
      <c r="G1241">
        <v>42</v>
      </c>
      <c r="H1241">
        <v>33</v>
      </c>
      <c r="I1241">
        <v>682</v>
      </c>
      <c r="J1241">
        <v>299</v>
      </c>
      <c r="K1241" s="1" t="s">
        <v>452</v>
      </c>
    </row>
    <row r="1242" spans="1:11">
      <c r="A1242" s="2">
        <v>43945</v>
      </c>
      <c r="B1242" s="4">
        <v>0.33333333333333331</v>
      </c>
      <c r="C1242" s="1" t="s">
        <v>102</v>
      </c>
      <c r="E1242">
        <v>180</v>
      </c>
      <c r="F1242">
        <v>6</v>
      </c>
      <c r="G1242">
        <v>3</v>
      </c>
      <c r="I1242">
        <v>133</v>
      </c>
      <c r="J1242">
        <v>8</v>
      </c>
      <c r="K1242" s="1" t="s">
        <v>440</v>
      </c>
    </row>
    <row r="1243" spans="1:11">
      <c r="A1243" s="2">
        <v>43945</v>
      </c>
      <c r="B1243" s="4">
        <v>0.38541666666666669</v>
      </c>
      <c r="C1243" s="1" t="s">
        <v>50</v>
      </c>
      <c r="E1243">
        <v>936</v>
      </c>
      <c r="F1243">
        <v>40</v>
      </c>
      <c r="G1243">
        <v>7</v>
      </c>
      <c r="I1243">
        <v>800</v>
      </c>
      <c r="J1243">
        <v>46</v>
      </c>
      <c r="K1243" s="1" t="s">
        <v>444</v>
      </c>
    </row>
    <row r="1244" spans="1:11">
      <c r="A1244" s="2">
        <v>43945</v>
      </c>
      <c r="B1244" s="4">
        <v>0.39583333333333331</v>
      </c>
      <c r="C1244" s="1" t="s">
        <v>41</v>
      </c>
      <c r="E1244">
        <v>88</v>
      </c>
      <c r="F1244">
        <v>4</v>
      </c>
      <c r="G1244">
        <v>2</v>
      </c>
      <c r="J1244">
        <v>3</v>
      </c>
      <c r="K1244" s="1" t="s">
        <v>43</v>
      </c>
    </row>
    <row r="1245" spans="1:11">
      <c r="A1245" s="2">
        <v>43945</v>
      </c>
      <c r="B1245" s="4">
        <v>0.39583333333333331</v>
      </c>
      <c r="C1245" s="1" t="s">
        <v>81</v>
      </c>
      <c r="E1245">
        <v>70</v>
      </c>
      <c r="F1245">
        <v>4</v>
      </c>
      <c r="G1245">
        <v>1</v>
      </c>
      <c r="J1245">
        <v>3</v>
      </c>
      <c r="K1245" s="1" t="s">
        <v>460</v>
      </c>
    </row>
    <row r="1246" spans="1:11">
      <c r="A1246" s="2">
        <v>43945</v>
      </c>
      <c r="B1246" s="4">
        <v>0.41666666666666669</v>
      </c>
      <c r="C1246" s="1" t="s">
        <v>86</v>
      </c>
      <c r="E1246">
        <v>284</v>
      </c>
      <c r="I1246">
        <v>206</v>
      </c>
      <c r="J1246">
        <v>16</v>
      </c>
      <c r="K1246" s="1" t="s">
        <v>461</v>
      </c>
    </row>
    <row r="1247" spans="1:11">
      <c r="A1247" s="2">
        <v>43945</v>
      </c>
      <c r="B1247" s="4">
        <v>0.45833333333333331</v>
      </c>
      <c r="C1247" s="1" t="s">
        <v>38</v>
      </c>
      <c r="E1247">
        <v>25</v>
      </c>
      <c r="K1247" s="1" t="s">
        <v>40</v>
      </c>
    </row>
    <row r="1248" spans="1:11">
      <c r="A1248" s="2">
        <v>43945</v>
      </c>
      <c r="B1248" s="4">
        <v>0.45833333333333331</v>
      </c>
      <c r="C1248" s="1" t="s">
        <v>68</v>
      </c>
      <c r="E1248">
        <v>660</v>
      </c>
      <c r="J1248">
        <v>16</v>
      </c>
      <c r="K1248" s="1" t="s">
        <v>70</v>
      </c>
    </row>
    <row r="1249" spans="1:11">
      <c r="A1249" s="2">
        <v>43945</v>
      </c>
      <c r="B1249" s="4">
        <v>0.54166666666666663</v>
      </c>
      <c r="C1249" s="1" t="s">
        <v>61</v>
      </c>
      <c r="E1249">
        <v>117</v>
      </c>
      <c r="F1249">
        <v>3</v>
      </c>
      <c r="J1249">
        <v>7</v>
      </c>
      <c r="K1249" s="1" t="s">
        <v>446</v>
      </c>
    </row>
    <row r="1250" spans="1:11">
      <c r="A1250" s="2">
        <v>43945</v>
      </c>
      <c r="B1250" s="4">
        <v>0.58333333333333337</v>
      </c>
      <c r="C1250" s="1" t="s">
        <v>94</v>
      </c>
      <c r="E1250">
        <v>78</v>
      </c>
      <c r="F1250">
        <v>3</v>
      </c>
      <c r="I1250">
        <v>69</v>
      </c>
      <c r="J1250">
        <v>5</v>
      </c>
      <c r="K1250" s="1" t="s">
        <v>96</v>
      </c>
    </row>
    <row r="1251" spans="1:11">
      <c r="A1251" s="2">
        <v>43945</v>
      </c>
      <c r="B1251" s="4">
        <v>0.60416666666666663</v>
      </c>
      <c r="C1251" s="1" t="s">
        <v>104</v>
      </c>
      <c r="E1251">
        <v>3366</v>
      </c>
      <c r="F1251">
        <v>83</v>
      </c>
      <c r="H1251">
        <v>42</v>
      </c>
      <c r="J1251">
        <v>114</v>
      </c>
      <c r="K1251" s="1" t="s">
        <v>106</v>
      </c>
    </row>
    <row r="1252" spans="1:11">
      <c r="A1252" s="2">
        <v>43945</v>
      </c>
      <c r="B1252" s="4">
        <v>0.61458333333333337</v>
      </c>
      <c r="C1252" s="1" t="s">
        <v>34</v>
      </c>
      <c r="E1252">
        <v>1052</v>
      </c>
      <c r="F1252">
        <v>40</v>
      </c>
      <c r="G1252">
        <v>14</v>
      </c>
      <c r="H1252">
        <v>14</v>
      </c>
      <c r="I1252">
        <v>780</v>
      </c>
      <c r="J1252">
        <v>31</v>
      </c>
      <c r="K1252" s="1" t="s">
        <v>450</v>
      </c>
    </row>
    <row r="1253" spans="1:11">
      <c r="A1253" s="2">
        <v>43945</v>
      </c>
      <c r="B1253" s="4">
        <v>0.70833333333333337</v>
      </c>
      <c r="C1253" s="1" t="s">
        <v>75</v>
      </c>
      <c r="E1253">
        <v>71</v>
      </c>
      <c r="F1253">
        <v>0</v>
      </c>
      <c r="J1253">
        <v>0</v>
      </c>
      <c r="K1253" s="1" t="s">
        <v>77</v>
      </c>
    </row>
    <row r="1254" spans="1:11">
      <c r="A1254" s="2">
        <v>43946</v>
      </c>
      <c r="B1254" s="4"/>
      <c r="C1254" s="1" t="s">
        <v>47</v>
      </c>
      <c r="E1254">
        <v>816</v>
      </c>
      <c r="F1254">
        <v>27</v>
      </c>
      <c r="G1254">
        <v>1</v>
      </c>
      <c r="H1254">
        <v>0</v>
      </c>
      <c r="I1254">
        <v>710</v>
      </c>
      <c r="J1254">
        <v>30</v>
      </c>
      <c r="K1254" s="1" t="s">
        <v>49</v>
      </c>
    </row>
    <row r="1255" spans="1:11">
      <c r="A1255" s="2">
        <v>43946</v>
      </c>
      <c r="B1255" s="4"/>
      <c r="C1255" s="1" t="s">
        <v>53</v>
      </c>
      <c r="E1255">
        <v>82</v>
      </c>
      <c r="J1255">
        <v>1</v>
      </c>
      <c r="K1255" s="1" t="s">
        <v>462</v>
      </c>
    </row>
    <row r="1256" spans="1:11">
      <c r="A1256" s="2">
        <v>43946</v>
      </c>
      <c r="B1256" s="4"/>
      <c r="C1256" s="1" t="s">
        <v>56</v>
      </c>
      <c r="E1256">
        <v>1029</v>
      </c>
      <c r="F1256">
        <v>54</v>
      </c>
      <c r="G1256">
        <v>7</v>
      </c>
      <c r="I1256">
        <v>119</v>
      </c>
      <c r="J1256">
        <v>76</v>
      </c>
      <c r="K1256" s="1" t="s">
        <v>459</v>
      </c>
    </row>
    <row r="1257" spans="1:11">
      <c r="A1257" s="2">
        <v>43946</v>
      </c>
      <c r="B1257" s="4"/>
      <c r="C1257" s="1" t="s">
        <v>58</v>
      </c>
      <c r="D1257">
        <v>24058</v>
      </c>
      <c r="E1257">
        <v>4754</v>
      </c>
      <c r="F1257">
        <v>271</v>
      </c>
      <c r="G1257">
        <v>27</v>
      </c>
      <c r="H1257">
        <v>26</v>
      </c>
      <c r="J1257">
        <v>237</v>
      </c>
      <c r="K1257" s="1" t="s">
        <v>60</v>
      </c>
    </row>
    <row r="1258" spans="1:11">
      <c r="A1258" s="2">
        <v>43946</v>
      </c>
      <c r="B1258" s="4"/>
      <c r="C1258" s="1" t="s">
        <v>63</v>
      </c>
      <c r="E1258">
        <v>800</v>
      </c>
      <c r="F1258">
        <v>28</v>
      </c>
      <c r="J1258">
        <v>43</v>
      </c>
      <c r="K1258" s="1" t="s">
        <v>65</v>
      </c>
    </row>
    <row r="1259" spans="1:11">
      <c r="A1259" s="2">
        <v>43946</v>
      </c>
      <c r="B1259" s="4"/>
      <c r="C1259" s="1" t="s">
        <v>66</v>
      </c>
      <c r="E1259">
        <v>196</v>
      </c>
      <c r="F1259">
        <v>11</v>
      </c>
      <c r="G1259">
        <v>4</v>
      </c>
      <c r="J1259">
        <v>6</v>
      </c>
      <c r="K1259" s="1" t="s">
        <v>483</v>
      </c>
    </row>
    <row r="1260" spans="1:11">
      <c r="A1260" s="2">
        <v>43946</v>
      </c>
      <c r="B1260" s="4"/>
      <c r="C1260" s="1" t="s">
        <v>71</v>
      </c>
      <c r="E1260">
        <v>674</v>
      </c>
      <c r="F1260">
        <v>35</v>
      </c>
      <c r="G1260">
        <v>4</v>
      </c>
      <c r="H1260">
        <v>3</v>
      </c>
      <c r="K1260" s="1" t="s">
        <v>434</v>
      </c>
    </row>
    <row r="1261" spans="1:11">
      <c r="A1261" s="2">
        <v>43946</v>
      </c>
      <c r="B1261" s="4"/>
      <c r="C1261" s="1" t="s">
        <v>73</v>
      </c>
      <c r="E1261">
        <v>108</v>
      </c>
      <c r="F1261">
        <v>3</v>
      </c>
      <c r="G1261">
        <v>0</v>
      </c>
      <c r="J1261">
        <v>3</v>
      </c>
      <c r="K1261" s="1" t="s">
        <v>409</v>
      </c>
    </row>
    <row r="1262" spans="1:11">
      <c r="A1262" s="2">
        <v>43946</v>
      </c>
      <c r="B1262" s="4"/>
      <c r="C1262" s="1" t="s">
        <v>78</v>
      </c>
      <c r="E1262">
        <v>753</v>
      </c>
      <c r="J1262">
        <v>31</v>
      </c>
      <c r="K1262" s="1" t="s">
        <v>80</v>
      </c>
    </row>
    <row r="1263" spans="1:11">
      <c r="A1263" s="2">
        <v>43946</v>
      </c>
      <c r="B1263" s="4"/>
      <c r="C1263" s="1" t="s">
        <v>88</v>
      </c>
      <c r="E1263">
        <v>359</v>
      </c>
      <c r="F1263">
        <v>23</v>
      </c>
      <c r="G1263">
        <v>8</v>
      </c>
      <c r="J1263">
        <v>14</v>
      </c>
      <c r="K1263" s="1" t="s">
        <v>90</v>
      </c>
    </row>
    <row r="1264" spans="1:11">
      <c r="A1264" s="2">
        <v>43946</v>
      </c>
      <c r="B1264" s="4"/>
      <c r="C1264" s="1" t="s">
        <v>97</v>
      </c>
      <c r="E1264">
        <v>5212</v>
      </c>
      <c r="F1264">
        <v>185</v>
      </c>
      <c r="G1264">
        <v>39</v>
      </c>
      <c r="J1264">
        <v>354</v>
      </c>
      <c r="K1264" s="1" t="s">
        <v>99</v>
      </c>
    </row>
    <row r="1265" spans="1:11">
      <c r="A1265" s="2">
        <v>43946</v>
      </c>
      <c r="B1265" s="4"/>
      <c r="C1265" s="1" t="s">
        <v>100</v>
      </c>
      <c r="E1265">
        <v>1834</v>
      </c>
      <c r="F1265">
        <v>69</v>
      </c>
      <c r="G1265">
        <v>14</v>
      </c>
      <c r="H1265">
        <v>10</v>
      </c>
      <c r="I1265">
        <v>218</v>
      </c>
      <c r="J1265">
        <v>129</v>
      </c>
      <c r="K1265" s="1" t="s">
        <v>484</v>
      </c>
    </row>
    <row r="1266" spans="1:11">
      <c r="A1266" s="2">
        <v>43946</v>
      </c>
      <c r="B1266" s="4">
        <v>0</v>
      </c>
      <c r="C1266" s="1" t="s">
        <v>83</v>
      </c>
      <c r="E1266">
        <v>379</v>
      </c>
      <c r="F1266">
        <v>13</v>
      </c>
      <c r="J1266">
        <v>14</v>
      </c>
      <c r="K1266" s="1" t="s">
        <v>448</v>
      </c>
    </row>
    <row r="1267" spans="1:11">
      <c r="A1267" s="2">
        <v>43946</v>
      </c>
      <c r="B1267" s="4">
        <v>6.9444444444444447E-4</v>
      </c>
      <c r="C1267" s="1" t="s">
        <v>86</v>
      </c>
      <c r="E1267">
        <v>287</v>
      </c>
      <c r="I1267">
        <v>215</v>
      </c>
      <c r="J1267">
        <v>17</v>
      </c>
      <c r="K1267" s="1" t="s">
        <v>461</v>
      </c>
    </row>
    <row r="1268" spans="1:11">
      <c r="A1268" s="2">
        <v>43946</v>
      </c>
      <c r="B1268" s="4">
        <v>0.33333333333333331</v>
      </c>
      <c r="C1268" s="1" t="s">
        <v>44</v>
      </c>
      <c r="E1268">
        <v>1708</v>
      </c>
      <c r="F1268">
        <v>61</v>
      </c>
      <c r="G1268">
        <v>11</v>
      </c>
      <c r="H1268">
        <v>10</v>
      </c>
      <c r="J1268">
        <v>83</v>
      </c>
      <c r="K1268" s="1" t="s">
        <v>46</v>
      </c>
    </row>
    <row r="1269" spans="1:11">
      <c r="A1269" s="2">
        <v>43946</v>
      </c>
      <c r="B1269" s="4">
        <v>0.33333333333333331</v>
      </c>
      <c r="C1269" s="1" t="s">
        <v>91</v>
      </c>
      <c r="E1269">
        <v>3142</v>
      </c>
      <c r="F1269">
        <v>198</v>
      </c>
      <c r="G1269">
        <v>40</v>
      </c>
      <c r="H1269">
        <v>30</v>
      </c>
      <c r="I1269">
        <v>698</v>
      </c>
      <c r="J1269">
        <v>304</v>
      </c>
      <c r="K1269" s="1" t="s">
        <v>463</v>
      </c>
    </row>
    <row r="1270" spans="1:11">
      <c r="A1270" s="2">
        <v>43946</v>
      </c>
      <c r="B1270" s="4">
        <v>0.33333333333333331</v>
      </c>
      <c r="C1270" s="1" t="s">
        <v>102</v>
      </c>
      <c r="E1270">
        <v>181</v>
      </c>
      <c r="F1270">
        <v>6</v>
      </c>
      <c r="G1270">
        <v>3</v>
      </c>
      <c r="I1270">
        <v>133</v>
      </c>
      <c r="J1270">
        <v>8</v>
      </c>
      <c r="K1270" s="1" t="s">
        <v>440</v>
      </c>
    </row>
    <row r="1271" spans="1:11">
      <c r="A1271" s="2">
        <v>43946</v>
      </c>
      <c r="B1271" s="4">
        <v>0.39583333333333331</v>
      </c>
      <c r="C1271" s="1" t="s">
        <v>50</v>
      </c>
      <c r="E1271">
        <v>938</v>
      </c>
      <c r="J1271">
        <v>46</v>
      </c>
      <c r="K1271" s="1" t="s">
        <v>480</v>
      </c>
    </row>
    <row r="1272" spans="1:11">
      <c r="A1272" s="2">
        <v>43946</v>
      </c>
      <c r="B1272" s="4">
        <v>0.39583333333333331</v>
      </c>
      <c r="C1272" s="1" t="s">
        <v>81</v>
      </c>
      <c r="E1272">
        <v>71</v>
      </c>
      <c r="F1272">
        <v>6</v>
      </c>
      <c r="G1272">
        <v>1</v>
      </c>
      <c r="J1272">
        <v>5</v>
      </c>
      <c r="K1272" s="1" t="s">
        <v>460</v>
      </c>
    </row>
    <row r="1273" spans="1:11">
      <c r="A1273" s="2">
        <v>43946</v>
      </c>
      <c r="B1273" s="4">
        <v>0.45833333333333331</v>
      </c>
      <c r="C1273" s="1" t="s">
        <v>38</v>
      </c>
      <c r="E1273">
        <v>25</v>
      </c>
      <c r="K1273" s="1" t="s">
        <v>40</v>
      </c>
    </row>
    <row r="1274" spans="1:11">
      <c r="A1274" s="2">
        <v>43946</v>
      </c>
      <c r="B1274" s="4">
        <v>0.5</v>
      </c>
      <c r="C1274" s="1" t="s">
        <v>68</v>
      </c>
      <c r="E1274">
        <v>667</v>
      </c>
      <c r="F1274">
        <v>32</v>
      </c>
      <c r="G1274">
        <v>8</v>
      </c>
      <c r="J1274">
        <v>16</v>
      </c>
      <c r="K1274" s="1" t="s">
        <v>70</v>
      </c>
    </row>
    <row r="1275" spans="1:11">
      <c r="A1275" s="2">
        <v>43946</v>
      </c>
      <c r="B1275" s="4">
        <v>0.5</v>
      </c>
      <c r="C1275" s="1" t="s">
        <v>94</v>
      </c>
      <c r="E1275">
        <v>78</v>
      </c>
      <c r="F1275">
        <v>3</v>
      </c>
      <c r="I1275">
        <v>69</v>
      </c>
      <c r="J1275">
        <v>5</v>
      </c>
      <c r="K1275" s="1" t="s">
        <v>96</v>
      </c>
    </row>
    <row r="1276" spans="1:11">
      <c r="A1276" s="2">
        <v>43946</v>
      </c>
      <c r="B1276" s="4">
        <v>0.54166666666666663</v>
      </c>
      <c r="C1276" s="1" t="s">
        <v>61</v>
      </c>
      <c r="E1276">
        <v>120</v>
      </c>
      <c r="F1276">
        <v>3</v>
      </c>
      <c r="J1276">
        <v>7</v>
      </c>
      <c r="K1276" s="1" t="s">
        <v>446</v>
      </c>
    </row>
    <row r="1277" spans="1:11">
      <c r="A1277" s="2">
        <v>43946</v>
      </c>
      <c r="B1277" s="4">
        <v>0.60416666666666663</v>
      </c>
      <c r="C1277" s="1" t="s">
        <v>104</v>
      </c>
      <c r="E1277">
        <v>3397</v>
      </c>
      <c r="F1277">
        <v>77</v>
      </c>
      <c r="H1277">
        <v>38</v>
      </c>
      <c r="J1277">
        <v>115</v>
      </c>
      <c r="K1277" s="1" t="s">
        <v>106</v>
      </c>
    </row>
    <row r="1278" spans="1:11">
      <c r="A1278" s="2">
        <v>43947</v>
      </c>
      <c r="B1278" s="4"/>
      <c r="C1278" s="1" t="s">
        <v>47</v>
      </c>
      <c r="E1278">
        <v>816</v>
      </c>
      <c r="F1278">
        <v>27</v>
      </c>
      <c r="G1278">
        <v>0</v>
      </c>
      <c r="H1278">
        <v>0</v>
      </c>
      <c r="I1278">
        <v>724</v>
      </c>
      <c r="J1278">
        <v>30</v>
      </c>
      <c r="K1278" s="1" t="s">
        <v>49</v>
      </c>
    </row>
    <row r="1279" spans="1:11">
      <c r="A1279" s="2">
        <v>43947</v>
      </c>
      <c r="B1279" s="4"/>
      <c r="C1279" s="1" t="s">
        <v>53</v>
      </c>
      <c r="E1279">
        <v>82</v>
      </c>
      <c r="J1279">
        <v>1</v>
      </c>
      <c r="K1279" s="1" t="s">
        <v>464</v>
      </c>
    </row>
    <row r="1280" spans="1:11">
      <c r="A1280" s="2">
        <v>43947</v>
      </c>
      <c r="B1280" s="4"/>
      <c r="C1280" s="1" t="s">
        <v>56</v>
      </c>
      <c r="E1280">
        <v>1033</v>
      </c>
      <c r="F1280">
        <v>54</v>
      </c>
      <c r="G1280">
        <v>5</v>
      </c>
      <c r="I1280">
        <v>120</v>
      </c>
      <c r="J1280">
        <v>77</v>
      </c>
      <c r="K1280" s="1" t="s">
        <v>459</v>
      </c>
    </row>
    <row r="1281" spans="1:11">
      <c r="A1281" s="2">
        <v>43947</v>
      </c>
      <c r="B1281" s="4"/>
      <c r="C1281" s="1" t="s">
        <v>58</v>
      </c>
      <c r="D1281">
        <v>24255</v>
      </c>
      <c r="E1281">
        <v>4760</v>
      </c>
      <c r="F1281">
        <v>271</v>
      </c>
      <c r="G1281">
        <v>25</v>
      </c>
      <c r="H1281">
        <v>24</v>
      </c>
      <c r="I1281">
        <v>610</v>
      </c>
      <c r="J1281">
        <v>239</v>
      </c>
      <c r="K1281" s="1" t="s">
        <v>60</v>
      </c>
    </row>
    <row r="1282" spans="1:11">
      <c r="A1282" s="2">
        <v>43947</v>
      </c>
      <c r="B1282" s="4"/>
      <c r="C1282" s="1" t="s">
        <v>63</v>
      </c>
      <c r="E1282">
        <v>802</v>
      </c>
      <c r="F1282">
        <v>28</v>
      </c>
      <c r="J1282">
        <v>43</v>
      </c>
      <c r="K1282" s="1" t="s">
        <v>65</v>
      </c>
    </row>
    <row r="1283" spans="1:11">
      <c r="A1283" s="2">
        <v>43947</v>
      </c>
      <c r="B1283" s="4"/>
      <c r="C1283" s="1" t="s">
        <v>66</v>
      </c>
      <c r="E1283">
        <v>196</v>
      </c>
      <c r="F1283">
        <v>11</v>
      </c>
      <c r="G1283">
        <v>4</v>
      </c>
      <c r="J1283">
        <v>6</v>
      </c>
      <c r="K1283" s="1" t="s">
        <v>483</v>
      </c>
    </row>
    <row r="1284" spans="1:11">
      <c r="A1284" s="2">
        <v>43947</v>
      </c>
      <c r="B1284" s="4"/>
      <c r="C1284" s="1" t="s">
        <v>71</v>
      </c>
      <c r="F1284">
        <v>32</v>
      </c>
      <c r="G1284">
        <v>3</v>
      </c>
      <c r="H1284">
        <v>3</v>
      </c>
      <c r="K1284" s="1" t="s">
        <v>434</v>
      </c>
    </row>
    <row r="1285" spans="1:11">
      <c r="A1285" s="2">
        <v>43947</v>
      </c>
      <c r="B1285" s="4"/>
      <c r="C1285" s="1" t="s">
        <v>73</v>
      </c>
      <c r="E1285">
        <v>110</v>
      </c>
      <c r="F1285">
        <v>3</v>
      </c>
      <c r="G1285">
        <v>0</v>
      </c>
      <c r="J1285">
        <v>3</v>
      </c>
      <c r="K1285" s="1" t="s">
        <v>409</v>
      </c>
    </row>
    <row r="1286" spans="1:11">
      <c r="A1286" s="2">
        <v>43947</v>
      </c>
      <c r="B1286" s="4"/>
      <c r="C1286" s="1" t="s">
        <v>78</v>
      </c>
      <c r="E1286">
        <v>761</v>
      </c>
      <c r="F1286">
        <v>38</v>
      </c>
      <c r="G1286">
        <v>4</v>
      </c>
      <c r="I1286">
        <v>176</v>
      </c>
      <c r="J1286">
        <v>31</v>
      </c>
      <c r="K1286" s="1" t="s">
        <v>80</v>
      </c>
    </row>
    <row r="1287" spans="1:11">
      <c r="A1287" s="2">
        <v>43947</v>
      </c>
      <c r="B1287" s="4"/>
      <c r="C1287" s="1" t="s">
        <v>88</v>
      </c>
      <c r="E1287">
        <v>360</v>
      </c>
      <c r="F1287">
        <v>21</v>
      </c>
      <c r="G1287">
        <v>8</v>
      </c>
      <c r="J1287">
        <v>16</v>
      </c>
      <c r="K1287" s="1" t="s">
        <v>90</v>
      </c>
    </row>
    <row r="1288" spans="1:11">
      <c r="A1288" s="2">
        <v>43947</v>
      </c>
      <c r="B1288" s="4"/>
      <c r="C1288" s="1" t="s">
        <v>97</v>
      </c>
      <c r="E1288">
        <v>5212</v>
      </c>
      <c r="F1288">
        <v>192</v>
      </c>
      <c r="G1288">
        <v>38</v>
      </c>
      <c r="J1288">
        <v>355</v>
      </c>
      <c r="K1288" s="1" t="s">
        <v>99</v>
      </c>
    </row>
    <row r="1289" spans="1:11">
      <c r="A1289" s="2">
        <v>43947</v>
      </c>
      <c r="B1289" s="4"/>
      <c r="C1289" s="1" t="s">
        <v>100</v>
      </c>
      <c r="E1289">
        <v>1836</v>
      </c>
      <c r="F1289">
        <v>69</v>
      </c>
      <c r="G1289">
        <v>15</v>
      </c>
      <c r="H1289">
        <v>10</v>
      </c>
      <c r="I1289">
        <v>218</v>
      </c>
      <c r="J1289">
        <v>131</v>
      </c>
      <c r="K1289" s="1" t="s">
        <v>484</v>
      </c>
    </row>
    <row r="1290" spans="1:11">
      <c r="A1290" s="2">
        <v>43947</v>
      </c>
      <c r="B1290" s="4">
        <v>0</v>
      </c>
      <c r="C1290" s="1" t="s">
        <v>83</v>
      </c>
      <c r="E1290">
        <v>380</v>
      </c>
      <c r="F1290">
        <v>12</v>
      </c>
      <c r="J1290">
        <v>15</v>
      </c>
      <c r="K1290" s="1" t="s">
        <v>448</v>
      </c>
    </row>
    <row r="1291" spans="1:11">
      <c r="A1291" s="2">
        <v>43947</v>
      </c>
      <c r="B1291" s="4">
        <v>6.9444444444444447E-4</v>
      </c>
      <c r="C1291" s="1" t="s">
        <v>86</v>
      </c>
      <c r="E1291">
        <v>293</v>
      </c>
      <c r="I1291">
        <v>216</v>
      </c>
      <c r="J1291">
        <v>18</v>
      </c>
      <c r="K1291" s="1" t="s">
        <v>461</v>
      </c>
    </row>
    <row r="1292" spans="1:11">
      <c r="A1292" s="2">
        <v>43947</v>
      </c>
      <c r="B1292" s="4">
        <v>0.33333333333333331</v>
      </c>
      <c r="C1292" s="1" t="s">
        <v>44</v>
      </c>
      <c r="E1292">
        <v>1714</v>
      </c>
      <c r="F1292">
        <v>54</v>
      </c>
      <c r="G1292">
        <v>9</v>
      </c>
      <c r="H1292">
        <v>9</v>
      </c>
      <c r="J1292">
        <v>83</v>
      </c>
      <c r="K1292" s="1" t="s">
        <v>46</v>
      </c>
    </row>
    <row r="1293" spans="1:11">
      <c r="A1293" s="2">
        <v>43947</v>
      </c>
      <c r="B1293" s="4">
        <v>0.33333333333333331</v>
      </c>
      <c r="C1293" s="1" t="s">
        <v>91</v>
      </c>
      <c r="E1293">
        <v>3161</v>
      </c>
      <c r="F1293">
        <v>192</v>
      </c>
      <c r="G1293">
        <v>37</v>
      </c>
      <c r="H1293">
        <v>26</v>
      </c>
      <c r="I1293">
        <v>704</v>
      </c>
      <c r="J1293">
        <v>306</v>
      </c>
      <c r="K1293" s="1" t="s">
        <v>465</v>
      </c>
    </row>
    <row r="1294" spans="1:11">
      <c r="A1294" s="2">
        <v>43947</v>
      </c>
      <c r="B1294" s="4">
        <v>0.39583333333333331</v>
      </c>
      <c r="C1294" s="1" t="s">
        <v>50</v>
      </c>
      <c r="E1294">
        <v>940</v>
      </c>
      <c r="J1294">
        <v>46</v>
      </c>
      <c r="K1294" s="1" t="s">
        <v>480</v>
      </c>
    </row>
    <row r="1295" spans="1:11">
      <c r="A1295" s="2">
        <v>43947</v>
      </c>
      <c r="B1295" s="4">
        <v>0.39583333333333331</v>
      </c>
      <c r="C1295" s="1" t="s">
        <v>81</v>
      </c>
      <c r="E1295">
        <v>72</v>
      </c>
      <c r="F1295">
        <v>9</v>
      </c>
      <c r="G1295">
        <v>2</v>
      </c>
      <c r="J1295">
        <v>5</v>
      </c>
      <c r="K1295" s="1" t="s">
        <v>460</v>
      </c>
    </row>
    <row r="1296" spans="1:11">
      <c r="A1296" s="2">
        <v>43947</v>
      </c>
      <c r="B1296" s="4">
        <v>0.5</v>
      </c>
      <c r="C1296" s="1" t="s">
        <v>68</v>
      </c>
      <c r="E1296">
        <v>670</v>
      </c>
      <c r="F1296">
        <v>26</v>
      </c>
      <c r="G1296">
        <v>7</v>
      </c>
      <c r="J1296">
        <v>16</v>
      </c>
      <c r="K1296" s="1" t="s">
        <v>70</v>
      </c>
    </row>
    <row r="1297" spans="1:11">
      <c r="A1297" s="2">
        <v>43947</v>
      </c>
      <c r="B1297" s="4">
        <v>0.5</v>
      </c>
      <c r="C1297" s="1" t="s">
        <v>94</v>
      </c>
      <c r="E1297">
        <v>80</v>
      </c>
      <c r="F1297">
        <v>3</v>
      </c>
      <c r="I1297">
        <v>69</v>
      </c>
      <c r="J1297">
        <v>5</v>
      </c>
      <c r="K1297" s="1" t="s">
        <v>96</v>
      </c>
    </row>
    <row r="1298" spans="1:11">
      <c r="A1298" s="2">
        <v>43947</v>
      </c>
      <c r="B1298" s="4">
        <v>0.54166666666666663</v>
      </c>
      <c r="C1298" s="1" t="s">
        <v>61</v>
      </c>
      <c r="E1298">
        <v>120</v>
      </c>
      <c r="F1298">
        <v>3</v>
      </c>
      <c r="J1298">
        <v>7</v>
      </c>
      <c r="K1298" s="1" t="s">
        <v>446</v>
      </c>
    </row>
    <row r="1299" spans="1:11">
      <c r="A1299" s="2">
        <v>43947</v>
      </c>
      <c r="B1299" s="4">
        <v>0.60416666666666663</v>
      </c>
      <c r="C1299" s="1" t="s">
        <v>104</v>
      </c>
      <c r="E1299">
        <v>3400</v>
      </c>
      <c r="F1299">
        <v>75</v>
      </c>
      <c r="H1299">
        <v>26</v>
      </c>
      <c r="J1299">
        <v>115</v>
      </c>
      <c r="K1299" s="1" t="s">
        <v>106</v>
      </c>
    </row>
    <row r="1300" spans="1:11">
      <c r="A1300" s="2">
        <v>43948</v>
      </c>
      <c r="B1300" s="4"/>
      <c r="C1300" s="1" t="s">
        <v>47</v>
      </c>
      <c r="E1300">
        <v>816</v>
      </c>
      <c r="F1300">
        <v>24</v>
      </c>
      <c r="G1300">
        <v>1</v>
      </c>
      <c r="H1300">
        <v>0</v>
      </c>
      <c r="I1300">
        <v>738</v>
      </c>
      <c r="J1300">
        <v>30</v>
      </c>
      <c r="K1300" s="1" t="s">
        <v>49</v>
      </c>
    </row>
    <row r="1301" spans="1:11">
      <c r="A1301" s="2">
        <v>43948</v>
      </c>
      <c r="B1301" s="4"/>
      <c r="C1301" s="1" t="s">
        <v>53</v>
      </c>
      <c r="E1301">
        <v>82</v>
      </c>
      <c r="K1301" s="1" t="s">
        <v>485</v>
      </c>
    </row>
    <row r="1302" spans="1:11">
      <c r="A1302" s="2">
        <v>43948</v>
      </c>
      <c r="B1302" s="4"/>
      <c r="C1302" s="1" t="s">
        <v>56</v>
      </c>
      <c r="E1302">
        <v>1040</v>
      </c>
      <c r="F1302">
        <v>55</v>
      </c>
      <c r="G1302">
        <v>5</v>
      </c>
      <c r="I1302">
        <v>120</v>
      </c>
      <c r="J1302">
        <v>78</v>
      </c>
      <c r="K1302" s="1" t="s">
        <v>459</v>
      </c>
    </row>
    <row r="1303" spans="1:11">
      <c r="A1303" s="2">
        <v>43948</v>
      </c>
      <c r="B1303" s="4"/>
      <c r="C1303" s="1" t="s">
        <v>66</v>
      </c>
      <c r="E1303">
        <v>196</v>
      </c>
      <c r="F1303">
        <v>9</v>
      </c>
      <c r="G1303">
        <v>4</v>
      </c>
      <c r="J1303">
        <v>7</v>
      </c>
      <c r="K1303" s="1" t="s">
        <v>483</v>
      </c>
    </row>
    <row r="1304" spans="1:11">
      <c r="A1304" s="2">
        <v>43948</v>
      </c>
      <c r="B1304" s="4"/>
      <c r="C1304" s="1" t="s">
        <v>71</v>
      </c>
      <c r="F1304">
        <v>28</v>
      </c>
      <c r="G1304">
        <v>3</v>
      </c>
      <c r="H1304">
        <v>3</v>
      </c>
      <c r="K1304" s="1" t="s">
        <v>434</v>
      </c>
    </row>
    <row r="1305" spans="1:11">
      <c r="A1305" s="2">
        <v>43948</v>
      </c>
      <c r="B1305" s="4"/>
      <c r="C1305" s="1" t="s">
        <v>73</v>
      </c>
      <c r="E1305">
        <v>110</v>
      </c>
      <c r="F1305">
        <v>2</v>
      </c>
      <c r="G1305">
        <v>0</v>
      </c>
      <c r="J1305">
        <v>3</v>
      </c>
      <c r="K1305" s="1" t="s">
        <v>409</v>
      </c>
    </row>
    <row r="1306" spans="1:11">
      <c r="A1306" s="2">
        <v>43948</v>
      </c>
      <c r="B1306" s="4"/>
      <c r="C1306" s="1" t="s">
        <v>78</v>
      </c>
      <c r="E1306">
        <v>767</v>
      </c>
      <c r="F1306">
        <v>39</v>
      </c>
      <c r="G1306">
        <v>2</v>
      </c>
      <c r="I1306">
        <v>176</v>
      </c>
      <c r="J1306">
        <v>31</v>
      </c>
      <c r="K1306" s="1" t="s">
        <v>80</v>
      </c>
    </row>
    <row r="1307" spans="1:11">
      <c r="A1307" s="2">
        <v>43948</v>
      </c>
      <c r="B1307" s="4"/>
      <c r="C1307" s="1" t="s">
        <v>88</v>
      </c>
      <c r="E1307">
        <v>360</v>
      </c>
      <c r="F1307">
        <v>21</v>
      </c>
      <c r="G1307">
        <v>8</v>
      </c>
      <c r="J1307">
        <v>17</v>
      </c>
      <c r="K1307" s="1" t="s">
        <v>90</v>
      </c>
    </row>
    <row r="1308" spans="1:11">
      <c r="A1308" s="2">
        <v>43948</v>
      </c>
      <c r="B1308" s="4">
        <v>0</v>
      </c>
      <c r="C1308" s="1" t="s">
        <v>83</v>
      </c>
      <c r="E1308">
        <v>382</v>
      </c>
      <c r="F1308">
        <v>13</v>
      </c>
      <c r="J1308">
        <v>15</v>
      </c>
      <c r="K1308" s="1" t="s">
        <v>448</v>
      </c>
    </row>
    <row r="1309" spans="1:11">
      <c r="A1309" s="2">
        <v>43948</v>
      </c>
      <c r="B1309" s="4">
        <v>0.33333333333333331</v>
      </c>
      <c r="C1309" s="1" t="s">
        <v>44</v>
      </c>
      <c r="E1309">
        <v>1722</v>
      </c>
      <c r="F1309">
        <v>54</v>
      </c>
      <c r="G1309">
        <v>10</v>
      </c>
      <c r="H1309">
        <v>9</v>
      </c>
      <c r="J1309">
        <v>83</v>
      </c>
      <c r="K1309" s="1" t="s">
        <v>46</v>
      </c>
    </row>
    <row r="1310" spans="1:11">
      <c r="A1310" s="2">
        <v>43948</v>
      </c>
      <c r="B1310" s="4">
        <v>0.33333333333333331</v>
      </c>
      <c r="C1310" s="1" t="s">
        <v>91</v>
      </c>
      <c r="E1310">
        <v>3169</v>
      </c>
      <c r="F1310">
        <v>188</v>
      </c>
      <c r="G1310">
        <v>34</v>
      </c>
      <c r="H1310">
        <v>25</v>
      </c>
      <c r="I1310">
        <v>709</v>
      </c>
      <c r="J1310">
        <v>311</v>
      </c>
      <c r="K1310" s="1" t="s">
        <v>481</v>
      </c>
    </row>
    <row r="1311" spans="1:11">
      <c r="A1311" s="2">
        <v>43948</v>
      </c>
      <c r="B1311" s="4">
        <v>0.39583333333333331</v>
      </c>
      <c r="C1311" s="1" t="s">
        <v>81</v>
      </c>
      <c r="E1311">
        <v>73</v>
      </c>
      <c r="F1311">
        <v>12</v>
      </c>
      <c r="G1311">
        <v>3</v>
      </c>
      <c r="J1311">
        <v>5</v>
      </c>
      <c r="K1311" s="1" t="s">
        <v>460</v>
      </c>
    </row>
    <row r="1312" spans="1:11">
      <c r="A1312" s="2">
        <v>43948</v>
      </c>
      <c r="B1312" s="4">
        <v>0.41666666666666669</v>
      </c>
      <c r="C1312" s="1" t="s">
        <v>86</v>
      </c>
      <c r="E1312">
        <v>293</v>
      </c>
      <c r="I1312">
        <v>216</v>
      </c>
      <c r="J1312">
        <v>18</v>
      </c>
      <c r="K1312" s="1" t="s">
        <v>461</v>
      </c>
    </row>
    <row r="1313" spans="1:11">
      <c r="A1313" s="2">
        <v>43948</v>
      </c>
      <c r="B1313" s="4">
        <v>0.42708333333333331</v>
      </c>
      <c r="C1313" s="1" t="s">
        <v>41</v>
      </c>
      <c r="E1313">
        <v>94</v>
      </c>
      <c r="F1313">
        <v>2</v>
      </c>
      <c r="G1313">
        <v>2</v>
      </c>
      <c r="J1313">
        <v>3</v>
      </c>
      <c r="K1313" s="1" t="s">
        <v>43</v>
      </c>
    </row>
    <row r="1314" spans="1:11">
      <c r="A1314" s="2">
        <v>43948</v>
      </c>
      <c r="B1314" s="4">
        <v>0.4375</v>
      </c>
      <c r="C1314" s="1" t="s">
        <v>50</v>
      </c>
      <c r="E1314">
        <v>941</v>
      </c>
      <c r="I1314">
        <v>815</v>
      </c>
      <c r="J1314">
        <v>46</v>
      </c>
      <c r="K1314" s="1" t="s">
        <v>480</v>
      </c>
    </row>
    <row r="1315" spans="1:11">
      <c r="A1315" s="2">
        <v>43948</v>
      </c>
      <c r="B1315" s="4">
        <v>0.45833333333333331</v>
      </c>
      <c r="C1315" s="1" t="s">
        <v>38</v>
      </c>
      <c r="E1315">
        <v>25</v>
      </c>
      <c r="K1315" s="1" t="s">
        <v>40</v>
      </c>
    </row>
    <row r="1316" spans="1:11">
      <c r="A1316" s="2">
        <v>43948</v>
      </c>
      <c r="B1316" s="4">
        <v>0.5</v>
      </c>
      <c r="C1316" s="1" t="s">
        <v>58</v>
      </c>
      <c r="F1316">
        <v>270</v>
      </c>
      <c r="G1316">
        <v>26</v>
      </c>
      <c r="H1316">
        <v>24</v>
      </c>
      <c r="I1316">
        <v>610</v>
      </c>
      <c r="K1316" s="1" t="s">
        <v>60</v>
      </c>
    </row>
    <row r="1317" spans="1:11">
      <c r="A1317" s="2">
        <v>43948</v>
      </c>
      <c r="B1317" s="4">
        <v>0.5</v>
      </c>
      <c r="C1317" s="1" t="s">
        <v>68</v>
      </c>
      <c r="E1317">
        <v>674</v>
      </c>
      <c r="F1317">
        <v>32</v>
      </c>
      <c r="G1317">
        <v>7</v>
      </c>
      <c r="J1317">
        <v>16</v>
      </c>
      <c r="K1317" s="1" t="s">
        <v>70</v>
      </c>
    </row>
    <row r="1318" spans="1:11">
      <c r="A1318" s="2">
        <v>43948</v>
      </c>
      <c r="B1318" s="4">
        <v>0.5625</v>
      </c>
      <c r="C1318" s="1" t="s">
        <v>61</v>
      </c>
      <c r="E1318">
        <v>121</v>
      </c>
      <c r="F1318">
        <v>3</v>
      </c>
      <c r="J1318">
        <v>7</v>
      </c>
      <c r="K1318" s="1" t="s">
        <v>446</v>
      </c>
    </row>
    <row r="1319" spans="1:11">
      <c r="A1319" s="2">
        <v>43948</v>
      </c>
      <c r="B1319" s="4">
        <v>0.58333333333333337</v>
      </c>
      <c r="C1319" s="1" t="s">
        <v>94</v>
      </c>
      <c r="E1319">
        <v>83</v>
      </c>
      <c r="F1319">
        <v>4</v>
      </c>
      <c r="I1319">
        <v>69</v>
      </c>
      <c r="J1319">
        <v>5</v>
      </c>
      <c r="K1319" s="1" t="s">
        <v>96</v>
      </c>
    </row>
    <row r="1320" spans="1:11">
      <c r="A1320" s="2">
        <v>43948</v>
      </c>
      <c r="B1320" s="4">
        <v>0.60416666666666663</v>
      </c>
      <c r="C1320" s="1" t="s">
        <v>104</v>
      </c>
      <c r="E1320">
        <v>3418</v>
      </c>
      <c r="F1320">
        <v>73</v>
      </c>
      <c r="H1320">
        <v>24</v>
      </c>
      <c r="J1320">
        <v>115</v>
      </c>
      <c r="K1320" s="1" t="s">
        <v>106</v>
      </c>
    </row>
    <row r="1321" spans="1:11">
      <c r="A1321" s="2">
        <v>43948</v>
      </c>
      <c r="B1321" s="4">
        <v>0.61458333333333337</v>
      </c>
      <c r="C1321" s="1" t="s">
        <v>34</v>
      </c>
      <c r="E1321">
        <v>1088</v>
      </c>
      <c r="F1321">
        <v>42</v>
      </c>
      <c r="G1321">
        <v>15</v>
      </c>
      <c r="H1321">
        <v>14</v>
      </c>
      <c r="I1321">
        <v>830</v>
      </c>
      <c r="J1321">
        <v>33</v>
      </c>
      <c r="K1321" s="1" t="s">
        <v>479</v>
      </c>
    </row>
    <row r="1322" spans="1:11">
      <c r="A1322" s="2">
        <v>43948</v>
      </c>
      <c r="B1322" s="4">
        <v>0.625</v>
      </c>
      <c r="C1322" s="1" t="s">
        <v>100</v>
      </c>
      <c r="E1322">
        <v>1836</v>
      </c>
      <c r="F1322">
        <v>68</v>
      </c>
      <c r="G1322">
        <v>15</v>
      </c>
      <c r="H1322">
        <v>10</v>
      </c>
      <c r="I1322">
        <v>220</v>
      </c>
      <c r="J1322">
        <v>132</v>
      </c>
      <c r="K1322" s="1" t="s">
        <v>484</v>
      </c>
    </row>
    <row r="1323" spans="1:11">
      <c r="A1323" s="2">
        <v>43948</v>
      </c>
      <c r="B1323" s="4">
        <v>0.64583333333333337</v>
      </c>
      <c r="C1323" s="1" t="s">
        <v>75</v>
      </c>
      <c r="E1323">
        <v>75</v>
      </c>
      <c r="F1323">
        <v>0</v>
      </c>
      <c r="J1323">
        <v>0</v>
      </c>
      <c r="K1323" s="1" t="s">
        <v>77</v>
      </c>
    </row>
    <row r="1324" spans="1:11">
      <c r="A1324" s="2">
        <v>43949</v>
      </c>
      <c r="B1324" s="4">
        <v>0</v>
      </c>
      <c r="C1324" s="1" t="s">
        <v>83</v>
      </c>
      <c r="E1324">
        <v>383</v>
      </c>
      <c r="F1324">
        <v>13</v>
      </c>
      <c r="J1324">
        <v>15</v>
      </c>
      <c r="K1324" s="1" t="s">
        <v>448</v>
      </c>
    </row>
  </sheetData>
  <pageMargins left="0.7" right="0.7" top="0.78740157499999996" bottom="0.78740157499999996"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53260-071C-42BC-9DC0-774571999768}">
  <sheetPr codeName="Tabelle6"/>
  <dimension ref="A1:Y32"/>
  <sheetViews>
    <sheetView workbookViewId="0">
      <selection activeCell="C39" sqref="C39"/>
    </sheetView>
  </sheetViews>
  <sheetFormatPr baseColWidth="10" defaultRowHeight="14.5"/>
  <cols>
    <col min="1" max="1" width="14.6328125" customWidth="1"/>
  </cols>
  <sheetData>
    <row r="1" spans="1:25">
      <c r="A1" s="7" t="s">
        <v>315</v>
      </c>
      <c r="B1" s="7" t="s">
        <v>316</v>
      </c>
      <c r="C1" s="8" t="s">
        <v>437</v>
      </c>
      <c r="D1" s="8" t="s">
        <v>436</v>
      </c>
      <c r="E1" s="7" t="s">
        <v>317</v>
      </c>
      <c r="F1" s="8"/>
      <c r="H1" s="8"/>
      <c r="I1" s="8"/>
      <c r="J1" s="8"/>
      <c r="K1" s="8"/>
      <c r="L1" s="8"/>
      <c r="M1" s="8"/>
      <c r="N1" s="8"/>
      <c r="O1" s="8"/>
      <c r="P1" s="8"/>
      <c r="Q1" s="8"/>
      <c r="R1" s="8"/>
      <c r="S1" s="8"/>
      <c r="T1" s="8"/>
      <c r="U1" s="8"/>
      <c r="V1" s="8"/>
      <c r="W1" s="8"/>
      <c r="X1" s="8"/>
      <c r="Y1" s="8"/>
    </row>
    <row r="2" spans="1:25">
      <c r="A2" t="s">
        <v>318</v>
      </c>
      <c r="B2" t="s">
        <v>34</v>
      </c>
      <c r="C2" s="9" t="str">
        <f>kt_latest!E2</f>
        <v>Aargau</v>
      </c>
      <c r="D2" s="9">
        <f>kt_latest!R2</f>
        <v>33</v>
      </c>
      <c r="E2" s="5">
        <v>878</v>
      </c>
      <c r="F2" s="9"/>
      <c r="H2" s="9"/>
      <c r="I2" s="9"/>
      <c r="J2" s="9"/>
      <c r="K2" s="9"/>
      <c r="L2" s="9"/>
      <c r="M2" s="9"/>
      <c r="N2" s="9"/>
      <c r="O2" s="9"/>
      <c r="P2" s="11"/>
      <c r="Q2" s="11"/>
      <c r="R2" s="9"/>
      <c r="S2" s="9"/>
      <c r="T2" s="11"/>
      <c r="U2" s="9"/>
      <c r="V2" s="11"/>
      <c r="W2" s="9"/>
      <c r="X2" s="9"/>
      <c r="Y2" s="9"/>
    </row>
    <row r="3" spans="1:25">
      <c r="A3" t="s">
        <v>318</v>
      </c>
      <c r="B3" t="s">
        <v>38</v>
      </c>
      <c r="C3" s="10" t="str">
        <f>kt_latest!E3</f>
        <v>Appenzell Innerrhoden</v>
      </c>
      <c r="D3" s="10">
        <f>kt_latest!R3</f>
        <v>0</v>
      </c>
      <c r="E3" s="6">
        <v>24</v>
      </c>
      <c r="F3" s="10"/>
      <c r="H3" s="10"/>
      <c r="I3" s="10"/>
      <c r="J3" s="10"/>
      <c r="K3" s="10"/>
      <c r="L3" s="10"/>
      <c r="M3" s="10"/>
      <c r="N3" s="10"/>
      <c r="O3" s="10"/>
      <c r="P3" s="12"/>
      <c r="Q3" s="12"/>
      <c r="R3" s="10"/>
      <c r="S3" s="10"/>
      <c r="T3" s="12"/>
      <c r="U3" s="10"/>
      <c r="V3" s="12"/>
      <c r="W3" s="10"/>
      <c r="X3" s="10"/>
      <c r="Y3" s="10"/>
    </row>
    <row r="4" spans="1:25">
      <c r="A4" t="s">
        <v>318</v>
      </c>
      <c r="B4" t="s">
        <v>41</v>
      </c>
      <c r="C4" s="9" t="str">
        <f>kt_latest!E4</f>
        <v>Appenzell Ausserrhoden</v>
      </c>
      <c r="D4" s="9">
        <f>kt_latest!R4</f>
        <v>3</v>
      </c>
      <c r="E4" s="5">
        <v>77</v>
      </c>
      <c r="F4" s="9"/>
      <c r="H4" s="9"/>
      <c r="I4" s="9"/>
      <c r="J4" s="9"/>
      <c r="K4" s="9"/>
      <c r="L4" s="9"/>
      <c r="M4" s="9"/>
      <c r="N4" s="9"/>
      <c r="O4" s="9"/>
      <c r="P4" s="11"/>
      <c r="Q4" s="11"/>
      <c r="R4" s="9"/>
      <c r="S4" s="9"/>
      <c r="T4" s="11"/>
      <c r="U4" s="9"/>
      <c r="V4" s="11"/>
      <c r="W4" s="9"/>
      <c r="X4" s="9"/>
      <c r="Y4" s="9"/>
    </row>
    <row r="5" spans="1:25">
      <c r="A5" t="s">
        <v>318</v>
      </c>
      <c r="B5" t="s">
        <v>44</v>
      </c>
      <c r="C5" s="10" t="str">
        <f>kt_latest!E5</f>
        <v>Bern/Berne</v>
      </c>
      <c r="D5" s="10">
        <f>kt_latest!R5</f>
        <v>83</v>
      </c>
      <c r="E5" s="6">
        <v>1419</v>
      </c>
      <c r="F5" s="10"/>
      <c r="H5" s="10"/>
      <c r="I5" s="10"/>
      <c r="J5" s="10"/>
      <c r="K5" s="10"/>
      <c r="L5" s="10"/>
      <c r="M5" s="10"/>
      <c r="N5" s="10"/>
      <c r="O5" s="10"/>
      <c r="P5" s="12"/>
      <c r="Q5" s="12"/>
      <c r="R5" s="10"/>
      <c r="S5" s="10"/>
      <c r="T5" s="12"/>
      <c r="U5" s="10"/>
      <c r="V5" s="12"/>
      <c r="W5" s="10"/>
      <c r="X5" s="10"/>
      <c r="Y5" s="10"/>
    </row>
    <row r="6" spans="1:25">
      <c r="A6" t="s">
        <v>318</v>
      </c>
      <c r="B6" t="s">
        <v>47</v>
      </c>
      <c r="C6" s="9" t="str">
        <f>kt_latest!E6</f>
        <v>Basel-Landschaft</v>
      </c>
      <c r="D6" s="9">
        <f>kt_latest!R6</f>
        <v>30</v>
      </c>
      <c r="E6" s="5">
        <v>736</v>
      </c>
      <c r="F6" s="9"/>
      <c r="H6" s="9"/>
      <c r="I6" s="9"/>
      <c r="J6" s="9"/>
      <c r="K6" s="9"/>
      <c r="L6" s="9"/>
      <c r="M6" s="9"/>
      <c r="N6" s="9"/>
      <c r="O6" s="9"/>
      <c r="P6" s="11"/>
      <c r="Q6" s="11"/>
      <c r="R6" s="9"/>
      <c r="S6" s="9"/>
      <c r="T6" s="11"/>
      <c r="U6" s="9"/>
      <c r="V6" s="11"/>
      <c r="W6" s="9"/>
      <c r="X6" s="9"/>
      <c r="Y6" s="9"/>
    </row>
    <row r="7" spans="1:25">
      <c r="A7" t="s">
        <v>318</v>
      </c>
      <c r="B7" t="s">
        <v>50</v>
      </c>
      <c r="C7" s="10" t="str">
        <f>kt_latest!E7</f>
        <v>Basel-Stadt</v>
      </c>
      <c r="D7" s="10">
        <f>kt_latest!R7</f>
        <v>46</v>
      </c>
      <c r="E7" s="6">
        <v>882</v>
      </c>
      <c r="F7" s="10"/>
      <c r="H7" s="10"/>
      <c r="I7" s="10"/>
      <c r="J7" s="10"/>
      <c r="K7" s="10"/>
      <c r="L7" s="10"/>
      <c r="M7" s="10"/>
      <c r="N7" s="10"/>
      <c r="O7" s="10"/>
      <c r="P7" s="12"/>
      <c r="Q7" s="12"/>
      <c r="R7" s="10"/>
      <c r="S7" s="10"/>
      <c r="T7" s="12"/>
      <c r="U7" s="10"/>
      <c r="V7" s="12"/>
      <c r="W7" s="10"/>
      <c r="X7" s="10"/>
      <c r="Y7" s="10"/>
    </row>
    <row r="8" spans="1:25">
      <c r="A8" t="s">
        <v>318</v>
      </c>
      <c r="B8" t="s">
        <v>56</v>
      </c>
      <c r="C8" s="10" t="str">
        <f>kt_latest!E9</f>
        <v>Fribourg</v>
      </c>
      <c r="D8" s="10">
        <f>kt_latest!R9</f>
        <v>78</v>
      </c>
      <c r="E8" s="6">
        <v>846</v>
      </c>
      <c r="F8" s="10"/>
      <c r="H8" s="10"/>
      <c r="I8" s="10"/>
      <c r="J8" s="10"/>
      <c r="K8" s="10"/>
      <c r="L8" s="10"/>
      <c r="M8" s="10"/>
      <c r="N8" s="10"/>
      <c r="O8" s="10"/>
      <c r="P8" s="12"/>
      <c r="Q8" s="12"/>
      <c r="R8" s="10"/>
      <c r="S8" s="10"/>
      <c r="T8" s="12"/>
      <c r="U8" s="10"/>
      <c r="V8" s="12"/>
      <c r="W8" s="10"/>
      <c r="X8" s="10"/>
      <c r="Y8" s="10"/>
    </row>
    <row r="9" spans="1:25">
      <c r="A9" t="s">
        <v>318</v>
      </c>
      <c r="B9" t="s">
        <v>58</v>
      </c>
      <c r="C9" s="9" t="str">
        <f>kt_latest!E10</f>
        <v>Genève</v>
      </c>
      <c r="D9" s="9">
        <f>kt_latest!R10</f>
        <v>239</v>
      </c>
      <c r="E9" s="5">
        <v>4310</v>
      </c>
      <c r="F9" s="9"/>
      <c r="H9" s="9"/>
      <c r="I9" s="9"/>
      <c r="J9" s="9"/>
      <c r="K9" s="9"/>
      <c r="L9" s="9"/>
      <c r="M9" s="9"/>
      <c r="N9" s="9"/>
      <c r="O9" s="9"/>
      <c r="P9" s="11"/>
      <c r="Q9" s="11"/>
      <c r="R9" s="9"/>
      <c r="S9" s="9"/>
      <c r="T9" s="11"/>
      <c r="U9" s="9"/>
      <c r="V9" s="11"/>
      <c r="W9" s="9"/>
      <c r="X9" s="9"/>
      <c r="Y9" s="9"/>
    </row>
    <row r="10" spans="1:25">
      <c r="A10" t="s">
        <v>318</v>
      </c>
      <c r="B10" t="s">
        <v>61</v>
      </c>
      <c r="C10" s="10" t="str">
        <f>kt_latest!E11</f>
        <v>Glarus</v>
      </c>
      <c r="D10" s="10">
        <f>kt_latest!R11</f>
        <v>7</v>
      </c>
      <c r="E10" s="6">
        <v>91</v>
      </c>
      <c r="F10" s="10"/>
      <c r="H10" s="10"/>
      <c r="I10" s="10"/>
      <c r="J10" s="10"/>
      <c r="K10" s="10"/>
      <c r="L10" s="10"/>
      <c r="M10" s="10"/>
      <c r="N10" s="10"/>
      <c r="O10" s="10"/>
      <c r="P10" s="12"/>
      <c r="Q10" s="12"/>
      <c r="R10" s="10"/>
      <c r="S10" s="10"/>
      <c r="T10" s="12"/>
      <c r="U10" s="10"/>
      <c r="V10" s="12"/>
      <c r="W10" s="10"/>
      <c r="X10" s="10"/>
      <c r="Y10" s="10"/>
    </row>
    <row r="11" spans="1:25">
      <c r="A11" t="s">
        <v>318</v>
      </c>
      <c r="B11" t="s">
        <v>63</v>
      </c>
      <c r="C11" s="9" t="str">
        <f>kt_latest!E12</f>
        <v>Graubünden/Grigioni</v>
      </c>
      <c r="D11" s="9">
        <f>kt_latest!R12</f>
        <v>43</v>
      </c>
      <c r="E11" s="5">
        <v>715</v>
      </c>
      <c r="F11" s="9"/>
      <c r="H11" s="9"/>
      <c r="I11" s="9"/>
      <c r="J11" s="9"/>
      <c r="K11" s="9"/>
      <c r="L11" s="9"/>
      <c r="M11" s="9"/>
      <c r="N11" s="9"/>
      <c r="O11" s="9"/>
      <c r="P11" s="11"/>
      <c r="Q11" s="11"/>
      <c r="R11" s="9"/>
      <c r="S11" s="9"/>
      <c r="T11" s="11"/>
      <c r="U11" s="9"/>
      <c r="V11" s="11"/>
      <c r="W11" s="9"/>
      <c r="X11" s="9"/>
      <c r="Y11" s="9"/>
    </row>
    <row r="12" spans="1:25">
      <c r="A12" t="s">
        <v>318</v>
      </c>
      <c r="B12" t="s">
        <v>66</v>
      </c>
      <c r="C12" s="10" t="str">
        <f>kt_latest!E13</f>
        <v>Jura</v>
      </c>
      <c r="D12" s="10">
        <f>kt_latest!R13</f>
        <v>7</v>
      </c>
      <c r="E12" s="6">
        <v>183</v>
      </c>
      <c r="F12" s="10"/>
      <c r="H12" s="10"/>
      <c r="I12" s="10"/>
      <c r="J12" s="10"/>
      <c r="K12" s="10"/>
      <c r="L12" s="10"/>
      <c r="M12" s="10"/>
      <c r="N12" s="10"/>
      <c r="O12" s="10"/>
      <c r="P12" s="12"/>
      <c r="Q12" s="12"/>
      <c r="R12" s="10"/>
      <c r="S12" s="10"/>
      <c r="T12" s="12"/>
      <c r="U12" s="10"/>
      <c r="V12" s="12"/>
      <c r="W12" s="10"/>
      <c r="X12" s="10"/>
      <c r="Y12" s="10"/>
    </row>
    <row r="13" spans="1:25">
      <c r="A13" t="s">
        <v>318</v>
      </c>
      <c r="B13" t="s">
        <v>68</v>
      </c>
      <c r="C13" s="9" t="str">
        <f>kt_latest!E14</f>
        <v>Luzern</v>
      </c>
      <c r="D13" s="9">
        <f>kt_latest!R14</f>
        <v>16</v>
      </c>
      <c r="E13" s="5">
        <v>568</v>
      </c>
      <c r="F13" s="9"/>
      <c r="H13" s="9"/>
      <c r="I13" s="9"/>
      <c r="J13" s="9"/>
      <c r="K13" s="9"/>
      <c r="L13" s="9"/>
      <c r="M13" s="9"/>
      <c r="N13" s="9"/>
      <c r="O13" s="9"/>
      <c r="P13" s="11"/>
      <c r="Q13" s="11"/>
      <c r="R13" s="9"/>
      <c r="S13" s="9"/>
      <c r="T13" s="11"/>
      <c r="U13" s="9"/>
      <c r="V13" s="11"/>
      <c r="W13" s="9"/>
      <c r="X13" s="9"/>
      <c r="Y13" s="9"/>
    </row>
    <row r="14" spans="1:25">
      <c r="A14" t="s">
        <v>318</v>
      </c>
      <c r="B14" t="s">
        <v>71</v>
      </c>
      <c r="C14" s="10" t="str">
        <f>kt_latest!E15</f>
        <v>Neuchâtel</v>
      </c>
      <c r="D14" s="10">
        <f>kt_latest!R15</f>
        <v>65</v>
      </c>
      <c r="E14" s="6">
        <v>552</v>
      </c>
      <c r="F14" s="10"/>
      <c r="H14" s="10"/>
      <c r="I14" s="10"/>
      <c r="J14" s="10"/>
      <c r="K14" s="10"/>
      <c r="L14" s="10"/>
      <c r="M14" s="10"/>
      <c r="N14" s="10"/>
      <c r="O14" s="10"/>
      <c r="P14" s="12"/>
      <c r="Q14" s="12"/>
      <c r="R14" s="10"/>
      <c r="S14" s="10"/>
      <c r="T14" s="12"/>
      <c r="U14" s="10"/>
      <c r="V14" s="12"/>
      <c r="W14" s="10"/>
      <c r="X14" s="10"/>
      <c r="Y14" s="10"/>
    </row>
    <row r="15" spans="1:25">
      <c r="A15" t="s">
        <v>318</v>
      </c>
      <c r="B15" t="s">
        <v>73</v>
      </c>
      <c r="C15" s="9" t="str">
        <f>kt_latest!E16</f>
        <v>Nidwalden</v>
      </c>
      <c r="D15" s="9">
        <f>kt_latest!R16</f>
        <v>3</v>
      </c>
      <c r="E15" s="5">
        <v>103</v>
      </c>
      <c r="F15" s="9"/>
      <c r="H15" s="9"/>
      <c r="I15" s="9"/>
      <c r="J15" s="9"/>
      <c r="K15" s="9"/>
      <c r="L15" s="9"/>
      <c r="M15" s="9"/>
      <c r="N15" s="9"/>
      <c r="O15" s="9"/>
      <c r="P15" s="11"/>
      <c r="Q15" s="11"/>
      <c r="R15" s="9"/>
      <c r="S15" s="9"/>
      <c r="T15" s="11"/>
      <c r="U15" s="9"/>
      <c r="V15" s="11"/>
      <c r="W15" s="9"/>
      <c r="X15" s="9"/>
      <c r="Y15" s="9"/>
    </row>
    <row r="16" spans="1:25">
      <c r="A16" t="s">
        <v>318</v>
      </c>
      <c r="B16" t="s">
        <v>75</v>
      </c>
      <c r="C16" s="10" t="str">
        <f>kt_latest!E17</f>
        <v>Obwalden</v>
      </c>
      <c r="D16" s="10">
        <f>kt_latest!R17</f>
        <v>0</v>
      </c>
      <c r="E16" s="6">
        <v>62</v>
      </c>
      <c r="F16" s="10"/>
      <c r="H16" s="10"/>
      <c r="I16" s="10"/>
      <c r="J16" s="10"/>
      <c r="K16" s="10"/>
      <c r="L16" s="10"/>
      <c r="M16" s="10"/>
      <c r="N16" s="10"/>
      <c r="O16" s="10"/>
      <c r="P16" s="12"/>
      <c r="Q16" s="12"/>
      <c r="R16" s="10"/>
      <c r="S16" s="10"/>
      <c r="T16" s="12"/>
      <c r="U16" s="10"/>
      <c r="V16" s="12"/>
      <c r="W16" s="10"/>
      <c r="X16" s="10"/>
      <c r="Y16" s="10"/>
    </row>
    <row r="17" spans="1:25">
      <c r="A17" t="s">
        <v>318</v>
      </c>
      <c r="B17" t="s">
        <v>78</v>
      </c>
      <c r="C17" s="9" t="str">
        <f>kt_latest!E18</f>
        <v>St. Gallen</v>
      </c>
      <c r="D17" s="9">
        <f>kt_latest!R18</f>
        <v>31</v>
      </c>
      <c r="E17" s="5">
        <v>649</v>
      </c>
      <c r="F17" s="9"/>
      <c r="H17" s="9"/>
      <c r="I17" s="9"/>
      <c r="J17" s="9"/>
      <c r="K17" s="9"/>
      <c r="L17" s="9"/>
      <c r="M17" s="9"/>
      <c r="N17" s="9"/>
      <c r="O17" s="9"/>
      <c r="P17" s="11"/>
      <c r="Q17" s="11"/>
      <c r="R17" s="9"/>
      <c r="S17" s="9"/>
      <c r="T17" s="11"/>
      <c r="U17" s="9"/>
      <c r="V17" s="11"/>
      <c r="W17" s="9"/>
      <c r="X17" s="9"/>
      <c r="Y17" s="9"/>
    </row>
    <row r="18" spans="1:25">
      <c r="A18" t="s">
        <v>318</v>
      </c>
      <c r="B18" t="s">
        <v>81</v>
      </c>
      <c r="C18" s="10" t="str">
        <f>kt_latest!E19</f>
        <v>Schaffhausen</v>
      </c>
      <c r="D18" s="10">
        <f>kt_latest!R19</f>
        <v>5</v>
      </c>
      <c r="E18" s="6">
        <v>57</v>
      </c>
      <c r="F18" s="10"/>
      <c r="H18" s="10"/>
      <c r="I18" s="10"/>
      <c r="J18" s="10"/>
      <c r="K18" s="10"/>
      <c r="L18" s="10"/>
      <c r="M18" s="10"/>
      <c r="N18" s="10"/>
      <c r="O18" s="10"/>
      <c r="P18" s="12"/>
      <c r="Q18" s="12"/>
      <c r="R18" s="10"/>
      <c r="S18" s="10"/>
      <c r="T18" s="12"/>
      <c r="U18" s="10"/>
      <c r="V18" s="12"/>
      <c r="W18" s="10"/>
      <c r="X18" s="10"/>
      <c r="Y18" s="10"/>
    </row>
    <row r="19" spans="1:25">
      <c r="A19" t="s">
        <v>318</v>
      </c>
      <c r="B19" t="s">
        <v>83</v>
      </c>
      <c r="C19" s="9" t="str">
        <f>kt_latest!E20</f>
        <v>Solothurn</v>
      </c>
      <c r="D19" s="9">
        <f>kt_latest!R20</f>
        <v>15</v>
      </c>
      <c r="E19" s="5">
        <v>306</v>
      </c>
      <c r="F19" s="9"/>
      <c r="H19" s="9"/>
      <c r="I19" s="9"/>
      <c r="J19" s="9"/>
      <c r="K19" s="9"/>
      <c r="L19" s="9"/>
      <c r="M19" s="9"/>
      <c r="N19" s="9"/>
      <c r="O19" s="9"/>
      <c r="P19" s="11"/>
      <c r="Q19" s="11"/>
      <c r="R19" s="9"/>
      <c r="S19" s="9"/>
      <c r="T19" s="11"/>
      <c r="U19" s="9"/>
      <c r="V19" s="11"/>
      <c r="W19" s="9"/>
      <c r="X19" s="9"/>
      <c r="Y19" s="9"/>
    </row>
    <row r="20" spans="1:25">
      <c r="A20" t="s">
        <v>318</v>
      </c>
      <c r="B20" t="s">
        <v>86</v>
      </c>
      <c r="C20" s="10" t="str">
        <f>kt_latest!E21</f>
        <v>Schwyz</v>
      </c>
      <c r="D20" s="10">
        <f>kt_latest!R21</f>
        <v>18</v>
      </c>
      <c r="E20" s="6">
        <v>251</v>
      </c>
      <c r="F20" s="10"/>
      <c r="H20" s="10"/>
      <c r="I20" s="10"/>
      <c r="J20" s="10"/>
      <c r="K20" s="10"/>
      <c r="L20" s="10"/>
      <c r="M20" s="10"/>
      <c r="N20" s="10"/>
      <c r="O20" s="10"/>
      <c r="P20" s="12"/>
      <c r="Q20" s="12"/>
      <c r="R20" s="10"/>
      <c r="S20" s="10"/>
      <c r="T20" s="12"/>
      <c r="U20" s="10"/>
      <c r="V20" s="12"/>
      <c r="W20" s="10"/>
      <c r="X20" s="10"/>
      <c r="Y20" s="10"/>
    </row>
    <row r="21" spans="1:25">
      <c r="A21" t="s">
        <v>318</v>
      </c>
      <c r="B21" t="s">
        <v>88</v>
      </c>
      <c r="C21" s="9" t="str">
        <f>kt_latest!E22</f>
        <v>Thurgau</v>
      </c>
      <c r="D21" s="9">
        <f>kt_latest!R22</f>
        <v>17</v>
      </c>
      <c r="E21" s="5">
        <v>274</v>
      </c>
      <c r="F21" s="9"/>
      <c r="H21" s="9"/>
      <c r="I21" s="9"/>
      <c r="J21" s="9"/>
      <c r="K21" s="9"/>
      <c r="L21" s="9"/>
      <c r="M21" s="9"/>
      <c r="N21" s="9"/>
      <c r="O21" s="9"/>
      <c r="P21" s="11"/>
      <c r="Q21" s="11"/>
      <c r="R21" s="9"/>
      <c r="S21" s="9"/>
      <c r="T21" s="11"/>
      <c r="U21" s="9"/>
      <c r="V21" s="11"/>
      <c r="W21" s="9"/>
      <c r="X21" s="9"/>
      <c r="Y21" s="9"/>
    </row>
    <row r="22" spans="1:25">
      <c r="A22" t="s">
        <v>318</v>
      </c>
      <c r="B22" t="s">
        <v>91</v>
      </c>
      <c r="C22" s="10" t="str">
        <f>kt_latest!E23</f>
        <v>Ticino</v>
      </c>
      <c r="D22" s="10">
        <f>kt_latest!R23</f>
        <v>311</v>
      </c>
      <c r="E22" s="6">
        <v>2869</v>
      </c>
      <c r="F22" s="10"/>
      <c r="H22" s="10"/>
      <c r="I22" s="10"/>
      <c r="J22" s="10"/>
      <c r="K22" s="10"/>
      <c r="L22" s="10"/>
      <c r="M22" s="10"/>
      <c r="N22" s="10"/>
      <c r="O22" s="10"/>
      <c r="P22" s="12"/>
      <c r="Q22" s="12"/>
      <c r="R22" s="10"/>
      <c r="S22" s="10"/>
      <c r="T22" s="12"/>
      <c r="U22" s="10"/>
      <c r="V22" s="12"/>
      <c r="W22" s="10"/>
      <c r="X22" s="10"/>
      <c r="Y22" s="10"/>
    </row>
    <row r="23" spans="1:25">
      <c r="A23" t="s">
        <v>318</v>
      </c>
      <c r="B23" t="s">
        <v>94</v>
      </c>
      <c r="C23" s="9" t="str">
        <f>kt_latest!E24</f>
        <v>Uri</v>
      </c>
      <c r="D23" s="9">
        <f>kt_latest!R24</f>
        <v>5</v>
      </c>
      <c r="E23" s="5">
        <v>75</v>
      </c>
      <c r="F23" s="9"/>
      <c r="H23" s="9"/>
      <c r="I23" s="9"/>
      <c r="J23" s="9"/>
      <c r="K23" s="9"/>
      <c r="L23" s="9"/>
      <c r="M23" s="9"/>
      <c r="N23" s="9"/>
      <c r="O23" s="9"/>
      <c r="P23" s="11"/>
      <c r="Q23" s="11"/>
      <c r="R23" s="9"/>
      <c r="S23" s="9"/>
      <c r="T23" s="11"/>
      <c r="U23" s="9"/>
      <c r="V23" s="11"/>
      <c r="W23" s="9"/>
      <c r="X23" s="9"/>
      <c r="Y23" s="9"/>
    </row>
    <row r="24" spans="1:25">
      <c r="A24" t="s">
        <v>318</v>
      </c>
      <c r="B24" t="s">
        <v>97</v>
      </c>
      <c r="C24" s="10" t="str">
        <f>kt_latest!E25</f>
        <v>Vaud</v>
      </c>
      <c r="D24" s="10">
        <f>kt_latest!R25</f>
        <v>355</v>
      </c>
      <c r="E24" s="6">
        <v>4524</v>
      </c>
      <c r="F24" s="10"/>
      <c r="H24" s="10"/>
      <c r="I24" s="10"/>
      <c r="J24" s="10"/>
      <c r="K24" s="10"/>
      <c r="L24" s="10"/>
      <c r="M24" s="10"/>
      <c r="N24" s="10"/>
      <c r="O24" s="10"/>
      <c r="P24" s="12"/>
      <c r="Q24" s="12"/>
      <c r="R24" s="10"/>
      <c r="S24" s="10"/>
      <c r="T24" s="12"/>
      <c r="U24" s="10"/>
      <c r="V24" s="12"/>
      <c r="W24" s="10"/>
      <c r="X24" s="10"/>
      <c r="Y24" s="10"/>
    </row>
    <row r="25" spans="1:25">
      <c r="A25" t="s">
        <v>318</v>
      </c>
      <c r="B25" t="s">
        <v>100</v>
      </c>
      <c r="C25" s="9" t="str">
        <f>kt_latest!E26</f>
        <v>Valais/Wallis</v>
      </c>
      <c r="D25" s="9">
        <f>kt_latest!R26</f>
        <v>132</v>
      </c>
      <c r="E25" s="5">
        <v>1592</v>
      </c>
      <c r="F25" s="9"/>
      <c r="H25" s="9"/>
      <c r="I25" s="9"/>
      <c r="J25" s="9"/>
      <c r="K25" s="9"/>
      <c r="L25" s="9"/>
      <c r="M25" s="9"/>
      <c r="N25" s="9"/>
      <c r="O25" s="9"/>
      <c r="P25" s="11"/>
      <c r="Q25" s="11"/>
      <c r="R25" s="9"/>
      <c r="S25" s="9"/>
      <c r="T25" s="11"/>
      <c r="U25" s="9"/>
      <c r="V25" s="11"/>
      <c r="W25" s="9"/>
      <c r="X25" s="9"/>
      <c r="Y25" s="9"/>
    </row>
    <row r="26" spans="1:25">
      <c r="A26" t="s">
        <v>318</v>
      </c>
      <c r="B26" t="s">
        <v>102</v>
      </c>
      <c r="C26" t="str">
        <f>kt_latest!E27</f>
        <v>Zug</v>
      </c>
      <c r="D26">
        <f>kt_latest!R27</f>
        <v>8</v>
      </c>
      <c r="E26" s="6">
        <v>168</v>
      </c>
      <c r="F26" s="10"/>
      <c r="H26" s="10"/>
      <c r="I26" s="10"/>
      <c r="J26" s="10"/>
      <c r="K26" s="10"/>
      <c r="L26" s="10"/>
      <c r="M26" s="10"/>
      <c r="N26" s="10"/>
      <c r="O26" s="10"/>
      <c r="P26" s="12"/>
      <c r="Q26" s="12"/>
      <c r="R26" s="10"/>
      <c r="S26" s="10"/>
      <c r="T26" s="12"/>
      <c r="U26" s="10"/>
      <c r="V26" s="12"/>
      <c r="W26" s="10"/>
      <c r="X26" s="10"/>
      <c r="Y26" s="10"/>
    </row>
    <row r="27" spans="1:25">
      <c r="A27" t="s">
        <v>318</v>
      </c>
      <c r="B27" t="s">
        <v>104</v>
      </c>
      <c r="C27" t="str">
        <f>kt_latest!E28</f>
        <v>Zürich</v>
      </c>
      <c r="D27">
        <f>kt_latest!R28</f>
        <v>115</v>
      </c>
      <c r="E27" s="5">
        <v>2987</v>
      </c>
      <c r="F27" s="9"/>
      <c r="H27" s="9"/>
      <c r="I27" s="9"/>
      <c r="J27" s="9"/>
      <c r="K27" s="9"/>
      <c r="L27" s="9"/>
      <c r="M27" s="9"/>
      <c r="N27" s="9"/>
      <c r="O27" s="9"/>
      <c r="P27" s="11"/>
      <c r="Q27" s="11"/>
      <c r="R27" s="9"/>
      <c r="S27" s="9"/>
      <c r="T27" s="11"/>
      <c r="U27" s="9"/>
      <c r="V27" s="11"/>
      <c r="W27" s="9"/>
      <c r="X27" s="9"/>
      <c r="Y27" s="9"/>
    </row>
    <row r="32" spans="1:25">
      <c r="A32" s="11"/>
    </row>
  </sheetData>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A4171-DC14-4B7E-911B-4838C591F696}">
  <sheetPr codeName="Tabelle9"/>
  <dimension ref="A1:A27"/>
  <sheetViews>
    <sheetView workbookViewId="0">
      <selection activeCell="A2" sqref="A2"/>
    </sheetView>
  </sheetViews>
  <sheetFormatPr baseColWidth="10" defaultRowHeight="14.5"/>
  <cols>
    <col min="1" max="1" width="141.26953125" style="43" customWidth="1"/>
    <col min="2" max="16384" width="10.90625" style="43"/>
  </cols>
  <sheetData>
    <row r="1" spans="1:1" ht="409" customHeight="1">
      <c r="A1" s="47" t="s">
        <v>402</v>
      </c>
    </row>
    <row r="2" spans="1:1" ht="409" customHeight="1">
      <c r="A2" s="42" t="s">
        <v>403</v>
      </c>
    </row>
    <row r="3" spans="1:1">
      <c r="A3" s="42"/>
    </row>
    <row r="4" spans="1:1" ht="15.5">
      <c r="A4" s="46"/>
    </row>
    <row r="5" spans="1:1">
      <c r="A5" s="42"/>
    </row>
    <row r="6" spans="1:1" ht="15.5">
      <c r="A6" s="46"/>
    </row>
    <row r="7" spans="1:1">
      <c r="A7" s="42"/>
    </row>
    <row r="8" spans="1:1">
      <c r="A8" s="42"/>
    </row>
    <row r="9" spans="1:1">
      <c r="A9" s="42"/>
    </row>
    <row r="10" spans="1:1">
      <c r="A10" s="42"/>
    </row>
    <row r="11" spans="1:1">
      <c r="A11" s="44"/>
    </row>
    <row r="12" spans="1:1">
      <c r="A12" s="42"/>
    </row>
    <row r="13" spans="1:1" ht="15.5">
      <c r="A13" s="46"/>
    </row>
    <row r="14" spans="1:1">
      <c r="A14" s="42"/>
    </row>
    <row r="15" spans="1:1" ht="15.5">
      <c r="A15" s="46"/>
    </row>
    <row r="16" spans="1:1">
      <c r="A16" s="42"/>
    </row>
    <row r="17" spans="1:1" ht="15.5">
      <c r="A17" s="46"/>
    </row>
    <row r="18" spans="1:1">
      <c r="A18" s="42"/>
    </row>
    <row r="19" spans="1:1">
      <c r="A19" s="42"/>
    </row>
    <row r="20" spans="1:1">
      <c r="A20" s="42"/>
    </row>
    <row r="21" spans="1:1" ht="15.5">
      <c r="A21" s="46"/>
    </row>
    <row r="22" spans="1:1">
      <c r="A22" s="44"/>
    </row>
    <row r="23" spans="1:1">
      <c r="A23" s="42"/>
    </row>
    <row r="24" spans="1:1">
      <c r="A24" s="42"/>
    </row>
    <row r="25" spans="1:1">
      <c r="A25" s="42"/>
    </row>
    <row r="26" spans="1:1">
      <c r="A26" s="42"/>
    </row>
    <row r="27" spans="1:1">
      <c r="A27" s="45"/>
    </row>
  </sheetData>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2D07BDB7-FD87-4315-93A1-B8F768B62FCF}">
  <ds:schemaRefs>
    <ds:schemaRef ds:uri="http://schemas.microsoft.com/DataMashup"/>
  </ds:schemaRefs>
</ds:datastoreItem>
</file>

<file path=customXml/itemProps2.xml><?xml version="1.0" encoding="utf-8"?>
<ds:datastoreItem xmlns:ds="http://schemas.openxmlformats.org/officeDocument/2006/customXml" ds:itemID="{127E88CF-0494-47BA-BDEB-04927C2BB250}">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02D8EF25-BBF0-467A-95E0-77469F65D118}">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9</vt:i4>
      </vt:variant>
      <vt:variant>
        <vt:lpstr>Benannte Bereiche</vt:lpstr>
      </vt:variant>
      <vt:variant>
        <vt:i4>1</vt:i4>
      </vt:variant>
    </vt:vector>
  </HeadingPairs>
  <TitlesOfParts>
    <vt:vector size="10" baseType="lpstr">
      <vt:lpstr>Graphs</vt:lpstr>
      <vt:lpstr>ch_latest</vt:lpstr>
      <vt:lpstr>analyse</vt:lpstr>
      <vt:lpstr>pivot_1</vt:lpstr>
      <vt:lpstr>pivot2</vt:lpstr>
      <vt:lpstr>kt_latest</vt:lpstr>
      <vt:lpstr>Fallzahlen_CH</vt:lpstr>
      <vt:lpstr>Map death</vt:lpstr>
      <vt:lpstr>Readme</vt:lpstr>
      <vt:lpstr>Graphs!Druckbereich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tgdbepe4</dc:creator>
  <cp:lastModifiedBy>tgdbepe4</cp:lastModifiedBy>
  <cp:lastPrinted>2020-04-13T12:33:32Z</cp:lastPrinted>
  <dcterms:created xsi:type="dcterms:W3CDTF">2020-04-08T15:29:54Z</dcterms:created>
  <dcterms:modified xsi:type="dcterms:W3CDTF">2020-04-28T08:57:49Z</dcterms:modified>
</cp:coreProperties>
</file>