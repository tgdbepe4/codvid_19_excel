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drawings/drawing2.xml" ContentType="application/vnd.openxmlformats-officedocument.drawing+xml"/>
  <Override PartName="/xl/charts/chartEx2.xml" ContentType="application/vnd.ms-office.chartex+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workbookPr codeName="DieseArbeitsmappe"/>
  <mc:AlternateContent xmlns:mc="http://schemas.openxmlformats.org/markup-compatibility/2006">
    <mc:Choice Requires="x15">
      <x15ac:absPath xmlns:x15ac="http://schemas.microsoft.com/office/spreadsheetml/2010/11/ac" url="K:\myCloud\QGIS_Projekte_github\covid_19_excel\privious versions\"/>
    </mc:Choice>
  </mc:AlternateContent>
  <xr:revisionPtr revIDLastSave="0" documentId="8_{E3A15B8C-0D4A-4DB5-AF41-88AEBBC6E24E}" xr6:coauthVersionLast="45" xr6:coauthVersionMax="45" xr10:uidLastSave="{00000000-0000-0000-0000-000000000000}"/>
  <bookViews>
    <workbookView xWindow="-110" yWindow="-110" windowWidth="38620" windowHeight="21220" xr2:uid="{B7984E8D-725D-425C-9EA3-75DA3EFF58B2}"/>
  </bookViews>
  <sheets>
    <sheet name="Graphs" sheetId="4" r:id="rId1"/>
    <sheet name="ch_latest" sheetId="20" r:id="rId2"/>
    <sheet name="analyse" sheetId="24" r:id="rId3"/>
    <sheet name="pivot_1" sheetId="32" r:id="rId4"/>
    <sheet name="pivot2" sheetId="33" r:id="rId5"/>
    <sheet name="kt_latest" sheetId="37" r:id="rId6"/>
    <sheet name="Fallzahlen_CH" sheetId="31" r:id="rId7"/>
    <sheet name="Map death" sheetId="15" r:id="rId8"/>
    <sheet name="Readme" sheetId="29" r:id="rId9"/>
  </sheets>
  <definedNames>
    <definedName name="_xlchart.v5.0" hidden="1">'Map death'!$A$1:$C$1</definedName>
    <definedName name="_xlchart.v5.1" hidden="1">'Map death'!$A$2:$C$27</definedName>
    <definedName name="_xlchart.v5.2" hidden="1">'Map death'!$D$1</definedName>
    <definedName name="_xlchart.v5.3" hidden="1">'Map death'!$D$2:$D$27</definedName>
    <definedName name="_xlchart.v5.4" hidden="1">'Map death'!$A$1:$C$1</definedName>
    <definedName name="_xlchart.v5.5" hidden="1">'Map death'!$A$2:$C$27</definedName>
    <definedName name="_xlchart.v5.6" hidden="1">'Map death'!$D$1</definedName>
    <definedName name="_xlchart.v5.7" hidden="1">'Map death'!$D$2:$D$27</definedName>
    <definedName name="_xlnm.Print_Area" localSheetId="0">Graphs!$A$2:$F$65</definedName>
    <definedName name="ExterneDaten_1" localSheetId="1" hidden="1">ch_latest!$A$1:$R$66</definedName>
    <definedName name="ExterneDaten_1" localSheetId="5" hidden="1">kt_latest!$A$1:$AF$28</definedName>
    <definedName name="ExterneDaten_3" localSheetId="6" hidden="1">Fallzahlen_CH!$A$1:$K$1372</definedName>
    <definedName name="ExterneDaten_5" localSheetId="1" hidden="1">ch_latest!#REF!</definedName>
  </definedNames>
  <calcPr calcId="191029"/>
  <pivotCaches>
    <pivotCache cacheId="0" r:id="rId1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15" i="24" l="1"/>
  <c r="B16" i="24"/>
  <c r="B3" i="4"/>
  <c r="C4" i="4"/>
  <c r="B17" i="24" l="1"/>
  <c r="B4" i="4" s="1"/>
  <c r="D2" i="15"/>
  <c r="D3" i="15"/>
  <c r="D4" i="15"/>
  <c r="D5" i="15"/>
  <c r="D6" i="15"/>
  <c r="D7" i="15"/>
  <c r="D8" i="15"/>
  <c r="D9" i="15"/>
  <c r="D10" i="15"/>
  <c r="D11" i="15"/>
  <c r="D12" i="15"/>
  <c r="D13" i="15"/>
  <c r="D14" i="15"/>
  <c r="D15" i="15"/>
  <c r="D16" i="15"/>
  <c r="D17" i="15"/>
  <c r="D18" i="15"/>
  <c r="D19" i="15"/>
  <c r="D20" i="15"/>
  <c r="D21" i="15"/>
  <c r="D22" i="15"/>
  <c r="D23" i="15"/>
  <c r="D24" i="15"/>
  <c r="D25" i="15"/>
  <c r="D26" i="15"/>
  <c r="D27" i="15"/>
  <c r="C2" i="15"/>
  <c r="C3" i="15"/>
  <c r="C4" i="15"/>
  <c r="C5" i="15"/>
  <c r="C6" i="15"/>
  <c r="C7" i="15"/>
  <c r="C8" i="15"/>
  <c r="C9" i="15"/>
  <c r="C10" i="15"/>
  <c r="C11" i="15"/>
  <c r="C12" i="15"/>
  <c r="C13" i="15"/>
  <c r="C14" i="15"/>
  <c r="C15" i="15"/>
  <c r="C16" i="15"/>
  <c r="C17" i="15"/>
  <c r="C18" i="15"/>
  <c r="C19" i="15"/>
  <c r="C20" i="15"/>
  <c r="C21" i="15"/>
  <c r="C22" i="15"/>
  <c r="C23" i="15"/>
  <c r="C24" i="15"/>
  <c r="C25" i="15"/>
  <c r="C26" i="15"/>
  <c r="C27" i="15"/>
  <c r="B8" i="24"/>
  <c r="C3" i="4"/>
  <c r="AE69" i="33"/>
  <c r="D3" i="4"/>
  <c r="C12" i="24" l="1"/>
  <c r="F4" i="4" s="1"/>
  <c r="B12" i="24"/>
  <c r="F3" i="4" s="1"/>
  <c r="C5" i="24" l="1"/>
  <c r="E3" i="4" s="1"/>
  <c r="B5" i="24"/>
  <c r="B9" i="24" l="1"/>
  <c r="B2" i="24"/>
  <c r="A3" i="4" s="1"/>
  <c r="B10" i="24" l="1"/>
  <c r="A4"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3368061-A837-49C8-B42E-988B1379A1B9}" keepAlive="1" interval="20" name="Abfrage - COVID19_Fallzahlen_CH_total" description="Verbindung mit der Abfrage 'COVID19_Fallzahlen_CH_total' in der Arbeitsmappe." type="5" refreshedVersion="6" background="1" refreshOnLoad="1" saveData="1">
    <dbPr connection="Provider=Microsoft.Mashup.OleDb.1;Data Source=$Workbook$;Location=COVID19_Fallzahlen_CH_total;Extended Properties=&quot;&quot;" command="SELECT * FROM [COVID19_Fallzahlen_CH_total]"/>
  </connection>
  <connection id="2" xr16:uid="{B798EE6E-B1B6-4B30-B682-C2252D6FA82D}" keepAlive="1" interval="20" name="Abfrage - dd-covid19-openzh-cantons-latest" description="Verbindung mit der Abfrage 'dd-covid19-openzh-cantons-latest' in der Arbeitsmappe." type="5" refreshedVersion="6" background="1" refreshOnLoad="1" saveData="1">
    <dbPr connection="Provider=Microsoft.Mashup.OleDb.1;Data Source=$Workbook$;Location=dd-covid19-openzh-cantons-latest;Extended Properties=&quot;&quot;" command="SELECT * FROM [dd-covid19-openzh-cantons-latest]"/>
  </connection>
  <connection id="3" xr16:uid="{B3A74981-1224-44A6-969D-E78AE7515E1D}" keepAlive="1" interval="20" name="Abfrage - dd-covid19-openzh-switzerland-latest" description="Verbindung mit der Abfrage 'dd-covid19-openzh-switzerland-latest' in der Arbeitsmappe." type="5" refreshedVersion="6" background="1" refreshOnLoad="1" saveData="1">
    <dbPr connection="Provider=Microsoft.Mashup.OleDb.1;Data Source=$Workbook$;Location=dd-covid19-openzh-switzerland-latest;Extended Properties=&quot;&quot;" command="SELECT * FROM [dd-covid19-openzh-switzerland-latest]"/>
  </connection>
</connections>
</file>

<file path=xl/sharedStrings.xml><?xml version="1.0" encoding="utf-8"?>
<sst xmlns="http://schemas.openxmlformats.org/spreadsheetml/2006/main" count="3346" uniqueCount="434">
  <si>
    <t>date</t>
  </si>
  <si>
    <t>last_update</t>
  </si>
  <si>
    <t>country</t>
  </si>
  <si>
    <t>tests_performed</t>
  </si>
  <si>
    <t>total_currently_positive</t>
  </si>
  <si>
    <t>total_positive</t>
  </si>
  <si>
    <t>new_positive</t>
  </si>
  <si>
    <t>old_positive</t>
  </si>
  <si>
    <t>home_confinment</t>
  </si>
  <si>
    <t>total_hospitalized</t>
  </si>
  <si>
    <t>hospitalized_with_symptoms</t>
  </si>
  <si>
    <t>intensive_care</t>
  </si>
  <si>
    <t>released</t>
  </si>
  <si>
    <t>deaths</t>
  </si>
  <si>
    <t>doubling_time_total_positive</t>
  </si>
  <si>
    <t>doubling_time_fatalities</t>
  </si>
  <si>
    <t>CH</t>
  </si>
  <si>
    <t>timestamp</t>
  </si>
  <si>
    <t>abbreviation_canton</t>
  </si>
  <si>
    <t>name_canton</t>
  </si>
  <si>
    <t>number_canton</t>
  </si>
  <si>
    <t>lat</t>
  </si>
  <si>
    <t>long</t>
  </si>
  <si>
    <t>total_currently_positive_cases</t>
  </si>
  <si>
    <t>total_positive_cases</t>
  </si>
  <si>
    <t>new_positive_cases</t>
  </si>
  <si>
    <t>total_currently_positive_per_100k</t>
  </si>
  <si>
    <t>deaths_per_100k</t>
  </si>
  <si>
    <t>ncumul_ICU_intub</t>
  </si>
  <si>
    <t>ncumul_vent</t>
  </si>
  <si>
    <t>ncumul_confirmed_non_resident</t>
  </si>
  <si>
    <t>ninst_ICU_intub</t>
  </si>
  <si>
    <t>ncumul_ICF</t>
  </si>
  <si>
    <t>source</t>
  </si>
  <si>
    <t>AG</t>
  </si>
  <si>
    <t>Aargau</t>
  </si>
  <si>
    <t/>
  </si>
  <si>
    <t>https://www.ag.ch/media/kanton_aargau/themen_1/coronavirus_1/lagebulletins/200409_KFS_Coronavirus_Lagebulletin_30.pdf</t>
  </si>
  <si>
    <t>AI</t>
  </si>
  <si>
    <t>Appenzell Innerrhoden</t>
  </si>
  <si>
    <t>https://www.ai.ch/themen/gesundheit-alter-und-soziales/gesundheitsfoerderung-und-praevention/uebertragbare-krankheiten/coronavirus</t>
  </si>
  <si>
    <t>AR</t>
  </si>
  <si>
    <t>Appenzell Ausserrhoden</t>
  </si>
  <si>
    <t>https://www.ar.ch/verwaltung/departement-gesundheit-und-soziales/amt-fuer-gesundheit/informationsseite-coronavirus/</t>
  </si>
  <si>
    <t>BE</t>
  </si>
  <si>
    <t>Bern/Berne</t>
  </si>
  <si>
    <t>https://www.besondere-lage.sites.be.ch/besondere-lage_sites/de/index/corona/index.html</t>
  </si>
  <si>
    <t>BL</t>
  </si>
  <si>
    <t>Basel-Landschaft</t>
  </si>
  <si>
    <t>https://www.baselland.ch/politik-und-behorden/direktionen/volkswirtschafts-und-gesundheitsdirektion/amt-fur-gesundheit/medizinische-dienste/kantonsarztlicher-dienst/aktuelles/covid-19-faelle-kanton-basel-landschaft</t>
  </si>
  <si>
    <t>BS</t>
  </si>
  <si>
    <t>Basel-Stadt</t>
  </si>
  <si>
    <t>https://www.gd.bs.ch//nm/2020-tagesbulletin-coronavirus-846-bestaetigte-faelle-im-kanton-basel-stadt-gd.html</t>
  </si>
  <si>
    <t>FL</t>
  </si>
  <si>
    <t>Fürstentum Lichtenstein</t>
  </si>
  <si>
    <t>https://www.regierung.li/de/mitteilungen/223366/?typ=news</t>
  </si>
  <si>
    <t>FR</t>
  </si>
  <si>
    <t>Fribourg</t>
  </si>
  <si>
    <t>GE</t>
  </si>
  <si>
    <t>Genève</t>
  </si>
  <si>
    <t>https://www.ge.ch/document/covid-19-situation-epidemiologique-geneve/telecharger</t>
  </si>
  <si>
    <t>GL</t>
  </si>
  <si>
    <t>Glarus</t>
  </si>
  <si>
    <t>GR</t>
  </si>
  <si>
    <t>Graubünden/Grigioni</t>
  </si>
  <si>
    <t>https://www.gr.ch/DE/institutionen/verwaltung/djsg/ga/coronavirus/info/Seiten/Start.aspx</t>
  </si>
  <si>
    <t>JU</t>
  </si>
  <si>
    <t>Jura</t>
  </si>
  <si>
    <t>LU</t>
  </si>
  <si>
    <t>Luzern</t>
  </si>
  <si>
    <t>https://gesundheit.lu.ch/themen/Humanmedizin/Infektionskrankheiten/Coronavirus</t>
  </si>
  <si>
    <t>NE</t>
  </si>
  <si>
    <t>Neuchâtel</t>
  </si>
  <si>
    <t>NW</t>
  </si>
  <si>
    <t>Nidwalden</t>
  </si>
  <si>
    <t>OW</t>
  </si>
  <si>
    <t>Obwalden</t>
  </si>
  <si>
    <t>https://www.ow.ch/de/verwaltung/dienstleistungen/?dienst_id=5962</t>
  </si>
  <si>
    <t>SG</t>
  </si>
  <si>
    <t>St. Gallen</t>
  </si>
  <si>
    <t>https://www.sg.ch/tools/informationen-coronavirus.html</t>
  </si>
  <si>
    <t>SH</t>
  </si>
  <si>
    <t>Schaffhausen</t>
  </si>
  <si>
    <t>SO</t>
  </si>
  <si>
    <t>Solothurn</t>
  </si>
  <si>
    <t>https://corona.so.ch/</t>
  </si>
  <si>
    <t>SZ</t>
  </si>
  <si>
    <t>Schwyz</t>
  </si>
  <si>
    <t>TG</t>
  </si>
  <si>
    <t>Thurgau</t>
  </si>
  <si>
    <t>https://www.tg.ch/news/fachdossier-coronavirus.html/10552</t>
  </si>
  <si>
    <t>TI</t>
  </si>
  <si>
    <t>Ticino</t>
  </si>
  <si>
    <t>https://www4.ti.ch/area-media/comunicati/dettaglio-comunicato/?NEWS_ID=187601&amp;tx_tichareamedia_comunicazioni%5Baction%5D=show&amp;tx_tichareamedia_comunicazioni%5Bcontroller%5D=Comunicazioni&amp;cHash=a02f7a88b61d913138f4f86dbeeaa599</t>
  </si>
  <si>
    <t>UR</t>
  </si>
  <si>
    <t>Uri</t>
  </si>
  <si>
    <t>https://www.ur.ch/themen/2962</t>
  </si>
  <si>
    <t>VD</t>
  </si>
  <si>
    <t>Vaud</t>
  </si>
  <si>
    <t>https://www.vd.ch/toutes-les-actualites/hotline-et-informations-sur-le-coronavirus/point-de-situation-statistique-dans-le-canton-de-vaud/</t>
  </si>
  <si>
    <t>VS</t>
  </si>
  <si>
    <t>Valais/Wallis</t>
  </si>
  <si>
    <t>ZG</t>
  </si>
  <si>
    <t>Zug</t>
  </si>
  <si>
    <t>ZH</t>
  </si>
  <si>
    <t>Zürich</t>
  </si>
  <si>
    <t>https://gd.zh.ch/internet/gesundheitsdirektion/de/themen/coronavirus.html</t>
  </si>
  <si>
    <t>time</t>
  </si>
  <si>
    <t>https://www.srf.ch/news/schweiz/tessiner-patient-erster-coronavirus-fall-in-der-schweiz</t>
  </si>
  <si>
    <t>https://www.coronavirus.bs.ch/nm/2020-coronavirus-erster-positiver-fall-in-basel-stadt-zweiter-positiv-getesteter-ausserkantonaler-fall-gd.html</t>
  </si>
  <si>
    <t>https://www.regierung.li/media/attachments/83-verdachtsfaelle-negativ-getestet.pdf?t=637202562374055719</t>
  </si>
  <si>
    <t>https://www.ag.ch/media/kanton_aargau/themen_1/coronavirus_1/20200228_KFS_20200106_Coronavirus_Lagebulletin_AG_Unterschrieben.pdf</t>
  </si>
  <si>
    <t>https://www.be.ch/portal/de/index/mediencenter/medienmitteilungen/suche.archiv.meldungNeu.html/portal/de/meldungen/mm/2020/02/20200229_0936_corona.html</t>
  </si>
  <si>
    <t>https://www.baselland.ch/politik-und-behorden/direktionen/volkswirtschafts-und-gesundheitsdirektion/medienmitteilungen/neuer-coronavirus-covid-19-erster-bestaetigter-fall-aus-dem-kanton-basel-landschaft</t>
  </si>
  <si>
    <t>https://twitter.com/BR_Sprecher/status/1233316679863631873?s=20</t>
  </si>
  <si>
    <t>https://www.vd.ch/toutes-les-actualites/hotline-et-informations-sur-le-coronavirus/</t>
  </si>
  <si>
    <t>https://www.baselland.ch/politik-und-behorden/direktionen/volkswirtschafts-und-gesundheitsdirektion/medienmitteilungen/weiterer-bestaetigter-fall-aus-dem-kanton-basel-landschaft</t>
  </si>
  <si>
    <t>https://twitter.com/BAG_OFSP_UFSP/status/1233759578241863681?s=20</t>
  </si>
  <si>
    <t>https://www.be.ch/portal/de/index/mediencenter/medienmitteilungen/suche.meldungNeu.html/portal/de/meldungen/mm/2020/03/20200302_1522_zweiter_bestaetigtercorona-fallinbiel</t>
  </si>
  <si>
    <t>https://www.coronavirus.bs.ch/nm/2020-coronavirus-anzahl-der-getesteten-faelle-und-zwischenstand-kita-riehen-gd.html</t>
  </si>
  <si>
    <t>https://www.fr.ch/sites/default/files/2020-03/200301_commd_dsas_covid_cas_fr.pdf</t>
  </si>
  <si>
    <t>https://www.ag.ch/media/kanton_aargau/themen_1/coronavirus_1/200302_KFS_Coronavirus_Lagebulletin_2.pdf</t>
  </si>
  <si>
    <t>https://www.be.ch/portal/de/index/mediencenter/medienmitteilungen/suche.meldungNeu.html/portal/de/meldungen/mm/2020/03/20200303_1333_mann_in_spital_interlakenpositivgetestet</t>
  </si>
  <si>
    <t>https://www.coronavirus.bs.ch/nm/2020-coronavirus-zwei-neue-positive-faelle-in-basel-stadt-gd.html</t>
  </si>
  <si>
    <t>https://www.fr.ch/sites/default/files/2020-03/200302_CommD_DSAS_covid_cas%20FR.pdf</t>
  </si>
  <si>
    <t>https://www.sg.ch/news/sgch_allgemein/2020/03/zwei-personen-in-quarantaene---kein-bestaetigter-fall.html</t>
  </si>
  <si>
    <t>https://www4.ti.ch/area-media/comunicati/dettaglio-comunicato/?NEWS_ID=187352&amp;tx_tichareamedia_comunicazioni%5Baction%5D=show&amp;tx_tichareamedia_comunicazioni%5Bcontroller%5D=Comunicazioni&amp;cHash=ea65dbcabb28d4711459f3b613bbc1b7</t>
  </si>
  <si>
    <t>https://www.ag.ch/media/kanton_aargau/themen_1/coronavirus_1/lagebulletins/200303_KFS_Coronavirus_Lagebulletin_3.pdf</t>
  </si>
  <si>
    <t>https://twitter.com/BAG_OFSP_UFSP/status/1234880556095213569?s=20</t>
  </si>
  <si>
    <t>https://www.regierung.li/media/attachments/90-coronavirus.pdf?t=637202562374055719</t>
  </si>
  <si>
    <t>https://www.sz.ch/public/upload/assets/45351/MM_Coronavirus_4_3_2020.pdf</t>
  </si>
  <si>
    <t>https://www4.ti.ch/area-media/comunicati/dettaglio-comunicato/?NEWS_ID=187363&amp;tx_tichareamedia_comunicazioni%5Baction%5D=show&amp;tx_tichareamedia_comunicazioni%5Bcontroller%5D=Comunicazioni&amp;cHash=b34e82602a39cad67a7f8d54150dcf70   https://www4.ti.ch/area-media/comunicati/dettaglio-comunicato/?NEWS_ID=187369&amp;tx_tichareamedia_comunicazioni%5Baction%5D=show&amp;tx_tichareamedia_comunicazioni%5Bcontroller%5D=Comunicazioni&amp;cHash=3154d18e72821fc23d7b3c5cdfe9f9a3</t>
  </si>
  <si>
    <t>https://www.ag.ch/media/kanton_aargau/themen_1/coronavirus_1/lagebulletins/200304_KFS_Coronavirus_Lagebulletin_4.pdf</t>
  </si>
  <si>
    <t>https://www.be.ch/portal/de/index/mediencenter/medienmitteilungen/suche.meldungNeu.html/portal/de/meldungen/mm/2020/03/20200304_1443_corona-4-3-2020</t>
  </si>
  <si>
    <t>https://twitter.com/BAG_OFSP_UFSP/status/1235240377134862336?s=20</t>
  </si>
  <si>
    <t>https://www.regierung.li/media/attachments/97-coronavirus.pdf?t=637202562374055719</t>
  </si>
  <si>
    <t>https://www.fr.ch/sites/default/files/2020-03/200304_CommD_DSAS_covid_cas%20FR.pdf</t>
  </si>
  <si>
    <t>https://web.archive.org/web/20200304173939/https://gesundheit.lu.ch/themen/Humanmedizin/Infektionskrankheiten/Coronavirus</t>
  </si>
  <si>
    <t>https://www.sg.ch/news/sgch_allgemein/2020/03/erster-bestaetigter-corona-fall-im-kanton-.html</t>
  </si>
  <si>
    <t>https://www4.ti.ch/area-media/comunicati/dettaglio-comunicato/?NEWS_ID=187371&amp;tx_tichareamedia_comunicazioni%5Baction%5D=show&amp;tx_tichareamedia_comunicazioni%5Bcontroller%5D=Comunicazioni&amp;cHash=174f2d754f3b657af79f343c92fc5c89</t>
  </si>
  <si>
    <t>https://www.ag.ch/media/kanton_aargau/themen_1/coronavirus_1/lagebulletins/200305_KFS_Coronavirus_Lagebulletin_5.pdf</t>
  </si>
  <si>
    <t>https://www.ar.ch/verwaltung/departement-gesundheit-und-soziales/news-aus-dem-departement/detail/news/coronavirusersterfallinappenzellausserrhoden/?tx_news_pi1[controller]=News&amp;tx_news_pi1[action]=detail&amp;cHash=fb1a9cf08108cdc7b82780b9239b009d</t>
  </si>
  <si>
    <t>https://www.baselland.ch/politik-und-behorden/direktionen/volkswirtschafts-und-gesundheitsdirektion/medienmitteilungen/neuer-coronavirus-covid-19-sechs-bestaetigte-faelle-im-kanton-basel-landschaft</t>
  </si>
  <si>
    <t>https://www.coronavirus.bs.ch/nm/2020-coronavirus-fuenf-neue-positive-faelle-in-basel-stadt-gd.html</t>
  </si>
  <si>
    <t>https://www.regierung.li/media/attachments/100-coronavirus-18-verdachtsfaelle-0305.pdf?t=637202562374055719</t>
  </si>
  <si>
    <t>https://www.fr.ch/de/covid19/gesundheit/covid-19/coronavirus-entwicklungen-der-situation</t>
  </si>
  <si>
    <t>https://www4.ti.ch/area-media/comunicati/dettaglio-comunicato/?NEWS_ID=187385&amp;tx_tichareamedia_comunicazioni%5Baction%5D=show&amp;tx_tichareamedia_comunicazioni%5Bcontroller%5D=Comunicazioni&amp;cHash=a9ddddfae2c7446e5b856451e178a61a</t>
  </si>
  <si>
    <t>https://www.ag.ch/media/kanton_aargau/themen_1/coronavirus_1/lagebulletins/200305_KFS_Coronavirus_Lagebulletin_6.pdf</t>
  </si>
  <si>
    <t>https://www.be.ch/portal/de/index/mediencenter/medienmitteilungen/suche.meldungNeu.html/portal/de/meldungen/mm/2020/03/20200306_1343_corona6-3</t>
  </si>
  <si>
    <t>https://twitter.com/BAG_OFSP_UFSP/status/1235934884167852035?s=20</t>
  </si>
  <si>
    <t>https://www.regierung.li/media/attachments/104-coronavirus-vorsicht.pdf?t=637202562374055719</t>
  </si>
  <si>
    <t>https://www.sg.ch/news/sgch_allgemein/2020/03/zweiter-bestaetigter-fall-einer-corona-patientin.html</t>
  </si>
  <si>
    <t>https://so.ch/startseite/aktuell/news/erster-laborbestaetigter-covid-19-fall-im-kanton-solothurn/?tx_news_pi1%5Bcontroller%5D=News&amp;tx_news_pi1%5Baction%5D=detail&amp;cHash=3074bbdc8f0fcdcb9f1e11a21fc05e73</t>
  </si>
  <si>
    <t>https://www.sz.ch/public/upload/assets/45417/MM_Coronavirus_6_3_2020.pdf</t>
  </si>
  <si>
    <t>https://www.baselland.ch/politik-und-behorden/direktionen/volkswirtschafts-und-gesundheitsdirektion/medienmitteilungen/update-15-bestaetigte-faelle-in-basel-landschaft</t>
  </si>
  <si>
    <t>https://twitter.com/BAG_OFSP_UFSP/status/1236249864473894914?s=20</t>
  </si>
  <si>
    <t>https://www4.ti.ch/area-media/comunicati/dettaglio-comunicato/?NEWS_ID=187406&amp;tx_tichareamedia_comunicazioni%5Baction%5D=show&amp;tx_tichareamedia_comunicazioni%5Bcontroller%5D=Comunicazioni&amp;cHash=e553d0b42db2ead87a7d05e499fac4db</t>
  </si>
  <si>
    <t>https://www.baselland.ch/politik-und-behorden/direktionen/volkswirtschafts-und-gesundheitsdirektion/medienmitteilungen/patient-im-kantonsspital-baselland-stirbt-an-den-folgen-einer-coronavirus-infektion</t>
  </si>
  <si>
    <t>https://twitter.com/BAG_OFSP_UFSP/status/1236609191831384064?s=20</t>
  </si>
  <si>
    <t>https://www4.ti.ch/area-media/comunicati/dettaglio-comunicato/?NEWS_ID=187407&amp;tx_tichareamedia_comunicazioni%5Baction%5D=show&amp;tx_tichareamedia_comunicazioni%5Bcontroller%5D=Comunicazioni&amp;cHash=8d1ff4bf2a674892913340827de952ea</t>
  </si>
  <si>
    <t>https://www.ag.ch/media/kanton_aargau/themen_1/coronavirus_1/lagebulletins/200309_KFS_Coronavirus_Lagebulletin_7.pdf</t>
  </si>
  <si>
    <t>https://www.ar.ch/schnellzugriff/medienmitteilungen-der-kantonalen-verwaltung/detail/news/zweiter-coronafall-in-appenzell-ausserrhoden/?tx_news_pi1[controller]=News&amp;tx_news_pi1[action]=detail&amp;cHash=de7ec38198b5e60b6dce8fccc7735501</t>
  </si>
  <si>
    <t>https://www.be.ch/portal/de/index/mediencenter/medienmitteilungen/suche.meldungNeu.html/portal/de/meldungen/mm/2020/03/20200309_1545_corona-9-3</t>
  </si>
  <si>
    <t>https://www.baselland.ch/politik-und-behorden/direktionen/volkswirtschafts-und-gesundheitsdirektion/medienmitteilungen/update-xx-bestaetigte-faelle-in-basel-landschaft</t>
  </si>
  <si>
    <t>https://twitter.com/BAG_OFSP_UFSP/status/1236973685602426881?s=20</t>
  </si>
  <si>
    <t>https://www.regierung.li/media/attachments/106-coronavirus-anpassung-massnahmen.pdf?t=637202562374055719</t>
  </si>
  <si>
    <t>https://www4.ti.ch/area-media/comunicati/dettaglio-comunicato/?NEWS_ID=187417&amp;tx_tichareamedia_comunicazioni%5Baction%5D=show&amp;tx_tichareamedia_comunicazioni%5Bcontroller%5D=Comunicazioni&amp;cHash=20e9b76118246e98781581881b459523</t>
  </si>
  <si>
    <t>https://www.ag.ch/media/kanton_aargau/themen_1/coronavirus_1/lagebulletins/200310_KFS_Coronavirus_Lagebulletin_8.pdf</t>
  </si>
  <si>
    <t>https://www.baselland.ch/politik-und-behorden/direktionen/volkswirtschafts-und-gesundheitsdirektion/medienmitteilungen/update</t>
  </si>
  <si>
    <t>https://twitter.com/BAG_OFSP_UFSP/status/1237336196772175873?s=20</t>
  </si>
  <si>
    <t>https://www.regierung.li/media/attachments/110-corona-0310.pdf?t=637202562374055719</t>
  </si>
  <si>
    <t>https://www4.ti.ch/area-media/comunicati/dettaglio-comunicato/?NEWS_ID=187422&amp;tx_tichareamedia_comunicazioni%5Baction%5D=show&amp;tx_tichareamedia_comunicazioni%5Bcontroller%5D=Comunicazioni&amp;cHash=24aa247e65de88fdd1551a61fcc407d9</t>
  </si>
  <si>
    <t>https://www.ag.ch/media/kanton_aargau/themen_1/coronavirus_1/lagebulletins/200311_KFS_Coronavirus_Lagebulletin_9.pdf</t>
  </si>
  <si>
    <t>https://www.baselland.ch/politik-und-behorden/direktionen/volkswirtschafts-und-gesundheitsdirektion/medienmitteilungen/update-26-bestaetigte-faelle-in-basel-landschaft-1</t>
  </si>
  <si>
    <t>https://www.coronavirus.bs.ch/nm/2020-coronavirus-ende-der-quarantaenemassnahmen-im-fall-kita-riehen-gd.html</t>
  </si>
  <si>
    <t>https://www.regierung.li/media/attachments/112-drei-personen-infiziert.pdf?t=637202562374055719</t>
  </si>
  <si>
    <t>https://www.ag.ch/media/kanton_aargau/themen_1/coronavirus_1/lagebulletins/200312_KFS_Coronavirus_Lagebulletin_10.pdf</t>
  </si>
  <si>
    <t>https://www.ar.ch/schnellzugriff/medienmitteilungen-der-kantonalen-verwaltung/detail/news/coronavirus-drei-neue-faelle-in-appenzell-ausserrhoden/?tx_news_pi1[controller]=News&amp;tx_news_pi1[action]=detail&amp;cHash=272411484066c8fb971dcc838aa96ef9</t>
  </si>
  <si>
    <t>https://twitter.com/BAG_OFSP_UFSP/status/1238073089902235648?s=20 https://www.coronavirus.bs.ch/nm/2020-coronavirus-erster-todesfall-im-kanton-basel-stadt-gd.html</t>
  </si>
  <si>
    <t>https://www.regierung.li/media/attachments/114-hallenbaeder-geschlossen-0312.pdf?t=637202562374055719</t>
  </si>
  <si>
    <t>https://www4.ti.ch/area-media/comunicati/dettaglio-comunicato/?NEWS_ID=187437&amp;tx_tichareamedia_comunicazioni%5Baction%5D=show&amp;tx_tichareamedia_comunicazioni%5Bcontroller%5D=Comunicazioni&amp;cHash=59cf6112c82abed490acd8901f5a0bb2</t>
  </si>
  <si>
    <t>https://www.ag.ch/media/kanton_aargau/themen_1/coronavirus_1/lagebulletins/200313_KFS_Coronavirus_Lagebulletin_11.pdf</t>
  </si>
  <si>
    <t>https://www.baselland.ch/politik-und-behorden/direktionen/volkswirtschafts-und-gesundheitsdirektion/medienmitteilungen/update-26-bestaetigte-faelle-in-basel-landschaft-2</t>
  </si>
  <si>
    <t>https://twitter.com/BAG_OFSP_UFSP/status/1238430659762364417?s=20</t>
  </si>
  <si>
    <t>https://www.ow.ch/de/aktuelles/aktuellesinformationen/amtsmitteilungen/welcome.php?action=showinfo&amp;info_id=63566&amp;ls=0&amp;sq=&amp;kategorie_id=&amp;date_from=&amp;date_to=</t>
  </si>
  <si>
    <t>https://www.sz.ch/public/upload/assets/45585/MM_Coronavirus_13_03_2020.pdf</t>
  </si>
  <si>
    <t>https://www.youtube.com/watch?v=_x_yQ6uwGAQ</t>
  </si>
  <si>
    <t>https://www.ai.ch/themen/gesundheit-alter-und-soziales/gesundheitsfoerderung-und-praevention/aktuelles/erste-bestaetigte-coronavirus-faelle-auch-in-innerrhoden</t>
  </si>
  <si>
    <t>https://www.baselland.ch/politik-und-behorden/direktionen/volkswirtschafts-und-gesundheitsdirektion/medienmitteilungen/update-47-bestaetigte-faelle-in-basel-landschaft</t>
  </si>
  <si>
    <t>https://twitter.com/BAG_OFSP_UFSP/status/1238773726423941127?s=20</t>
  </si>
  <si>
    <t>https://www.regierung.li/media/attachments/118-corona-rueckkehrer-skiferien-0314.pdf?t=637202562374055719</t>
  </si>
  <si>
    <t>https://www4.ti.ch/area-media/comunicati/dettaglio-comunicato/?NEWS_ID=187466&amp;tx_tichareamedia_comunicazioni%5Baction%5D=show&amp;tx_tichareamedia_comunicazioni%5Bcontroller%5D=Comunicazioni&amp;cHash=1b10e6e8117296766155edcf9c317a4c</t>
  </si>
  <si>
    <t>https://www.baselland.ch/politik-und-behorden/direktionen/volkswirtschafts-und-gesundheitsdirektion/medienmitteilungen/update-54-bestaetigte-faelle-in-basel-landschaft</t>
  </si>
  <si>
    <t>https://www.regierung.li/media/attachments/119-corona-massnahmen-verschaerft-0315.pdf?t=637202562374055719</t>
  </si>
  <si>
    <t>https://www.sz.ch/public/upload/assets/45590/MM_Coronavirus_15_3_2020.pdf</t>
  </si>
  <si>
    <t>https://www4.ti.ch/area-media/comunicati/dettaglio-comunicato/?NEWS_ID=187467&amp;tx_tichareamedia_comunicazioni%5Baction%5D=show&amp;tx_tichareamedia_comunicazioni%5Bcontroller%5D=Comunicazioni&amp;cHash=af5473066754ef4d1272e156056acc07</t>
  </si>
  <si>
    <t>https://www.ag.ch/media/kanton_aargau/themen_1/coronavirus_1/lagebulletins/200316_KFS_Coronavirus_Lagebulletin_12.pdf</t>
  </si>
  <si>
    <t>Kantonaler Führungsstab Appenzell Innerrhoden</t>
  </si>
  <si>
    <t>https://www.baselland.ch/politik-und-behorden/direktionen/volkswirtschafts-und-gesundheitsdirektion/medienmitteilungen/update-67-bestaetigte-faelle-in-basel-landschaft</t>
  </si>
  <si>
    <t>https://www.coronavirus.bs.ch/nm/2020-tagesbulletin-coronavirus-144-bestaetigte-faelle-im-kanton-basel-stadt-gd.html</t>
  </si>
  <si>
    <t>https://www4.ti.ch/area-media/comunicati/dettaglio-comunicato/?NEWS_ID=187475&amp;tx_tichareamedia_comunicazioni%5Baction%5D=show&amp;tx_tichareamedia_comunicazioni%5Bcontroller%5D=Comunicazioni&amp;cHash=dee4a529abd4e9300e116c7ff4db5774</t>
  </si>
  <si>
    <t>https://www.ag.ch/media/kanton_aargau/themen_1/coronavirus_1/lagebulletins/200317_KFS_Coronavirus_Lagebulletin_13.pdf</t>
  </si>
  <si>
    <t>https://www.baselland.ch/politik-und-behorden/direktionen/volkswirtschafts-und-gesundheitsdirektion/medienmitteilungen/update-89-bestaetigte-faelle-in-basel-landschaft</t>
  </si>
  <si>
    <t>https://www.coronavirus.bs.ch/nm/2020-tagesbulletin-coronavirus-165-bestaetigte-faelle-im-kanton-basel-stadt-gd.html</t>
  </si>
  <si>
    <t>https://www.regierung.li/media/attachments/126-corona-generelles-veranstaltungsverbot-weitere-schliessungen.pdf?t=637202562374055719</t>
  </si>
  <si>
    <t>https://www4.ti.ch/area-media/comunicati/dettaglio-comunicato/?NEWS_ID=187486&amp;tx_tichareamedia_comunicazioni%5Baction%5D=show&amp;tx_tichareamedia_comunicazioni%5Bcontroller%5D=Comunicazioni&amp;cHash=d106aab74491da09b294ff13ffadd02f</t>
  </si>
  <si>
    <t>https://www.ag.ch/media/kanton_aargau/themen_1/coronavirus_1/lagebulletins/200318_KFS_Coronavirus_Lagebulletin_14.pdf</t>
  </si>
  <si>
    <t>https://www.ar.ch/schnellzugriff/medienmitteilungen-der-kantonalen-verwaltung/detail/news/coronavirus-bevoelkerung-und-alle-spitaeler-machen-bei-der-gesundheitsversorgung-mit/?tx_news_pi1%5Bcontroller%5D=News&amp;tx_news_pi1%5Baction%5D=detail&amp;cHash=3d2a0733446b5fc7cdad0f48f61c28fd</t>
  </si>
  <si>
    <t>https://www.baselland.ch/politik-und-behorden/direktionen/volkswirtschafts-und-gesundheitsdirektion/medienmitteilungen/update-116-bestaetigte-faelle-in-basel-landschaft</t>
  </si>
  <si>
    <t>https://www.coronavirus.bs.ch/nm/2020-tagesbulletin-coronavirus-182-bestaetigte-faelle-im-kanton-basel-stadt-treffen-mit-allen-spitaelern-gd.html</t>
  </si>
  <si>
    <t>https://www.regierung.li/media/attachments/131-corona-hotline-0318.pdf?t=637202562374055719</t>
  </si>
  <si>
    <t>https://web.archive.org/web/20200318191404/https://gesundheit.lu.ch/themen/Humanmedizin/Infektionskrankheiten/Coronavirus</t>
  </si>
  <si>
    <t>https://www.oltnertagblatt.ch/solothurn/kanton-solothurn/zivilschuetzer-kontrollieren-wer-in-die-solothurner-spitaeler-rein-will-137174885</t>
  </si>
  <si>
    <t>https://www4.ti.ch/area-media/comunicati/dettaglio-comunicato/?NEWS_ID=187493&amp;tx_tichareamedia_comunicazioni%5Baction%5D=show&amp;tx_tichareamedia_comunicazioni%5Bcontroller%5D=Comunicazioni&amp;cHash=7803bbc03dd49ef2e421dfd6b12dd239</t>
  </si>
  <si>
    <t>https://www.ur.ch/mmdirektionen/63802</t>
  </si>
  <si>
    <t>https://www.ag.ch/media/kanton_aargau/themen_1/coronavirus_1/lagebulletins/200319_KFS_Coronavirus_Lagebulletin_15.pdf</t>
  </si>
  <si>
    <t>https://www.baselland.ch/politik-und-behorden/direktionen/volkswirtschafts-und-gesundheitsdirektion/medienmitteilungen/update-131-bestaetigte-faelle-in-basel-landschaft</t>
  </si>
  <si>
    <t>https://www.coronavirus.bs.ch/nm/2020-tagesbulletin-coronavirus-222-bestaetigte-faelle-basel-stadt-trifft-gemeinsam-mit-den-spitaelern-vorkehrungen-fuer-intensiv--und-beatmungskapazitaeten-gd.html</t>
  </si>
  <si>
    <t>https://www4.ti.ch/area-media/comunicati/dettaglio-comunicato/?NEWS_ID=187499&amp;tx_tichareamedia_comunicazioni%5Baction%5D=show&amp;tx_tichareamedia_comunicazioni%5Bcontroller%5D=Comunicazioni&amp;cHash=634a783514bdcbb426c005f1ea916268 https://www.youtube.com/watch?v=34RQ7OOWYoI</t>
  </si>
  <si>
    <t>https://www.ur.ch/mmdirektionen/63841</t>
  </si>
  <si>
    <t>https://www.ag.ch/media/kanton_aargau/themen_1/coronavirus_1/lagebulletins/200320_KFS_Coronavirus_Lagebulletin_16.pdf</t>
  </si>
  <si>
    <t>https://www.baselland.ch/politik-und-behorden/direktionen/volkswirtschafts-und-gesundheitsdirektion/medienmitteilungen/update-170-bestaetigte-faelle-in-basel-landschaft</t>
  </si>
  <si>
    <t>https://www.coronavirus.bs.ch/nm/2020-tagesbulletin-coronavirus-272-bestaetigte-faelle-im-kanton-basel-stadt-gd.html</t>
  </si>
  <si>
    <t>https://www.regierung.li/media/attachments/136-soziale-kontakte-reduktion-corona.pdf?t=637203388043363286</t>
  </si>
  <si>
    <t>https://twitter.com/KantonSolothurn/status/1241041303024041989?p=p</t>
  </si>
  <si>
    <t>https://www4.ti.ch/dss/dsp/covid19/home/ https://www.youtube.com/watch?v=34RQ7OOWYoI</t>
  </si>
  <si>
    <t>https://www.ur.ch/themen/2920</t>
  </si>
  <si>
    <t>https://www.ar.ch/schnellzugriff/medienmitteilungen-der-kantonalen-verwaltung/detail/news/coronavirus-erster-todesfall-in-appenzell-ausserrhoden/?tx_news_pi1%5Bcontroller%5D=News&amp;tx_news_pi1%5Baction%5D=detail&amp;cHash=a88f209df29c38474f9c5f9e1c5dd53f</t>
  </si>
  <si>
    <t>https://www.baselland.ch/politik-und-behorden/direktionen/volkswirtschafts-und-gesundheitsdirektion/medienmitteilungen/update-282-bestaetigte-faelle-in-basel-landschaft</t>
  </si>
  <si>
    <t>https://www.coronavirus.bs.ch/nm/2020-tagesbulletin-coronavirus-299-bestaetigte-faelle-im-kanton-basel-stadt-gd.html</t>
  </si>
  <si>
    <t>https://www.regierung.li/media/attachments/138-corona-starke-zunahme-0321.pdf?t=637204593432337675</t>
  </si>
  <si>
    <t>https://gesundheit.lu.ch/themen/Humanmedizin/Infektionskrankheiten/Coronavirus;https://newsletter.lu.ch/inxmail/html_mail.jsp?params=7UGt4J1Fx6OIONHlV9upAAuOzkQ6ZmQA%2FxRrLjJkeDWZdweUdKfwhAE94i2Apium%2F6rIvcF2Z5MaTtV52A77W2jrwVmrkZ8UhFPVmHC4iuI%3D</t>
  </si>
  <si>
    <t>https://www4.ti.ch/dss/dsp/covid19/home/ https://www.youtube.com/watch?v=7g2sALU9bQM</t>
  </si>
  <si>
    <t>https://www.ag.ch/de/aktuelles/medienportal/medienmitteilung/medienmitteilungen/mediendetails_139237.jsp</t>
  </si>
  <si>
    <t>https://www.baselland.ch/politik-und-behorden/direktionen/volkswirtschafts-und-gesundheitsdirektion/medienmitteilungen/update-289-bestaetigte-faelle-in-basel-landschaft</t>
  </si>
  <si>
    <t>https://www.coronavirus.bs.ch/nm/2020-tagesbulletin-coronavirus-358-bestaetigte-faelle-im-kanton-basel-stadt-gd.html</t>
  </si>
  <si>
    <t>https://www.regierung.li/media/attachments/139-46-faelle-0322.pdf?t=637204971345932209</t>
  </si>
  <si>
    <t>https://web.archive.org/web/20200322153528/https://www4.ti.ch/dss/dsp/covid19/home/</t>
  </si>
  <si>
    <t>https://www.ag.ch/media/kanton_aargau/themen_1/coronavirus_1/lagebulletins/200323_KFS_Coronavirus_Lagebulletin_17.pdf</t>
  </si>
  <si>
    <t>https://www.baselland.ch/politik-und-behorden/direktionen/volkswirtschafts-und-gesundheitsdirektion/medienmitteilungen/update-289-bestaetigte-faelle-in-basel-landschaft-1</t>
  </si>
  <si>
    <t>https://www.coronavirus.bs.ch/nm/2020-tagesbulletin-coronavirus-376-bestaetigte-faelle-im-kanton-basel-stadt-gd.html</t>
  </si>
  <si>
    <t>https://www.regierung.li/media/attachments/140-corona-regierung-0323.pdf?t=637205847493377066</t>
  </si>
  <si>
    <t>https://www4.ti.ch/area-media/comunicati/dettaglio-comunicato/?NEWS_ID=187510&amp;tx_tichareamedia_comunicazioni%5Baction%5D=show&amp;tx_tichareamedia_comunicazioni%5Bcontroller%5D=Comunicazioni&amp;cHash=0120f665ab49651b9d66c876ef272a91</t>
  </si>
  <si>
    <t>https://www.ag.ch/media/kanton_aargau/themen_1/coronavirus_1/lagebulletins/200324_KFS_Coronavirus_Lagebulletin_18.pdf</t>
  </si>
  <si>
    <t>https://www.coronavirus.bs.ch/nm/2020-tagesbulletin-coronavirus-414-bestaetigte-faelle-im-kanton-basel-stadt-gd.html</t>
  </si>
  <si>
    <t>https://www.regierung.li/media/attachments/143-coronavirus-praesenz-fernunterricht.pdf?t=637207680400073990</t>
  </si>
  <si>
    <t>https://www.tg.ch/news/fachdossier-coronavirus.html/10552 &amp; https://www.tg.ch/news/news-detailseite.html/485/news/44925</t>
  </si>
  <si>
    <t>https://www4.ti.ch/area-media/comunicati/dettaglio-comunicato/?NEWS_ID=187520&amp;tx_tichareamedia_comunicazioni%5Baction%5D=show&amp;tx_tichareamedia_comunicazioni%5Bcontroller%5D=Comunicazioni&amp;cHash=4d581f57e92de04937175bab9e5b0f14</t>
  </si>
  <si>
    <t>https://www.ag.ch/media/kanton_aargau/themen_1/coronavirus_1/lagebulletins/200325_KFS_Coronavirus_Lagebulletin_19.pdf</t>
  </si>
  <si>
    <t>https://www.coronavirus.bs.ch/nm/2020-tagesbulletin-coronavirus-466-bestaetigte-faelle-im-kanton-basel-stadt-gd.html</t>
  </si>
  <si>
    <t>https://www.regierung.li/media/attachments/145-drive-trouhg-anlage-corona.pdf?t=637207634421649200</t>
  </si>
  <si>
    <t>https://www4.ti.ch/area-media/comunicati/dettaglio-comunicato/?NEWS_ID=187523&amp;tx_tichareamedia_comunicazioni%5Baction%5D=show&amp;tx_tichareamedia_comunicazioni%5Bcontroller%5D=Comunicazioni&amp;cHash=982795a2c13394282accc3a8506c9ba0</t>
  </si>
  <si>
    <t>https://www.ag.ch/media/kanton_aargau/themen_1/coronavirus_1/lagebulletins/200326_KFS_Coronavirus_Lagebulletin_20.pdf</t>
  </si>
  <si>
    <t>https://www.coronavirus.bs.ch/nm/2020-tagesbulletin-coronavirus-505-bestaetigte-faelle-im-kanton-basel-stadt-gd.html</t>
  </si>
  <si>
    <t>https://www.regierung.li/media/attachments/151-900-personen-getestet.pdf?t=637208497707275503</t>
  </si>
  <si>
    <t>https://www4.ti.ch/area-media/comunicati/dettaglio-comunicato/?NEWS_ID=187529&amp;tx_tichareamedia_comunicazioni%5Baction%5D=show&amp;tx_tichareamedia_comunicazioni%5Bcontroller%5D=Comunicazioni&amp;cHash=8ce8f2f412a3bb9022fb4a28c9ad7fa4</t>
  </si>
  <si>
    <t>https://www.ag.ch/media/kanton_aargau/themen_1/coronavirus_1/lagebulletins/200327_KFS_Coronavirus_Lagebulletin_21.pdf</t>
  </si>
  <si>
    <t>https://www.coronavirus.bs.ch/nm/2020-tagesbulletin-coronavirus-534-bestaetigte-faelle-im-kanton-basel-stadt-gd.html</t>
  </si>
  <si>
    <t>https://www.regierung.li/media/attachments/152-regierung-bedankt-sich.pdf?t=637209361840426241</t>
  </si>
  <si>
    <t>https://www.tg.ch/news/fachdossier-coronavirus.html/10552 &amp; email der Staatskanzlei des Kanton Thurgau</t>
  </si>
  <si>
    <t>https://www4.ti.ch/area-media/comunicati/dettaglio-comunicato/?NEWS_ID=187533&amp;tx_tichareamedia_comunicazioni%5Baction%5D=show&amp;tx_tichareamedia_comunicazioni%5Bcontroller%5D=Comunicazioni&amp;cHash=0f01b9fd5e63dbb0f6f5cec02aa32b40</t>
  </si>
  <si>
    <t>https://www.coronavirus.bs.ch/nm/2020-tagesbulletin-coronavirus-573-bestaetigte-faelle-im-kanton-basel-stadt-gd.html</t>
  </si>
  <si>
    <t>https://www.regierung.li/de/mitteilungen/223346/?typ=news</t>
  </si>
  <si>
    <t>https://www4.ti.ch/area-media/comunicati/dettaglio-comunicato/?NEWS_ID=187538&amp;tx_tichareamedia_comunicazioni%5Baction%5D=show&amp;tx_tichareamedia_comunicazioni%5Bcontroller%5D=Comunicazioni&amp;cHash=736a7f1a780ed9bdb1d8e45f8a0326ff</t>
  </si>
  <si>
    <t>https://www.coronavirus.bs.ch/nm/2020-tagesbulletin-coronavirus-609-bestaetigte-faelle-im-kanton-basel-stadt-gd.html</t>
  </si>
  <si>
    <t>https://www.regierung.li/de/mitteilungen/223347/?typ=news</t>
  </si>
  <si>
    <t>https://www4.ti.ch/area-media/comunicati/dettaglio-comunicato/?NEWS_ID=187540&amp;tx_tichareamedia_comunicazioni%5Baction%5D=show&amp;tx_tichareamedia_comunicazioni%5Bcontroller%5D=Comunicazioni&amp;cHash=ae32268e60ac2b59add1b9d55de51cbf</t>
  </si>
  <si>
    <t>https://www.ag.ch/media/kanton_aargau/themen_1/coronavirus_1/lagebulletins/200330_KFS_Coronavirus_Lagebulletin_22.pdf</t>
  </si>
  <si>
    <t>https://www.coronavirus.bs.ch/nm/2020-tagesbulletin-coronavirus-621-bestaetigte-faelle-im-kanton-basel-stadt-gd.html</t>
  </si>
  <si>
    <t>https://www.regierung.li/de/mitteilungen/223349/?typ=newss</t>
  </si>
  <si>
    <t>https://www4.ti.ch/area-media/comunicati/dettaglio-comunicato/?NEWS_ID=187546&amp;tx_tichareamedia_comunicazioni%5Baction%5D=show&amp;tx_tichareamedia_comunicazioni%5Bcontroller%5D=Comunicazioni&amp;cHash=1465eace9ac68357130a7327d0c9b8f9</t>
  </si>
  <si>
    <t>https://www.ag.ch/media/kanton_aargau/themen_1/coronavirus_1/lagebulletins/200331_KFS_Coronavirus_Lagebulletin_23.pdf</t>
  </si>
  <si>
    <t>https://www.coronavirus.bs.ch/nm/2020-tagesbulletin-coronavirus-628-bestaetigte-faelle-im-kanton-basel-stadt-gd.html https://www.coronavirus.bs.ch/nm/2020-tagesbulletin-coronavirus-691-bestaetigte-faelle-im-kanton-basel-stadt-gd.html</t>
  </si>
  <si>
    <t>https://www.regierung.li/media/attachments/160-coronavirus-68-personen-positiv.pdf?t=637212737830081294</t>
  </si>
  <si>
    <t>https://www4.ti.ch/area-media/comunicati/dettaglio-comunicato/?NEWS_ID=187550&amp;tx_tichareamedia_comunicazioni%5Baction%5D=show&amp;tx_tichareamedia_comunicazioni%5Bcontroller%5D=Comunicazioni&amp;cHash=007dc1182450e5b85ee4f533dfdcd6e3</t>
  </si>
  <si>
    <t>https://www.ag.ch/media/kanton_aargau/themen_1/coronavirus_1/lagebulletins/200401_KFS_Coronavirus_Lagebulletin_24.pdf</t>
  </si>
  <si>
    <t>https://www.coronavirus.bs.ch/nm/2020-tagesbulletin-coronavirus-691-bestaetigte-faelle-im-kanton-basel-stadt-gd.html</t>
  </si>
  <si>
    <t>https://www.regierung.li/media/attachments/164-corona-schweizer-sanitaetssoldaten-0401.pdf?t=637213766824962451</t>
  </si>
  <si>
    <t>https://www4.ti.ch/area-media/comunicati/dettaglio-comunicato/?NEWS_ID=187555&amp;tx_tichareamedia_comunicazioni%5Baction%5D=show&amp;tx_tichareamedia_comunicazioni%5Bcontroller%5D=Comunicazioni&amp;cHash=843d72993004667ab731d64142591372</t>
  </si>
  <si>
    <t>https://www.ag.ch/media/kanton_aargau/themen_1/coronavirus_1/lagebulletins/200402_KFS_Coronavirus_Lagebulletin_25.pdf</t>
  </si>
  <si>
    <t>https://www.gd.bs.ch//nm/2020-tagesbulletin-coronavirus-718-bestaetigte-faelle-im-kanton-basel-stadt-gd.html</t>
  </si>
  <si>
    <t>https://www.regierung.li/media/attachments/166-massnahmen-weiter-einhalten-0402.pdf?t=637214501732587547</t>
  </si>
  <si>
    <t>https://www4.ti.ch/area-media/comunicati/dettaglio-comunicato/?NEWS_ID=187564&amp;tx_tichareamedia_comunicazioni%5Baction%5D=show&amp;tx_tichareamedia_comunicazioni%5Bcontroller%5D=Comunicazioni&amp;cHash=6abbcb9cd18b83f8ce260e2748b9a326</t>
  </si>
  <si>
    <t>https://www.ag.ch/media/kanton_aargau/themen_1/coronavirus_1/lagebulletins/200403_KFS_Coronavirus_Lagebulletin_26.pdf</t>
  </si>
  <si>
    <t>https://www.gd.bs.ch/nm/2020-tagesbulletin-coronavirus-748-bestaetigte-faelle-im-kanton-basel-stadt-gd.html https://www.coronavirus.bs.ch/nm/2020-tagesbulletin-coronavirus-771-bestaetigte-faelle-im-kanton-basel-stadt-gd.html</t>
  </si>
  <si>
    <t>https://www4.ti.ch/area-media/comunicati/dettaglio-comunicato/?NEWS_ID=187570&amp;tx_tichareamedia_comunicazioni%5Baction%5D=show&amp;tx_tichareamedia_comunicazioni%5Bcontroller%5D=Comunicazioni&amp;cHash=bf727072887350e7700586450c3cf957</t>
  </si>
  <si>
    <t>https://www.gd.bs.ch//nm/2020-tagesbulletin-coronavirus-771-bestaetigte-faelle-im-kanton-basel-stadt-gd.html</t>
  </si>
  <si>
    <t>https://www.regierung.li/media/attachments/168-corona-person-verstorben-0404.pdf?t=637216219078826521</t>
  </si>
  <si>
    <t>https://www4.ti.ch/area-media/comunicati/dettaglio-comunicato/?NEWS_ID=187575&amp;tx_tichareamedia_comunicazioni%5Baction%5D=show&amp;tx_tichareamedia_comunicazioni%5Bcontroller%5D=Comunicazioni&amp;cHash=4b3f64139a9dd36b9fd30a1ace23654a</t>
  </si>
  <si>
    <t>https://www.gd.bs.ch//nm/2020-tagesbulletin-coronavirus-794-bestaetigte-faelle-im-kanton-basel-stadt-gd.html</t>
  </si>
  <si>
    <t>https://www4.ti.ch/area-media/comunicati/dettaglio-comunicato/?NEWS_ID=187576&amp;tx_tichareamedia_comunicazioni%5Baction%5D=show&amp;tx_tichareamedia_comunicazioni%5Bcontroller%5D=Comunicazioni&amp;cHash=7486178287491dbfa00376059224e150</t>
  </si>
  <si>
    <t>https://www.ag.ch/media/kanton_aargau/themen_1/coronavirus_1/lagebulletins/200406_KFS_Coronavirus_Lagebulletin_27.pdf</t>
  </si>
  <si>
    <t>https://www.coronavirus.bs.ch/nm/2020-tagesbulletin-coronavirus-803-bestaetigte-faelle-im-kanton-basel-stadt-gd.html</t>
  </si>
  <si>
    <t>https://www4.ti.ch/area-media/comunicati/dettaglio-comunicato/?NEWS_ID=187585&amp;cHash=71dae3c15afd6b09d15f28f43d415af1</t>
  </si>
  <si>
    <t>https://www.ag.ch/media/kanton_aargau/themen_1/coronavirus_1/lagebulletins/200407_KFS_Coronavirus_Lagebulletin_28.pdf</t>
  </si>
  <si>
    <t>https://www.gd.bs.ch//nm/2020-tagesbulletin-coronavirus-813-bestaetigte-faelle-im-kanton-basel-stadt-gd.html</t>
  </si>
  <si>
    <t>https://www4.ti.ch/area-media/comunicati/dettaglio-comunicato/?NEWS_ID=187585&amp;tx_tichareamedia_comunicazioni%5Baction%5D=show&amp;tx_tichareamedia_comunicazioni%5Bcontroller%5D=Comunicazioni&amp;cHash=4bf78e02dc8ee0d240e06c4603f5605c</t>
  </si>
  <si>
    <t>https://www.ag.ch/media/kanton_aargau/themen_1/coronavirus_1/lagebulletins/200408_KFS_Coronavirus_Lagebulletin_29.pdf</t>
  </si>
  <si>
    <t>https://www.gd.bs.ch//nm/2020-tagesbulletin-coronavirus-834-bestaetigte-faelle-im-kanton-basel-stadt-gd.html</t>
  </si>
  <si>
    <t>https://www4.ti.ch/area-media/comunicati/dettaglio-comunicato/?NEWS_ID=187593&amp;cHash=04877af9adec32de4f5ef43a5916f801</t>
  </si>
  <si>
    <t>new_hosp</t>
  </si>
  <si>
    <t>TotalPosTests1</t>
  </si>
  <si>
    <t>https://www.gd.bs.ch//nm/2020-tagesbulletin-coronavirus-866-bestaetigte-faelle-im-kanton-basel-stadt-gd.html</t>
  </si>
  <si>
    <t>https://www4.ti.ch/area-media/comunicati/dettaglio-comunicato/?NEWS_ID=187607&amp;tx_tichareamedia_comunicazioni%5Baction%5D=show&amp;tx_tichareamedia_comunicazioni%5Bcontroller%5D=Comunicazioni&amp;cHash=e9c51debb7c11815ec53651f6c8c8d24</t>
  </si>
  <si>
    <t>https://www.gd.bs.ch//nm/2020-tagesbulletin-coronavirus-859-bestaetigte-faelle-im-kanton-basel-stadt-gd.html</t>
  </si>
  <si>
    <t>Confirmed cases</t>
  </si>
  <si>
    <t>Current hospitalized</t>
  </si>
  <si>
    <t>Fatalities</t>
  </si>
  <si>
    <t>Total released</t>
  </si>
  <si>
    <t xml:space="preserve">Doubling time confirmed cases </t>
  </si>
  <si>
    <t>https://www.ag.ch/media/kanton_aargau/themen_1/coronavirus_1/lagebulletins/200411_KFS_Coronavirus_Lagebulletin_31.pdf</t>
  </si>
  <si>
    <t>https://www.regierung.li/media/attachments/188-corona-keine-neuen-faelle-0410.pdf?t=637222261316868970</t>
  </si>
  <si>
    <t>https://www.regierung.li/media/attachments/189-corona-keine-neuen-faelle-0411.pdf?t=637222261316868970</t>
  </si>
  <si>
    <t>https://www4.ti.ch/area-media/comunicati/dettaglio-comunicato/?NEWS_ID=187611&amp;tx_tichareamedia_comunicazioni%5Baction%5D=show&amp;tx_tichareamedia_comunicazioni%5Bcontroller%5D=Comunicazioni&amp;cHash=6f94f1f1d5cf92bdf5a1e053e6602530</t>
  </si>
  <si>
    <t>https://www.gd.bs.ch//nm/2020-tagesbulletin-coronavirus-882-bestaetigte-faelle-im-kanton-basel-stadt-gd.html</t>
  </si>
  <si>
    <t>Land</t>
  </si>
  <si>
    <t>Kanton</t>
  </si>
  <si>
    <t>Bevölkerung</t>
  </si>
  <si>
    <t>Schweiz</t>
  </si>
  <si>
    <t>Zeilenbeschriftungen</t>
  </si>
  <si>
    <t>Gesamtergebnis</t>
  </si>
  <si>
    <t>Spaltenbeschriftungen</t>
  </si>
  <si>
    <t>https://www.regierung.li/media/attachments/190-corona-zusaetzliche-person-0412.pdf?t=637223083991919653</t>
  </si>
  <si>
    <t>https://www4.ti.ch/area-media/comunicati/dettaglio-comunicato/?NEWS_ID=187612&amp;tx_tichareamedia_comunicazioni%5Baction%5D=show&amp;tx_tichareamedia_comunicazioni%5Bcontroller%5D=Comunicazioni&amp;cHash=01ed3fadc99b1b00f0a8c4a0e41e7252</t>
  </si>
  <si>
    <t>https://www.gd.bs.ch//nm/2020-tagesbulletin-coronavirus-893-bestaetigte-faelle-im-kanton-basel-stadt-gd.html</t>
  </si>
  <si>
    <t>new_deaths</t>
  </si>
  <si>
    <t>old_deaths</t>
  </si>
  <si>
    <t>Gröster Wert</t>
  </si>
  <si>
    <t>totel_positive</t>
  </si>
  <si>
    <t>Letzter Wert</t>
  </si>
  <si>
    <t>https://www.regierung.li/media/attachments/191-corona-keine-neuen-faelle-0413.pdf?t=637224053004137202</t>
  </si>
  <si>
    <t>https://www4.ti.ch/area-media/comunicati/dettaglio-comunicato/?NEWS_ID=187614&amp;tx_tichareamedia_comunicazioni%5Baction%5D=show&amp;tx_tichareamedia_comunicazioni%5Bcontroller%5D=Comunicazioni&amp;cHash=0464d89cb8c291fbc9c266e6b7008814</t>
  </si>
  <si>
    <t>newreleased</t>
  </si>
  <si>
    <t>New Released</t>
  </si>
  <si>
    <t>latest</t>
  </si>
  <si>
    <t>latest-1</t>
  </si>
  <si>
    <t>diff</t>
  </si>
  <si>
    <t>current_hosp_non_resident</t>
  </si>
  <si>
    <t>https://www.gd.bs.ch//nm/2020-tagesbulletin-coronavirus-899-bestaetigte-faelle-im-kanton-basel-stadt-gd.html</t>
  </si>
  <si>
    <t>https://www.liechtenstein.li/news-detail/article/aktuelle-informationen-zum-coronavirus/</t>
  </si>
  <si>
    <t>https://www.ag.ch/media/kanton_aargau/themen_1/coronavirus_1/lagebulletins/200414_KFS_Coronavirus_Lagebulletin_32.pdf</t>
  </si>
  <si>
    <t>https://www4.ti.ch/area-media/comunicati/dettaglio-comunicato/?NEWS_ID=187617&amp;tx_tichareamedia_comunicazioni%5Baction%5D=show&amp;tx_tichareamedia_comunicazioni%5Bcontroller%5D=Comunicazioni&amp;cHash=64be59067038bfdaf603d60bfab0aa52</t>
  </si>
  <si>
    <t>https://www.gd.bs.ch//nm/2020-tagesbulletin-coronavirus-909-bestaetigte-faelle-im-kanton-basel-stadt-gd.html</t>
  </si>
  <si>
    <t>https://www.gd.bs.ch//nm/2020-tagesbulletin-coronavirus-917-bestaetigte-faelle-im-kanton-basel-stadt-gd.html</t>
  </si>
  <si>
    <t>https://www.regierung.li/media/attachments/194-corona-neue-wege-zur-messung-0415.pdf?t=637225709239139141</t>
  </si>
  <si>
    <t>https://www4.ti.ch/area-media/comunicati/dettaglio-comunicato/?NEWS_ID=187624&amp;tx_tichareamedia_comunicazioni%5Baction%5D=show&amp;tx_tichareamedia_comunicazioni%5Bcontroller%5D=Comunicazioni&amp;cHash=c6ac05de202d47a4a41e41ec4d16b3b1</t>
  </si>
  <si>
    <t>https://www.ag.ch/media/kanton_aargau/themen_1/coronavirus_1/lagebulletins/200415_KFS_Coronavirus_Lagebulletin_33.pdf</t>
  </si>
  <si>
    <t>Latest date</t>
  </si>
  <si>
    <t>Date of collection</t>
  </si>
  <si>
    <t>Covid_19 Dashboard Peter Berger, https://github.com/tgdbepe4/covid_19_excel based on data form https://github.com/openZH/covid_19 and https://github.com/zdavatz/covid19_ch. All the data will be updated fraquently from these sources</t>
  </si>
  <si>
    <t>Covid19 CH Dashboard in MS Excel
Ausgangslage
Zurzeit existieren mindestens drei verschiedene Online Covid-19 CH Dashboads. Alle drei bieten gute Grafiken jedoch teilweise mit verschiedenen Diagrammen an. Die Daten sind alle up-to-date.
Covid-19 CH als Excelfile
Die Online Dashboards sind betreffend den Daten und Grafiken statisch. Da heisst, der Endbenutzer hat keine Möglichkeiten die Daten anders auszuwerten und auch andere Grafiken anzufertigen. Daraus entstand die Idee inwieweit sich ein solches Dashboard in MS Excel realisieren liesse. 
Datenbezug
Die Daten werden über Webverbindungen aus Excel heraus bezogen und transformiert. 
Quellen sind:
https://raw.githubusercontent.com/zdavatz/covid19_ch/master/data-cantons-csv/dd-covid19-openzh-cantons-series.csv
https://raw.githubusercontent.com/zdavatz/covid19_ch/master/data-cantons-csv/dd-covid19-openzh-cantons-latest.csv
https://raw.githubusercontent.com/zdavatz/covid19_ch/master/data-switzerland-csv/dd-covid19-openzh-switzerland-latest.csv
Weil diese Daten in einem anderen Projekt mit Python:Scripts aufbereitet werden besteht eine Abhängigkeit bezüglich Aktualisierung. Wird die Datenstruktur verändert so funktionieren die Updates nicht mehr. Die Daten im Excelfile sind dann quasi eingefroren.
Datenaktualisierung
In Excel muss die Datenbearbeitung aktiviert sein. Danach verbindet Excel bei jedem neuen Start des Excelfiles die Daten und aktualisiert diese alle 20 Minuten.
Vorteile
Da man das Excelfile nach eigenem Wunsch anpassen kann sind Auswertungen aller Art möglich.
Warnung
Die Tabellenblätter „ch_latest“, „kt_latest“, kt_serie“, pivot_kt_latest und „pivot_kt_serie“ sollten nicht verändert werden, da sonst auch das Blatt Graphs nicht mehr funktionieren könnte. Will man eigene Auswertungen machen, so empfiehlt es sich sehr neue Tablellenblätter anzulegen und dort tätig zu werden.
Updates
Das Excelfile wird periodisch updated. Die aktuelle Version ist über https://github.com/tgdbepe4/covid_19_excel zu finden.
Kontakt
Meinungen, Fehlermeldungen, etc bitte an mailto:corona@bergi-it-consulting.ch
Peter Berger, Zürich, 2020-04-19</t>
  </si>
  <si>
    <t xml:space="preserve">Covid19 CH Dashboard in MS Excel
Starting point
There are currently at least three different online Covid-19 CH Dashboads. However, all three offer good graphics, some with different charts.  The data is all up-to-date.
Covid-19 CH as Excelfile
The online dashboards are static in terms of data and graphics. This means that the end user has no options to evaluate the data differently and also to make other graphics. This gave rise to the idea of how such a dashboard could be realized in MS Excel. 
Datenbezug
The data is obtained and transformed from Excel via web connections.
Sources are:
https://raw.githubusercontent.com/zdavatz/covid19_ch/master/data-cantons-csv/dd-covid19-openzh-cantons-series.csv
https://raw.githubusercontent.com/zdavatz/covid19_ch/master/data-cantons-csv/dd-covid19-openzh-cantons-latest.csv
https://raw.githubusercontent.com/zdavatz/covid19_ch/master/data-switzerland-csv/dd-covid19-openzh-switzerland-latest.csv
Because this data is processed in another project with Python:Scripts,  there is a dependency on updating. If the data structure is changed, the updates will no longer work. The data in the Excelfile is then virtually frozen.
Datenaktualisierung
In Excel, data editing must be enabled. After that, Excel connects the data each time the Excel file is started and updates it every 20 minutes.
Benefits
Since you can customize the Excelfile according to your wishes, evaluations of all kinds are possible.
Warning
The worksheets "ch_latest", "kt_latest",  kt_serie",  pivot_kt_latest and "pivot_kt_serie" should not bechanged, otherwise the sheet Graphs might not work. If you want to do your own evaluations, it is recommended to create very new table sheets and to work there.
Updates
The Excelfile is updatedperiodically. The current version can be found via https://github.com/tgdbepe4/covid_19_excel.
Contact
Opinions, error messages, etc  please contact mailto:corona@bergi-it-consulting.ch
Peter Berger, Zurich, 2020-04-19
Covid19 CH Dashboard in MS Excel
Starting point
There are currently at least three different online Covid-19 CH Dashboads. However, all three offer good graphics, some with different charts.  The data is all up-to-date.
Covid-19 CH as Excelfile
The online dashboards are static in terms of data and graphics. This means that the end user has no options to evaluate the data differently and also to make other graphics. This gave rise to the idea of how such a dashboard could be realized in MS Excel. 
Datenbezug
The data is obtained and transformed from Excel via web connections.
Sources are:
https://raw.githubusercontent.com/zdavatz/covid19_ch/master/data-cantons-csv/dd-covid19-openzh-cantons-series.csv
https://raw.githubusercontent.com/zdavatz/covid19_ch/master/data-cantons-csv/dd-covid19-openzh-cantons-latest.csv
https://raw.githubusercontent.com/zdavatz/covid19_ch/master/data-switzerland-csv/dd-covid19-openzh-switzerland-latest.csv
Because this data is processed in another project with Python:Scripts,  there is a dependency on updating. If the data structure is changed, the updates will no longer work. The data in the Excelfile is then virtually frozen.
Datenaktualisierung
In Excel, data editing must be enabled. After that, Excel connects the data each time the Excel file is started and updates it every 20 minutes.
Benefits
Since you can customize the Excelfile according to your wishes, evaluations of all kinds are possible.
Warning
The worksheets "ch_latest", "kt_latest",  kt_serie",  pivot_kt_latest and "pivot_kt_serie" should not bechanged, otherwise the sheet Graphs might not work. If you want to do your own evaluations, it is recommended to create very new table sheets and to work there.
Updates
The Excelfile is updatedperiodically. The current version can be found via https://github.com/tgdbepe4/covid_19_excel.
Contact
Opinions, error messages, etc  please contact mailto:corona@bergi-it-consulting.ch
Peter Berger, Zurich, 2020-04-19
</t>
  </si>
  <si>
    <t>https://www.ag.ch/media/kanton_aargau/themen_1/coronavirus_1/lagebulletins/200420_KFS_Coronavirus_Lagebulletin_36.pdf</t>
  </si>
  <si>
    <t>https://www.gd.bs.ch//nm/2020-tagesbulletin-coronavirus-933-bestaetigte-faelle-im-kanton-basel-stadt-gd.html</t>
  </si>
  <si>
    <t>https://www.regierung.li/de/mitteilungen/223410/?typ=news</t>
  </si>
  <si>
    <t>https://www4.ti.ch/area-media/comunicati/dettaglio-comunicato/?NEWS_ID=187648&amp;tx_tichareamedia_comunicazioni%5Baction%5D=show&amp;tx_tichareamedia_comunicazioni%5Bcontroller%5D=Comunicazioni&amp;cHash=8c7fb45c6eada1e8d97d120f23176eb1</t>
  </si>
  <si>
    <t>https://www.gd.bs.ch//nm/2020-tagesbulletin-coronavirus-933-bestaetigte-faelle-im-kanton-basel-stadt-gd-2.html</t>
  </si>
  <si>
    <t>http://www.nw.ch/coronastatistik</t>
  </si>
  <si>
    <t>https://www.ag.ch/media/kanton_aargau/themen_1/coronavirus_1/lagebulletins/200416_KFS_Coronavirus_Lagebulletin_34.pdf</t>
  </si>
  <si>
    <t>https://www.regierung.li/media/attachments/196-corona-regierung-informiert-freitag-0416.pdf?t=637226573940474014</t>
  </si>
  <si>
    <t>https://www4.ti.ch/area-media/comunicati/dettaglio-comunicato/?NEWS_ID=187632&amp;tx_tichareamedia_comunicazioni%5Baction%5D=show&amp;tx_tichareamedia_comunicazioni%5Bcontroller%5D=Comunicazioni&amp;cHash=65b441f9003d32defd9e1c4f2650c177</t>
  </si>
  <si>
    <t>https://www.ag.ch/media/kanton_aargau/themen_1/coronavirus_1/lagebulletins/200417_KFS_Coronavirus_Lagebulletin_35.pdf</t>
  </si>
  <si>
    <t>https://www.gd.bs.ch//nm/2020-tagesbulletin-coronavirus-923-bestaetigte-faelle-im-kanton-basel-stadt-gd.html</t>
  </si>
  <si>
    <t>https://www.regierung.li/media/attachments/197-corona-regierung-orientiert-ueber-vorgehen-0417.pdf?t=637227446845695629</t>
  </si>
  <si>
    <t>https://www4.ti.ch/area-media/comunicati/dettaglio-comunicato/?NEWS_ID=187639&amp;tx_tichareamedia_comunicazioni%5Baction%5D=show&amp;tx_tichareamedia_comunicazioni%5Bcontroller%5D=Comunicazioni&amp;cHash=293da33bc5267650fbd8e590032cd6f3</t>
  </si>
  <si>
    <t>https://www.gd.bs.ch//nm/2020-tagesbulletin-coronavirus-929-bestaetigte-faelle-im-kanton-basel-stadt-gd.html</t>
  </si>
  <si>
    <t>https://www.regierung.li/media/attachments/198-corona-kein-zusaetzlicher-fall-0418.pdf?t=637228301134424983</t>
  </si>
  <si>
    <t>https://www4.ti.ch/area-media/comunicati/dettaglio-comunicato/?NEWS_ID=187644&amp;tx_tichareamedia_comunicazioni%5Baction%5D=show&amp;tx_tichareamedia_comunicazioni%5Bcontroller%5D=Comunicazioni&amp;cHash=df3ace8d6228b4587b78db3bfa080a83</t>
  </si>
  <si>
    <t>https://www.gd.bs.ch//nm/2020-tagesbulletin-coronavirus-932-bestaetigte-faelle-im-kanton-basel-stadt-gd.html</t>
  </si>
  <si>
    <t>https://www.regierung.li/media/attachments/199-corona-keine-neuen-faelle-0419.pdf?t=637229165752237624</t>
  </si>
  <si>
    <t>https://www4.ti.ch/area-media/comunicati/dettaglio-comunicato/?NEWS_ID=187645&amp;tx_tichareamedia_comunicazioni%5Baction%5D=show&amp;tx_tichareamedia_comunicazioni%5Bcontroller%5D=Comunicazioni&amp;cHash=7c0ead3ab8e681d79f11cb3d67995946</t>
  </si>
  <si>
    <t>https://www.ag.ch/media/kanton_aargau/themen_1/coronavirus_1/lagebulletins/200421_KFS_Coronavirus_Lagebulletin_37.pdf</t>
  </si>
  <si>
    <t>https://www.regierung.li/media/attachments/207-corona-keine-neuen-Faelle-0421.pdf?t=637230900737305962</t>
  </si>
  <si>
    <t>https://www4.ti.ch/area-media/comunicati/dettaglio-comunicato/?NEWS_ID=187654&amp;tx_tichareamedia_comunicazioni%5Baction%5D=show&amp;tx_tichareamedia_comunicazioni%5Bcontroller%5D=Comunicazioni&amp;cHash=8ae7085e87cf92c2997d0e458baa17f9</t>
  </si>
  <si>
    <t>https://www.gd.bs.ch//nm/2020-tagesbulletin-coronavirus-933-bestaetigte-faelle-im-kanton-basel-stadt-gd-3.html</t>
  </si>
  <si>
    <t>https://www.ag.ch/media/kanton_aargau/themen_1/coronavirus_1/lagebulletins/200422_KFS_Coronavirus_Lagebulletin_38.pdf</t>
  </si>
  <si>
    <t>https://www.regierung.li/de/mitteilungen/223419/?typ=news</t>
  </si>
  <si>
    <t>https://www.ne.ch/autorites/DFS/SCSP/medecin-cantonal/maladies-vaccinations/Documents/Covid-19-Statistiques/COVID19_PublicationInternet.xlsx</t>
  </si>
  <si>
    <t>https://www4.ti.ch/area-media/comunicati/dettaglio-comunicato/?NEWS_ID=187672&amp;cHash=73c20eed4b20c3cb714758f2678c3f15</t>
  </si>
  <si>
    <t>death</t>
  </si>
  <si>
    <t>Bez</t>
  </si>
  <si>
    <t>https://www.zg.ch/behoerden/gesundheitsdirektion/statistikfachstelle/themen/gesundheit/corona</t>
  </si>
  <si>
    <t>https://www.ag.ch/media/kanton_aargau/themen_1/coronavirus_1/lagebulletins/200423_KFS_Coronavirus_Lagebulletin_39.pdf</t>
  </si>
  <si>
    <t>https://www4.ti.ch/area-media/comunicati/dettaglio-comunicato/?NEWS_ID=187678&amp;tx_tichareamedia_comunicazioni%5Baction%5D=show&amp;tx_tichareamedia_comunicazioni%5Bcontroller%5D=Comunicazioni&amp;cHash=c546dd2da307919487d6578b8c7353cd</t>
  </si>
  <si>
    <t>https://www.regierung.li/de/mitteilungen/223424/?typ=news</t>
  </si>
  <si>
    <t>https://www.gd.bs.ch//nm/2020-tagesbulletin-coronavirus-936-bestaetigte-faelle-im-kanton-basel-stadt-gd.html</t>
  </si>
  <si>
    <t>https://www.gd.bs.ch//nm/2020-tagesbulletin-coronavirus-931-bestaetigte-faelle-im-kanton-basel-stadt-gd.html</t>
  </si>
  <si>
    <t>https://www.gl.ch/public/upload/assets/27574/COVID-19_Fallzahlen_Kanton_Glarus.xlsx</t>
  </si>
  <si>
    <t>https://corona.so.ch/index.php?id=27979</t>
  </si>
  <si>
    <t>https://www.bote.ch/nachrichten/schwyz/schwyz_bdu/coronavirus-einsatz-fuer-spitalbataillon-5</t>
  </si>
  <si>
    <t>https://www.ag.ch/media/kanton_aargau/themen_1/coronavirus_1/lagebulletins/200424_KFS_Coronavirus_Lagebulletin_40.pdf</t>
  </si>
  <si>
    <t>https://www.regierung.li/media/attachments/212-corona-massnahmen-und-wirtschaft.pdf?t=637233485133850178</t>
  </si>
  <si>
    <t>https://www4.ti.ch/area-media/comunicati/dettaglio-comunicato/?NEWS_ID=187683&amp;tx_tichareamedia_comunicazioni%5Baction%5D=show&amp;tx_tichareamedia_comunicazioni%5Bcontroller%5D=Comunicazioni&amp;cHash=96a9e3da92c22f69b3a6ed9000584d1b</t>
  </si>
  <si>
    <t>abbreviation_canton_and_fl</t>
  </si>
  <si>
    <t>ncumul_tested</t>
  </si>
  <si>
    <t>ncumul_conf</t>
  </si>
  <si>
    <t>ncumul_released</t>
  </si>
  <si>
    <t>ncumul_deceased</t>
  </si>
  <si>
    <t>https://www.sz.ch/behoerden/information-medien/medienmitteilungen/coronavirus.html/72-416-412-1379-6948</t>
  </si>
  <si>
    <t>https://www.regierung.li/de/mitteilungen/223427/?typ=news</t>
  </si>
  <si>
    <t>https://www4.ti.ch/area-media/comunicati/dettaglio-comunicato/?NEWS_ID=187687&amp;tx_tichareamedia_comunicazioni%5Baction%5D=show&amp;tx_tichareamedia_comunicazioni%5Bcontroller%5D=Comunicazioni&amp;cHash=4113a890fda2606d774861e2b936b052</t>
  </si>
  <si>
    <t>https://www.regierung.li/de/mitteilungen/223428/?typ=news</t>
  </si>
  <si>
    <t>https://www4.ti.ch/area-media/comunicati/dettaglio-comunicato/?NEWS_ID=187688&amp;tx_tichareamedia_comunicazioni%5Baction%5D=show&amp;tx_tichareamedia_comunicazioni%5Bcontroller%5D=Comunicazioni&amp;cHash=88b9dbc8a11bbaf69e33668cf73a2501</t>
  </si>
  <si>
    <t>ncumul_hosp</t>
  </si>
  <si>
    <t>ncumul_ICU</t>
  </si>
  <si>
    <t>(Leer)</t>
  </si>
  <si>
    <t>Gesamt: Summe von ncumul_released</t>
  </si>
  <si>
    <t>Summe von ncumul_released</t>
  </si>
  <si>
    <t>Summe von ncumul_deceased</t>
  </si>
  <si>
    <t>Gesamt: Summe von ncumul_deceased</t>
  </si>
  <si>
    <t>Gesamt: Summe von ncumul_conf</t>
  </si>
  <si>
    <t>Summe von ncumul_conf</t>
  </si>
  <si>
    <t>Max Anzal Tote</t>
  </si>
  <si>
    <t>Column1</t>
  </si>
  <si>
    <t>https://www.ag.ch/media/kanton_aargau/themen_1/coronavirus_1/lagebulletins/200427_KFS_Coronavirus_Lagebulletin_41.pdf</t>
  </si>
  <si>
    <t>https://www.gd.bs.ch//nm/2020-tagesbulletin-coronavirus-941-bestaetigte-faelle-im-kanton-basel-stadt-gd.html</t>
  </si>
  <si>
    <t>https://www4.ti.ch/area-media/comunicati/dettaglio-comunicato/?NEWS_ID=187690&amp;tx_tichareamedia_comunicazioni%5Baction%5D=show&amp;tx_tichareamedia_comunicazioni%5Bcontroller%5D=Comunicazioni&amp;cHash=b776cbdac6ff3c231bf4c3da4ce22b7f</t>
  </si>
  <si>
    <t>_1</t>
  </si>
  <si>
    <t>https://www.regierung.li/de/mitteilungen/223429/?typ=content&amp;nid=11076</t>
  </si>
  <si>
    <t>https://www.gd.bs.ch//nm/2020-tagesbulletin-coronavirus-943-bestaetigte-faelle-im-kanton-basel-stadt-gd.html</t>
  </si>
  <si>
    <t>https://www.fr.ch/sites/default/files/2020-04/statistiques_situation_FR_2804.xlsx</t>
  </si>
  <si>
    <t>New Hospitalized</t>
  </si>
  <si>
    <t>new hospitalized</t>
  </si>
  <si>
    <t>https://www.ag.ch/media/kanton_aargau/themen_1/coronavirus_1/lagebulletins/200429_KFS_Coronavirus_Lagebulletin_43.pdf</t>
  </si>
  <si>
    <t>8.0</t>
  </si>
  <si>
    <t>https://www.gd.bs.ch//nm/2020-tagesbulletin-coronavirus-946-bestaetigte-faelle-im-kanton-basel-stadt-gd.html</t>
  </si>
  <si>
    <t>https://www.regierung.li/de/mitteilungen/223435/?typ=content&amp;nid=11076</t>
  </si>
  <si>
    <t>https://www.jura.ch/Htdocs/Files/v/34274.xlsx/Departements/CHA/SIC/Carrousel/Coronavirus/Cornavirus/Chiffres/donnees_28_04.xlsx?download=1</t>
  </si>
  <si>
    <t>https://sh.ch/CMS/get/file/503bf73d-0f85-425c-9bd5-1ef9c03cfc83</t>
  </si>
  <si>
    <t>https://www4.ti.ch/area-media/comunicati/dettaglio-comunicato/?NEWS_ID=187695&amp;tx_tichareamedia_comunicazioni%5Baction%5D=show&amp;tx_tichareamedia_comunicazioni%5Bcontroller%5D=Comunicazioni&amp;cHash=b886f5a80a06f021d32c4b0cb64bf1bb</t>
  </si>
  <si>
    <t>https://www.vs.ch/documents/6756452/7008787/2020%2004%2029%20Sit%20Epid%20-%20%C3%89tat%20Stand</t>
  </si>
  <si>
    <t>https://www4.ti.ch/area-media/comunicati/dettaglio-comunicato/?NEWS_ID=187695&amp;cHash=3d4572a26df56761bd6605aea6d65b84</t>
  </si>
  <si>
    <t>https://www.ag.ch/media/kanton_aargau/themen_1/coronavirus_1/lagebulletins/200428_KFS_Coronavirus_Lagebulletin_42.pdf</t>
  </si>
  <si>
    <t>https://www.regierung.li/media/attachments/228-corona-information-lockerungen-0429.pdf?t=637237803125206694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</si>
</sst>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F400]h:mm:ss\ AM/PM"/>
    <numFmt numFmtId="165" formatCode="&quot;+&quot;\ #,##0\ &quot; today&quot;"/>
    <numFmt numFmtId="166" formatCode="&quot;+&quot;0"/>
    <numFmt numFmtId="167" formatCode="0\ &quot;days&quot;"/>
  </numFmts>
  <fonts count="28">
    <font>
      <sz val="11"/>
      <color theme="1"/>
      <name val="Calibri"/>
      <family val="2"/>
      <scheme val="minor"/>
    </font>
    <font>
      <sz val="11"/>
      <color theme="5" tint="0.39997558519241921"/>
      <name val="Calibri"/>
      <family val="2"/>
      <scheme val="minor"/>
    </font>
    <font>
      <sz val="36"/>
      <color theme="5" tint="0.39997558519241921"/>
      <name val="Calibri"/>
      <family val="2"/>
      <scheme val="minor"/>
    </font>
    <font>
      <sz val="24"/>
      <color theme="5" tint="0.39997558519241921"/>
      <name val="Calibri"/>
      <family val="2"/>
      <scheme val="minor"/>
    </font>
    <font>
      <sz val="11"/>
      <color rgb="FFFF66FF"/>
      <name val="Calibri"/>
      <family val="2"/>
      <scheme val="minor"/>
    </font>
    <font>
      <sz val="36"/>
      <color rgb="FFFF66FF"/>
      <name val="Calibri"/>
      <family val="2"/>
      <scheme val="minor"/>
    </font>
    <font>
      <sz val="24"/>
      <color rgb="FFFF66FF"/>
      <name val="Calibri"/>
      <family val="2"/>
      <scheme val="minor"/>
    </font>
    <font>
      <sz val="11"/>
      <color theme="0" tint="-0.14999847407452621"/>
      <name val="Calibri"/>
      <family val="2"/>
      <scheme val="minor"/>
    </font>
    <font>
      <sz val="36"/>
      <color theme="0" tint="-0.14999847407452621"/>
      <name val="Calibri"/>
      <family val="2"/>
      <scheme val="minor"/>
    </font>
    <font>
      <sz val="24"/>
      <color theme="0" tint="-0.14999847407452621"/>
      <name val="Calibri"/>
      <family val="2"/>
      <scheme val="minor"/>
    </font>
    <font>
      <sz val="11"/>
      <color rgb="FF33CC33"/>
      <name val="Calibri"/>
      <family val="2"/>
      <scheme val="minor"/>
    </font>
    <font>
      <sz val="36"/>
      <color rgb="FF33CC33"/>
      <name val="Calibri"/>
      <family val="2"/>
      <scheme val="minor"/>
    </font>
    <font>
      <sz val="24"/>
      <color rgb="FF33CC33"/>
      <name val="Calibri"/>
      <family val="2"/>
      <scheme val="minor"/>
    </font>
    <font>
      <sz val="11"/>
      <color rgb="FF33CCFF"/>
      <name val="Calibri"/>
      <family val="2"/>
      <scheme val="minor"/>
    </font>
    <font>
      <sz val="36"/>
      <color rgb="FF33CCFF"/>
      <name val="Calibri"/>
      <family val="2"/>
      <scheme val="minor"/>
    </font>
    <font>
      <sz val="24"/>
      <color rgb="FF33CCFF"/>
      <name val="Calibri"/>
      <family val="2"/>
      <scheme val="minor"/>
    </font>
    <font>
      <b/>
      <sz val="11"/>
      <color theme="1"/>
      <name val="Calibri"/>
      <family val="2"/>
      <scheme val="minor"/>
    </font>
    <font>
      <b/>
      <sz val="11"/>
      <color theme="0"/>
      <name val="Calibri"/>
      <family val="2"/>
      <scheme val="minor"/>
    </font>
    <font>
      <sz val="9"/>
      <color rgb="FF232323"/>
      <name val="Inherit"/>
    </font>
    <font>
      <sz val="9"/>
      <color rgb="FF400F0F"/>
      <name val="Arial"/>
      <family val="2"/>
    </font>
    <font>
      <b/>
      <sz val="7"/>
      <color rgb="FF777777"/>
      <name val="Open Sans"/>
      <family val="2"/>
    </font>
    <font>
      <sz val="8"/>
      <color rgb="FF5A5A5A"/>
      <name val="Consolas"/>
      <family val="3"/>
    </font>
    <font>
      <sz val="11"/>
      <color theme="0"/>
      <name val="Calibri"/>
      <family val="2"/>
      <scheme val="minor"/>
    </font>
    <font>
      <sz val="36"/>
      <color theme="0"/>
      <name val="Calibri"/>
      <family val="2"/>
      <scheme val="minor"/>
    </font>
    <font>
      <sz val="24"/>
      <color theme="0"/>
      <name val="Calibri"/>
      <family val="2"/>
      <scheme val="minor"/>
    </font>
    <font>
      <u/>
      <sz val="11"/>
      <color theme="10"/>
      <name val="Calibri"/>
      <family val="2"/>
      <scheme val="minor"/>
    </font>
    <font>
      <b/>
      <sz val="12"/>
      <color theme="1"/>
      <name val="Calibri"/>
      <family val="2"/>
      <scheme val="minor"/>
    </font>
    <font>
      <sz val="8"/>
      <name val="Calibri"/>
      <family val="2"/>
      <scheme val="minor"/>
    </font>
  </fonts>
  <fills count="6">
    <fill>
      <patternFill patternType="none"/>
    </fill>
    <fill>
      <patternFill patternType="gray125"/>
    </fill>
    <fill>
      <patternFill patternType="solid">
        <fgColor theme="1" tint="0.249977111117893"/>
        <bgColor indexed="64"/>
      </patternFill>
    </fill>
    <fill>
      <patternFill patternType="solid">
        <fgColor theme="9" tint="0.79998168889431442"/>
        <bgColor theme="9" tint="0.79998168889431442"/>
      </patternFill>
    </fill>
    <fill>
      <patternFill patternType="solid">
        <fgColor theme="9"/>
        <bgColor theme="9"/>
      </patternFill>
    </fill>
    <fill>
      <patternFill patternType="solid">
        <fgColor rgb="FFFFFF00"/>
        <bgColor indexed="64"/>
      </patternFill>
    </fill>
  </fills>
  <borders count="4">
    <border>
      <left/>
      <right/>
      <top/>
      <bottom/>
      <diagonal/>
    </border>
    <border>
      <left/>
      <right/>
      <top style="thin">
        <color theme="9" tint="0.39997558519241921"/>
      </top>
      <bottom style="thin">
        <color theme="9" tint="0.3999755851924192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2">
    <xf numFmtId="0" fontId="0" fillId="0" borderId="0"/>
    <xf numFmtId="0" fontId="25" fillId="0" borderId="0" applyNumberFormat="0" applyFill="0" applyBorder="0" applyAlignment="0" applyProtection="0"/>
  </cellStyleXfs>
  <cellXfs count="52">
    <xf numFmtId="0" fontId="0" fillId="0" borderId="0" xfId="0"/>
    <xf numFmtId="0" fontId="0" fillId="0" borderId="0" xfId="0" applyNumberFormat="1"/>
    <xf numFmtId="14" fontId="0" fillId="0" borderId="0" xfId="0" applyNumberFormat="1"/>
    <xf numFmtId="22" fontId="0" fillId="0" borderId="0" xfId="0" applyNumberFormat="1"/>
    <xf numFmtId="164" fontId="0" fillId="0" borderId="0" xfId="0" applyNumberFormat="1"/>
    <xf numFmtId="0" fontId="0" fillId="3" borderId="1" xfId="0" applyFill="1" applyBorder="1"/>
    <xf numFmtId="0" fontId="0" fillId="0" borderId="1" xfId="0" applyBorder="1"/>
    <xf numFmtId="0" fontId="16" fillId="0" borderId="0" xfId="0" applyFont="1"/>
    <xf numFmtId="0" fontId="17" fillId="4" borderId="1" xfId="0" applyFont="1" applyFill="1" applyBorder="1"/>
    <xf numFmtId="0" fontId="0" fillId="3" borderId="1" xfId="0" applyFont="1" applyFill="1" applyBorder="1"/>
    <xf numFmtId="0" fontId="0" fillId="0" borderId="1" xfId="0" applyFont="1" applyBorder="1"/>
    <xf numFmtId="0" fontId="0" fillId="3" borderId="1" xfId="0" applyNumberFormat="1" applyFont="1" applyFill="1" applyBorder="1"/>
    <xf numFmtId="0" fontId="0" fillId="0" borderId="1" xfId="0" applyNumberFormat="1" applyFont="1" applyBorder="1"/>
    <xf numFmtId="0" fontId="0" fillId="2" borderId="2" xfId="0" applyFill="1" applyBorder="1"/>
    <xf numFmtId="165" fontId="3" fillId="2" borderId="2" xfId="0" applyNumberFormat="1" applyFont="1" applyFill="1" applyBorder="1" applyAlignment="1">
      <alignment horizontal="center"/>
    </xf>
    <xf numFmtId="0" fontId="12" fillId="2" borderId="2" xfId="0" applyFont="1" applyFill="1" applyBorder="1" applyAlignment="1">
      <alignment horizontal="center"/>
    </xf>
    <xf numFmtId="0" fontId="15" fillId="2" borderId="2" xfId="0" applyFont="1" applyFill="1" applyBorder="1" applyAlignment="1">
      <alignment horizontal="center"/>
    </xf>
    <xf numFmtId="0" fontId="0" fillId="0" borderId="0" xfId="0" pivotButton="1"/>
    <xf numFmtId="0" fontId="0" fillId="0" borderId="0" xfId="0" applyAlignment="1">
      <alignment horizontal="left"/>
    </xf>
    <xf numFmtId="0" fontId="18" fillId="0" borderId="0" xfId="0" applyFont="1" applyAlignment="1">
      <alignment horizontal="left" vertical="center" indent="1"/>
    </xf>
    <xf numFmtId="0" fontId="19" fillId="0" borderId="0" xfId="0" applyFont="1"/>
    <xf numFmtId="0" fontId="20" fillId="0" borderId="0" xfId="0" applyFont="1"/>
    <xf numFmtId="14" fontId="21" fillId="0" borderId="0" xfId="0" applyNumberFormat="1" applyFont="1"/>
    <xf numFmtId="166" fontId="9" fillId="2" borderId="2" xfId="0" applyNumberFormat="1" applyFont="1" applyFill="1" applyBorder="1" applyAlignment="1">
      <alignment horizontal="center"/>
    </xf>
    <xf numFmtId="164" fontId="24" fillId="2" borderId="2" xfId="0" applyNumberFormat="1" applyFont="1" applyFill="1" applyBorder="1" applyAlignment="1">
      <alignment horizontal="center"/>
    </xf>
    <xf numFmtId="0" fontId="0" fillId="2" borderId="3" xfId="0" applyFill="1" applyBorder="1"/>
    <xf numFmtId="0" fontId="22" fillId="2" borderId="0" xfId="0" applyFont="1" applyFill="1" applyBorder="1"/>
    <xf numFmtId="0" fontId="2" fillId="2" borderId="3" xfId="0" applyFont="1" applyFill="1" applyBorder="1" applyAlignment="1">
      <alignment horizontal="center"/>
    </xf>
    <xf numFmtId="0" fontId="5" fillId="2" borderId="3" xfId="0" applyFont="1" applyFill="1" applyBorder="1" applyAlignment="1">
      <alignment horizontal="center"/>
    </xf>
    <xf numFmtId="0" fontId="8" fillId="2" borderId="3" xfId="0" applyFont="1" applyFill="1" applyBorder="1" applyAlignment="1">
      <alignment horizontal="center"/>
    </xf>
    <xf numFmtId="0" fontId="11" fillId="2" borderId="3" xfId="0" applyFont="1" applyFill="1" applyBorder="1" applyAlignment="1">
      <alignment horizontal="center"/>
    </xf>
    <xf numFmtId="167" fontId="14" fillId="2" borderId="3" xfId="0" applyNumberFormat="1" applyFont="1" applyFill="1" applyBorder="1" applyAlignment="1">
      <alignment horizontal="center"/>
    </xf>
    <xf numFmtId="14" fontId="23" fillId="2" borderId="3" xfId="0" applyNumberFormat="1" applyFont="1" applyFill="1" applyBorder="1" applyAlignment="1">
      <alignment horizontal="center"/>
    </xf>
    <xf numFmtId="0" fontId="1" fillId="2" borderId="0" xfId="0" applyFont="1" applyFill="1" applyBorder="1" applyAlignment="1">
      <alignment horizontal="center"/>
    </xf>
    <xf numFmtId="0" fontId="4" fillId="2" borderId="0" xfId="0" applyFont="1" applyFill="1" applyBorder="1" applyAlignment="1">
      <alignment horizontal="center"/>
    </xf>
    <xf numFmtId="0" fontId="7" fillId="2" borderId="0" xfId="0" applyFont="1" applyFill="1" applyBorder="1" applyAlignment="1">
      <alignment horizontal="center"/>
    </xf>
    <xf numFmtId="0" fontId="10" fillId="2" borderId="0" xfId="0" applyFont="1" applyFill="1" applyBorder="1" applyAlignment="1">
      <alignment horizontal="center"/>
    </xf>
    <xf numFmtId="0" fontId="13" fillId="2" borderId="0" xfId="0" applyFont="1" applyFill="1" applyBorder="1" applyAlignment="1">
      <alignment horizontal="center"/>
    </xf>
    <xf numFmtId="0" fontId="22" fillId="2" borderId="0" xfId="0" applyFont="1" applyFill="1" applyBorder="1" applyAlignment="1">
      <alignment horizontal="center"/>
    </xf>
    <xf numFmtId="0" fontId="0" fillId="2" borderId="0" xfId="0" applyFill="1" applyBorder="1"/>
    <xf numFmtId="0" fontId="0" fillId="0" borderId="0" xfId="0" applyAlignment="1">
      <alignment vertical="center" wrapText="1"/>
    </xf>
    <xf numFmtId="0" fontId="0" fillId="2" borderId="2" xfId="0" applyFill="1" applyBorder="1" applyAlignment="1">
      <alignment wrapText="1"/>
    </xf>
    <xf numFmtId="0" fontId="25" fillId="0" borderId="0" xfId="1" applyAlignment="1">
      <alignment vertical="center" wrapText="1"/>
    </xf>
    <xf numFmtId="0" fontId="22" fillId="2" borderId="2" xfId="0" applyFont="1" applyFill="1" applyBorder="1" applyAlignment="1">
      <alignment wrapText="1"/>
    </xf>
    <xf numFmtId="0" fontId="26" fillId="0" borderId="0" xfId="0" applyFont="1" applyAlignment="1">
      <alignment vertical="center" wrapText="1"/>
    </xf>
    <xf numFmtId="0" fontId="0" fillId="0" borderId="0" xfId="0" applyFont="1" applyAlignment="1">
      <alignment vertical="center" wrapText="1"/>
    </xf>
    <xf numFmtId="0" fontId="0" fillId="5" borderId="0" xfId="0" applyFill="1" applyAlignment="1">
      <alignment horizontal="center"/>
    </xf>
    <xf numFmtId="0" fontId="0" fillId="5" borderId="0" xfId="0" applyFill="1"/>
    <xf numFmtId="1" fontId="6" fillId="2" borderId="2" xfId="0" applyNumberFormat="1" applyFont="1" applyFill="1" applyBorder="1" applyAlignment="1">
      <alignment horizontal="center"/>
    </xf>
    <xf numFmtId="14" fontId="0" fillId="0" borderId="0" xfId="0" applyNumberFormat="1" applyAlignment="1">
      <alignment horizontal="left"/>
    </xf>
    <xf numFmtId="2" fontId="0" fillId="0" borderId="0" xfId="0" applyNumberFormat="1"/>
    <xf numFmtId="0" fontId="22" fillId="2" borderId="0" xfId="0" applyFont="1" applyFill="1" applyBorder="1" applyAlignment="1">
      <alignment horizontal="center" vertical="center"/>
    </xf>
  </cellXfs>
  <cellStyles count="2">
    <cellStyle name="Link" xfId="1" builtinId="8"/>
    <cellStyle name="Standard" xfId="0" builtinId="0"/>
  </cellStyles>
  <dxfs count="27">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dd/mm/yyyy\ hh:mm"/>
    </dxf>
    <dxf>
      <numFmt numFmtId="27" formatCode="dd/mm/yyyy\ hh:mm"/>
    </dxf>
    <dxf>
      <numFmt numFmtId="0" formatCode="General"/>
    </dxf>
    <dxf>
      <numFmt numFmtId="27" formatCode="dd/mm/yyyy\ hh:mm"/>
    </dxf>
    <dxf>
      <numFmt numFmtId="19" formatCode="dd/mm/yyyy"/>
    </dxf>
    <dxf>
      <numFmt numFmtId="2" formatCode="0.00"/>
    </dxf>
    <dxf>
      <numFmt numFmtId="2" formatCode="0.00"/>
    </dxf>
  </dxfs>
  <tableStyles count="0" defaultTableStyle="TableStyleMedium2" defaultPivotStyle="PivotStyleLight16"/>
  <colors>
    <mruColors>
      <color rgb="FFFF66FF"/>
      <color rgb="FF33CC33"/>
      <color rgb="FF33CCFF"/>
      <color rgb="FF0078A2"/>
      <color rgb="FF66FF99"/>
      <color rgb="FFFFFF00"/>
      <color rgb="FFFFCCFF"/>
      <color rgb="FFCC99FF"/>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Total confirmed case</a:t>
            </a:r>
          </a:p>
        </c:rich>
      </c:tx>
      <c:overlay val="1"/>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5.7728355277472318E-2"/>
          <c:y val="2.5608194622279128E-2"/>
          <c:w val="0.92733512493163894"/>
          <c:h val="0.80347404397753741"/>
        </c:manualLayout>
      </c:layout>
      <c:lineChart>
        <c:grouping val="standard"/>
        <c:varyColors val="0"/>
        <c:ser>
          <c:idx val="5"/>
          <c:order val="5"/>
          <c:tx>
            <c:strRef>
              <c:f>ch_latest!$I$1</c:f>
              <c:strCache>
                <c:ptCount val="1"/>
                <c:pt idx="0">
                  <c:v>released</c:v>
                </c:pt>
              </c:strCache>
            </c:strRef>
          </c:tx>
          <c:spPr>
            <a:ln w="34925" cap="rnd">
              <a:solidFill>
                <a:srgbClr val="66FF99"/>
              </a:solidFill>
              <a:round/>
            </a:ln>
            <a:effectLst>
              <a:outerShdw blurRad="57150" dist="19050" dir="5400000" algn="ctr" rotWithShape="0">
                <a:srgbClr val="000000">
                  <a:alpha val="63000"/>
                </a:srgbClr>
              </a:outerShdw>
            </a:effectLst>
          </c:spPr>
          <c:marker>
            <c:symbol val="none"/>
          </c:marker>
          <c:cat>
            <c:numRef>
              <c:f>ch_latest!$A$2:$A$66</c:f>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f>ch_latest!$I$2:$I$66</c:f>
              <c:numCache>
                <c:formatCode>General</c:formatCode>
                <c:ptCount val="65"/>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7</c:v>
                </c:pt>
                <c:pt idx="15">
                  <c:v>12</c:v>
                </c:pt>
                <c:pt idx="16">
                  <c:v>13</c:v>
                </c:pt>
                <c:pt idx="17">
                  <c:v>13</c:v>
                </c:pt>
                <c:pt idx="18">
                  <c:v>13</c:v>
                </c:pt>
                <c:pt idx="19">
                  <c:v>16</c:v>
                </c:pt>
                <c:pt idx="20">
                  <c:v>17</c:v>
                </c:pt>
                <c:pt idx="21">
                  <c:v>47</c:v>
                </c:pt>
                <c:pt idx="22">
                  <c:v>65</c:v>
                </c:pt>
                <c:pt idx="23">
                  <c:v>73</c:v>
                </c:pt>
                <c:pt idx="24">
                  <c:v>77</c:v>
                </c:pt>
                <c:pt idx="25">
                  <c:v>91</c:v>
                </c:pt>
                <c:pt idx="26">
                  <c:v>107</c:v>
                </c:pt>
                <c:pt idx="27">
                  <c:v>127</c:v>
                </c:pt>
                <c:pt idx="28">
                  <c:v>279</c:v>
                </c:pt>
                <c:pt idx="29">
                  <c:v>333</c:v>
                </c:pt>
                <c:pt idx="30">
                  <c:v>412</c:v>
                </c:pt>
                <c:pt idx="31">
                  <c:v>481</c:v>
                </c:pt>
                <c:pt idx="32">
                  <c:v>551</c:v>
                </c:pt>
                <c:pt idx="33">
                  <c:v>601</c:v>
                </c:pt>
                <c:pt idx="34">
                  <c:v>716</c:v>
                </c:pt>
                <c:pt idx="35">
                  <c:v>1083</c:v>
                </c:pt>
                <c:pt idx="36">
                  <c:v>1254</c:v>
                </c:pt>
                <c:pt idx="37">
                  <c:v>1465</c:v>
                </c:pt>
                <c:pt idx="38">
                  <c:v>1571</c:v>
                </c:pt>
                <c:pt idx="39">
                  <c:v>1726</c:v>
                </c:pt>
                <c:pt idx="40">
                  <c:v>1886</c:v>
                </c:pt>
                <c:pt idx="41">
                  <c:v>2009</c:v>
                </c:pt>
                <c:pt idx="42">
                  <c:v>2370</c:v>
                </c:pt>
                <c:pt idx="43">
                  <c:v>2587</c:v>
                </c:pt>
                <c:pt idx="44">
                  <c:v>2737</c:v>
                </c:pt>
                <c:pt idx="45">
                  <c:v>2821</c:v>
                </c:pt>
                <c:pt idx="46">
                  <c:v>2987</c:v>
                </c:pt>
                <c:pt idx="47">
                  <c:v>3089</c:v>
                </c:pt>
                <c:pt idx="48">
                  <c:v>3169</c:v>
                </c:pt>
                <c:pt idx="49">
                  <c:v>3331</c:v>
                </c:pt>
                <c:pt idx="50">
                  <c:v>3495</c:v>
                </c:pt>
                <c:pt idx="51">
                  <c:v>3655</c:v>
                </c:pt>
                <c:pt idx="52">
                  <c:v>3763</c:v>
                </c:pt>
                <c:pt idx="53">
                  <c:v>3878</c:v>
                </c:pt>
                <c:pt idx="54">
                  <c:v>3948</c:v>
                </c:pt>
                <c:pt idx="55">
                  <c:v>4084</c:v>
                </c:pt>
                <c:pt idx="56">
                  <c:v>4206</c:v>
                </c:pt>
                <c:pt idx="57">
                  <c:v>4313</c:v>
                </c:pt>
                <c:pt idx="58">
                  <c:v>4404</c:v>
                </c:pt>
                <c:pt idx="59">
                  <c:v>4482</c:v>
                </c:pt>
                <c:pt idx="60">
                  <c:v>4519</c:v>
                </c:pt>
                <c:pt idx="61">
                  <c:v>4552</c:v>
                </c:pt>
                <c:pt idx="62">
                  <c:v>4624</c:v>
                </c:pt>
                <c:pt idx="63">
                  <c:v>4669</c:v>
                </c:pt>
                <c:pt idx="64">
                  <c:v>4700</c:v>
                </c:pt>
              </c:numCache>
            </c:numRef>
          </c:val>
          <c:smooth val="0"/>
          <c:extLst>
            <c:ext xmlns:c16="http://schemas.microsoft.com/office/drawing/2014/chart" uri="{C3380CC4-5D6E-409C-BE32-E72D297353CC}">
              <c16:uniqueId val="{00000004-1B1B-4E8A-9467-6BF6B6803E2C}"/>
            </c:ext>
          </c:extLst>
        </c:ser>
        <c:ser>
          <c:idx val="3"/>
          <c:order val="3"/>
          <c:tx>
            <c:strRef>
              <c:f>ch_latest!$G$1</c:f>
              <c:strCache>
                <c:ptCount val="1"/>
                <c:pt idx="0">
                  <c:v>total_positive</c:v>
                </c:pt>
              </c:strCache>
            </c:strRef>
          </c:tx>
          <c:spPr>
            <a:ln w="34925" cap="rnd">
              <a:solidFill>
                <a:srgbClr val="FFFF00"/>
              </a:solidFill>
              <a:round/>
            </a:ln>
            <a:effectLst>
              <a:outerShdw blurRad="57150" dist="19050" dir="5400000" algn="ctr" rotWithShape="0">
                <a:srgbClr val="000000">
                  <a:alpha val="63000"/>
                </a:srgbClr>
              </a:outerShdw>
            </a:effectLst>
          </c:spPr>
          <c:marker>
            <c:symbol val="none"/>
          </c:marker>
          <c:cat>
            <c:numRef>
              <c:f>ch_latest!$A$2:$A$66</c:f>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f>ch_latest!$G$2:$G$66</c:f>
              <c:numCache>
                <c:formatCode>General</c:formatCode>
                <c:ptCount val="65"/>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534</c:v>
                </c:pt>
                <c:pt idx="15">
                  <c:v>705</c:v>
                </c:pt>
                <c:pt idx="16">
                  <c:v>1057</c:v>
                </c:pt>
                <c:pt idx="17">
                  <c:v>1409</c:v>
                </c:pt>
                <c:pt idx="18">
                  <c:v>1743</c:v>
                </c:pt>
                <c:pt idx="19">
                  <c:v>2029</c:v>
                </c:pt>
                <c:pt idx="20">
                  <c:v>2750</c:v>
                </c:pt>
                <c:pt idx="21">
                  <c:v>3621</c:v>
                </c:pt>
                <c:pt idx="22">
                  <c:v>4792</c:v>
                </c:pt>
                <c:pt idx="23">
                  <c:v>5819</c:v>
                </c:pt>
                <c:pt idx="24">
                  <c:v>6954</c:v>
                </c:pt>
                <c:pt idx="25">
                  <c:v>7651</c:v>
                </c:pt>
                <c:pt idx="26">
                  <c:v>8220</c:v>
                </c:pt>
                <c:pt idx="27">
                  <c:v>9780</c:v>
                </c:pt>
                <c:pt idx="28">
                  <c:v>10851</c:v>
                </c:pt>
                <c:pt idx="29">
                  <c:v>11945</c:v>
                </c:pt>
                <c:pt idx="30">
                  <c:v>13084</c:v>
                </c:pt>
                <c:pt idx="31">
                  <c:v>14392</c:v>
                </c:pt>
                <c:pt idx="32">
                  <c:v>15225</c:v>
                </c:pt>
                <c:pt idx="33">
                  <c:v>15823</c:v>
                </c:pt>
                <c:pt idx="34">
                  <c:v>16938</c:v>
                </c:pt>
                <c:pt idx="35">
                  <c:v>17876</c:v>
                </c:pt>
                <c:pt idx="36">
                  <c:v>18904</c:v>
                </c:pt>
                <c:pt idx="37">
                  <c:v>19949</c:v>
                </c:pt>
                <c:pt idx="38">
                  <c:v>20878</c:v>
                </c:pt>
                <c:pt idx="39">
                  <c:v>21445</c:v>
                </c:pt>
                <c:pt idx="40">
                  <c:v>21828</c:v>
                </c:pt>
                <c:pt idx="41">
                  <c:v>22570</c:v>
                </c:pt>
                <c:pt idx="42">
                  <c:v>23222</c:v>
                </c:pt>
                <c:pt idx="43">
                  <c:v>23892</c:v>
                </c:pt>
                <c:pt idx="44">
                  <c:v>24560</c:v>
                </c:pt>
                <c:pt idx="45">
                  <c:v>25010</c:v>
                </c:pt>
                <c:pt idx="46">
                  <c:v>25473</c:v>
                </c:pt>
                <c:pt idx="47">
                  <c:v>25746</c:v>
                </c:pt>
                <c:pt idx="48">
                  <c:v>25997</c:v>
                </c:pt>
                <c:pt idx="49">
                  <c:v>26319</c:v>
                </c:pt>
                <c:pt idx="50">
                  <c:v>26637</c:v>
                </c:pt>
                <c:pt idx="51">
                  <c:v>26936</c:v>
                </c:pt>
                <c:pt idx="52">
                  <c:v>27249</c:v>
                </c:pt>
                <c:pt idx="53">
                  <c:v>27542</c:v>
                </c:pt>
                <c:pt idx="54">
                  <c:v>27719</c:v>
                </c:pt>
                <c:pt idx="55">
                  <c:v>27921</c:v>
                </c:pt>
                <c:pt idx="56">
                  <c:v>28080</c:v>
                </c:pt>
                <c:pt idx="57">
                  <c:v>28277</c:v>
                </c:pt>
                <c:pt idx="58">
                  <c:v>28494</c:v>
                </c:pt>
                <c:pt idx="59">
                  <c:v>28684</c:v>
                </c:pt>
                <c:pt idx="60">
                  <c:v>28823</c:v>
                </c:pt>
                <c:pt idx="61">
                  <c:v>28903</c:v>
                </c:pt>
                <c:pt idx="62">
                  <c:v>29034</c:v>
                </c:pt>
                <c:pt idx="63">
                  <c:v>29107</c:v>
                </c:pt>
                <c:pt idx="64">
                  <c:v>29187</c:v>
                </c:pt>
              </c:numCache>
            </c:numRef>
          </c:val>
          <c:smooth val="0"/>
          <c:extLst>
            <c:ext xmlns:c16="http://schemas.microsoft.com/office/drawing/2014/chart" uri="{C3380CC4-5D6E-409C-BE32-E72D297353CC}">
              <c16:uniqueId val="{00000002-1B1B-4E8A-9467-6BF6B6803E2C}"/>
            </c:ext>
          </c:extLst>
        </c:ser>
        <c:ser>
          <c:idx val="6"/>
          <c:order val="6"/>
          <c:tx>
            <c:strRef>
              <c:f>ch_latest!$J$1</c:f>
              <c:strCache>
                <c:ptCount val="1"/>
                <c:pt idx="0">
                  <c:v>deaths</c:v>
                </c:pt>
              </c:strCache>
            </c:strRef>
          </c:tx>
          <c:spPr>
            <a:ln w="34925" cap="rnd">
              <a:solidFill>
                <a:schemeClr val="bg1"/>
              </a:solidFill>
              <a:round/>
            </a:ln>
            <a:effectLst>
              <a:outerShdw blurRad="57150" dist="19050" dir="5400000" algn="ctr" rotWithShape="0">
                <a:srgbClr val="000000">
                  <a:alpha val="63000"/>
                </a:srgbClr>
              </a:outerShdw>
            </a:effectLst>
          </c:spPr>
          <c:marker>
            <c:symbol val="none"/>
          </c:marker>
          <c:cat>
            <c:numRef>
              <c:f>ch_latest!$A$2:$A$66</c:f>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f>ch_latest!$J$2:$J$66</c:f>
              <c:numCache>
                <c:formatCode>General</c:formatCode>
                <c:ptCount val="65"/>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13</c:v>
                </c:pt>
                <c:pt idx="19">
                  <c:v>21</c:v>
                </c:pt>
                <c:pt idx="20">
                  <c:v>30</c:v>
                </c:pt>
                <c:pt idx="21">
                  <c:v>37</c:v>
                </c:pt>
                <c:pt idx="22">
                  <c:v>48</c:v>
                </c:pt>
                <c:pt idx="23">
                  <c:v>57</c:v>
                </c:pt>
                <c:pt idx="24">
                  <c:v>78</c:v>
                </c:pt>
                <c:pt idx="25">
                  <c:v>98</c:v>
                </c:pt>
                <c:pt idx="26">
                  <c:v>113</c:v>
                </c:pt>
                <c:pt idx="27">
                  <c:v>143</c:v>
                </c:pt>
                <c:pt idx="28">
                  <c:v>165</c:v>
                </c:pt>
                <c:pt idx="29">
                  <c:v>200</c:v>
                </c:pt>
                <c:pt idx="30">
                  <c:v>246</c:v>
                </c:pt>
                <c:pt idx="31">
                  <c:v>282</c:v>
                </c:pt>
                <c:pt idx="32">
                  <c:v>334</c:v>
                </c:pt>
                <c:pt idx="33">
                  <c:v>378</c:v>
                </c:pt>
                <c:pt idx="34">
                  <c:v>437</c:v>
                </c:pt>
                <c:pt idx="35">
                  <c:v>503</c:v>
                </c:pt>
                <c:pt idx="36">
                  <c:v>566</c:v>
                </c:pt>
                <c:pt idx="37">
                  <c:v>627</c:v>
                </c:pt>
                <c:pt idx="38">
                  <c:v>688</c:v>
                </c:pt>
                <c:pt idx="39">
                  <c:v>754</c:v>
                </c:pt>
                <c:pt idx="40">
                  <c:v>806</c:v>
                </c:pt>
                <c:pt idx="41">
                  <c:v>865</c:v>
                </c:pt>
                <c:pt idx="42">
                  <c:v>925</c:v>
                </c:pt>
                <c:pt idx="43">
                  <c:v>993</c:v>
                </c:pt>
                <c:pt idx="44">
                  <c:v>1044</c:v>
                </c:pt>
                <c:pt idx="45">
                  <c:v>1094</c:v>
                </c:pt>
                <c:pt idx="46">
                  <c:v>1131</c:v>
                </c:pt>
                <c:pt idx="47">
                  <c:v>1187</c:v>
                </c:pt>
                <c:pt idx="48">
                  <c:v>1217</c:v>
                </c:pt>
                <c:pt idx="49">
                  <c:v>1255</c:v>
                </c:pt>
                <c:pt idx="50">
                  <c:v>1308</c:v>
                </c:pt>
                <c:pt idx="51">
                  <c:v>1353</c:v>
                </c:pt>
                <c:pt idx="52">
                  <c:v>1399</c:v>
                </c:pt>
                <c:pt idx="53">
                  <c:v>1441</c:v>
                </c:pt>
                <c:pt idx="54">
                  <c:v>1465</c:v>
                </c:pt>
                <c:pt idx="55">
                  <c:v>1506</c:v>
                </c:pt>
                <c:pt idx="56">
                  <c:v>1547</c:v>
                </c:pt>
                <c:pt idx="57">
                  <c:v>1573</c:v>
                </c:pt>
                <c:pt idx="58">
                  <c:v>1602</c:v>
                </c:pt>
                <c:pt idx="59">
                  <c:v>1630</c:v>
                </c:pt>
                <c:pt idx="60">
                  <c:v>1654</c:v>
                </c:pt>
                <c:pt idx="61">
                  <c:v>1669</c:v>
                </c:pt>
                <c:pt idx="62">
                  <c:v>1686</c:v>
                </c:pt>
                <c:pt idx="63">
                  <c:v>1704</c:v>
                </c:pt>
                <c:pt idx="64">
                  <c:v>1708</c:v>
                </c:pt>
              </c:numCache>
            </c:numRef>
          </c:val>
          <c:smooth val="0"/>
          <c:extLst xmlns:c15="http://schemas.microsoft.com/office/drawing/2012/chart">
            <c:ext xmlns:c16="http://schemas.microsoft.com/office/drawing/2014/chart" uri="{C3380CC4-5D6E-409C-BE32-E72D297353CC}">
              <c16:uniqueId val="{00000005-1B1B-4E8A-9467-6BF6B6803E2C}"/>
            </c:ext>
          </c:extLst>
        </c:ser>
        <c:dLbls>
          <c:showLegendKey val="0"/>
          <c:showVal val="0"/>
          <c:showCatName val="0"/>
          <c:showSerName val="0"/>
          <c:showPercent val="0"/>
          <c:showBubbleSize val="0"/>
        </c:dLbls>
        <c:smooth val="0"/>
        <c:axId val="1165289807"/>
        <c:axId val="72936975"/>
        <c:extLst>
          <c:ext xmlns:c15="http://schemas.microsoft.com/office/drawing/2012/chart" uri="{02D57815-91ED-43cb-92C2-25804820EDAC}">
            <c15:filteredLineSeries>
              <c15:ser>
                <c:idx val="0"/>
                <c:order val="0"/>
                <c:tx>
                  <c:strRef>
                    <c:extLst>
                      <c:ext uri="{02D57815-91ED-43cb-92C2-25804820EDAC}">
                        <c15:formulaRef>
                          <c15:sqref>ch_latest!$D$1</c15:sqref>
                        </c15:formulaRef>
                      </c:ext>
                    </c:extLst>
                    <c:strCache>
                      <c:ptCount val="1"/>
                      <c:pt idx="0">
                        <c:v>intensive_care</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extLst>
                      <c:ex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c:ext uri="{02D57815-91ED-43cb-92C2-25804820EDAC}">
                        <c15:formulaRef>
                          <c15:sqref>ch_latest!$D$2:$D$66</c15:sqref>
                        </c15:formulaRef>
                      </c:ext>
                    </c:extLst>
                    <c:numCache>
                      <c:formatCode>General</c:formatCode>
                      <c:ptCount val="65"/>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33</c:v>
                      </c:pt>
                      <c:pt idx="18">
                        <c:v>36</c:v>
                      </c:pt>
                      <c:pt idx="19">
                        <c:v>40</c:v>
                      </c:pt>
                      <c:pt idx="20">
                        <c:v>51</c:v>
                      </c:pt>
                      <c:pt idx="21">
                        <c:v>65</c:v>
                      </c:pt>
                      <c:pt idx="22">
                        <c:v>68</c:v>
                      </c:pt>
                      <c:pt idx="23">
                        <c:v>107</c:v>
                      </c:pt>
                      <c:pt idx="24">
                        <c:v>116</c:v>
                      </c:pt>
                      <c:pt idx="25">
                        <c:v>137</c:v>
                      </c:pt>
                      <c:pt idx="26">
                        <c:v>168</c:v>
                      </c:pt>
                      <c:pt idx="27">
                        <c:v>202</c:v>
                      </c:pt>
                      <c:pt idx="28">
                        <c:v>204</c:v>
                      </c:pt>
                      <c:pt idx="29">
                        <c:v>239</c:v>
                      </c:pt>
                      <c:pt idx="30">
                        <c:v>268</c:v>
                      </c:pt>
                      <c:pt idx="31">
                        <c:v>292</c:v>
                      </c:pt>
                      <c:pt idx="32">
                        <c:v>323</c:v>
                      </c:pt>
                      <c:pt idx="33">
                        <c:v>337</c:v>
                      </c:pt>
                      <c:pt idx="34">
                        <c:v>384</c:v>
                      </c:pt>
                      <c:pt idx="35">
                        <c:v>410</c:v>
                      </c:pt>
                      <c:pt idx="36">
                        <c:v>441</c:v>
                      </c:pt>
                      <c:pt idx="37">
                        <c:v>446</c:v>
                      </c:pt>
                      <c:pt idx="38">
                        <c:v>456</c:v>
                      </c:pt>
                      <c:pt idx="39">
                        <c:v>458</c:v>
                      </c:pt>
                      <c:pt idx="40">
                        <c:v>448</c:v>
                      </c:pt>
                      <c:pt idx="41">
                        <c:v>447</c:v>
                      </c:pt>
                      <c:pt idx="42">
                        <c:v>441</c:v>
                      </c:pt>
                      <c:pt idx="43">
                        <c:v>438</c:v>
                      </c:pt>
                      <c:pt idx="44">
                        <c:v>430</c:v>
                      </c:pt>
                      <c:pt idx="45">
                        <c:v>418</c:v>
                      </c:pt>
                      <c:pt idx="46">
                        <c:v>418</c:v>
                      </c:pt>
                      <c:pt idx="47">
                        <c:v>407</c:v>
                      </c:pt>
                      <c:pt idx="48">
                        <c:v>403</c:v>
                      </c:pt>
                      <c:pt idx="49">
                        <c:v>390</c:v>
                      </c:pt>
                      <c:pt idx="50">
                        <c:v>368</c:v>
                      </c:pt>
                      <c:pt idx="51">
                        <c:v>348</c:v>
                      </c:pt>
                      <c:pt idx="52">
                        <c:v>335</c:v>
                      </c:pt>
                      <c:pt idx="53">
                        <c:v>321</c:v>
                      </c:pt>
                      <c:pt idx="54">
                        <c:v>313</c:v>
                      </c:pt>
                      <c:pt idx="55">
                        <c:v>301</c:v>
                      </c:pt>
                      <c:pt idx="56">
                        <c:v>286</c:v>
                      </c:pt>
                      <c:pt idx="57">
                        <c:v>255</c:v>
                      </c:pt>
                      <c:pt idx="58">
                        <c:v>247</c:v>
                      </c:pt>
                      <c:pt idx="59">
                        <c:v>242</c:v>
                      </c:pt>
                      <c:pt idx="60">
                        <c:v>233</c:v>
                      </c:pt>
                      <c:pt idx="61">
                        <c:v>212</c:v>
                      </c:pt>
                      <c:pt idx="62">
                        <c:v>204</c:v>
                      </c:pt>
                      <c:pt idx="63">
                        <c:v>188</c:v>
                      </c:pt>
                      <c:pt idx="64">
                        <c:v>194</c:v>
                      </c:pt>
                    </c:numCache>
                  </c:numRef>
                </c:val>
                <c:smooth val="0"/>
                <c:extLst>
                  <c:ext xmlns:c16="http://schemas.microsoft.com/office/drawing/2014/chart" uri="{C3380CC4-5D6E-409C-BE32-E72D297353CC}">
                    <c16:uniqueId val="{00000000-2841-49BC-AC15-B5837423ED65}"/>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ch_latest!$E$2:$E$66</c15:sqref>
                        </c15:formulaRef>
                      </c:ext>
                    </c:extLst>
                    <c:numCache>
                      <c:formatCode>General</c:formatCode>
                      <c:ptCount val="65"/>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238</c:v>
                      </c:pt>
                      <c:pt idx="18">
                        <c:v>263</c:v>
                      </c:pt>
                      <c:pt idx="19">
                        <c:v>287</c:v>
                      </c:pt>
                      <c:pt idx="20">
                        <c:v>360</c:v>
                      </c:pt>
                      <c:pt idx="21">
                        <c:v>427</c:v>
                      </c:pt>
                      <c:pt idx="22">
                        <c:v>490</c:v>
                      </c:pt>
                      <c:pt idx="23">
                        <c:v>689</c:v>
                      </c:pt>
                      <c:pt idx="24">
                        <c:v>797</c:v>
                      </c:pt>
                      <c:pt idx="25">
                        <c:v>904</c:v>
                      </c:pt>
                      <c:pt idx="26">
                        <c:v>1090</c:v>
                      </c:pt>
                      <c:pt idx="27">
                        <c:v>1207</c:v>
                      </c:pt>
                      <c:pt idx="28">
                        <c:v>1364</c:v>
                      </c:pt>
                      <c:pt idx="29">
                        <c:v>1464</c:v>
                      </c:pt>
                      <c:pt idx="30">
                        <c:v>1610</c:v>
                      </c:pt>
                      <c:pt idx="31">
                        <c:v>1792</c:v>
                      </c:pt>
                      <c:pt idx="32">
                        <c:v>1880</c:v>
                      </c:pt>
                      <c:pt idx="33">
                        <c:v>1994</c:v>
                      </c:pt>
                      <c:pt idx="34">
                        <c:v>2179</c:v>
                      </c:pt>
                      <c:pt idx="35">
                        <c:v>2207</c:v>
                      </c:pt>
                      <c:pt idx="36">
                        <c:v>2287</c:v>
                      </c:pt>
                      <c:pt idx="37">
                        <c:v>2351</c:v>
                      </c:pt>
                      <c:pt idx="38">
                        <c:v>2332</c:v>
                      </c:pt>
                      <c:pt idx="39">
                        <c:v>2320</c:v>
                      </c:pt>
                      <c:pt idx="40">
                        <c:v>2305</c:v>
                      </c:pt>
                      <c:pt idx="41">
                        <c:v>2309</c:v>
                      </c:pt>
                      <c:pt idx="42">
                        <c:v>2227</c:v>
                      </c:pt>
                      <c:pt idx="43">
                        <c:v>2139</c:v>
                      </c:pt>
                      <c:pt idx="44">
                        <c:v>2071</c:v>
                      </c:pt>
                      <c:pt idx="45">
                        <c:v>2011</c:v>
                      </c:pt>
                      <c:pt idx="46">
                        <c:v>1936</c:v>
                      </c:pt>
                      <c:pt idx="47">
                        <c:v>1913</c:v>
                      </c:pt>
                      <c:pt idx="48">
                        <c:v>1896</c:v>
                      </c:pt>
                      <c:pt idx="49">
                        <c:v>1857</c:v>
                      </c:pt>
                      <c:pt idx="50">
                        <c:v>1734</c:v>
                      </c:pt>
                      <c:pt idx="51">
                        <c:v>1679</c:v>
                      </c:pt>
                      <c:pt idx="52">
                        <c:v>1580</c:v>
                      </c:pt>
                      <c:pt idx="53">
                        <c:v>1529</c:v>
                      </c:pt>
                      <c:pt idx="54">
                        <c:v>1523</c:v>
                      </c:pt>
                      <c:pt idx="55">
                        <c:v>1500</c:v>
                      </c:pt>
                      <c:pt idx="56">
                        <c:v>1422</c:v>
                      </c:pt>
                      <c:pt idx="57">
                        <c:v>1357</c:v>
                      </c:pt>
                      <c:pt idx="58">
                        <c:v>1306</c:v>
                      </c:pt>
                      <c:pt idx="59">
                        <c:v>1259</c:v>
                      </c:pt>
                      <c:pt idx="60">
                        <c:v>1231</c:v>
                      </c:pt>
                      <c:pt idx="61">
                        <c:v>1211</c:v>
                      </c:pt>
                      <c:pt idx="62">
                        <c:v>1190</c:v>
                      </c:pt>
                      <c:pt idx="63">
                        <c:v>1165</c:v>
                      </c:pt>
                      <c:pt idx="64">
                        <c:v>1149</c:v>
                      </c:pt>
                    </c:numCache>
                  </c:numRef>
                </c:val>
                <c:smooth val="0"/>
                <c:extLst xmlns:c15="http://schemas.microsoft.com/office/drawing/2012/chart">
                  <c:ext xmlns:c16="http://schemas.microsoft.com/office/drawing/2014/chart" uri="{C3380CC4-5D6E-409C-BE32-E72D297353CC}">
                    <c16:uniqueId val="{00000000-1B1B-4E8A-9467-6BF6B6803E2C}"/>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ch_latest!$F$2:$F$66</c15:sqref>
                        </c15:formulaRef>
                      </c:ext>
                    </c:extLst>
                    <c:numCache>
                      <c:formatCode>General</c:formatCode>
                      <c:ptCount val="65"/>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534</c:v>
                      </c:pt>
                      <c:pt idx="15">
                        <c:v>705</c:v>
                      </c:pt>
                      <c:pt idx="16">
                        <c:v>1057</c:v>
                      </c:pt>
                      <c:pt idx="17">
                        <c:v>1409</c:v>
                      </c:pt>
                      <c:pt idx="18">
                        <c:v>1743</c:v>
                      </c:pt>
                      <c:pt idx="19">
                        <c:v>2029</c:v>
                      </c:pt>
                      <c:pt idx="20">
                        <c:v>2750</c:v>
                      </c:pt>
                      <c:pt idx="21">
                        <c:v>3621</c:v>
                      </c:pt>
                      <c:pt idx="22">
                        <c:v>4792</c:v>
                      </c:pt>
                      <c:pt idx="23">
                        <c:v>5819</c:v>
                      </c:pt>
                      <c:pt idx="24">
                        <c:v>6954</c:v>
                      </c:pt>
                      <c:pt idx="25">
                        <c:v>7651</c:v>
                      </c:pt>
                      <c:pt idx="26">
                        <c:v>8220</c:v>
                      </c:pt>
                      <c:pt idx="27">
                        <c:v>9780</c:v>
                      </c:pt>
                      <c:pt idx="28">
                        <c:v>10851</c:v>
                      </c:pt>
                      <c:pt idx="29">
                        <c:v>11945</c:v>
                      </c:pt>
                      <c:pt idx="30">
                        <c:v>13084</c:v>
                      </c:pt>
                      <c:pt idx="31">
                        <c:v>14392</c:v>
                      </c:pt>
                      <c:pt idx="32">
                        <c:v>15225</c:v>
                      </c:pt>
                      <c:pt idx="33">
                        <c:v>15823</c:v>
                      </c:pt>
                      <c:pt idx="34">
                        <c:v>16938</c:v>
                      </c:pt>
                      <c:pt idx="35">
                        <c:v>17876</c:v>
                      </c:pt>
                      <c:pt idx="36">
                        <c:v>18904</c:v>
                      </c:pt>
                      <c:pt idx="37">
                        <c:v>19949</c:v>
                      </c:pt>
                      <c:pt idx="38">
                        <c:v>20878</c:v>
                      </c:pt>
                      <c:pt idx="39">
                        <c:v>21445</c:v>
                      </c:pt>
                      <c:pt idx="40">
                        <c:v>21828</c:v>
                      </c:pt>
                      <c:pt idx="41">
                        <c:v>22570</c:v>
                      </c:pt>
                      <c:pt idx="42">
                        <c:v>23222</c:v>
                      </c:pt>
                      <c:pt idx="43">
                        <c:v>23892</c:v>
                      </c:pt>
                      <c:pt idx="44">
                        <c:v>24560</c:v>
                      </c:pt>
                      <c:pt idx="45">
                        <c:v>25010</c:v>
                      </c:pt>
                      <c:pt idx="46">
                        <c:v>25473</c:v>
                      </c:pt>
                      <c:pt idx="47">
                        <c:v>25746</c:v>
                      </c:pt>
                      <c:pt idx="48">
                        <c:v>25997</c:v>
                      </c:pt>
                      <c:pt idx="49">
                        <c:v>26319</c:v>
                      </c:pt>
                      <c:pt idx="50">
                        <c:v>26637</c:v>
                      </c:pt>
                      <c:pt idx="51">
                        <c:v>26936</c:v>
                      </c:pt>
                      <c:pt idx="52">
                        <c:v>27249</c:v>
                      </c:pt>
                      <c:pt idx="53">
                        <c:v>27542</c:v>
                      </c:pt>
                      <c:pt idx="54">
                        <c:v>27719</c:v>
                      </c:pt>
                      <c:pt idx="55">
                        <c:v>27921</c:v>
                      </c:pt>
                      <c:pt idx="56">
                        <c:v>28080</c:v>
                      </c:pt>
                      <c:pt idx="57">
                        <c:v>28277</c:v>
                      </c:pt>
                      <c:pt idx="58">
                        <c:v>28494</c:v>
                      </c:pt>
                      <c:pt idx="59">
                        <c:v>28684</c:v>
                      </c:pt>
                      <c:pt idx="60">
                        <c:v>28823</c:v>
                      </c:pt>
                      <c:pt idx="61">
                        <c:v>28903</c:v>
                      </c:pt>
                      <c:pt idx="62">
                        <c:v>29034</c:v>
                      </c:pt>
                      <c:pt idx="63">
                        <c:v>29107</c:v>
                      </c:pt>
                      <c:pt idx="64">
                        <c:v>29187</c:v>
                      </c:pt>
                    </c:numCache>
                  </c:numRef>
                </c:val>
                <c:smooth val="0"/>
                <c:extLst xmlns:c15="http://schemas.microsoft.com/office/drawing/2012/chart">
                  <c:ext xmlns:c16="http://schemas.microsoft.com/office/drawing/2014/chart" uri="{C3380CC4-5D6E-409C-BE32-E72D297353CC}">
                    <c16:uniqueId val="{00000001-1B1B-4E8A-9467-6BF6B6803E2C}"/>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ch_latest!$H$2:$H$66</c15:sqref>
                        </c15:formulaRef>
                      </c:ext>
                    </c:extLst>
                    <c:numCache>
                      <c:formatCode>General</c:formatCode>
                      <c:ptCount val="65"/>
                      <c:pt idx="0">
                        <c:v>72</c:v>
                      </c:pt>
                      <c:pt idx="1">
                        <c:v>177</c:v>
                      </c:pt>
                      <c:pt idx="2">
                        <c:v>328</c:v>
                      </c:pt>
                      <c:pt idx="3">
                        <c:v>535</c:v>
                      </c:pt>
                      <c:pt idx="4">
                        <c:v>675</c:v>
                      </c:pt>
                      <c:pt idx="5">
                        <c:v>811</c:v>
                      </c:pt>
                      <c:pt idx="6">
                        <c:v>1133</c:v>
                      </c:pt>
                      <c:pt idx="7">
                        <c:v>1254</c:v>
                      </c:pt>
                      <c:pt idx="8">
                        <c:v>1365</c:v>
                      </c:pt>
                      <c:pt idx="9">
                        <c:v>1432</c:v>
                      </c:pt>
                      <c:pt idx="10">
                        <c:v>1534</c:v>
                      </c:pt>
                      <c:pt idx="11">
                        <c:v>1609</c:v>
                      </c:pt>
                      <c:pt idx="12">
                        <c:v>1676</c:v>
                      </c:pt>
                      <c:pt idx="13">
                        <c:v>1783</c:v>
                      </c:pt>
                      <c:pt idx="14">
                        <c:v>1996</c:v>
                      </c:pt>
                      <c:pt idx="15">
                        <c:v>2247</c:v>
                      </c:pt>
                      <c:pt idx="16">
                        <c:v>2605</c:v>
                      </c:pt>
                      <c:pt idx="17">
                        <c:v>3050</c:v>
                      </c:pt>
                      <c:pt idx="18">
                        <c:v>3675</c:v>
                      </c:pt>
                      <c:pt idx="19">
                        <c:v>4078</c:v>
                      </c:pt>
                      <c:pt idx="20">
                        <c:v>4773</c:v>
                      </c:pt>
                      <c:pt idx="21">
                        <c:v>5406</c:v>
                      </c:pt>
                      <c:pt idx="22">
                        <c:v>6314</c:v>
                      </c:pt>
                      <c:pt idx="23">
                        <c:v>6974</c:v>
                      </c:pt>
                      <c:pt idx="24">
                        <c:v>7388</c:v>
                      </c:pt>
                      <c:pt idx="25">
                        <c:v>7750</c:v>
                      </c:pt>
                      <c:pt idx="26">
                        <c:v>7985</c:v>
                      </c:pt>
                      <c:pt idx="27">
                        <c:v>8363</c:v>
                      </c:pt>
                      <c:pt idx="28">
                        <c:v>8706</c:v>
                      </c:pt>
                      <c:pt idx="29">
                        <c:v>9111</c:v>
                      </c:pt>
                      <c:pt idx="30">
                        <c:v>10418</c:v>
                      </c:pt>
                      <c:pt idx="31">
                        <c:v>10808</c:v>
                      </c:pt>
                      <c:pt idx="32">
                        <c:v>11401</c:v>
                      </c:pt>
                      <c:pt idx="33">
                        <c:v>11710</c:v>
                      </c:pt>
                      <c:pt idx="34">
                        <c:v>12376</c:v>
                      </c:pt>
                      <c:pt idx="35">
                        <c:v>13136</c:v>
                      </c:pt>
                      <c:pt idx="36">
                        <c:v>13794</c:v>
                      </c:pt>
                      <c:pt idx="37">
                        <c:v>14743</c:v>
                      </c:pt>
                      <c:pt idx="38">
                        <c:v>15572</c:v>
                      </c:pt>
                      <c:pt idx="39">
                        <c:v>16167</c:v>
                      </c:pt>
                      <c:pt idx="40">
                        <c:v>16468</c:v>
                      </c:pt>
                      <c:pt idx="41">
                        <c:v>17111</c:v>
                      </c:pt>
                      <c:pt idx="42">
                        <c:v>17953</c:v>
                      </c:pt>
                      <c:pt idx="43">
                        <c:v>18762</c:v>
                      </c:pt>
                      <c:pt idx="44">
                        <c:v>19279</c:v>
                      </c:pt>
                      <c:pt idx="45">
                        <c:v>19695</c:v>
                      </c:pt>
                      <c:pt idx="46">
                        <c:v>20057</c:v>
                      </c:pt>
                      <c:pt idx="47">
                        <c:v>20233</c:v>
                      </c:pt>
                      <c:pt idx="48">
                        <c:v>20538</c:v>
                      </c:pt>
                      <c:pt idx="49">
                        <c:v>21085</c:v>
                      </c:pt>
                      <c:pt idx="50">
                        <c:v>21546</c:v>
                      </c:pt>
                      <c:pt idx="51">
                        <c:v>22229</c:v>
                      </c:pt>
                      <c:pt idx="52">
                        <c:v>22670</c:v>
                      </c:pt>
                      <c:pt idx="53">
                        <c:v>23112</c:v>
                      </c:pt>
                      <c:pt idx="54">
                        <c:v>23294</c:v>
                      </c:pt>
                      <c:pt idx="55">
                        <c:v>23672</c:v>
                      </c:pt>
                      <c:pt idx="56">
                        <c:v>24051</c:v>
                      </c:pt>
                      <c:pt idx="57">
                        <c:v>24414</c:v>
                      </c:pt>
                      <c:pt idx="58">
                        <c:v>24872</c:v>
                      </c:pt>
                      <c:pt idx="59">
                        <c:v>25236</c:v>
                      </c:pt>
                      <c:pt idx="60">
                        <c:v>25600</c:v>
                      </c:pt>
                      <c:pt idx="61">
                        <c:v>25797</c:v>
                      </c:pt>
                      <c:pt idx="62">
                        <c:v>25797</c:v>
                      </c:pt>
                      <c:pt idx="63">
                        <c:v>25797</c:v>
                      </c:pt>
                      <c:pt idx="64">
                        <c:v>25797</c:v>
                      </c:pt>
                    </c:numCache>
                  </c:numRef>
                </c:val>
                <c:smooth val="0"/>
                <c:extLst xmlns:c15="http://schemas.microsoft.com/office/drawing/2012/chart">
                  <c:ext xmlns:c16="http://schemas.microsoft.com/office/drawing/2014/chart" uri="{C3380CC4-5D6E-409C-BE32-E72D297353CC}">
                    <c16:uniqueId val="{00000003-1B1B-4E8A-9467-6BF6B6803E2C}"/>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ch_latest!$K$2:$K$66</c15:sqref>
                        </c15:formulaRef>
                      </c:ext>
                    </c:extLst>
                    <c:numCache>
                      <c:formatCode>General</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numCache>
                  </c:numRef>
                </c:val>
                <c:smooth val="0"/>
                <c:extLst xmlns:c15="http://schemas.microsoft.com/office/drawing/2012/chart">
                  <c:ext xmlns:c16="http://schemas.microsoft.com/office/drawing/2014/chart" uri="{C3380CC4-5D6E-409C-BE32-E72D297353CC}">
                    <c16:uniqueId val="{00000006-1B1B-4E8A-9467-6BF6B6803E2C}"/>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ch_latest!$L$1</c15:sqref>
                        </c15:formulaRef>
                      </c:ext>
                    </c:extLst>
                    <c:strCache>
                      <c:ptCount val="1"/>
                      <c:pt idx="0">
                        <c:v>new_positive</c:v>
                      </c:pt>
                    </c:strCache>
                  </c:strRef>
                </c:tx>
                <c:spPr>
                  <a:ln w="34925" cap="rnd">
                    <a:solidFill>
                      <a:srgbClr val="0078A2"/>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ch_latest!$L$2:$L$66</c15:sqref>
                        </c15:formulaRef>
                      </c:ext>
                    </c:extLst>
                    <c:numCache>
                      <c:formatCode>General</c:formatCode>
                      <c:ptCount val="65"/>
                      <c:pt idx="1">
                        <c:v>1</c:v>
                      </c:pt>
                      <c:pt idx="2">
                        <c:v>4</c:v>
                      </c:pt>
                      <c:pt idx="3">
                        <c:v>7</c:v>
                      </c:pt>
                      <c:pt idx="4">
                        <c:v>7</c:v>
                      </c:pt>
                      <c:pt idx="5">
                        <c:v>7</c:v>
                      </c:pt>
                      <c:pt idx="6">
                        <c:v>10</c:v>
                      </c:pt>
                      <c:pt idx="7">
                        <c:v>17</c:v>
                      </c:pt>
                      <c:pt idx="8">
                        <c:v>20</c:v>
                      </c:pt>
                      <c:pt idx="9">
                        <c:v>44</c:v>
                      </c:pt>
                      <c:pt idx="10">
                        <c:v>65</c:v>
                      </c:pt>
                      <c:pt idx="11">
                        <c:v>72</c:v>
                      </c:pt>
                      <c:pt idx="12">
                        <c:v>57</c:v>
                      </c:pt>
                      <c:pt idx="13">
                        <c:v>84</c:v>
                      </c:pt>
                      <c:pt idx="14">
                        <c:v>138</c:v>
                      </c:pt>
                      <c:pt idx="15">
                        <c:v>171</c:v>
                      </c:pt>
                      <c:pt idx="16">
                        <c:v>352</c:v>
                      </c:pt>
                      <c:pt idx="17">
                        <c:v>352</c:v>
                      </c:pt>
                      <c:pt idx="18">
                        <c:v>334</c:v>
                      </c:pt>
                      <c:pt idx="19">
                        <c:v>286</c:v>
                      </c:pt>
                      <c:pt idx="20">
                        <c:v>721</c:v>
                      </c:pt>
                      <c:pt idx="21">
                        <c:v>871</c:v>
                      </c:pt>
                      <c:pt idx="22">
                        <c:v>1171</c:v>
                      </c:pt>
                      <c:pt idx="23">
                        <c:v>1027</c:v>
                      </c:pt>
                      <c:pt idx="24">
                        <c:v>1135</c:v>
                      </c:pt>
                      <c:pt idx="25">
                        <c:v>697</c:v>
                      </c:pt>
                      <c:pt idx="26">
                        <c:v>569</c:v>
                      </c:pt>
                      <c:pt idx="27">
                        <c:v>1560</c:v>
                      </c:pt>
                      <c:pt idx="28">
                        <c:v>1071</c:v>
                      </c:pt>
                      <c:pt idx="29">
                        <c:v>1094</c:v>
                      </c:pt>
                      <c:pt idx="30">
                        <c:v>1139</c:v>
                      </c:pt>
                      <c:pt idx="31">
                        <c:v>1308</c:v>
                      </c:pt>
                      <c:pt idx="32">
                        <c:v>833</c:v>
                      </c:pt>
                      <c:pt idx="33">
                        <c:v>598</c:v>
                      </c:pt>
                      <c:pt idx="34">
                        <c:v>1115</c:v>
                      </c:pt>
                      <c:pt idx="35">
                        <c:v>938</c:v>
                      </c:pt>
                      <c:pt idx="36">
                        <c:v>1028</c:v>
                      </c:pt>
                      <c:pt idx="37">
                        <c:v>1045</c:v>
                      </c:pt>
                      <c:pt idx="38">
                        <c:v>929</c:v>
                      </c:pt>
                      <c:pt idx="39">
                        <c:v>567</c:v>
                      </c:pt>
                      <c:pt idx="40">
                        <c:v>383</c:v>
                      </c:pt>
                      <c:pt idx="41">
                        <c:v>742</c:v>
                      </c:pt>
                      <c:pt idx="42">
                        <c:v>652</c:v>
                      </c:pt>
                      <c:pt idx="43">
                        <c:v>670</c:v>
                      </c:pt>
                      <c:pt idx="44">
                        <c:v>668</c:v>
                      </c:pt>
                      <c:pt idx="45">
                        <c:v>450</c:v>
                      </c:pt>
                      <c:pt idx="46">
                        <c:v>463</c:v>
                      </c:pt>
                      <c:pt idx="47">
                        <c:v>273</c:v>
                      </c:pt>
                      <c:pt idx="48">
                        <c:v>251</c:v>
                      </c:pt>
                      <c:pt idx="49">
                        <c:v>322</c:v>
                      </c:pt>
                      <c:pt idx="50">
                        <c:v>318</c:v>
                      </c:pt>
                      <c:pt idx="51">
                        <c:v>299</c:v>
                      </c:pt>
                      <c:pt idx="52">
                        <c:v>313</c:v>
                      </c:pt>
                      <c:pt idx="53">
                        <c:v>293</c:v>
                      </c:pt>
                      <c:pt idx="54">
                        <c:v>177</c:v>
                      </c:pt>
                      <c:pt idx="55">
                        <c:v>202</c:v>
                      </c:pt>
                      <c:pt idx="56">
                        <c:v>159</c:v>
                      </c:pt>
                      <c:pt idx="57">
                        <c:v>197</c:v>
                      </c:pt>
                      <c:pt idx="58">
                        <c:v>217</c:v>
                      </c:pt>
                      <c:pt idx="59">
                        <c:v>190</c:v>
                      </c:pt>
                      <c:pt idx="60">
                        <c:v>139</c:v>
                      </c:pt>
                      <c:pt idx="61">
                        <c:v>80</c:v>
                      </c:pt>
                      <c:pt idx="62">
                        <c:v>131</c:v>
                      </c:pt>
                      <c:pt idx="63">
                        <c:v>73</c:v>
                      </c:pt>
                      <c:pt idx="64">
                        <c:v>80</c:v>
                      </c:pt>
                    </c:numCache>
                  </c:numRef>
                </c:val>
                <c:smooth val="0"/>
                <c:extLst xmlns:c15="http://schemas.microsoft.com/office/drawing/2012/chart">
                  <c:ext xmlns:c16="http://schemas.microsoft.com/office/drawing/2014/chart" uri="{C3380CC4-5D6E-409C-BE32-E72D297353CC}">
                    <c16:uniqueId val="{00000007-1B1B-4E8A-9467-6BF6B6803E2C}"/>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ch_latest!$M$2:$M$66</c15:sqref>
                        </c15:formulaRef>
                      </c:ext>
                    </c:extLst>
                    <c:numCache>
                      <c:formatCode>General</c:formatCode>
                      <c:ptCount val="65"/>
                      <c:pt idx="0">
                        <c:v>0</c:v>
                      </c:pt>
                      <c:pt idx="1">
                        <c:v>1</c:v>
                      </c:pt>
                      <c:pt idx="2">
                        <c:v>2</c:v>
                      </c:pt>
                      <c:pt idx="3">
                        <c:v>6</c:v>
                      </c:pt>
                      <c:pt idx="4">
                        <c:v>13</c:v>
                      </c:pt>
                      <c:pt idx="5">
                        <c:v>20</c:v>
                      </c:pt>
                      <c:pt idx="6">
                        <c:v>27</c:v>
                      </c:pt>
                      <c:pt idx="7">
                        <c:v>37</c:v>
                      </c:pt>
                      <c:pt idx="8">
                        <c:v>54</c:v>
                      </c:pt>
                      <c:pt idx="9">
                        <c:v>74</c:v>
                      </c:pt>
                      <c:pt idx="10">
                        <c:v>118</c:v>
                      </c:pt>
                      <c:pt idx="11">
                        <c:v>183</c:v>
                      </c:pt>
                      <c:pt idx="12">
                        <c:v>255</c:v>
                      </c:pt>
                      <c:pt idx="13">
                        <c:v>312</c:v>
                      </c:pt>
                      <c:pt idx="14">
                        <c:v>396</c:v>
                      </c:pt>
                      <c:pt idx="15">
                        <c:v>534</c:v>
                      </c:pt>
                      <c:pt idx="16">
                        <c:v>705</c:v>
                      </c:pt>
                      <c:pt idx="17">
                        <c:v>1057</c:v>
                      </c:pt>
                      <c:pt idx="18">
                        <c:v>1409</c:v>
                      </c:pt>
                      <c:pt idx="19">
                        <c:v>1743</c:v>
                      </c:pt>
                      <c:pt idx="20">
                        <c:v>2029</c:v>
                      </c:pt>
                      <c:pt idx="21">
                        <c:v>2750</c:v>
                      </c:pt>
                      <c:pt idx="22">
                        <c:v>3621</c:v>
                      </c:pt>
                      <c:pt idx="23">
                        <c:v>4792</c:v>
                      </c:pt>
                      <c:pt idx="24">
                        <c:v>5819</c:v>
                      </c:pt>
                      <c:pt idx="25">
                        <c:v>6954</c:v>
                      </c:pt>
                      <c:pt idx="26">
                        <c:v>7651</c:v>
                      </c:pt>
                      <c:pt idx="27">
                        <c:v>8220</c:v>
                      </c:pt>
                      <c:pt idx="28">
                        <c:v>9780</c:v>
                      </c:pt>
                      <c:pt idx="29">
                        <c:v>10851</c:v>
                      </c:pt>
                      <c:pt idx="30">
                        <c:v>11945</c:v>
                      </c:pt>
                      <c:pt idx="31">
                        <c:v>13084</c:v>
                      </c:pt>
                      <c:pt idx="32">
                        <c:v>14392</c:v>
                      </c:pt>
                      <c:pt idx="33">
                        <c:v>15225</c:v>
                      </c:pt>
                      <c:pt idx="34">
                        <c:v>15823</c:v>
                      </c:pt>
                      <c:pt idx="35">
                        <c:v>16938</c:v>
                      </c:pt>
                      <c:pt idx="36">
                        <c:v>17876</c:v>
                      </c:pt>
                      <c:pt idx="37">
                        <c:v>18904</c:v>
                      </c:pt>
                      <c:pt idx="38">
                        <c:v>19949</c:v>
                      </c:pt>
                      <c:pt idx="39">
                        <c:v>20878</c:v>
                      </c:pt>
                      <c:pt idx="40">
                        <c:v>21445</c:v>
                      </c:pt>
                      <c:pt idx="41">
                        <c:v>21828</c:v>
                      </c:pt>
                      <c:pt idx="42">
                        <c:v>22570</c:v>
                      </c:pt>
                      <c:pt idx="43">
                        <c:v>23222</c:v>
                      </c:pt>
                      <c:pt idx="44">
                        <c:v>23892</c:v>
                      </c:pt>
                      <c:pt idx="45">
                        <c:v>24560</c:v>
                      </c:pt>
                      <c:pt idx="46">
                        <c:v>25010</c:v>
                      </c:pt>
                      <c:pt idx="47">
                        <c:v>25473</c:v>
                      </c:pt>
                      <c:pt idx="48">
                        <c:v>25746</c:v>
                      </c:pt>
                      <c:pt idx="49">
                        <c:v>25997</c:v>
                      </c:pt>
                      <c:pt idx="50">
                        <c:v>26319</c:v>
                      </c:pt>
                      <c:pt idx="51">
                        <c:v>26637</c:v>
                      </c:pt>
                      <c:pt idx="52">
                        <c:v>26936</c:v>
                      </c:pt>
                      <c:pt idx="53">
                        <c:v>27249</c:v>
                      </c:pt>
                      <c:pt idx="54">
                        <c:v>27542</c:v>
                      </c:pt>
                      <c:pt idx="55">
                        <c:v>27719</c:v>
                      </c:pt>
                      <c:pt idx="56">
                        <c:v>27921</c:v>
                      </c:pt>
                      <c:pt idx="57">
                        <c:v>28080</c:v>
                      </c:pt>
                      <c:pt idx="58">
                        <c:v>28277</c:v>
                      </c:pt>
                      <c:pt idx="59">
                        <c:v>28494</c:v>
                      </c:pt>
                      <c:pt idx="60">
                        <c:v>28684</c:v>
                      </c:pt>
                      <c:pt idx="61">
                        <c:v>28823</c:v>
                      </c:pt>
                      <c:pt idx="62">
                        <c:v>28903</c:v>
                      </c:pt>
                      <c:pt idx="63">
                        <c:v>29034</c:v>
                      </c:pt>
                      <c:pt idx="64">
                        <c:v>29107</c:v>
                      </c:pt>
                    </c:numCache>
                  </c:numRef>
                </c:val>
                <c:smooth val="0"/>
                <c:extLst xmlns:c15="http://schemas.microsoft.com/office/drawing/2012/chart">
                  <c:ext xmlns:c16="http://schemas.microsoft.com/office/drawing/2014/chart" uri="{C3380CC4-5D6E-409C-BE32-E72D297353CC}">
                    <c16:uniqueId val="{00000008-1B1B-4E8A-9467-6BF6B6803E2C}"/>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ch_latest!$N$2:$N$66</c15:sqref>
                        </c15:formulaRef>
                      </c:ext>
                    </c:extLst>
                    <c:numCache>
                      <c:formatCode>General</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numCache>
                  </c:numRef>
                </c:val>
                <c:smooth val="0"/>
                <c:extLst xmlns:c15="http://schemas.microsoft.com/office/drawing/2012/chart">
                  <c:ext xmlns:c16="http://schemas.microsoft.com/office/drawing/2014/chart" uri="{C3380CC4-5D6E-409C-BE32-E72D297353CC}">
                    <c16:uniqueId val="{00000009-1B1B-4E8A-9467-6BF6B6803E2C}"/>
                  </c:ext>
                </c:extLst>
              </c15:ser>
            </c15:filteredLineSeries>
            <c15:filteredLine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ln w="34925" cap="rnd">
                    <a:solidFill>
                      <a:schemeClr val="accent6">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ch_latest!$O$2:$O$66</c15:sqref>
                        </c15:formulaRef>
                      </c:ext>
                    </c:extLst>
                    <c:numCache>
                      <c:formatCode>General</c:formatCode>
                      <c:ptCount val="65"/>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3</c:v>
                      </c:pt>
                      <c:pt idx="19">
                        <c:v>8</c:v>
                      </c:pt>
                      <c:pt idx="20">
                        <c:v>9</c:v>
                      </c:pt>
                      <c:pt idx="21">
                        <c:v>7</c:v>
                      </c:pt>
                      <c:pt idx="22">
                        <c:v>11</c:v>
                      </c:pt>
                      <c:pt idx="23">
                        <c:v>9</c:v>
                      </c:pt>
                      <c:pt idx="24">
                        <c:v>21</c:v>
                      </c:pt>
                      <c:pt idx="25">
                        <c:v>20</c:v>
                      </c:pt>
                      <c:pt idx="26">
                        <c:v>15</c:v>
                      </c:pt>
                      <c:pt idx="27">
                        <c:v>30</c:v>
                      </c:pt>
                      <c:pt idx="28">
                        <c:v>22</c:v>
                      </c:pt>
                      <c:pt idx="29">
                        <c:v>35</c:v>
                      </c:pt>
                      <c:pt idx="30">
                        <c:v>46</c:v>
                      </c:pt>
                      <c:pt idx="31">
                        <c:v>36</c:v>
                      </c:pt>
                      <c:pt idx="32">
                        <c:v>52</c:v>
                      </c:pt>
                      <c:pt idx="33">
                        <c:v>44</c:v>
                      </c:pt>
                      <c:pt idx="34">
                        <c:v>59</c:v>
                      </c:pt>
                      <c:pt idx="35">
                        <c:v>66</c:v>
                      </c:pt>
                      <c:pt idx="36">
                        <c:v>63</c:v>
                      </c:pt>
                      <c:pt idx="37">
                        <c:v>61</c:v>
                      </c:pt>
                      <c:pt idx="38">
                        <c:v>61</c:v>
                      </c:pt>
                      <c:pt idx="39">
                        <c:v>66</c:v>
                      </c:pt>
                      <c:pt idx="40">
                        <c:v>52</c:v>
                      </c:pt>
                      <c:pt idx="41">
                        <c:v>59</c:v>
                      </c:pt>
                      <c:pt idx="42">
                        <c:v>60</c:v>
                      </c:pt>
                      <c:pt idx="43">
                        <c:v>68</c:v>
                      </c:pt>
                      <c:pt idx="44">
                        <c:v>51</c:v>
                      </c:pt>
                      <c:pt idx="45">
                        <c:v>50</c:v>
                      </c:pt>
                      <c:pt idx="46">
                        <c:v>37</c:v>
                      </c:pt>
                      <c:pt idx="47">
                        <c:v>56</c:v>
                      </c:pt>
                      <c:pt idx="48">
                        <c:v>30</c:v>
                      </c:pt>
                      <c:pt idx="49">
                        <c:v>38</c:v>
                      </c:pt>
                      <c:pt idx="50">
                        <c:v>53</c:v>
                      </c:pt>
                      <c:pt idx="51">
                        <c:v>45</c:v>
                      </c:pt>
                      <c:pt idx="52">
                        <c:v>46</c:v>
                      </c:pt>
                      <c:pt idx="53">
                        <c:v>42</c:v>
                      </c:pt>
                      <c:pt idx="54">
                        <c:v>24</c:v>
                      </c:pt>
                      <c:pt idx="55">
                        <c:v>41</c:v>
                      </c:pt>
                      <c:pt idx="56">
                        <c:v>41</c:v>
                      </c:pt>
                      <c:pt idx="57">
                        <c:v>26</c:v>
                      </c:pt>
                      <c:pt idx="58">
                        <c:v>29</c:v>
                      </c:pt>
                      <c:pt idx="59">
                        <c:v>28</c:v>
                      </c:pt>
                      <c:pt idx="60">
                        <c:v>24</c:v>
                      </c:pt>
                      <c:pt idx="61">
                        <c:v>15</c:v>
                      </c:pt>
                      <c:pt idx="62">
                        <c:v>17</c:v>
                      </c:pt>
                      <c:pt idx="63">
                        <c:v>18</c:v>
                      </c:pt>
                      <c:pt idx="64">
                        <c:v>4</c:v>
                      </c:pt>
                    </c:numCache>
                  </c:numRef>
                </c:val>
                <c:smooth val="0"/>
                <c:extLst xmlns:c15="http://schemas.microsoft.com/office/drawing/2012/chart">
                  <c:ext xmlns:c16="http://schemas.microsoft.com/office/drawing/2014/chart" uri="{C3380CC4-5D6E-409C-BE32-E72D297353CC}">
                    <c16:uniqueId val="{0000000A-1B1B-4E8A-9467-6BF6B6803E2C}"/>
                  </c:ext>
                </c:extLst>
              </c15:ser>
            </c15:filteredLineSeries>
            <c15:filteredLine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ch_latest!$P$2:$P$66</c15:sqref>
                        </c15:formulaRef>
                      </c:ext>
                    </c:extLst>
                    <c:numCache>
                      <c:formatCode>General</c:formatCode>
                      <c:ptCount val="65"/>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13</c:v>
                      </c:pt>
                      <c:pt idx="20">
                        <c:v>21</c:v>
                      </c:pt>
                      <c:pt idx="21">
                        <c:v>30</c:v>
                      </c:pt>
                      <c:pt idx="22">
                        <c:v>37</c:v>
                      </c:pt>
                      <c:pt idx="23">
                        <c:v>48</c:v>
                      </c:pt>
                      <c:pt idx="24">
                        <c:v>57</c:v>
                      </c:pt>
                      <c:pt idx="25">
                        <c:v>78</c:v>
                      </c:pt>
                      <c:pt idx="26">
                        <c:v>98</c:v>
                      </c:pt>
                      <c:pt idx="27">
                        <c:v>113</c:v>
                      </c:pt>
                      <c:pt idx="28">
                        <c:v>143</c:v>
                      </c:pt>
                      <c:pt idx="29">
                        <c:v>165</c:v>
                      </c:pt>
                      <c:pt idx="30">
                        <c:v>200</c:v>
                      </c:pt>
                      <c:pt idx="31">
                        <c:v>246</c:v>
                      </c:pt>
                      <c:pt idx="32">
                        <c:v>282</c:v>
                      </c:pt>
                      <c:pt idx="33">
                        <c:v>334</c:v>
                      </c:pt>
                      <c:pt idx="34">
                        <c:v>378</c:v>
                      </c:pt>
                      <c:pt idx="35">
                        <c:v>437</c:v>
                      </c:pt>
                      <c:pt idx="36">
                        <c:v>503</c:v>
                      </c:pt>
                      <c:pt idx="37">
                        <c:v>566</c:v>
                      </c:pt>
                      <c:pt idx="38">
                        <c:v>627</c:v>
                      </c:pt>
                      <c:pt idx="39">
                        <c:v>688</c:v>
                      </c:pt>
                      <c:pt idx="40">
                        <c:v>754</c:v>
                      </c:pt>
                      <c:pt idx="41">
                        <c:v>806</c:v>
                      </c:pt>
                      <c:pt idx="42">
                        <c:v>865</c:v>
                      </c:pt>
                      <c:pt idx="43">
                        <c:v>925</c:v>
                      </c:pt>
                      <c:pt idx="44">
                        <c:v>993</c:v>
                      </c:pt>
                      <c:pt idx="45">
                        <c:v>1044</c:v>
                      </c:pt>
                      <c:pt idx="46">
                        <c:v>1094</c:v>
                      </c:pt>
                      <c:pt idx="47">
                        <c:v>1131</c:v>
                      </c:pt>
                      <c:pt idx="48">
                        <c:v>1187</c:v>
                      </c:pt>
                      <c:pt idx="49">
                        <c:v>1217</c:v>
                      </c:pt>
                      <c:pt idx="50">
                        <c:v>1255</c:v>
                      </c:pt>
                      <c:pt idx="51">
                        <c:v>1308</c:v>
                      </c:pt>
                      <c:pt idx="52">
                        <c:v>1353</c:v>
                      </c:pt>
                      <c:pt idx="53">
                        <c:v>1399</c:v>
                      </c:pt>
                      <c:pt idx="54">
                        <c:v>1441</c:v>
                      </c:pt>
                      <c:pt idx="55">
                        <c:v>1465</c:v>
                      </c:pt>
                      <c:pt idx="56">
                        <c:v>1506</c:v>
                      </c:pt>
                      <c:pt idx="57">
                        <c:v>1547</c:v>
                      </c:pt>
                      <c:pt idx="58">
                        <c:v>1573</c:v>
                      </c:pt>
                      <c:pt idx="59">
                        <c:v>1602</c:v>
                      </c:pt>
                      <c:pt idx="60">
                        <c:v>1630</c:v>
                      </c:pt>
                      <c:pt idx="61">
                        <c:v>1654</c:v>
                      </c:pt>
                      <c:pt idx="62">
                        <c:v>1669</c:v>
                      </c:pt>
                      <c:pt idx="63">
                        <c:v>1686</c:v>
                      </c:pt>
                      <c:pt idx="64">
                        <c:v>1704</c:v>
                      </c:pt>
                    </c:numCache>
                  </c:numRef>
                </c:val>
                <c:smooth val="0"/>
                <c:extLst xmlns:c15="http://schemas.microsoft.com/office/drawing/2012/chart">
                  <c:ext xmlns:c16="http://schemas.microsoft.com/office/drawing/2014/chart" uri="{C3380CC4-5D6E-409C-BE32-E72D297353CC}">
                    <c16:uniqueId val="{0000000B-1B1B-4E8A-9467-6BF6B6803E2C}"/>
                  </c:ext>
                </c:extLst>
              </c15:ser>
            </c15:filteredLineSeries>
            <c15:filteredLine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ch_latest!$Q$2:$Q$66</c15:sqref>
                        </c15:formulaRef>
                      </c:ext>
                    </c:extLst>
                    <c:numCache>
                      <c:formatCode>General</c:formatCode>
                      <c:ptCount val="65"/>
                      <c:pt idx="0">
                        <c:v>0</c:v>
                      </c:pt>
                      <c:pt idx="1">
                        <c:v>0</c:v>
                      </c:pt>
                      <c:pt idx="2">
                        <c:v>0</c:v>
                      </c:pt>
                      <c:pt idx="3">
                        <c:v>0</c:v>
                      </c:pt>
                      <c:pt idx="4">
                        <c:v>0</c:v>
                      </c:pt>
                      <c:pt idx="5">
                        <c:v>1.05155</c:v>
                      </c:pt>
                      <c:pt idx="6">
                        <c:v>1.1878029999999999</c:v>
                      </c:pt>
                      <c:pt idx="7">
                        <c:v>1.5773239999999999</c:v>
                      </c:pt>
                      <c:pt idx="8">
                        <c:v>1.992815</c:v>
                      </c:pt>
                      <c:pt idx="9">
                        <c:v>1.95258</c:v>
                      </c:pt>
                      <c:pt idx="10">
                        <c:v>1.811061</c:v>
                      </c:pt>
                      <c:pt idx="11">
                        <c:v>1.7953969999999999</c:v>
                      </c:pt>
                      <c:pt idx="12">
                        <c:v>1.9758830000000001</c:v>
                      </c:pt>
                      <c:pt idx="13">
                        <c:v>2.066198</c:v>
                      </c:pt>
                      <c:pt idx="14">
                        <c:v>2.2956279999999998</c:v>
                      </c:pt>
                      <c:pt idx="15">
                        <c:v>2.5696639999999999</c:v>
                      </c:pt>
                      <c:pt idx="16">
                        <c:v>2.4373520000000002</c:v>
                      </c:pt>
                      <c:pt idx="17">
                        <c:v>2.298794</c:v>
                      </c:pt>
                      <c:pt idx="18">
                        <c:v>2.3386339999999999</c:v>
                      </c:pt>
                      <c:pt idx="19">
                        <c:v>2.5962459999999998</c:v>
                      </c:pt>
                      <c:pt idx="20">
                        <c:v>2.5461670000000001</c:v>
                      </c:pt>
                      <c:pt idx="21">
                        <c:v>2.8146610000000001</c:v>
                      </c:pt>
                      <c:pt idx="22">
                        <c:v>2.8313269999999999</c:v>
                      </c:pt>
                      <c:pt idx="23">
                        <c:v>2.8748870000000002</c:v>
                      </c:pt>
                      <c:pt idx="24">
                        <c:v>2.8136139999999998</c:v>
                      </c:pt>
                      <c:pt idx="25">
                        <c:v>3.3870369999999999</c:v>
                      </c:pt>
                      <c:pt idx="26">
                        <c:v>4.2274349999999998</c:v>
                      </c:pt>
                      <c:pt idx="27">
                        <c:v>4.8581110000000001</c:v>
                      </c:pt>
                      <c:pt idx="28">
                        <c:v>5.5618290000000004</c:v>
                      </c:pt>
                      <c:pt idx="29">
                        <c:v>6.4062169999999998</c:v>
                      </c:pt>
                      <c:pt idx="30">
                        <c:v>6.4592520000000002</c:v>
                      </c:pt>
                      <c:pt idx="31">
                        <c:v>6.187684</c:v>
                      </c:pt>
                      <c:pt idx="32">
                        <c:v>7.8304140000000002</c:v>
                      </c:pt>
                      <c:pt idx="33">
                        <c:v>9.1878799999999998</c:v>
                      </c:pt>
                      <c:pt idx="34">
                        <c:v>9.9234570000000009</c:v>
                      </c:pt>
                      <c:pt idx="35">
                        <c:v>11.105675</c:v>
                      </c:pt>
                      <c:pt idx="36">
                        <c:v>12.708921</c:v>
                      </c:pt>
                      <c:pt idx="37">
                        <c:v>12.82465</c:v>
                      </c:pt>
                      <c:pt idx="38">
                        <c:v>12.501239</c:v>
                      </c:pt>
                      <c:pt idx="39">
                        <c:v>14.68956</c:v>
                      </c:pt>
                      <c:pt idx="40">
                        <c:v>17.351711999999999</c:v>
                      </c:pt>
                      <c:pt idx="41">
                        <c:v>19.553027</c:v>
                      </c:pt>
                      <c:pt idx="42">
                        <c:v>22.812736999999998</c:v>
                      </c:pt>
                      <c:pt idx="43">
                        <c:v>25.701111999999998</c:v>
                      </c:pt>
                      <c:pt idx="44">
                        <c:v>25.553325999999998</c:v>
                      </c:pt>
                      <c:pt idx="45">
                        <c:v>25.467960000000001</c:v>
                      </c:pt>
                      <c:pt idx="46">
                        <c:v>28.643042999999999</c:v>
                      </c:pt>
                      <c:pt idx="47">
                        <c:v>33.589492</c:v>
                      </c:pt>
                      <c:pt idx="48">
                        <c:v>41.044998</c:v>
                      </c:pt>
                      <c:pt idx="49">
                        <c:v>50.103155999999998</c:v>
                      </c:pt>
                      <c:pt idx="50">
                        <c:v>54.989438999999997</c:v>
                      </c:pt>
                      <c:pt idx="51">
                        <c:v>62.060343000000003</c:v>
                      </c:pt>
                      <c:pt idx="52">
                        <c:v>61.083638999999998</c:v>
                      </c:pt>
                      <c:pt idx="53">
                        <c:v>60.032530000000001</c:v>
                      </c:pt>
                      <c:pt idx="54">
                        <c:v>66.871260000000007</c:v>
                      </c:pt>
                      <c:pt idx="55">
                        <c:v>73.617097000000001</c:v>
                      </c:pt>
                      <c:pt idx="56">
                        <c:v>83.323183</c:v>
                      </c:pt>
                      <c:pt idx="57">
                        <c:v>93.587773999999996</c:v>
                      </c:pt>
                      <c:pt idx="58">
                        <c:v>101.98912300000001</c:v>
                      </c:pt>
                      <c:pt idx="59">
                        <c:v>101.27400400000001</c:v>
                      </c:pt>
                      <c:pt idx="60">
                        <c:v>109.00396499999999</c:v>
                      </c:pt>
                      <c:pt idx="61">
                        <c:v>119.972234</c:v>
                      </c:pt>
                      <c:pt idx="62">
                        <c:v>131.184438</c:v>
                      </c:pt>
                      <c:pt idx="63">
                        <c:v>162.82407599999999</c:v>
                      </c:pt>
                      <c:pt idx="64">
                        <c:v>199.36436499999999</c:v>
                      </c:pt>
                    </c:numCache>
                  </c:numRef>
                </c:val>
                <c:smooth val="0"/>
                <c:extLst xmlns:c15="http://schemas.microsoft.com/office/drawing/2012/chart">
                  <c:ext xmlns:c16="http://schemas.microsoft.com/office/drawing/2014/chart" uri="{C3380CC4-5D6E-409C-BE32-E72D297353CC}">
                    <c16:uniqueId val="{0000000C-1B1B-4E8A-9467-6BF6B6803E2C}"/>
                  </c:ext>
                </c:extLst>
              </c15:ser>
            </c15:filteredLineSeries>
            <c15:filteredLine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ch_latest!$R$2:$R$66</c15:sqref>
                        </c15:formulaRef>
                      </c:ext>
                    </c:extLst>
                    <c:numCache>
                      <c:formatCode>General</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1.85155</c:v>
                      </c:pt>
                      <c:pt idx="19">
                        <c:v>2.0900240000000001</c:v>
                      </c:pt>
                      <c:pt idx="20">
                        <c:v>1.934264</c:v>
                      </c:pt>
                      <c:pt idx="21">
                        <c:v>2.4515470000000001</c:v>
                      </c:pt>
                      <c:pt idx="22">
                        <c:v>2.2094230000000001</c:v>
                      </c:pt>
                      <c:pt idx="23">
                        <c:v>2.3447209999999998</c:v>
                      </c:pt>
                      <c:pt idx="24">
                        <c:v>2.6411920000000002</c:v>
                      </c:pt>
                      <c:pt idx="25">
                        <c:v>2.9277099999999998</c:v>
                      </c:pt>
                      <c:pt idx="26">
                        <c:v>3.1041910000000001</c:v>
                      </c:pt>
                      <c:pt idx="27">
                        <c:v>3.1747869999999998</c:v>
                      </c:pt>
                      <c:pt idx="28">
                        <c:v>3.260659</c:v>
                      </c:pt>
                      <c:pt idx="29">
                        <c:v>3.6806549999999998</c:v>
                      </c:pt>
                      <c:pt idx="30">
                        <c:v>3.7656139999999998</c:v>
                      </c:pt>
                      <c:pt idx="31">
                        <c:v>3.7896809999999999</c:v>
                      </c:pt>
                      <c:pt idx="32">
                        <c:v>4.0855249999999996</c:v>
                      </c:pt>
                      <c:pt idx="33">
                        <c:v>4.1808810000000003</c:v>
                      </c:pt>
                      <c:pt idx="34">
                        <c:v>4.4340659999999996</c:v>
                      </c:pt>
                      <c:pt idx="35">
                        <c:v>4.8454300000000003</c:v>
                      </c:pt>
                      <c:pt idx="36">
                        <c:v>4.9745949999999999</c:v>
                      </c:pt>
                      <c:pt idx="37">
                        <c:v>5.5028670000000002</c:v>
                      </c:pt>
                      <c:pt idx="38">
                        <c:v>5.7868870000000001</c:v>
                      </c:pt>
                      <c:pt idx="39">
                        <c:v>6.3537949999999999</c:v>
                      </c:pt>
                      <c:pt idx="40">
                        <c:v>7.3505479999999999</c:v>
                      </c:pt>
                      <c:pt idx="41">
                        <c:v>8.1712950000000006</c:v>
                      </c:pt>
                      <c:pt idx="42">
                        <c:v>8.9128480000000003</c:v>
                      </c:pt>
                      <c:pt idx="43">
                        <c:v>9.4449190000000005</c:v>
                      </c:pt>
                      <c:pt idx="44">
                        <c:v>10.649960999999999</c:v>
                      </c:pt>
                      <c:pt idx="45">
                        <c:v>11.344016999999999</c:v>
                      </c:pt>
                      <c:pt idx="46">
                        <c:v>12.925678</c:v>
                      </c:pt>
                      <c:pt idx="47">
                        <c:v>13.896815</c:v>
                      </c:pt>
                      <c:pt idx="48">
                        <c:v>17.037890999999998</c:v>
                      </c:pt>
                      <c:pt idx="49">
                        <c:v>18.827736000000002</c:v>
                      </c:pt>
                      <c:pt idx="50">
                        <c:v>19.398657</c:v>
                      </c:pt>
                      <c:pt idx="51">
                        <c:v>19.337654000000001</c:v>
                      </c:pt>
                      <c:pt idx="52">
                        <c:v>21.090281000000001</c:v>
                      </c:pt>
                      <c:pt idx="53">
                        <c:v>20.513563999999999</c:v>
                      </c:pt>
                      <c:pt idx="54">
                        <c:v>22.400099000000001</c:v>
                      </c:pt>
                      <c:pt idx="55">
                        <c:v>24.587033000000002</c:v>
                      </c:pt>
                      <c:pt idx="56">
                        <c:v>25.865009000000001</c:v>
                      </c:pt>
                      <c:pt idx="57">
                        <c:v>29.564333000000001</c:v>
                      </c:pt>
                      <c:pt idx="58">
                        <c:v>32.721696999999999</c:v>
                      </c:pt>
                      <c:pt idx="59">
                        <c:v>32.473584000000002</c:v>
                      </c:pt>
                      <c:pt idx="60">
                        <c:v>36.972003000000001</c:v>
                      </c:pt>
                      <c:pt idx="61">
                        <c:v>45.657615</c:v>
                      </c:pt>
                      <c:pt idx="62">
                        <c:v>49.957104000000001</c:v>
                      </c:pt>
                      <c:pt idx="63">
                        <c:v>56.147481999999997</c:v>
                      </c:pt>
                      <c:pt idx="64">
                        <c:v>74.144362000000001</c:v>
                      </c:pt>
                    </c:numCache>
                  </c:numRef>
                </c:val>
                <c:smooth val="0"/>
                <c:extLst xmlns:c15="http://schemas.microsoft.com/office/drawing/2012/chart">
                  <c:ext xmlns:c16="http://schemas.microsoft.com/office/drawing/2014/chart" uri="{C3380CC4-5D6E-409C-BE32-E72D297353CC}">
                    <c16:uniqueId val="{0000000D-1B1B-4E8A-9467-6BF6B6803E2C}"/>
                  </c:ext>
                </c:extLst>
              </c15:ser>
            </c15:filteredLineSeries>
          </c:ext>
        </c:extLst>
      </c:lineChart>
      <c:dateAx>
        <c:axId val="1165289807"/>
        <c:scaling>
          <c:orientation val="minMax"/>
          <c:min val="43895"/>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72936975"/>
        <c:crosses val="autoZero"/>
        <c:auto val="0"/>
        <c:lblOffset val="100"/>
        <c:baseTimeUnit val="days"/>
        <c:majorUnit val="2"/>
        <c:majorTimeUnit val="days"/>
      </c:dateAx>
      <c:valAx>
        <c:axId val="7293697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165289807"/>
        <c:crosses val="autoZero"/>
        <c:crossBetween val="between"/>
      </c:valAx>
      <c:spPr>
        <a:noFill/>
        <a:ln>
          <a:solidFill>
            <a:sysClr val="windowText" lastClr="000000"/>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sz="1600" b="1" i="0" u="none" strike="noStrike" baseline="0">
                <a:effectLst/>
              </a:rPr>
              <a:t>Hospitalization / Intensive Care</a:t>
            </a:r>
            <a:endParaRPr lang="de-CH"/>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4.9759315957958752E-2"/>
          <c:y val="7.1945391154463897E-2"/>
          <c:w val="0.94396042725355234"/>
          <c:h val="0.75924279577823617"/>
        </c:manualLayout>
      </c:layout>
      <c:areaChart>
        <c:grouping val="standard"/>
        <c:varyColors val="0"/>
        <c:ser>
          <c:idx val="3"/>
          <c:order val="1"/>
          <c:tx>
            <c:strRef>
              <c:f>ch_latest!$E$1</c:f>
              <c:strCache>
                <c:ptCount val="1"/>
                <c:pt idx="0">
                  <c:v>total_hospitalized</c:v>
                </c:pt>
              </c:strCache>
            </c:strRef>
          </c:tx>
          <c:spPr>
            <a:solidFill>
              <a:srgbClr val="CC99FF"/>
            </a:solidFill>
            <a:ln>
              <a:solidFill>
                <a:srgbClr val="FFCCFF"/>
              </a:solidFill>
            </a:ln>
            <a:effectLst>
              <a:outerShdw blurRad="57150" dist="19050" dir="5400000" algn="ctr" rotWithShape="0">
                <a:srgbClr val="000000">
                  <a:alpha val="63000"/>
                </a:srgbClr>
              </a:outerShdw>
            </a:effectLst>
          </c:spPr>
          <c:cat>
            <c:numRef>
              <c:f>ch_latest!$A$2:$A$66</c:f>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f>ch_latest!$E$2:$E$66</c:f>
              <c:numCache>
                <c:formatCode>General</c:formatCode>
                <c:ptCount val="65"/>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238</c:v>
                </c:pt>
                <c:pt idx="18">
                  <c:v>263</c:v>
                </c:pt>
                <c:pt idx="19">
                  <c:v>287</c:v>
                </c:pt>
                <c:pt idx="20">
                  <c:v>360</c:v>
                </c:pt>
                <c:pt idx="21">
                  <c:v>427</c:v>
                </c:pt>
                <c:pt idx="22">
                  <c:v>490</c:v>
                </c:pt>
                <c:pt idx="23">
                  <c:v>689</c:v>
                </c:pt>
                <c:pt idx="24">
                  <c:v>797</c:v>
                </c:pt>
                <c:pt idx="25">
                  <c:v>904</c:v>
                </c:pt>
                <c:pt idx="26">
                  <c:v>1090</c:v>
                </c:pt>
                <c:pt idx="27">
                  <c:v>1207</c:v>
                </c:pt>
                <c:pt idx="28">
                  <c:v>1364</c:v>
                </c:pt>
                <c:pt idx="29">
                  <c:v>1464</c:v>
                </c:pt>
                <c:pt idx="30">
                  <c:v>1610</c:v>
                </c:pt>
                <c:pt idx="31">
                  <c:v>1792</c:v>
                </c:pt>
                <c:pt idx="32">
                  <c:v>1880</c:v>
                </c:pt>
                <c:pt idx="33">
                  <c:v>1994</c:v>
                </c:pt>
                <c:pt idx="34">
                  <c:v>2179</c:v>
                </c:pt>
                <c:pt idx="35">
                  <c:v>2207</c:v>
                </c:pt>
                <c:pt idx="36">
                  <c:v>2287</c:v>
                </c:pt>
                <c:pt idx="37">
                  <c:v>2351</c:v>
                </c:pt>
                <c:pt idx="38">
                  <c:v>2332</c:v>
                </c:pt>
                <c:pt idx="39">
                  <c:v>2320</c:v>
                </c:pt>
                <c:pt idx="40">
                  <c:v>2305</c:v>
                </c:pt>
                <c:pt idx="41">
                  <c:v>2309</c:v>
                </c:pt>
                <c:pt idx="42">
                  <c:v>2227</c:v>
                </c:pt>
                <c:pt idx="43">
                  <c:v>2139</c:v>
                </c:pt>
                <c:pt idx="44">
                  <c:v>2071</c:v>
                </c:pt>
                <c:pt idx="45">
                  <c:v>2011</c:v>
                </c:pt>
                <c:pt idx="46">
                  <c:v>1936</c:v>
                </c:pt>
                <c:pt idx="47">
                  <c:v>1913</c:v>
                </c:pt>
                <c:pt idx="48">
                  <c:v>1896</c:v>
                </c:pt>
                <c:pt idx="49">
                  <c:v>1857</c:v>
                </c:pt>
                <c:pt idx="50">
                  <c:v>1734</c:v>
                </c:pt>
                <c:pt idx="51">
                  <c:v>1679</c:v>
                </c:pt>
                <c:pt idx="52">
                  <c:v>1580</c:v>
                </c:pt>
                <c:pt idx="53">
                  <c:v>1529</c:v>
                </c:pt>
                <c:pt idx="54">
                  <c:v>1523</c:v>
                </c:pt>
                <c:pt idx="55">
                  <c:v>1500</c:v>
                </c:pt>
                <c:pt idx="56">
                  <c:v>1422</c:v>
                </c:pt>
                <c:pt idx="57">
                  <c:v>1357</c:v>
                </c:pt>
                <c:pt idx="58">
                  <c:v>1306</c:v>
                </c:pt>
                <c:pt idx="59">
                  <c:v>1259</c:v>
                </c:pt>
                <c:pt idx="60">
                  <c:v>1231</c:v>
                </c:pt>
                <c:pt idx="61">
                  <c:v>1211</c:v>
                </c:pt>
                <c:pt idx="62">
                  <c:v>1190</c:v>
                </c:pt>
                <c:pt idx="63">
                  <c:v>1165</c:v>
                </c:pt>
                <c:pt idx="64">
                  <c:v>1149</c:v>
                </c:pt>
              </c:numCache>
            </c:numRef>
          </c:val>
          <c:extLst xmlns:c15="http://schemas.microsoft.com/office/drawing/2012/chart">
            <c:ext xmlns:c16="http://schemas.microsoft.com/office/drawing/2014/chart" uri="{C3380CC4-5D6E-409C-BE32-E72D297353CC}">
              <c16:uniqueId val="{00000003-503A-464F-BA74-C113BE961252}"/>
            </c:ext>
          </c:extLst>
        </c:ser>
        <c:ser>
          <c:idx val="6"/>
          <c:order val="2"/>
          <c:tx>
            <c:strRef>
              <c:f>ch_latest!$D$1</c:f>
              <c:strCache>
                <c:ptCount val="1"/>
                <c:pt idx="0">
                  <c:v>intensive_care</c:v>
                </c:pt>
              </c:strCache>
            </c:strRef>
          </c:tx>
          <c:spPr>
            <a:solidFill>
              <a:srgbClr val="FF0000"/>
            </a:solidFill>
            <a:ln>
              <a:solidFill>
                <a:srgbClr val="FF0000"/>
              </a:solidFill>
            </a:ln>
            <a:effectLst>
              <a:outerShdw blurRad="57150" dist="19050" dir="5400000" algn="ctr" rotWithShape="0">
                <a:srgbClr val="000000">
                  <a:alpha val="63000"/>
                </a:srgbClr>
              </a:outerShdw>
            </a:effectLst>
          </c:spPr>
          <c:cat>
            <c:multiLvlStrRef>
              <c:f>ch_latest!$A$2:$C$66</c:f>
              <c:multiLvlStrCache>
                <c:ptCount val="65"/>
                <c:lvl>
                  <c:pt idx="0">
                    <c:v>CH</c:v>
                  </c:pt>
                  <c:pt idx="1">
                    <c:v>CH</c:v>
                  </c:pt>
                  <c:pt idx="2">
                    <c:v>CH</c:v>
                  </c:pt>
                  <c:pt idx="3">
                    <c:v>CH</c:v>
                  </c:pt>
                  <c:pt idx="4">
                    <c:v>CH</c:v>
                  </c:pt>
                  <c:pt idx="5">
                    <c:v>CH</c:v>
                  </c:pt>
                  <c:pt idx="6">
                    <c:v>CH</c:v>
                  </c:pt>
                  <c:pt idx="7">
                    <c:v>CH</c:v>
                  </c:pt>
                  <c:pt idx="8">
                    <c:v>CH</c:v>
                  </c:pt>
                  <c:pt idx="9">
                    <c:v>CH</c:v>
                  </c:pt>
                  <c:pt idx="10">
                    <c:v>CH</c:v>
                  </c:pt>
                  <c:pt idx="11">
                    <c:v>CH</c:v>
                  </c:pt>
                  <c:pt idx="12">
                    <c:v>CH</c:v>
                  </c:pt>
                  <c:pt idx="13">
                    <c:v>CH</c:v>
                  </c:pt>
                  <c:pt idx="14">
                    <c:v>CH</c:v>
                  </c:pt>
                  <c:pt idx="15">
                    <c:v>CH</c:v>
                  </c:pt>
                  <c:pt idx="16">
                    <c:v>CH</c:v>
                  </c:pt>
                  <c:pt idx="17">
                    <c:v>CH</c:v>
                  </c:pt>
                  <c:pt idx="18">
                    <c:v>CH</c:v>
                  </c:pt>
                  <c:pt idx="19">
                    <c:v>CH</c:v>
                  </c:pt>
                  <c:pt idx="20">
                    <c:v>CH</c:v>
                  </c:pt>
                  <c:pt idx="21">
                    <c:v>CH</c:v>
                  </c:pt>
                  <c:pt idx="22">
                    <c:v>CH</c:v>
                  </c:pt>
                  <c:pt idx="23">
                    <c:v>CH</c:v>
                  </c:pt>
                  <c:pt idx="24">
                    <c:v>CH</c:v>
                  </c:pt>
                  <c:pt idx="25">
                    <c:v>CH</c:v>
                  </c:pt>
                  <c:pt idx="26">
                    <c:v>CH</c:v>
                  </c:pt>
                  <c:pt idx="27">
                    <c:v>CH</c:v>
                  </c:pt>
                  <c:pt idx="28">
                    <c:v>CH</c:v>
                  </c:pt>
                  <c:pt idx="29">
                    <c:v>CH</c:v>
                  </c:pt>
                  <c:pt idx="30">
                    <c:v>CH</c:v>
                  </c:pt>
                  <c:pt idx="31">
                    <c:v>CH</c:v>
                  </c:pt>
                  <c:pt idx="32">
                    <c:v>CH</c:v>
                  </c:pt>
                  <c:pt idx="33">
                    <c:v>CH</c:v>
                  </c:pt>
                  <c:pt idx="34">
                    <c:v>CH</c:v>
                  </c:pt>
                  <c:pt idx="35">
                    <c:v>CH</c:v>
                  </c:pt>
                  <c:pt idx="36">
                    <c:v>CH</c:v>
                  </c:pt>
                  <c:pt idx="37">
                    <c:v>CH</c:v>
                  </c:pt>
                  <c:pt idx="38">
                    <c:v>CH</c:v>
                  </c:pt>
                  <c:pt idx="39">
                    <c:v>CH</c:v>
                  </c:pt>
                  <c:pt idx="40">
                    <c:v>CH</c:v>
                  </c:pt>
                  <c:pt idx="41">
                    <c:v>CH</c:v>
                  </c:pt>
                  <c:pt idx="42">
                    <c:v>CH</c:v>
                  </c:pt>
                  <c:pt idx="43">
                    <c:v>CH</c:v>
                  </c:pt>
                  <c:pt idx="44">
                    <c:v>CH</c:v>
                  </c:pt>
                  <c:pt idx="45">
                    <c:v>CH</c:v>
                  </c:pt>
                  <c:pt idx="46">
                    <c:v>CH</c:v>
                  </c:pt>
                  <c:pt idx="47">
                    <c:v>CH</c:v>
                  </c:pt>
                  <c:pt idx="48">
                    <c:v>CH</c:v>
                  </c:pt>
                  <c:pt idx="49">
                    <c:v>CH</c:v>
                  </c:pt>
                  <c:pt idx="50">
                    <c:v>CH</c:v>
                  </c:pt>
                  <c:pt idx="51">
                    <c:v>CH</c:v>
                  </c:pt>
                  <c:pt idx="52">
                    <c:v>CH</c:v>
                  </c:pt>
                  <c:pt idx="53">
                    <c:v>CH</c:v>
                  </c:pt>
                  <c:pt idx="54">
                    <c:v>CH</c:v>
                  </c:pt>
                  <c:pt idx="55">
                    <c:v>CH</c:v>
                  </c:pt>
                  <c:pt idx="56">
                    <c:v>CH</c:v>
                  </c:pt>
                  <c:pt idx="57">
                    <c:v>CH</c:v>
                  </c:pt>
                  <c:pt idx="58">
                    <c:v>CH</c:v>
                  </c:pt>
                  <c:pt idx="59">
                    <c:v>CH</c:v>
                  </c:pt>
                  <c:pt idx="60">
                    <c:v>CH</c:v>
                  </c:pt>
                  <c:pt idx="61">
                    <c:v>CH</c:v>
                  </c:pt>
                  <c:pt idx="62">
                    <c:v>CH</c:v>
                  </c:pt>
                  <c:pt idx="63">
                    <c:v>CH</c:v>
                  </c:pt>
                  <c:pt idx="64">
                    <c:v>CH</c:v>
                  </c:pt>
                </c:lvl>
                <c:lvl>
                  <c:pt idx="0">
                    <c:v>29.04.2020 16:04</c:v>
                  </c:pt>
                  <c:pt idx="1">
                    <c:v>29.04.2020 16:04</c:v>
                  </c:pt>
                  <c:pt idx="2">
                    <c:v>29.04.2020 16:04</c:v>
                  </c:pt>
                  <c:pt idx="3">
                    <c:v>29.04.2020 16:04</c:v>
                  </c:pt>
                  <c:pt idx="4">
                    <c:v>29.04.2020 16:04</c:v>
                  </c:pt>
                  <c:pt idx="5">
                    <c:v>29.04.2020 16:04</c:v>
                  </c:pt>
                  <c:pt idx="6">
                    <c:v>29.04.2020 16:04</c:v>
                  </c:pt>
                  <c:pt idx="7">
                    <c:v>29.04.2020 16:04</c:v>
                  </c:pt>
                  <c:pt idx="8">
                    <c:v>29.04.2020 16:04</c:v>
                  </c:pt>
                  <c:pt idx="9">
                    <c:v>29.04.2020 16:04</c:v>
                  </c:pt>
                  <c:pt idx="10">
                    <c:v>29.04.2020 16:04</c:v>
                  </c:pt>
                  <c:pt idx="11">
                    <c:v>29.04.2020 16:04</c:v>
                  </c:pt>
                  <c:pt idx="12">
                    <c:v>29.04.2020 16:04</c:v>
                  </c:pt>
                  <c:pt idx="13">
                    <c:v>29.04.2020 16:04</c:v>
                  </c:pt>
                  <c:pt idx="14">
                    <c:v>29.04.2020 16:04</c:v>
                  </c:pt>
                  <c:pt idx="15">
                    <c:v>29.04.2020 16:04</c:v>
                  </c:pt>
                  <c:pt idx="16">
                    <c:v>29.04.2020 16:04</c:v>
                  </c:pt>
                  <c:pt idx="17">
                    <c:v>29.04.2020 16:04</c:v>
                  </c:pt>
                  <c:pt idx="18">
                    <c:v>29.04.2020 16:04</c:v>
                  </c:pt>
                  <c:pt idx="19">
                    <c:v>29.04.2020 16:04</c:v>
                  </c:pt>
                  <c:pt idx="20">
                    <c:v>29.04.2020 16:04</c:v>
                  </c:pt>
                  <c:pt idx="21">
                    <c:v>29.04.2020 16:04</c:v>
                  </c:pt>
                  <c:pt idx="22">
                    <c:v>29.04.2020 16:04</c:v>
                  </c:pt>
                  <c:pt idx="23">
                    <c:v>29.04.2020 16:04</c:v>
                  </c:pt>
                  <c:pt idx="24">
                    <c:v>29.04.2020 16:04</c:v>
                  </c:pt>
                  <c:pt idx="25">
                    <c:v>29.04.2020 16:04</c:v>
                  </c:pt>
                  <c:pt idx="26">
                    <c:v>29.04.2020 16:04</c:v>
                  </c:pt>
                  <c:pt idx="27">
                    <c:v>29.04.2020 16:04</c:v>
                  </c:pt>
                  <c:pt idx="28">
                    <c:v>29.04.2020 16:04</c:v>
                  </c:pt>
                  <c:pt idx="29">
                    <c:v>29.04.2020 16:04</c:v>
                  </c:pt>
                  <c:pt idx="30">
                    <c:v>29.04.2020 16:04</c:v>
                  </c:pt>
                  <c:pt idx="31">
                    <c:v>29.04.2020 16:04</c:v>
                  </c:pt>
                  <c:pt idx="32">
                    <c:v>29.04.2020 16:04</c:v>
                  </c:pt>
                  <c:pt idx="33">
                    <c:v>29.04.2020 16:04</c:v>
                  </c:pt>
                  <c:pt idx="34">
                    <c:v>29.04.2020 16:04</c:v>
                  </c:pt>
                  <c:pt idx="35">
                    <c:v>29.04.2020 16:04</c:v>
                  </c:pt>
                  <c:pt idx="36">
                    <c:v>29.04.2020 16:04</c:v>
                  </c:pt>
                  <c:pt idx="37">
                    <c:v>29.04.2020 16:04</c:v>
                  </c:pt>
                  <c:pt idx="38">
                    <c:v>29.04.2020 16:04</c:v>
                  </c:pt>
                  <c:pt idx="39">
                    <c:v>29.04.2020 16:04</c:v>
                  </c:pt>
                  <c:pt idx="40">
                    <c:v>29.04.2020 16:04</c:v>
                  </c:pt>
                  <c:pt idx="41">
                    <c:v>29.04.2020 16:04</c:v>
                  </c:pt>
                  <c:pt idx="42">
                    <c:v>29.04.2020 16:04</c:v>
                  </c:pt>
                  <c:pt idx="43">
                    <c:v>29.04.2020 16:04</c:v>
                  </c:pt>
                  <c:pt idx="44">
                    <c:v>29.04.2020 16:04</c:v>
                  </c:pt>
                  <c:pt idx="45">
                    <c:v>29.04.2020 16:04</c:v>
                  </c:pt>
                  <c:pt idx="46">
                    <c:v>29.04.2020 16:04</c:v>
                  </c:pt>
                  <c:pt idx="47">
                    <c:v>29.04.2020 16:04</c:v>
                  </c:pt>
                  <c:pt idx="48">
                    <c:v>29.04.2020 16:04</c:v>
                  </c:pt>
                  <c:pt idx="49">
                    <c:v>29.04.2020 16:04</c:v>
                  </c:pt>
                  <c:pt idx="50">
                    <c:v>29.04.2020 16:04</c:v>
                  </c:pt>
                  <c:pt idx="51">
                    <c:v>29.04.2020 16:04</c:v>
                  </c:pt>
                  <c:pt idx="52">
                    <c:v>29.04.2020 16:04</c:v>
                  </c:pt>
                  <c:pt idx="53">
                    <c:v>29.04.2020 16:04</c:v>
                  </c:pt>
                  <c:pt idx="54">
                    <c:v>29.04.2020 16:04</c:v>
                  </c:pt>
                  <c:pt idx="55">
                    <c:v>29.04.2020 16:04</c:v>
                  </c:pt>
                  <c:pt idx="56">
                    <c:v>29.04.2020 16:04</c:v>
                  </c:pt>
                  <c:pt idx="57">
                    <c:v>29.04.2020 16:04</c:v>
                  </c:pt>
                  <c:pt idx="58">
                    <c:v>29.04.2020 16:04</c:v>
                  </c:pt>
                  <c:pt idx="59">
                    <c:v>29.04.2020 16:04</c:v>
                  </c:pt>
                  <c:pt idx="60">
                    <c:v>29.04.2020 16:04</c:v>
                  </c:pt>
                  <c:pt idx="61">
                    <c:v>29.04.2020 16:04</c:v>
                  </c:pt>
                  <c:pt idx="62">
                    <c:v>29.04.2020 16:04</c:v>
                  </c:pt>
                  <c:pt idx="63">
                    <c:v>29.04.2020 16:04</c:v>
                  </c:pt>
                  <c:pt idx="64">
                    <c:v>29.04.2020 16:04</c:v>
                  </c:pt>
                </c:lvl>
                <c:lvl>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lvl>
              </c:multiLvlStrCache>
            </c:multiLvlStrRef>
          </c:cat>
          <c:val>
            <c:numRef>
              <c:f>ch_latest!$D$2:$D$66</c:f>
              <c:numCache>
                <c:formatCode>General</c:formatCode>
                <c:ptCount val="65"/>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33</c:v>
                </c:pt>
                <c:pt idx="18">
                  <c:v>36</c:v>
                </c:pt>
                <c:pt idx="19">
                  <c:v>40</c:v>
                </c:pt>
                <c:pt idx="20">
                  <c:v>51</c:v>
                </c:pt>
                <c:pt idx="21">
                  <c:v>65</c:v>
                </c:pt>
                <c:pt idx="22">
                  <c:v>68</c:v>
                </c:pt>
                <c:pt idx="23">
                  <c:v>107</c:v>
                </c:pt>
                <c:pt idx="24">
                  <c:v>116</c:v>
                </c:pt>
                <c:pt idx="25">
                  <c:v>137</c:v>
                </c:pt>
                <c:pt idx="26">
                  <c:v>168</c:v>
                </c:pt>
                <c:pt idx="27">
                  <c:v>202</c:v>
                </c:pt>
                <c:pt idx="28">
                  <c:v>204</c:v>
                </c:pt>
                <c:pt idx="29">
                  <c:v>239</c:v>
                </c:pt>
                <c:pt idx="30">
                  <c:v>268</c:v>
                </c:pt>
                <c:pt idx="31">
                  <c:v>292</c:v>
                </c:pt>
                <c:pt idx="32">
                  <c:v>323</c:v>
                </c:pt>
                <c:pt idx="33">
                  <c:v>337</c:v>
                </c:pt>
                <c:pt idx="34">
                  <c:v>384</c:v>
                </c:pt>
                <c:pt idx="35">
                  <c:v>410</c:v>
                </c:pt>
                <c:pt idx="36">
                  <c:v>441</c:v>
                </c:pt>
                <c:pt idx="37">
                  <c:v>446</c:v>
                </c:pt>
                <c:pt idx="38">
                  <c:v>456</c:v>
                </c:pt>
                <c:pt idx="39">
                  <c:v>458</c:v>
                </c:pt>
                <c:pt idx="40">
                  <c:v>448</c:v>
                </c:pt>
                <c:pt idx="41">
                  <c:v>447</c:v>
                </c:pt>
                <c:pt idx="42">
                  <c:v>441</c:v>
                </c:pt>
                <c:pt idx="43">
                  <c:v>438</c:v>
                </c:pt>
                <c:pt idx="44">
                  <c:v>430</c:v>
                </c:pt>
                <c:pt idx="45">
                  <c:v>418</c:v>
                </c:pt>
                <c:pt idx="46">
                  <c:v>418</c:v>
                </c:pt>
                <c:pt idx="47">
                  <c:v>407</c:v>
                </c:pt>
                <c:pt idx="48">
                  <c:v>403</c:v>
                </c:pt>
                <c:pt idx="49">
                  <c:v>390</c:v>
                </c:pt>
                <c:pt idx="50">
                  <c:v>368</c:v>
                </c:pt>
                <c:pt idx="51">
                  <c:v>348</c:v>
                </c:pt>
                <c:pt idx="52">
                  <c:v>335</c:v>
                </c:pt>
                <c:pt idx="53">
                  <c:v>321</c:v>
                </c:pt>
                <c:pt idx="54">
                  <c:v>313</c:v>
                </c:pt>
                <c:pt idx="55">
                  <c:v>301</c:v>
                </c:pt>
                <c:pt idx="56">
                  <c:v>286</c:v>
                </c:pt>
                <c:pt idx="57">
                  <c:v>255</c:v>
                </c:pt>
                <c:pt idx="58">
                  <c:v>247</c:v>
                </c:pt>
                <c:pt idx="59">
                  <c:v>242</c:v>
                </c:pt>
                <c:pt idx="60">
                  <c:v>233</c:v>
                </c:pt>
                <c:pt idx="61">
                  <c:v>212</c:v>
                </c:pt>
                <c:pt idx="62">
                  <c:v>204</c:v>
                </c:pt>
                <c:pt idx="63">
                  <c:v>188</c:v>
                </c:pt>
                <c:pt idx="64">
                  <c:v>194</c:v>
                </c:pt>
              </c:numCache>
            </c:numRef>
          </c:val>
          <c:extLst>
            <c:ext xmlns:c16="http://schemas.microsoft.com/office/drawing/2014/chart" uri="{C3380CC4-5D6E-409C-BE32-E72D297353CC}">
              <c16:uniqueId val="{00000006-503A-464F-BA74-C113BE961252}"/>
            </c:ext>
          </c:extLst>
        </c:ser>
        <c:dLbls>
          <c:showLegendKey val="0"/>
          <c:showVal val="0"/>
          <c:showCatName val="0"/>
          <c:showSerName val="0"/>
          <c:showPercent val="0"/>
          <c:showBubbleSize val="0"/>
        </c:dLbls>
        <c:axId val="1329134367"/>
        <c:axId val="4147887"/>
        <c:extLst>
          <c:ext xmlns:c15="http://schemas.microsoft.com/office/drawing/2012/chart" uri="{02D57815-91ED-43cb-92C2-25804820EDAC}">
            <c15:filteredAreaSeries>
              <c15:ser>
                <c:idx val="4"/>
                <c:order val="3"/>
                <c:tx>
                  <c:strRef>
                    <c:extLst>
                      <c:ext uri="{02D57815-91ED-43cb-92C2-25804820EDAC}">
                        <c15:formulaRef>
                          <c15:sqref>ch_latest!$F$1</c15:sqref>
                        </c15:formulaRef>
                      </c:ext>
                    </c:extLst>
                    <c:strCache>
                      <c:ptCount val="1"/>
                      <c:pt idx="0">
                        <c:v>total_currently_positive</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c:ex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c:ext uri="{02D57815-91ED-43cb-92C2-25804820EDAC}">
                        <c15:formulaRef>
                          <c15:sqref>ch_latest!$F$2:$F$66</c15:sqref>
                        </c15:formulaRef>
                      </c:ext>
                    </c:extLst>
                    <c:numCache>
                      <c:formatCode>General</c:formatCode>
                      <c:ptCount val="65"/>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534</c:v>
                      </c:pt>
                      <c:pt idx="15">
                        <c:v>705</c:v>
                      </c:pt>
                      <c:pt idx="16">
                        <c:v>1057</c:v>
                      </c:pt>
                      <c:pt idx="17">
                        <c:v>1409</c:v>
                      </c:pt>
                      <c:pt idx="18">
                        <c:v>1743</c:v>
                      </c:pt>
                      <c:pt idx="19">
                        <c:v>2029</c:v>
                      </c:pt>
                      <c:pt idx="20">
                        <c:v>2750</c:v>
                      </c:pt>
                      <c:pt idx="21">
                        <c:v>3621</c:v>
                      </c:pt>
                      <c:pt idx="22">
                        <c:v>4792</c:v>
                      </c:pt>
                      <c:pt idx="23">
                        <c:v>5819</c:v>
                      </c:pt>
                      <c:pt idx="24">
                        <c:v>6954</c:v>
                      </c:pt>
                      <c:pt idx="25">
                        <c:v>7651</c:v>
                      </c:pt>
                      <c:pt idx="26">
                        <c:v>8220</c:v>
                      </c:pt>
                      <c:pt idx="27">
                        <c:v>9780</c:v>
                      </c:pt>
                      <c:pt idx="28">
                        <c:v>10851</c:v>
                      </c:pt>
                      <c:pt idx="29">
                        <c:v>11945</c:v>
                      </c:pt>
                      <c:pt idx="30">
                        <c:v>13084</c:v>
                      </c:pt>
                      <c:pt idx="31">
                        <c:v>14392</c:v>
                      </c:pt>
                      <c:pt idx="32">
                        <c:v>15225</c:v>
                      </c:pt>
                      <c:pt idx="33">
                        <c:v>15823</c:v>
                      </c:pt>
                      <c:pt idx="34">
                        <c:v>16938</c:v>
                      </c:pt>
                      <c:pt idx="35">
                        <c:v>17876</c:v>
                      </c:pt>
                      <c:pt idx="36">
                        <c:v>18904</c:v>
                      </c:pt>
                      <c:pt idx="37">
                        <c:v>19949</c:v>
                      </c:pt>
                      <c:pt idx="38">
                        <c:v>20878</c:v>
                      </c:pt>
                      <c:pt idx="39">
                        <c:v>21445</c:v>
                      </c:pt>
                      <c:pt idx="40">
                        <c:v>21828</c:v>
                      </c:pt>
                      <c:pt idx="41">
                        <c:v>22570</c:v>
                      </c:pt>
                      <c:pt idx="42">
                        <c:v>23222</c:v>
                      </c:pt>
                      <c:pt idx="43">
                        <c:v>23892</c:v>
                      </c:pt>
                      <c:pt idx="44">
                        <c:v>24560</c:v>
                      </c:pt>
                      <c:pt idx="45">
                        <c:v>25010</c:v>
                      </c:pt>
                      <c:pt idx="46">
                        <c:v>25473</c:v>
                      </c:pt>
                      <c:pt idx="47">
                        <c:v>25746</c:v>
                      </c:pt>
                      <c:pt idx="48">
                        <c:v>25997</c:v>
                      </c:pt>
                      <c:pt idx="49">
                        <c:v>26319</c:v>
                      </c:pt>
                      <c:pt idx="50">
                        <c:v>26637</c:v>
                      </c:pt>
                      <c:pt idx="51">
                        <c:v>26936</c:v>
                      </c:pt>
                      <c:pt idx="52">
                        <c:v>27249</c:v>
                      </c:pt>
                      <c:pt idx="53">
                        <c:v>27542</c:v>
                      </c:pt>
                      <c:pt idx="54">
                        <c:v>27719</c:v>
                      </c:pt>
                      <c:pt idx="55">
                        <c:v>27921</c:v>
                      </c:pt>
                      <c:pt idx="56">
                        <c:v>28080</c:v>
                      </c:pt>
                      <c:pt idx="57">
                        <c:v>28277</c:v>
                      </c:pt>
                      <c:pt idx="58">
                        <c:v>28494</c:v>
                      </c:pt>
                      <c:pt idx="59">
                        <c:v>28684</c:v>
                      </c:pt>
                      <c:pt idx="60">
                        <c:v>28823</c:v>
                      </c:pt>
                      <c:pt idx="61">
                        <c:v>28903</c:v>
                      </c:pt>
                      <c:pt idx="62">
                        <c:v>29034</c:v>
                      </c:pt>
                      <c:pt idx="63">
                        <c:v>29107</c:v>
                      </c:pt>
                      <c:pt idx="64">
                        <c:v>29187</c:v>
                      </c:pt>
                    </c:numCache>
                  </c:numRef>
                </c:val>
                <c:extLst>
                  <c:ext xmlns:c16="http://schemas.microsoft.com/office/drawing/2014/chart" uri="{C3380CC4-5D6E-409C-BE32-E72D297353CC}">
                    <c16:uniqueId val="{00000004-503A-464F-BA74-C113BE961252}"/>
                  </c:ext>
                </c:extLst>
              </c15:ser>
            </c15:filteredAreaSeries>
            <c15:filteredAreaSeries>
              <c15:ser>
                <c:idx val="5"/>
                <c:order val="4"/>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ch_latest!$G$2:$G$66</c15:sqref>
                        </c15:formulaRef>
                      </c:ext>
                    </c:extLst>
                    <c:numCache>
                      <c:formatCode>General</c:formatCode>
                      <c:ptCount val="65"/>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534</c:v>
                      </c:pt>
                      <c:pt idx="15">
                        <c:v>705</c:v>
                      </c:pt>
                      <c:pt idx="16">
                        <c:v>1057</c:v>
                      </c:pt>
                      <c:pt idx="17">
                        <c:v>1409</c:v>
                      </c:pt>
                      <c:pt idx="18">
                        <c:v>1743</c:v>
                      </c:pt>
                      <c:pt idx="19">
                        <c:v>2029</c:v>
                      </c:pt>
                      <c:pt idx="20">
                        <c:v>2750</c:v>
                      </c:pt>
                      <c:pt idx="21">
                        <c:v>3621</c:v>
                      </c:pt>
                      <c:pt idx="22">
                        <c:v>4792</c:v>
                      </c:pt>
                      <c:pt idx="23">
                        <c:v>5819</c:v>
                      </c:pt>
                      <c:pt idx="24">
                        <c:v>6954</c:v>
                      </c:pt>
                      <c:pt idx="25">
                        <c:v>7651</c:v>
                      </c:pt>
                      <c:pt idx="26">
                        <c:v>8220</c:v>
                      </c:pt>
                      <c:pt idx="27">
                        <c:v>9780</c:v>
                      </c:pt>
                      <c:pt idx="28">
                        <c:v>10851</c:v>
                      </c:pt>
                      <c:pt idx="29">
                        <c:v>11945</c:v>
                      </c:pt>
                      <c:pt idx="30">
                        <c:v>13084</c:v>
                      </c:pt>
                      <c:pt idx="31">
                        <c:v>14392</c:v>
                      </c:pt>
                      <c:pt idx="32">
                        <c:v>15225</c:v>
                      </c:pt>
                      <c:pt idx="33">
                        <c:v>15823</c:v>
                      </c:pt>
                      <c:pt idx="34">
                        <c:v>16938</c:v>
                      </c:pt>
                      <c:pt idx="35">
                        <c:v>17876</c:v>
                      </c:pt>
                      <c:pt idx="36">
                        <c:v>18904</c:v>
                      </c:pt>
                      <c:pt idx="37">
                        <c:v>19949</c:v>
                      </c:pt>
                      <c:pt idx="38">
                        <c:v>20878</c:v>
                      </c:pt>
                      <c:pt idx="39">
                        <c:v>21445</c:v>
                      </c:pt>
                      <c:pt idx="40">
                        <c:v>21828</c:v>
                      </c:pt>
                      <c:pt idx="41">
                        <c:v>22570</c:v>
                      </c:pt>
                      <c:pt idx="42">
                        <c:v>23222</c:v>
                      </c:pt>
                      <c:pt idx="43">
                        <c:v>23892</c:v>
                      </c:pt>
                      <c:pt idx="44">
                        <c:v>24560</c:v>
                      </c:pt>
                      <c:pt idx="45">
                        <c:v>25010</c:v>
                      </c:pt>
                      <c:pt idx="46">
                        <c:v>25473</c:v>
                      </c:pt>
                      <c:pt idx="47">
                        <c:v>25746</c:v>
                      </c:pt>
                      <c:pt idx="48">
                        <c:v>25997</c:v>
                      </c:pt>
                      <c:pt idx="49">
                        <c:v>26319</c:v>
                      </c:pt>
                      <c:pt idx="50">
                        <c:v>26637</c:v>
                      </c:pt>
                      <c:pt idx="51">
                        <c:v>26936</c:v>
                      </c:pt>
                      <c:pt idx="52">
                        <c:v>27249</c:v>
                      </c:pt>
                      <c:pt idx="53">
                        <c:v>27542</c:v>
                      </c:pt>
                      <c:pt idx="54">
                        <c:v>27719</c:v>
                      </c:pt>
                      <c:pt idx="55">
                        <c:v>27921</c:v>
                      </c:pt>
                      <c:pt idx="56">
                        <c:v>28080</c:v>
                      </c:pt>
                      <c:pt idx="57">
                        <c:v>28277</c:v>
                      </c:pt>
                      <c:pt idx="58">
                        <c:v>28494</c:v>
                      </c:pt>
                      <c:pt idx="59">
                        <c:v>28684</c:v>
                      </c:pt>
                      <c:pt idx="60">
                        <c:v>28823</c:v>
                      </c:pt>
                      <c:pt idx="61">
                        <c:v>28903</c:v>
                      </c:pt>
                      <c:pt idx="62">
                        <c:v>29034</c:v>
                      </c:pt>
                      <c:pt idx="63">
                        <c:v>29107</c:v>
                      </c:pt>
                      <c:pt idx="64">
                        <c:v>29187</c:v>
                      </c:pt>
                    </c:numCache>
                  </c:numRef>
                </c:val>
                <c:extLst xmlns:c15="http://schemas.microsoft.com/office/drawing/2012/chart">
                  <c:ext xmlns:c16="http://schemas.microsoft.com/office/drawing/2014/chart" uri="{C3380CC4-5D6E-409C-BE32-E72D297353CC}">
                    <c16:uniqueId val="{00000005-503A-464F-BA74-C113BE961252}"/>
                  </c:ext>
                </c:extLst>
              </c15:ser>
            </c15:filteredAreaSeries>
            <c15:filteredAreaSeries>
              <c15:ser>
                <c:idx val="1"/>
                <c:order val="5"/>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ch_latest!$H$2:$H$66</c15:sqref>
                        </c15:formulaRef>
                      </c:ext>
                    </c:extLst>
                    <c:numCache>
                      <c:formatCode>General</c:formatCode>
                      <c:ptCount val="65"/>
                      <c:pt idx="0">
                        <c:v>72</c:v>
                      </c:pt>
                      <c:pt idx="1">
                        <c:v>177</c:v>
                      </c:pt>
                      <c:pt idx="2">
                        <c:v>328</c:v>
                      </c:pt>
                      <c:pt idx="3">
                        <c:v>535</c:v>
                      </c:pt>
                      <c:pt idx="4">
                        <c:v>675</c:v>
                      </c:pt>
                      <c:pt idx="5">
                        <c:v>811</c:v>
                      </c:pt>
                      <c:pt idx="6">
                        <c:v>1133</c:v>
                      </c:pt>
                      <c:pt idx="7">
                        <c:v>1254</c:v>
                      </c:pt>
                      <c:pt idx="8">
                        <c:v>1365</c:v>
                      </c:pt>
                      <c:pt idx="9">
                        <c:v>1432</c:v>
                      </c:pt>
                      <c:pt idx="10">
                        <c:v>1534</c:v>
                      </c:pt>
                      <c:pt idx="11">
                        <c:v>1609</c:v>
                      </c:pt>
                      <c:pt idx="12">
                        <c:v>1676</c:v>
                      </c:pt>
                      <c:pt idx="13">
                        <c:v>1783</c:v>
                      </c:pt>
                      <c:pt idx="14">
                        <c:v>1996</c:v>
                      </c:pt>
                      <c:pt idx="15">
                        <c:v>2247</c:v>
                      </c:pt>
                      <c:pt idx="16">
                        <c:v>2605</c:v>
                      </c:pt>
                      <c:pt idx="17">
                        <c:v>3050</c:v>
                      </c:pt>
                      <c:pt idx="18">
                        <c:v>3675</c:v>
                      </c:pt>
                      <c:pt idx="19">
                        <c:v>4078</c:v>
                      </c:pt>
                      <c:pt idx="20">
                        <c:v>4773</c:v>
                      </c:pt>
                      <c:pt idx="21">
                        <c:v>5406</c:v>
                      </c:pt>
                      <c:pt idx="22">
                        <c:v>6314</c:v>
                      </c:pt>
                      <c:pt idx="23">
                        <c:v>6974</c:v>
                      </c:pt>
                      <c:pt idx="24">
                        <c:v>7388</c:v>
                      </c:pt>
                      <c:pt idx="25">
                        <c:v>7750</c:v>
                      </c:pt>
                      <c:pt idx="26">
                        <c:v>7985</c:v>
                      </c:pt>
                      <c:pt idx="27">
                        <c:v>8363</c:v>
                      </c:pt>
                      <c:pt idx="28">
                        <c:v>8706</c:v>
                      </c:pt>
                      <c:pt idx="29">
                        <c:v>9111</c:v>
                      </c:pt>
                      <c:pt idx="30">
                        <c:v>10418</c:v>
                      </c:pt>
                      <c:pt idx="31">
                        <c:v>10808</c:v>
                      </c:pt>
                      <c:pt idx="32">
                        <c:v>11401</c:v>
                      </c:pt>
                      <c:pt idx="33">
                        <c:v>11710</c:v>
                      </c:pt>
                      <c:pt idx="34">
                        <c:v>12376</c:v>
                      </c:pt>
                      <c:pt idx="35">
                        <c:v>13136</c:v>
                      </c:pt>
                      <c:pt idx="36">
                        <c:v>13794</c:v>
                      </c:pt>
                      <c:pt idx="37">
                        <c:v>14743</c:v>
                      </c:pt>
                      <c:pt idx="38">
                        <c:v>15572</c:v>
                      </c:pt>
                      <c:pt idx="39">
                        <c:v>16167</c:v>
                      </c:pt>
                      <c:pt idx="40">
                        <c:v>16468</c:v>
                      </c:pt>
                      <c:pt idx="41">
                        <c:v>17111</c:v>
                      </c:pt>
                      <c:pt idx="42">
                        <c:v>17953</c:v>
                      </c:pt>
                      <c:pt idx="43">
                        <c:v>18762</c:v>
                      </c:pt>
                      <c:pt idx="44">
                        <c:v>19279</c:v>
                      </c:pt>
                      <c:pt idx="45">
                        <c:v>19695</c:v>
                      </c:pt>
                      <c:pt idx="46">
                        <c:v>20057</c:v>
                      </c:pt>
                      <c:pt idx="47">
                        <c:v>20233</c:v>
                      </c:pt>
                      <c:pt idx="48">
                        <c:v>20538</c:v>
                      </c:pt>
                      <c:pt idx="49">
                        <c:v>21085</c:v>
                      </c:pt>
                      <c:pt idx="50">
                        <c:v>21546</c:v>
                      </c:pt>
                      <c:pt idx="51">
                        <c:v>22229</c:v>
                      </c:pt>
                      <c:pt idx="52">
                        <c:v>22670</c:v>
                      </c:pt>
                      <c:pt idx="53">
                        <c:v>23112</c:v>
                      </c:pt>
                      <c:pt idx="54">
                        <c:v>23294</c:v>
                      </c:pt>
                      <c:pt idx="55">
                        <c:v>23672</c:v>
                      </c:pt>
                      <c:pt idx="56">
                        <c:v>24051</c:v>
                      </c:pt>
                      <c:pt idx="57">
                        <c:v>24414</c:v>
                      </c:pt>
                      <c:pt idx="58">
                        <c:v>24872</c:v>
                      </c:pt>
                      <c:pt idx="59">
                        <c:v>25236</c:v>
                      </c:pt>
                      <c:pt idx="60">
                        <c:v>25600</c:v>
                      </c:pt>
                      <c:pt idx="61">
                        <c:v>25797</c:v>
                      </c:pt>
                      <c:pt idx="62">
                        <c:v>25797</c:v>
                      </c:pt>
                      <c:pt idx="63">
                        <c:v>25797</c:v>
                      </c:pt>
                      <c:pt idx="64">
                        <c:v>25797</c:v>
                      </c:pt>
                    </c:numCache>
                  </c:numRef>
                </c:val>
                <c:extLst xmlns:c15="http://schemas.microsoft.com/office/drawing/2012/chart">
                  <c:ext xmlns:c16="http://schemas.microsoft.com/office/drawing/2014/chart" uri="{C3380CC4-5D6E-409C-BE32-E72D297353CC}">
                    <c16:uniqueId val="{00000001-503A-464F-BA74-C113BE961252}"/>
                  </c:ext>
                </c:extLst>
              </c15:ser>
            </c15:filteredAreaSeries>
            <c15:filteredAreaSeries>
              <c15:ser>
                <c:idx val="0"/>
                <c:order val="6"/>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ch_latest!$I$2:$I$66</c15:sqref>
                        </c15:formulaRef>
                      </c:ext>
                    </c:extLst>
                    <c:numCache>
                      <c:formatCode>General</c:formatCode>
                      <c:ptCount val="65"/>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7</c:v>
                      </c:pt>
                      <c:pt idx="15">
                        <c:v>12</c:v>
                      </c:pt>
                      <c:pt idx="16">
                        <c:v>13</c:v>
                      </c:pt>
                      <c:pt idx="17">
                        <c:v>13</c:v>
                      </c:pt>
                      <c:pt idx="18">
                        <c:v>13</c:v>
                      </c:pt>
                      <c:pt idx="19">
                        <c:v>16</c:v>
                      </c:pt>
                      <c:pt idx="20">
                        <c:v>17</c:v>
                      </c:pt>
                      <c:pt idx="21">
                        <c:v>47</c:v>
                      </c:pt>
                      <c:pt idx="22">
                        <c:v>65</c:v>
                      </c:pt>
                      <c:pt idx="23">
                        <c:v>73</c:v>
                      </c:pt>
                      <c:pt idx="24">
                        <c:v>77</c:v>
                      </c:pt>
                      <c:pt idx="25">
                        <c:v>91</c:v>
                      </c:pt>
                      <c:pt idx="26">
                        <c:v>107</c:v>
                      </c:pt>
                      <c:pt idx="27">
                        <c:v>127</c:v>
                      </c:pt>
                      <c:pt idx="28">
                        <c:v>279</c:v>
                      </c:pt>
                      <c:pt idx="29">
                        <c:v>333</c:v>
                      </c:pt>
                      <c:pt idx="30">
                        <c:v>412</c:v>
                      </c:pt>
                      <c:pt idx="31">
                        <c:v>481</c:v>
                      </c:pt>
                      <c:pt idx="32">
                        <c:v>551</c:v>
                      </c:pt>
                      <c:pt idx="33">
                        <c:v>601</c:v>
                      </c:pt>
                      <c:pt idx="34">
                        <c:v>716</c:v>
                      </c:pt>
                      <c:pt idx="35">
                        <c:v>1083</c:v>
                      </c:pt>
                      <c:pt idx="36">
                        <c:v>1254</c:v>
                      </c:pt>
                      <c:pt idx="37">
                        <c:v>1465</c:v>
                      </c:pt>
                      <c:pt idx="38">
                        <c:v>1571</c:v>
                      </c:pt>
                      <c:pt idx="39">
                        <c:v>1726</c:v>
                      </c:pt>
                      <c:pt idx="40">
                        <c:v>1886</c:v>
                      </c:pt>
                      <c:pt idx="41">
                        <c:v>2009</c:v>
                      </c:pt>
                      <c:pt idx="42">
                        <c:v>2370</c:v>
                      </c:pt>
                      <c:pt idx="43">
                        <c:v>2587</c:v>
                      </c:pt>
                      <c:pt idx="44">
                        <c:v>2737</c:v>
                      </c:pt>
                      <c:pt idx="45">
                        <c:v>2821</c:v>
                      </c:pt>
                      <c:pt idx="46">
                        <c:v>2987</c:v>
                      </c:pt>
                      <c:pt idx="47">
                        <c:v>3089</c:v>
                      </c:pt>
                      <c:pt idx="48">
                        <c:v>3169</c:v>
                      </c:pt>
                      <c:pt idx="49">
                        <c:v>3331</c:v>
                      </c:pt>
                      <c:pt idx="50">
                        <c:v>3495</c:v>
                      </c:pt>
                      <c:pt idx="51">
                        <c:v>3655</c:v>
                      </c:pt>
                      <c:pt idx="52">
                        <c:v>3763</c:v>
                      </c:pt>
                      <c:pt idx="53">
                        <c:v>3878</c:v>
                      </c:pt>
                      <c:pt idx="54">
                        <c:v>3948</c:v>
                      </c:pt>
                      <c:pt idx="55">
                        <c:v>4084</c:v>
                      </c:pt>
                      <c:pt idx="56">
                        <c:v>4206</c:v>
                      </c:pt>
                      <c:pt idx="57">
                        <c:v>4313</c:v>
                      </c:pt>
                      <c:pt idx="58">
                        <c:v>4404</c:v>
                      </c:pt>
                      <c:pt idx="59">
                        <c:v>4482</c:v>
                      </c:pt>
                      <c:pt idx="60">
                        <c:v>4519</c:v>
                      </c:pt>
                      <c:pt idx="61">
                        <c:v>4552</c:v>
                      </c:pt>
                      <c:pt idx="62">
                        <c:v>4624</c:v>
                      </c:pt>
                      <c:pt idx="63">
                        <c:v>4669</c:v>
                      </c:pt>
                      <c:pt idx="64">
                        <c:v>4700</c:v>
                      </c:pt>
                    </c:numCache>
                  </c:numRef>
                </c:val>
                <c:extLst xmlns:c15="http://schemas.microsoft.com/office/drawing/2012/chart">
                  <c:ext xmlns:c16="http://schemas.microsoft.com/office/drawing/2014/chart" uri="{C3380CC4-5D6E-409C-BE32-E72D297353CC}">
                    <c16:uniqueId val="{00000000-503A-464F-BA74-C113BE961252}"/>
                  </c:ext>
                </c:extLst>
              </c15:ser>
            </c15:filteredAreaSeries>
            <c15:filteredArea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ch_latest!$K$2:$K$66</c15:sqref>
                        </c15:formulaRef>
                      </c:ext>
                    </c:extLst>
                    <c:numCache>
                      <c:formatCode>General</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numCache>
                  </c:numRef>
                </c:val>
                <c:extLst xmlns:c15="http://schemas.microsoft.com/office/drawing/2012/chart">
                  <c:ext xmlns:c16="http://schemas.microsoft.com/office/drawing/2014/chart" uri="{C3380CC4-5D6E-409C-BE32-E72D297353CC}">
                    <c16:uniqueId val="{00000007-503A-464F-BA74-C113BE961252}"/>
                  </c:ext>
                </c:extLst>
              </c15:ser>
            </c15:filteredAreaSeries>
            <c15:filteredAreaSeries>
              <c15:ser>
                <c:idx val="8"/>
                <c:order val="8"/>
                <c:tx>
                  <c:strRef>
                    <c:extLst xmlns:c15="http://schemas.microsoft.com/office/drawing/2012/chart">
                      <c:ext xmlns:c15="http://schemas.microsoft.com/office/drawing/2012/chart" uri="{02D57815-91ED-43cb-92C2-25804820EDAC}">
                        <c15:formulaRef>
                          <c15:sqref>ch_latest!$L$1</c15:sqref>
                        </c15:formulaRef>
                      </c:ext>
                    </c:extLst>
                    <c:strCache>
                      <c:ptCount val="1"/>
                      <c:pt idx="0">
                        <c:v>new_positive</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ch_latest!$L$2:$L$66</c15:sqref>
                        </c15:formulaRef>
                      </c:ext>
                    </c:extLst>
                    <c:numCache>
                      <c:formatCode>General</c:formatCode>
                      <c:ptCount val="65"/>
                      <c:pt idx="1">
                        <c:v>1</c:v>
                      </c:pt>
                      <c:pt idx="2">
                        <c:v>4</c:v>
                      </c:pt>
                      <c:pt idx="3">
                        <c:v>7</c:v>
                      </c:pt>
                      <c:pt idx="4">
                        <c:v>7</c:v>
                      </c:pt>
                      <c:pt idx="5">
                        <c:v>7</c:v>
                      </c:pt>
                      <c:pt idx="6">
                        <c:v>10</c:v>
                      </c:pt>
                      <c:pt idx="7">
                        <c:v>17</c:v>
                      </c:pt>
                      <c:pt idx="8">
                        <c:v>20</c:v>
                      </c:pt>
                      <c:pt idx="9">
                        <c:v>44</c:v>
                      </c:pt>
                      <c:pt idx="10">
                        <c:v>65</c:v>
                      </c:pt>
                      <c:pt idx="11">
                        <c:v>72</c:v>
                      </c:pt>
                      <c:pt idx="12">
                        <c:v>57</c:v>
                      </c:pt>
                      <c:pt idx="13">
                        <c:v>84</c:v>
                      </c:pt>
                      <c:pt idx="14">
                        <c:v>138</c:v>
                      </c:pt>
                      <c:pt idx="15">
                        <c:v>171</c:v>
                      </c:pt>
                      <c:pt idx="16">
                        <c:v>352</c:v>
                      </c:pt>
                      <c:pt idx="17">
                        <c:v>352</c:v>
                      </c:pt>
                      <c:pt idx="18">
                        <c:v>334</c:v>
                      </c:pt>
                      <c:pt idx="19">
                        <c:v>286</c:v>
                      </c:pt>
                      <c:pt idx="20">
                        <c:v>721</c:v>
                      </c:pt>
                      <c:pt idx="21">
                        <c:v>871</c:v>
                      </c:pt>
                      <c:pt idx="22">
                        <c:v>1171</c:v>
                      </c:pt>
                      <c:pt idx="23">
                        <c:v>1027</c:v>
                      </c:pt>
                      <c:pt idx="24">
                        <c:v>1135</c:v>
                      </c:pt>
                      <c:pt idx="25">
                        <c:v>697</c:v>
                      </c:pt>
                      <c:pt idx="26">
                        <c:v>569</c:v>
                      </c:pt>
                      <c:pt idx="27">
                        <c:v>1560</c:v>
                      </c:pt>
                      <c:pt idx="28">
                        <c:v>1071</c:v>
                      </c:pt>
                      <c:pt idx="29">
                        <c:v>1094</c:v>
                      </c:pt>
                      <c:pt idx="30">
                        <c:v>1139</c:v>
                      </c:pt>
                      <c:pt idx="31">
                        <c:v>1308</c:v>
                      </c:pt>
                      <c:pt idx="32">
                        <c:v>833</c:v>
                      </c:pt>
                      <c:pt idx="33">
                        <c:v>598</c:v>
                      </c:pt>
                      <c:pt idx="34">
                        <c:v>1115</c:v>
                      </c:pt>
                      <c:pt idx="35">
                        <c:v>938</c:v>
                      </c:pt>
                      <c:pt idx="36">
                        <c:v>1028</c:v>
                      </c:pt>
                      <c:pt idx="37">
                        <c:v>1045</c:v>
                      </c:pt>
                      <c:pt idx="38">
                        <c:v>929</c:v>
                      </c:pt>
                      <c:pt idx="39">
                        <c:v>567</c:v>
                      </c:pt>
                      <c:pt idx="40">
                        <c:v>383</c:v>
                      </c:pt>
                      <c:pt idx="41">
                        <c:v>742</c:v>
                      </c:pt>
                      <c:pt idx="42">
                        <c:v>652</c:v>
                      </c:pt>
                      <c:pt idx="43">
                        <c:v>670</c:v>
                      </c:pt>
                      <c:pt idx="44">
                        <c:v>668</c:v>
                      </c:pt>
                      <c:pt idx="45">
                        <c:v>450</c:v>
                      </c:pt>
                      <c:pt idx="46">
                        <c:v>463</c:v>
                      </c:pt>
                      <c:pt idx="47">
                        <c:v>273</c:v>
                      </c:pt>
                      <c:pt idx="48">
                        <c:v>251</c:v>
                      </c:pt>
                      <c:pt idx="49">
                        <c:v>322</c:v>
                      </c:pt>
                      <c:pt idx="50">
                        <c:v>318</c:v>
                      </c:pt>
                      <c:pt idx="51">
                        <c:v>299</c:v>
                      </c:pt>
                      <c:pt idx="52">
                        <c:v>313</c:v>
                      </c:pt>
                      <c:pt idx="53">
                        <c:v>293</c:v>
                      </c:pt>
                      <c:pt idx="54">
                        <c:v>177</c:v>
                      </c:pt>
                      <c:pt idx="55">
                        <c:v>202</c:v>
                      </c:pt>
                      <c:pt idx="56">
                        <c:v>159</c:v>
                      </c:pt>
                      <c:pt idx="57">
                        <c:v>197</c:v>
                      </c:pt>
                      <c:pt idx="58">
                        <c:v>217</c:v>
                      </c:pt>
                      <c:pt idx="59">
                        <c:v>190</c:v>
                      </c:pt>
                      <c:pt idx="60">
                        <c:v>139</c:v>
                      </c:pt>
                      <c:pt idx="61">
                        <c:v>80</c:v>
                      </c:pt>
                      <c:pt idx="62">
                        <c:v>131</c:v>
                      </c:pt>
                      <c:pt idx="63">
                        <c:v>73</c:v>
                      </c:pt>
                      <c:pt idx="64">
                        <c:v>80</c:v>
                      </c:pt>
                    </c:numCache>
                  </c:numRef>
                </c:val>
                <c:extLst xmlns:c15="http://schemas.microsoft.com/office/drawing/2012/chart">
                  <c:ext xmlns:c16="http://schemas.microsoft.com/office/drawing/2014/chart" uri="{C3380CC4-5D6E-409C-BE32-E72D297353CC}">
                    <c16:uniqueId val="{00000008-503A-464F-BA74-C113BE961252}"/>
                  </c:ext>
                </c:extLst>
              </c15:ser>
            </c15:filteredAreaSeries>
            <c15:filteredArea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ch_latest!$M$2:$M$66</c15:sqref>
                        </c15:formulaRef>
                      </c:ext>
                    </c:extLst>
                    <c:numCache>
                      <c:formatCode>General</c:formatCode>
                      <c:ptCount val="65"/>
                      <c:pt idx="0">
                        <c:v>0</c:v>
                      </c:pt>
                      <c:pt idx="1">
                        <c:v>1</c:v>
                      </c:pt>
                      <c:pt idx="2">
                        <c:v>2</c:v>
                      </c:pt>
                      <c:pt idx="3">
                        <c:v>6</c:v>
                      </c:pt>
                      <c:pt idx="4">
                        <c:v>13</c:v>
                      </c:pt>
                      <c:pt idx="5">
                        <c:v>20</c:v>
                      </c:pt>
                      <c:pt idx="6">
                        <c:v>27</c:v>
                      </c:pt>
                      <c:pt idx="7">
                        <c:v>37</c:v>
                      </c:pt>
                      <c:pt idx="8">
                        <c:v>54</c:v>
                      </c:pt>
                      <c:pt idx="9">
                        <c:v>74</c:v>
                      </c:pt>
                      <c:pt idx="10">
                        <c:v>118</c:v>
                      </c:pt>
                      <c:pt idx="11">
                        <c:v>183</c:v>
                      </c:pt>
                      <c:pt idx="12">
                        <c:v>255</c:v>
                      </c:pt>
                      <c:pt idx="13">
                        <c:v>312</c:v>
                      </c:pt>
                      <c:pt idx="14">
                        <c:v>396</c:v>
                      </c:pt>
                      <c:pt idx="15">
                        <c:v>534</c:v>
                      </c:pt>
                      <c:pt idx="16">
                        <c:v>705</c:v>
                      </c:pt>
                      <c:pt idx="17">
                        <c:v>1057</c:v>
                      </c:pt>
                      <c:pt idx="18">
                        <c:v>1409</c:v>
                      </c:pt>
                      <c:pt idx="19">
                        <c:v>1743</c:v>
                      </c:pt>
                      <c:pt idx="20">
                        <c:v>2029</c:v>
                      </c:pt>
                      <c:pt idx="21">
                        <c:v>2750</c:v>
                      </c:pt>
                      <c:pt idx="22">
                        <c:v>3621</c:v>
                      </c:pt>
                      <c:pt idx="23">
                        <c:v>4792</c:v>
                      </c:pt>
                      <c:pt idx="24">
                        <c:v>5819</c:v>
                      </c:pt>
                      <c:pt idx="25">
                        <c:v>6954</c:v>
                      </c:pt>
                      <c:pt idx="26">
                        <c:v>7651</c:v>
                      </c:pt>
                      <c:pt idx="27">
                        <c:v>8220</c:v>
                      </c:pt>
                      <c:pt idx="28">
                        <c:v>9780</c:v>
                      </c:pt>
                      <c:pt idx="29">
                        <c:v>10851</c:v>
                      </c:pt>
                      <c:pt idx="30">
                        <c:v>11945</c:v>
                      </c:pt>
                      <c:pt idx="31">
                        <c:v>13084</c:v>
                      </c:pt>
                      <c:pt idx="32">
                        <c:v>14392</c:v>
                      </c:pt>
                      <c:pt idx="33">
                        <c:v>15225</c:v>
                      </c:pt>
                      <c:pt idx="34">
                        <c:v>15823</c:v>
                      </c:pt>
                      <c:pt idx="35">
                        <c:v>16938</c:v>
                      </c:pt>
                      <c:pt idx="36">
                        <c:v>17876</c:v>
                      </c:pt>
                      <c:pt idx="37">
                        <c:v>18904</c:v>
                      </c:pt>
                      <c:pt idx="38">
                        <c:v>19949</c:v>
                      </c:pt>
                      <c:pt idx="39">
                        <c:v>20878</c:v>
                      </c:pt>
                      <c:pt idx="40">
                        <c:v>21445</c:v>
                      </c:pt>
                      <c:pt idx="41">
                        <c:v>21828</c:v>
                      </c:pt>
                      <c:pt idx="42">
                        <c:v>22570</c:v>
                      </c:pt>
                      <c:pt idx="43">
                        <c:v>23222</c:v>
                      </c:pt>
                      <c:pt idx="44">
                        <c:v>23892</c:v>
                      </c:pt>
                      <c:pt idx="45">
                        <c:v>24560</c:v>
                      </c:pt>
                      <c:pt idx="46">
                        <c:v>25010</c:v>
                      </c:pt>
                      <c:pt idx="47">
                        <c:v>25473</c:v>
                      </c:pt>
                      <c:pt idx="48">
                        <c:v>25746</c:v>
                      </c:pt>
                      <c:pt idx="49">
                        <c:v>25997</c:v>
                      </c:pt>
                      <c:pt idx="50">
                        <c:v>26319</c:v>
                      </c:pt>
                      <c:pt idx="51">
                        <c:v>26637</c:v>
                      </c:pt>
                      <c:pt idx="52">
                        <c:v>26936</c:v>
                      </c:pt>
                      <c:pt idx="53">
                        <c:v>27249</c:v>
                      </c:pt>
                      <c:pt idx="54">
                        <c:v>27542</c:v>
                      </c:pt>
                      <c:pt idx="55">
                        <c:v>27719</c:v>
                      </c:pt>
                      <c:pt idx="56">
                        <c:v>27921</c:v>
                      </c:pt>
                      <c:pt idx="57">
                        <c:v>28080</c:v>
                      </c:pt>
                      <c:pt idx="58">
                        <c:v>28277</c:v>
                      </c:pt>
                      <c:pt idx="59">
                        <c:v>28494</c:v>
                      </c:pt>
                      <c:pt idx="60">
                        <c:v>28684</c:v>
                      </c:pt>
                      <c:pt idx="61">
                        <c:v>28823</c:v>
                      </c:pt>
                      <c:pt idx="62">
                        <c:v>28903</c:v>
                      </c:pt>
                      <c:pt idx="63">
                        <c:v>29034</c:v>
                      </c:pt>
                      <c:pt idx="64">
                        <c:v>29107</c:v>
                      </c:pt>
                    </c:numCache>
                  </c:numRef>
                </c:val>
                <c:extLst xmlns:c15="http://schemas.microsoft.com/office/drawing/2012/chart">
                  <c:ext xmlns:c16="http://schemas.microsoft.com/office/drawing/2014/chart" uri="{C3380CC4-5D6E-409C-BE32-E72D297353CC}">
                    <c16:uniqueId val="{00000009-503A-464F-BA74-C113BE961252}"/>
                  </c:ext>
                </c:extLst>
              </c15:ser>
            </c15:filteredAreaSeries>
            <c15:filteredArea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ch_latest!$N$2:$N$66</c15:sqref>
                        </c15:formulaRef>
                      </c:ext>
                    </c:extLst>
                    <c:numCache>
                      <c:formatCode>General</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numCache>
                  </c:numRef>
                </c:val>
                <c:extLst xmlns:c15="http://schemas.microsoft.com/office/drawing/2012/chart">
                  <c:ext xmlns:c16="http://schemas.microsoft.com/office/drawing/2014/chart" uri="{C3380CC4-5D6E-409C-BE32-E72D297353CC}">
                    <c16:uniqueId val="{0000000A-503A-464F-BA74-C113BE961252}"/>
                  </c:ext>
                </c:extLst>
              </c15:ser>
            </c15:filteredAreaSeries>
            <c15:filteredArea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ch_latest!$O$2:$O$66</c15:sqref>
                        </c15:formulaRef>
                      </c:ext>
                    </c:extLst>
                    <c:numCache>
                      <c:formatCode>General</c:formatCode>
                      <c:ptCount val="65"/>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3</c:v>
                      </c:pt>
                      <c:pt idx="19">
                        <c:v>8</c:v>
                      </c:pt>
                      <c:pt idx="20">
                        <c:v>9</c:v>
                      </c:pt>
                      <c:pt idx="21">
                        <c:v>7</c:v>
                      </c:pt>
                      <c:pt idx="22">
                        <c:v>11</c:v>
                      </c:pt>
                      <c:pt idx="23">
                        <c:v>9</c:v>
                      </c:pt>
                      <c:pt idx="24">
                        <c:v>21</c:v>
                      </c:pt>
                      <c:pt idx="25">
                        <c:v>20</c:v>
                      </c:pt>
                      <c:pt idx="26">
                        <c:v>15</c:v>
                      </c:pt>
                      <c:pt idx="27">
                        <c:v>30</c:v>
                      </c:pt>
                      <c:pt idx="28">
                        <c:v>22</c:v>
                      </c:pt>
                      <c:pt idx="29">
                        <c:v>35</c:v>
                      </c:pt>
                      <c:pt idx="30">
                        <c:v>46</c:v>
                      </c:pt>
                      <c:pt idx="31">
                        <c:v>36</c:v>
                      </c:pt>
                      <c:pt idx="32">
                        <c:v>52</c:v>
                      </c:pt>
                      <c:pt idx="33">
                        <c:v>44</c:v>
                      </c:pt>
                      <c:pt idx="34">
                        <c:v>59</c:v>
                      </c:pt>
                      <c:pt idx="35">
                        <c:v>66</c:v>
                      </c:pt>
                      <c:pt idx="36">
                        <c:v>63</c:v>
                      </c:pt>
                      <c:pt idx="37">
                        <c:v>61</c:v>
                      </c:pt>
                      <c:pt idx="38">
                        <c:v>61</c:v>
                      </c:pt>
                      <c:pt idx="39">
                        <c:v>66</c:v>
                      </c:pt>
                      <c:pt idx="40">
                        <c:v>52</c:v>
                      </c:pt>
                      <c:pt idx="41">
                        <c:v>59</c:v>
                      </c:pt>
                      <c:pt idx="42">
                        <c:v>60</c:v>
                      </c:pt>
                      <c:pt idx="43">
                        <c:v>68</c:v>
                      </c:pt>
                      <c:pt idx="44">
                        <c:v>51</c:v>
                      </c:pt>
                      <c:pt idx="45">
                        <c:v>50</c:v>
                      </c:pt>
                      <c:pt idx="46">
                        <c:v>37</c:v>
                      </c:pt>
                      <c:pt idx="47">
                        <c:v>56</c:v>
                      </c:pt>
                      <c:pt idx="48">
                        <c:v>30</c:v>
                      </c:pt>
                      <c:pt idx="49">
                        <c:v>38</c:v>
                      </c:pt>
                      <c:pt idx="50">
                        <c:v>53</c:v>
                      </c:pt>
                      <c:pt idx="51">
                        <c:v>45</c:v>
                      </c:pt>
                      <c:pt idx="52">
                        <c:v>46</c:v>
                      </c:pt>
                      <c:pt idx="53">
                        <c:v>42</c:v>
                      </c:pt>
                      <c:pt idx="54">
                        <c:v>24</c:v>
                      </c:pt>
                      <c:pt idx="55">
                        <c:v>41</c:v>
                      </c:pt>
                      <c:pt idx="56">
                        <c:v>41</c:v>
                      </c:pt>
                      <c:pt idx="57">
                        <c:v>26</c:v>
                      </c:pt>
                      <c:pt idx="58">
                        <c:v>29</c:v>
                      </c:pt>
                      <c:pt idx="59">
                        <c:v>28</c:v>
                      </c:pt>
                      <c:pt idx="60">
                        <c:v>24</c:v>
                      </c:pt>
                      <c:pt idx="61">
                        <c:v>15</c:v>
                      </c:pt>
                      <c:pt idx="62">
                        <c:v>17</c:v>
                      </c:pt>
                      <c:pt idx="63">
                        <c:v>18</c:v>
                      </c:pt>
                      <c:pt idx="64">
                        <c:v>4</c:v>
                      </c:pt>
                    </c:numCache>
                  </c:numRef>
                </c:val>
                <c:extLst xmlns:c15="http://schemas.microsoft.com/office/drawing/2012/chart">
                  <c:ext xmlns:c16="http://schemas.microsoft.com/office/drawing/2014/chart" uri="{C3380CC4-5D6E-409C-BE32-E72D297353CC}">
                    <c16:uniqueId val="{0000000B-503A-464F-BA74-C113BE961252}"/>
                  </c:ext>
                </c:extLst>
              </c15:ser>
            </c15:filteredAreaSeries>
            <c15:filteredArea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ch_latest!$P$2:$P$66</c15:sqref>
                        </c15:formulaRef>
                      </c:ext>
                    </c:extLst>
                    <c:numCache>
                      <c:formatCode>General</c:formatCode>
                      <c:ptCount val="65"/>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13</c:v>
                      </c:pt>
                      <c:pt idx="20">
                        <c:v>21</c:v>
                      </c:pt>
                      <c:pt idx="21">
                        <c:v>30</c:v>
                      </c:pt>
                      <c:pt idx="22">
                        <c:v>37</c:v>
                      </c:pt>
                      <c:pt idx="23">
                        <c:v>48</c:v>
                      </c:pt>
                      <c:pt idx="24">
                        <c:v>57</c:v>
                      </c:pt>
                      <c:pt idx="25">
                        <c:v>78</c:v>
                      </c:pt>
                      <c:pt idx="26">
                        <c:v>98</c:v>
                      </c:pt>
                      <c:pt idx="27">
                        <c:v>113</c:v>
                      </c:pt>
                      <c:pt idx="28">
                        <c:v>143</c:v>
                      </c:pt>
                      <c:pt idx="29">
                        <c:v>165</c:v>
                      </c:pt>
                      <c:pt idx="30">
                        <c:v>200</c:v>
                      </c:pt>
                      <c:pt idx="31">
                        <c:v>246</c:v>
                      </c:pt>
                      <c:pt idx="32">
                        <c:v>282</c:v>
                      </c:pt>
                      <c:pt idx="33">
                        <c:v>334</c:v>
                      </c:pt>
                      <c:pt idx="34">
                        <c:v>378</c:v>
                      </c:pt>
                      <c:pt idx="35">
                        <c:v>437</c:v>
                      </c:pt>
                      <c:pt idx="36">
                        <c:v>503</c:v>
                      </c:pt>
                      <c:pt idx="37">
                        <c:v>566</c:v>
                      </c:pt>
                      <c:pt idx="38">
                        <c:v>627</c:v>
                      </c:pt>
                      <c:pt idx="39">
                        <c:v>688</c:v>
                      </c:pt>
                      <c:pt idx="40">
                        <c:v>754</c:v>
                      </c:pt>
                      <c:pt idx="41">
                        <c:v>806</c:v>
                      </c:pt>
                      <c:pt idx="42">
                        <c:v>865</c:v>
                      </c:pt>
                      <c:pt idx="43">
                        <c:v>925</c:v>
                      </c:pt>
                      <c:pt idx="44">
                        <c:v>993</c:v>
                      </c:pt>
                      <c:pt idx="45">
                        <c:v>1044</c:v>
                      </c:pt>
                      <c:pt idx="46">
                        <c:v>1094</c:v>
                      </c:pt>
                      <c:pt idx="47">
                        <c:v>1131</c:v>
                      </c:pt>
                      <c:pt idx="48">
                        <c:v>1187</c:v>
                      </c:pt>
                      <c:pt idx="49">
                        <c:v>1217</c:v>
                      </c:pt>
                      <c:pt idx="50">
                        <c:v>1255</c:v>
                      </c:pt>
                      <c:pt idx="51">
                        <c:v>1308</c:v>
                      </c:pt>
                      <c:pt idx="52">
                        <c:v>1353</c:v>
                      </c:pt>
                      <c:pt idx="53">
                        <c:v>1399</c:v>
                      </c:pt>
                      <c:pt idx="54">
                        <c:v>1441</c:v>
                      </c:pt>
                      <c:pt idx="55">
                        <c:v>1465</c:v>
                      </c:pt>
                      <c:pt idx="56">
                        <c:v>1506</c:v>
                      </c:pt>
                      <c:pt idx="57">
                        <c:v>1547</c:v>
                      </c:pt>
                      <c:pt idx="58">
                        <c:v>1573</c:v>
                      </c:pt>
                      <c:pt idx="59">
                        <c:v>1602</c:v>
                      </c:pt>
                      <c:pt idx="60">
                        <c:v>1630</c:v>
                      </c:pt>
                      <c:pt idx="61">
                        <c:v>1654</c:v>
                      </c:pt>
                      <c:pt idx="62">
                        <c:v>1669</c:v>
                      </c:pt>
                      <c:pt idx="63">
                        <c:v>1686</c:v>
                      </c:pt>
                      <c:pt idx="64">
                        <c:v>1704</c:v>
                      </c:pt>
                    </c:numCache>
                  </c:numRef>
                </c:val>
                <c:extLst xmlns:c15="http://schemas.microsoft.com/office/drawing/2012/chart">
                  <c:ext xmlns:c16="http://schemas.microsoft.com/office/drawing/2014/chart" uri="{C3380CC4-5D6E-409C-BE32-E72D297353CC}">
                    <c16:uniqueId val="{0000000C-503A-464F-BA74-C113BE961252}"/>
                  </c:ext>
                </c:extLst>
              </c15:ser>
            </c15:filteredAreaSeries>
            <c15:filteredArea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ch_latest!$Q$2:$Q$66</c15:sqref>
                        </c15:formulaRef>
                      </c:ext>
                    </c:extLst>
                    <c:numCache>
                      <c:formatCode>General</c:formatCode>
                      <c:ptCount val="65"/>
                      <c:pt idx="0">
                        <c:v>0</c:v>
                      </c:pt>
                      <c:pt idx="1">
                        <c:v>0</c:v>
                      </c:pt>
                      <c:pt idx="2">
                        <c:v>0</c:v>
                      </c:pt>
                      <c:pt idx="3">
                        <c:v>0</c:v>
                      </c:pt>
                      <c:pt idx="4">
                        <c:v>0</c:v>
                      </c:pt>
                      <c:pt idx="5">
                        <c:v>1.05155</c:v>
                      </c:pt>
                      <c:pt idx="6">
                        <c:v>1.1878029999999999</c:v>
                      </c:pt>
                      <c:pt idx="7">
                        <c:v>1.5773239999999999</c:v>
                      </c:pt>
                      <c:pt idx="8">
                        <c:v>1.992815</c:v>
                      </c:pt>
                      <c:pt idx="9">
                        <c:v>1.95258</c:v>
                      </c:pt>
                      <c:pt idx="10">
                        <c:v>1.811061</c:v>
                      </c:pt>
                      <c:pt idx="11">
                        <c:v>1.7953969999999999</c:v>
                      </c:pt>
                      <c:pt idx="12">
                        <c:v>1.9758830000000001</c:v>
                      </c:pt>
                      <c:pt idx="13">
                        <c:v>2.066198</c:v>
                      </c:pt>
                      <c:pt idx="14">
                        <c:v>2.2956279999999998</c:v>
                      </c:pt>
                      <c:pt idx="15">
                        <c:v>2.5696639999999999</c:v>
                      </c:pt>
                      <c:pt idx="16">
                        <c:v>2.4373520000000002</c:v>
                      </c:pt>
                      <c:pt idx="17">
                        <c:v>2.298794</c:v>
                      </c:pt>
                      <c:pt idx="18">
                        <c:v>2.3386339999999999</c:v>
                      </c:pt>
                      <c:pt idx="19">
                        <c:v>2.5962459999999998</c:v>
                      </c:pt>
                      <c:pt idx="20">
                        <c:v>2.5461670000000001</c:v>
                      </c:pt>
                      <c:pt idx="21">
                        <c:v>2.8146610000000001</c:v>
                      </c:pt>
                      <c:pt idx="22">
                        <c:v>2.8313269999999999</c:v>
                      </c:pt>
                      <c:pt idx="23">
                        <c:v>2.8748870000000002</c:v>
                      </c:pt>
                      <c:pt idx="24">
                        <c:v>2.8136139999999998</c:v>
                      </c:pt>
                      <c:pt idx="25">
                        <c:v>3.3870369999999999</c:v>
                      </c:pt>
                      <c:pt idx="26">
                        <c:v>4.2274349999999998</c:v>
                      </c:pt>
                      <c:pt idx="27">
                        <c:v>4.8581110000000001</c:v>
                      </c:pt>
                      <c:pt idx="28">
                        <c:v>5.5618290000000004</c:v>
                      </c:pt>
                      <c:pt idx="29">
                        <c:v>6.4062169999999998</c:v>
                      </c:pt>
                      <c:pt idx="30">
                        <c:v>6.4592520000000002</c:v>
                      </c:pt>
                      <c:pt idx="31">
                        <c:v>6.187684</c:v>
                      </c:pt>
                      <c:pt idx="32">
                        <c:v>7.8304140000000002</c:v>
                      </c:pt>
                      <c:pt idx="33">
                        <c:v>9.1878799999999998</c:v>
                      </c:pt>
                      <c:pt idx="34">
                        <c:v>9.9234570000000009</c:v>
                      </c:pt>
                      <c:pt idx="35">
                        <c:v>11.105675</c:v>
                      </c:pt>
                      <c:pt idx="36">
                        <c:v>12.708921</c:v>
                      </c:pt>
                      <c:pt idx="37">
                        <c:v>12.82465</c:v>
                      </c:pt>
                      <c:pt idx="38">
                        <c:v>12.501239</c:v>
                      </c:pt>
                      <c:pt idx="39">
                        <c:v>14.68956</c:v>
                      </c:pt>
                      <c:pt idx="40">
                        <c:v>17.351711999999999</c:v>
                      </c:pt>
                      <c:pt idx="41">
                        <c:v>19.553027</c:v>
                      </c:pt>
                      <c:pt idx="42">
                        <c:v>22.812736999999998</c:v>
                      </c:pt>
                      <c:pt idx="43">
                        <c:v>25.701111999999998</c:v>
                      </c:pt>
                      <c:pt idx="44">
                        <c:v>25.553325999999998</c:v>
                      </c:pt>
                      <c:pt idx="45">
                        <c:v>25.467960000000001</c:v>
                      </c:pt>
                      <c:pt idx="46">
                        <c:v>28.643042999999999</c:v>
                      </c:pt>
                      <c:pt idx="47">
                        <c:v>33.589492</c:v>
                      </c:pt>
                      <c:pt idx="48">
                        <c:v>41.044998</c:v>
                      </c:pt>
                      <c:pt idx="49">
                        <c:v>50.103155999999998</c:v>
                      </c:pt>
                      <c:pt idx="50">
                        <c:v>54.989438999999997</c:v>
                      </c:pt>
                      <c:pt idx="51">
                        <c:v>62.060343000000003</c:v>
                      </c:pt>
                      <c:pt idx="52">
                        <c:v>61.083638999999998</c:v>
                      </c:pt>
                      <c:pt idx="53">
                        <c:v>60.032530000000001</c:v>
                      </c:pt>
                      <c:pt idx="54">
                        <c:v>66.871260000000007</c:v>
                      </c:pt>
                      <c:pt idx="55">
                        <c:v>73.617097000000001</c:v>
                      </c:pt>
                      <c:pt idx="56">
                        <c:v>83.323183</c:v>
                      </c:pt>
                      <c:pt idx="57">
                        <c:v>93.587773999999996</c:v>
                      </c:pt>
                      <c:pt idx="58">
                        <c:v>101.98912300000001</c:v>
                      </c:pt>
                      <c:pt idx="59">
                        <c:v>101.27400400000001</c:v>
                      </c:pt>
                      <c:pt idx="60">
                        <c:v>109.00396499999999</c:v>
                      </c:pt>
                      <c:pt idx="61">
                        <c:v>119.972234</c:v>
                      </c:pt>
                      <c:pt idx="62">
                        <c:v>131.184438</c:v>
                      </c:pt>
                      <c:pt idx="63">
                        <c:v>162.82407599999999</c:v>
                      </c:pt>
                      <c:pt idx="64">
                        <c:v>199.36436499999999</c:v>
                      </c:pt>
                    </c:numCache>
                  </c:numRef>
                </c:val>
                <c:extLst xmlns:c15="http://schemas.microsoft.com/office/drawing/2012/chart">
                  <c:ext xmlns:c16="http://schemas.microsoft.com/office/drawing/2014/chart" uri="{C3380CC4-5D6E-409C-BE32-E72D297353CC}">
                    <c16:uniqueId val="{00000000-71F8-4929-9113-196FB8E54065}"/>
                  </c:ext>
                </c:extLst>
              </c15:ser>
            </c15:filteredAreaSeries>
            <c15:filteredArea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ch_latest!$R$2:$R$66</c15:sqref>
                        </c15:formulaRef>
                      </c:ext>
                    </c:extLst>
                    <c:numCache>
                      <c:formatCode>General</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1.85155</c:v>
                      </c:pt>
                      <c:pt idx="19">
                        <c:v>2.0900240000000001</c:v>
                      </c:pt>
                      <c:pt idx="20">
                        <c:v>1.934264</c:v>
                      </c:pt>
                      <c:pt idx="21">
                        <c:v>2.4515470000000001</c:v>
                      </c:pt>
                      <c:pt idx="22">
                        <c:v>2.2094230000000001</c:v>
                      </c:pt>
                      <c:pt idx="23">
                        <c:v>2.3447209999999998</c:v>
                      </c:pt>
                      <c:pt idx="24">
                        <c:v>2.6411920000000002</c:v>
                      </c:pt>
                      <c:pt idx="25">
                        <c:v>2.9277099999999998</c:v>
                      </c:pt>
                      <c:pt idx="26">
                        <c:v>3.1041910000000001</c:v>
                      </c:pt>
                      <c:pt idx="27">
                        <c:v>3.1747869999999998</c:v>
                      </c:pt>
                      <c:pt idx="28">
                        <c:v>3.260659</c:v>
                      </c:pt>
                      <c:pt idx="29">
                        <c:v>3.6806549999999998</c:v>
                      </c:pt>
                      <c:pt idx="30">
                        <c:v>3.7656139999999998</c:v>
                      </c:pt>
                      <c:pt idx="31">
                        <c:v>3.7896809999999999</c:v>
                      </c:pt>
                      <c:pt idx="32">
                        <c:v>4.0855249999999996</c:v>
                      </c:pt>
                      <c:pt idx="33">
                        <c:v>4.1808810000000003</c:v>
                      </c:pt>
                      <c:pt idx="34">
                        <c:v>4.4340659999999996</c:v>
                      </c:pt>
                      <c:pt idx="35">
                        <c:v>4.8454300000000003</c:v>
                      </c:pt>
                      <c:pt idx="36">
                        <c:v>4.9745949999999999</c:v>
                      </c:pt>
                      <c:pt idx="37">
                        <c:v>5.5028670000000002</c:v>
                      </c:pt>
                      <c:pt idx="38">
                        <c:v>5.7868870000000001</c:v>
                      </c:pt>
                      <c:pt idx="39">
                        <c:v>6.3537949999999999</c:v>
                      </c:pt>
                      <c:pt idx="40">
                        <c:v>7.3505479999999999</c:v>
                      </c:pt>
                      <c:pt idx="41">
                        <c:v>8.1712950000000006</c:v>
                      </c:pt>
                      <c:pt idx="42">
                        <c:v>8.9128480000000003</c:v>
                      </c:pt>
                      <c:pt idx="43">
                        <c:v>9.4449190000000005</c:v>
                      </c:pt>
                      <c:pt idx="44">
                        <c:v>10.649960999999999</c:v>
                      </c:pt>
                      <c:pt idx="45">
                        <c:v>11.344016999999999</c:v>
                      </c:pt>
                      <c:pt idx="46">
                        <c:v>12.925678</c:v>
                      </c:pt>
                      <c:pt idx="47">
                        <c:v>13.896815</c:v>
                      </c:pt>
                      <c:pt idx="48">
                        <c:v>17.037890999999998</c:v>
                      </c:pt>
                      <c:pt idx="49">
                        <c:v>18.827736000000002</c:v>
                      </c:pt>
                      <c:pt idx="50">
                        <c:v>19.398657</c:v>
                      </c:pt>
                      <c:pt idx="51">
                        <c:v>19.337654000000001</c:v>
                      </c:pt>
                      <c:pt idx="52">
                        <c:v>21.090281000000001</c:v>
                      </c:pt>
                      <c:pt idx="53">
                        <c:v>20.513563999999999</c:v>
                      </c:pt>
                      <c:pt idx="54">
                        <c:v>22.400099000000001</c:v>
                      </c:pt>
                      <c:pt idx="55">
                        <c:v>24.587033000000002</c:v>
                      </c:pt>
                      <c:pt idx="56">
                        <c:v>25.865009000000001</c:v>
                      </c:pt>
                      <c:pt idx="57">
                        <c:v>29.564333000000001</c:v>
                      </c:pt>
                      <c:pt idx="58">
                        <c:v>32.721696999999999</c:v>
                      </c:pt>
                      <c:pt idx="59">
                        <c:v>32.473584000000002</c:v>
                      </c:pt>
                      <c:pt idx="60">
                        <c:v>36.972003000000001</c:v>
                      </c:pt>
                      <c:pt idx="61">
                        <c:v>45.657615</c:v>
                      </c:pt>
                      <c:pt idx="62">
                        <c:v>49.957104000000001</c:v>
                      </c:pt>
                      <c:pt idx="63">
                        <c:v>56.147481999999997</c:v>
                      </c:pt>
                      <c:pt idx="64">
                        <c:v>74.144362000000001</c:v>
                      </c:pt>
                    </c:numCache>
                  </c:numRef>
                </c:val>
                <c:extLst xmlns:c15="http://schemas.microsoft.com/office/drawing/2012/chart">
                  <c:ext xmlns:c16="http://schemas.microsoft.com/office/drawing/2014/chart" uri="{C3380CC4-5D6E-409C-BE32-E72D297353CC}">
                    <c16:uniqueId val="{00000001-71F8-4929-9113-196FB8E54065}"/>
                  </c:ext>
                </c:extLst>
              </c15:ser>
            </c15:filteredAreaSeries>
          </c:ext>
        </c:extLst>
      </c:areaChart>
      <c:lineChart>
        <c:grouping val="standard"/>
        <c:varyColors val="0"/>
        <c:ser>
          <c:idx val="2"/>
          <c:order val="0"/>
          <c:tx>
            <c:strRef>
              <c:f>ch_latest!$J$1</c:f>
              <c:strCache>
                <c:ptCount val="1"/>
                <c:pt idx="0">
                  <c:v>deaths</c:v>
                </c:pt>
              </c:strCache>
            </c:strRef>
          </c:tx>
          <c:spPr>
            <a:ln w="34925" cap="rnd">
              <a:solidFill>
                <a:schemeClr val="bg1"/>
              </a:solidFill>
              <a:round/>
            </a:ln>
            <a:effectLst>
              <a:outerShdw blurRad="57150" dist="19050" dir="5400000" algn="ctr" rotWithShape="0">
                <a:srgbClr val="000000">
                  <a:alpha val="63000"/>
                </a:srgbClr>
              </a:outerShdw>
            </a:effectLst>
          </c:spPr>
          <c:marker>
            <c:symbol val="none"/>
          </c:marker>
          <c:cat>
            <c:numRef>
              <c:f>ch_latest!$A$2:$A$66</c:f>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f>ch_latest!$J$2:$J$66</c:f>
              <c:numCache>
                <c:formatCode>General</c:formatCode>
                <c:ptCount val="65"/>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13</c:v>
                </c:pt>
                <c:pt idx="19">
                  <c:v>21</c:v>
                </c:pt>
                <c:pt idx="20">
                  <c:v>30</c:v>
                </c:pt>
                <c:pt idx="21">
                  <c:v>37</c:v>
                </c:pt>
                <c:pt idx="22">
                  <c:v>48</c:v>
                </c:pt>
                <c:pt idx="23">
                  <c:v>57</c:v>
                </c:pt>
                <c:pt idx="24">
                  <c:v>78</c:v>
                </c:pt>
                <c:pt idx="25">
                  <c:v>98</c:v>
                </c:pt>
                <c:pt idx="26">
                  <c:v>113</c:v>
                </c:pt>
                <c:pt idx="27">
                  <c:v>143</c:v>
                </c:pt>
                <c:pt idx="28">
                  <c:v>165</c:v>
                </c:pt>
                <c:pt idx="29">
                  <c:v>200</c:v>
                </c:pt>
                <c:pt idx="30">
                  <c:v>246</c:v>
                </c:pt>
                <c:pt idx="31">
                  <c:v>282</c:v>
                </c:pt>
                <c:pt idx="32">
                  <c:v>334</c:v>
                </c:pt>
                <c:pt idx="33">
                  <c:v>378</c:v>
                </c:pt>
                <c:pt idx="34">
                  <c:v>437</c:v>
                </c:pt>
                <c:pt idx="35">
                  <c:v>503</c:v>
                </c:pt>
                <c:pt idx="36">
                  <c:v>566</c:v>
                </c:pt>
                <c:pt idx="37">
                  <c:v>627</c:v>
                </c:pt>
                <c:pt idx="38">
                  <c:v>688</c:v>
                </c:pt>
                <c:pt idx="39">
                  <c:v>754</c:v>
                </c:pt>
                <c:pt idx="40">
                  <c:v>806</c:v>
                </c:pt>
                <c:pt idx="41">
                  <c:v>865</c:v>
                </c:pt>
                <c:pt idx="42">
                  <c:v>925</c:v>
                </c:pt>
                <c:pt idx="43">
                  <c:v>993</c:v>
                </c:pt>
                <c:pt idx="44">
                  <c:v>1044</c:v>
                </c:pt>
                <c:pt idx="45">
                  <c:v>1094</c:v>
                </c:pt>
                <c:pt idx="46">
                  <c:v>1131</c:v>
                </c:pt>
                <c:pt idx="47">
                  <c:v>1187</c:v>
                </c:pt>
                <c:pt idx="48">
                  <c:v>1217</c:v>
                </c:pt>
                <c:pt idx="49">
                  <c:v>1255</c:v>
                </c:pt>
                <c:pt idx="50">
                  <c:v>1308</c:v>
                </c:pt>
                <c:pt idx="51">
                  <c:v>1353</c:v>
                </c:pt>
                <c:pt idx="52">
                  <c:v>1399</c:v>
                </c:pt>
                <c:pt idx="53">
                  <c:v>1441</c:v>
                </c:pt>
                <c:pt idx="54">
                  <c:v>1465</c:v>
                </c:pt>
                <c:pt idx="55">
                  <c:v>1506</c:v>
                </c:pt>
                <c:pt idx="56">
                  <c:v>1547</c:v>
                </c:pt>
                <c:pt idx="57">
                  <c:v>1573</c:v>
                </c:pt>
                <c:pt idx="58">
                  <c:v>1602</c:v>
                </c:pt>
                <c:pt idx="59">
                  <c:v>1630</c:v>
                </c:pt>
                <c:pt idx="60">
                  <c:v>1654</c:v>
                </c:pt>
                <c:pt idx="61">
                  <c:v>1669</c:v>
                </c:pt>
                <c:pt idx="62">
                  <c:v>1686</c:v>
                </c:pt>
                <c:pt idx="63">
                  <c:v>1704</c:v>
                </c:pt>
                <c:pt idx="64">
                  <c:v>1708</c:v>
                </c:pt>
              </c:numCache>
            </c:numRef>
          </c:val>
          <c:smooth val="0"/>
          <c:extLst xmlns:c15="http://schemas.microsoft.com/office/drawing/2012/chart">
            <c:ext xmlns:c16="http://schemas.microsoft.com/office/drawing/2014/chart" uri="{C3380CC4-5D6E-409C-BE32-E72D297353CC}">
              <c16:uniqueId val="{00000002-503A-464F-BA74-C113BE961252}"/>
            </c:ext>
          </c:extLst>
        </c:ser>
        <c:dLbls>
          <c:showLegendKey val="0"/>
          <c:showVal val="0"/>
          <c:showCatName val="0"/>
          <c:showSerName val="0"/>
          <c:showPercent val="0"/>
          <c:showBubbleSize val="0"/>
        </c:dLbls>
        <c:marker val="1"/>
        <c:smooth val="0"/>
        <c:axId val="1329134367"/>
        <c:axId val="4147887"/>
      </c:lineChart>
      <c:dateAx>
        <c:axId val="1329134367"/>
        <c:scaling>
          <c:orientation val="minMax"/>
          <c:min val="43895"/>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4147887"/>
        <c:crosses val="autoZero"/>
        <c:auto val="1"/>
        <c:lblOffset val="100"/>
        <c:baseTimeUnit val="days"/>
      </c:dateAx>
      <c:valAx>
        <c:axId val="4147887"/>
        <c:scaling>
          <c:orientation val="minMax"/>
        </c:scaling>
        <c:delete val="0"/>
        <c:axPos val="l"/>
        <c:majorGridlines>
          <c:spPr>
            <a:ln w="9525" cap="flat" cmpd="sng" algn="ctr">
              <a:solidFill>
                <a:schemeClr val="bg1">
                  <a:alpha val="58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329134367"/>
        <c:crosses val="autoZero"/>
        <c:crossBetween val="between"/>
      </c:valAx>
      <c:spPr>
        <a:noFill/>
        <a:ln>
          <a:noFill/>
        </a:ln>
        <a:effectLst/>
      </c:spPr>
    </c:plotArea>
    <c:legend>
      <c:legendPos val="b"/>
      <c:overlay val="0"/>
      <c:spPr>
        <a:noFill/>
        <a:ln>
          <a:solidFill>
            <a:sysClr val="windowText" lastClr="000000"/>
          </a:solid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253909158600149"/>
          <c:y val="2.7097451034200234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5.7173449431132124E-2"/>
          <c:y val="0.12638970157987128"/>
          <c:w val="0.90141120048978762"/>
          <c:h val="0.67277725381820308"/>
        </c:manualLayout>
      </c:layout>
      <c:barChart>
        <c:barDir val="col"/>
        <c:grouping val="clustered"/>
        <c:varyColors val="0"/>
        <c:ser>
          <c:idx val="13"/>
          <c:order val="13"/>
          <c:tx>
            <c:v>doubling_time_total_positive</c:v>
          </c:tx>
          <c:spPr>
            <a:solidFill>
              <a:srgbClr val="33CCFF"/>
            </a:solidFill>
            <a:ln>
              <a:solidFill>
                <a:srgbClr val="33CCFF"/>
              </a:solidFill>
            </a:ln>
            <a:effectLst>
              <a:outerShdw blurRad="57150" dist="19050" dir="5400000" algn="ctr" rotWithShape="0">
                <a:srgbClr val="000000">
                  <a:alpha val="63000"/>
                </a:srgbClr>
              </a:outerShdw>
            </a:effectLst>
          </c:spPr>
          <c:invertIfNegative val="0"/>
          <c:cat>
            <c:numLit>
              <c:formatCode>General</c:formatCode>
              <c:ptCount val="6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numLit>
          </c:cat>
          <c:val>
            <c:numLit>
              <c:formatCode>General</c:formatCode>
              <c:ptCount val="63"/>
              <c:pt idx="0">
                <c:v>0</c:v>
              </c:pt>
              <c:pt idx="1">
                <c:v>0</c:v>
              </c:pt>
              <c:pt idx="2">
                <c:v>0</c:v>
              </c:pt>
              <c:pt idx="3">
                <c:v>0</c:v>
              </c:pt>
              <c:pt idx="4">
                <c:v>0</c:v>
              </c:pt>
              <c:pt idx="5">
                <c:v>1.05155</c:v>
              </c:pt>
              <c:pt idx="6">
                <c:v>1.1878029999999999</c:v>
              </c:pt>
              <c:pt idx="7">
                <c:v>1.5773239999999999</c:v>
              </c:pt>
              <c:pt idx="8">
                <c:v>1.992815</c:v>
              </c:pt>
              <c:pt idx="9">
                <c:v>1.95258</c:v>
              </c:pt>
              <c:pt idx="10">
                <c:v>1.811061</c:v>
              </c:pt>
              <c:pt idx="11">
                <c:v>1.7953969999999999</c:v>
              </c:pt>
              <c:pt idx="12">
                <c:v>1.9758830000000001</c:v>
              </c:pt>
              <c:pt idx="13">
                <c:v>2.066198</c:v>
              </c:pt>
              <c:pt idx="14">
                <c:v>2.2984819999999999</c:v>
              </c:pt>
              <c:pt idx="15">
                <c:v>2.572371</c:v>
              </c:pt>
              <c:pt idx="16">
                <c:v>2.4389759999999998</c:v>
              </c:pt>
              <c:pt idx="17">
                <c:v>2.2998769999999999</c:v>
              </c:pt>
              <c:pt idx="18">
                <c:v>2.3386339999999999</c:v>
              </c:pt>
              <c:pt idx="19">
                <c:v>2.599326</c:v>
              </c:pt>
              <c:pt idx="20">
                <c:v>2.5428359999999999</c:v>
              </c:pt>
              <c:pt idx="21">
                <c:v>2.8118690000000002</c:v>
              </c:pt>
              <c:pt idx="22">
                <c:v>2.824398</c:v>
              </c:pt>
              <c:pt idx="23">
                <c:v>2.8622719999999999</c:v>
              </c:pt>
              <c:pt idx="24">
                <c:v>2.7956750000000001</c:v>
              </c:pt>
              <c:pt idx="25">
                <c:v>3.3748990000000001</c:v>
              </c:pt>
              <c:pt idx="26">
                <c:v>4.2095250000000002</c:v>
              </c:pt>
              <c:pt idx="27">
                <c:v>4.8521809999999999</c:v>
              </c:pt>
              <c:pt idx="28">
                <c:v>5.5838770000000002</c:v>
              </c:pt>
              <c:pt idx="29">
                <c:v>6.427276</c:v>
              </c:pt>
              <c:pt idx="30">
                <c:v>6.4785810000000001</c:v>
              </c:pt>
              <c:pt idx="31">
                <c:v>6.2047790000000003</c:v>
              </c:pt>
              <c:pt idx="32">
                <c:v>7.8493029999999999</c:v>
              </c:pt>
              <c:pt idx="33">
                <c:v>9.208202</c:v>
              </c:pt>
              <c:pt idx="34">
                <c:v>9.9458950000000002</c:v>
              </c:pt>
              <c:pt idx="35">
                <c:v>11.129006</c:v>
              </c:pt>
              <c:pt idx="36">
                <c:v>12.736124</c:v>
              </c:pt>
              <c:pt idx="37">
                <c:v>12.850652999999999</c:v>
              </c:pt>
              <c:pt idx="38">
                <c:v>12.525482999999999</c:v>
              </c:pt>
              <c:pt idx="39">
                <c:v>14.720102000000001</c:v>
              </c:pt>
              <c:pt idx="40">
                <c:v>17.387846</c:v>
              </c:pt>
              <c:pt idx="41">
                <c:v>19.587306999999999</c:v>
              </c:pt>
              <c:pt idx="42">
                <c:v>22.858587</c:v>
              </c:pt>
              <c:pt idx="43">
                <c:v>25.752801000000002</c:v>
              </c:pt>
              <c:pt idx="44">
                <c:v>25.594439999999999</c:v>
              </c:pt>
              <c:pt idx="45">
                <c:v>25.508181</c:v>
              </c:pt>
              <c:pt idx="46">
                <c:v>28.688210000000002</c:v>
              </c:pt>
              <c:pt idx="47">
                <c:v>33.629348</c:v>
              </c:pt>
              <c:pt idx="48">
                <c:v>41.092773000000001</c:v>
              </c:pt>
              <c:pt idx="49">
                <c:v>50.160316999999999</c:v>
              </c:pt>
              <c:pt idx="50">
                <c:v>55.051234000000001</c:v>
              </c:pt>
              <c:pt idx="51">
                <c:v>62.129058999999998</c:v>
              </c:pt>
              <c:pt idx="52">
                <c:v>61.110999999999997</c:v>
              </c:pt>
              <c:pt idx="53">
                <c:v>60.059826999999999</c:v>
              </c:pt>
              <c:pt idx="54">
                <c:v>66.896500000000003</c:v>
              </c:pt>
              <c:pt idx="55">
                <c:v>73.639364</c:v>
              </c:pt>
              <c:pt idx="56">
                <c:v>83.411051</c:v>
              </c:pt>
              <c:pt idx="57">
                <c:v>93.958127000000005</c:v>
              </c:pt>
              <c:pt idx="58">
                <c:v>106.157614</c:v>
              </c:pt>
              <c:pt idx="59">
                <c:v>108.343037</c:v>
              </c:pt>
              <c:pt idx="60">
                <c:v>117.73728199999999</c:v>
              </c:pt>
              <c:pt idx="61">
                <c:v>133.01694800000001</c:v>
              </c:pt>
              <c:pt idx="62">
                <c:v>162.27365399999999</c:v>
              </c:pt>
            </c:numLit>
          </c:val>
          <c:extLst>
            <c:ext xmlns:c16="http://schemas.microsoft.com/office/drawing/2014/chart" uri="{C3380CC4-5D6E-409C-BE32-E72D297353CC}">
              <c16:uniqueId val="{00000000-84A1-4D71-B585-618A414EE633}"/>
            </c:ext>
          </c:extLst>
        </c:ser>
        <c:dLbls>
          <c:showLegendKey val="0"/>
          <c:showVal val="0"/>
          <c:showCatName val="0"/>
          <c:showSerName val="0"/>
          <c:showPercent val="0"/>
          <c:showBubbleSize val="0"/>
        </c:dLbls>
        <c:gapWidth val="150"/>
        <c:axId val="89998336"/>
        <c:axId val="10938272"/>
        <c:extLst>
          <c:ext xmlns:c15="http://schemas.microsoft.com/office/drawing/2012/chart" uri="{02D57815-91ED-43cb-92C2-25804820EDAC}">
            <c15:filteredBarSeries>
              <c15:ser>
                <c:idx val="0"/>
                <c:order val="0"/>
                <c:tx>
                  <c:strRef>
                    <c:extLst>
                      <c:ext uri="{02D57815-91ED-43cb-92C2-25804820EDAC}">
                        <c15:formulaRef>
                          <c15:sqref>ch_latest!$D$1</c15:sqref>
                        </c15:formulaRef>
                      </c:ext>
                    </c:extLst>
                    <c:strCache>
                      <c:ptCount val="1"/>
                      <c:pt idx="0">
                        <c:v>intensive_care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c:ex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c:ext uri="{02D57815-91ED-43cb-92C2-25804820EDAC}">
                        <c15:formulaRef>
                          <c15:sqref>ch_latest!$D$2:$D$66</c15:sqref>
                        </c15:formulaRef>
                      </c:ext>
                    </c:extLst>
                    <c:numCache>
                      <c:formatCode>General</c:formatCode>
                      <c:ptCount val="65"/>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33</c:v>
                      </c:pt>
                      <c:pt idx="18">
                        <c:v>36</c:v>
                      </c:pt>
                      <c:pt idx="19">
                        <c:v>40</c:v>
                      </c:pt>
                      <c:pt idx="20">
                        <c:v>51</c:v>
                      </c:pt>
                      <c:pt idx="21">
                        <c:v>65</c:v>
                      </c:pt>
                      <c:pt idx="22">
                        <c:v>68</c:v>
                      </c:pt>
                      <c:pt idx="23">
                        <c:v>107</c:v>
                      </c:pt>
                      <c:pt idx="24">
                        <c:v>116</c:v>
                      </c:pt>
                      <c:pt idx="25">
                        <c:v>137</c:v>
                      </c:pt>
                      <c:pt idx="26">
                        <c:v>168</c:v>
                      </c:pt>
                      <c:pt idx="27">
                        <c:v>202</c:v>
                      </c:pt>
                      <c:pt idx="28">
                        <c:v>204</c:v>
                      </c:pt>
                      <c:pt idx="29">
                        <c:v>239</c:v>
                      </c:pt>
                      <c:pt idx="30">
                        <c:v>268</c:v>
                      </c:pt>
                      <c:pt idx="31">
                        <c:v>292</c:v>
                      </c:pt>
                      <c:pt idx="32">
                        <c:v>323</c:v>
                      </c:pt>
                      <c:pt idx="33">
                        <c:v>337</c:v>
                      </c:pt>
                      <c:pt idx="34">
                        <c:v>384</c:v>
                      </c:pt>
                      <c:pt idx="35">
                        <c:v>410</c:v>
                      </c:pt>
                      <c:pt idx="36">
                        <c:v>441</c:v>
                      </c:pt>
                      <c:pt idx="37">
                        <c:v>446</c:v>
                      </c:pt>
                      <c:pt idx="38">
                        <c:v>456</c:v>
                      </c:pt>
                      <c:pt idx="39">
                        <c:v>458</c:v>
                      </c:pt>
                      <c:pt idx="40">
                        <c:v>448</c:v>
                      </c:pt>
                      <c:pt idx="41">
                        <c:v>447</c:v>
                      </c:pt>
                      <c:pt idx="42">
                        <c:v>441</c:v>
                      </c:pt>
                      <c:pt idx="43">
                        <c:v>438</c:v>
                      </c:pt>
                      <c:pt idx="44">
                        <c:v>430</c:v>
                      </c:pt>
                      <c:pt idx="45">
                        <c:v>418</c:v>
                      </c:pt>
                      <c:pt idx="46">
                        <c:v>418</c:v>
                      </c:pt>
                      <c:pt idx="47">
                        <c:v>407</c:v>
                      </c:pt>
                      <c:pt idx="48">
                        <c:v>403</c:v>
                      </c:pt>
                      <c:pt idx="49">
                        <c:v>390</c:v>
                      </c:pt>
                      <c:pt idx="50">
                        <c:v>368</c:v>
                      </c:pt>
                      <c:pt idx="51">
                        <c:v>348</c:v>
                      </c:pt>
                      <c:pt idx="52">
                        <c:v>335</c:v>
                      </c:pt>
                      <c:pt idx="53">
                        <c:v>321</c:v>
                      </c:pt>
                      <c:pt idx="54">
                        <c:v>313</c:v>
                      </c:pt>
                      <c:pt idx="55">
                        <c:v>301</c:v>
                      </c:pt>
                      <c:pt idx="56">
                        <c:v>286</c:v>
                      </c:pt>
                      <c:pt idx="57">
                        <c:v>255</c:v>
                      </c:pt>
                      <c:pt idx="58">
                        <c:v>247</c:v>
                      </c:pt>
                      <c:pt idx="59">
                        <c:v>242</c:v>
                      </c:pt>
                      <c:pt idx="60">
                        <c:v>233</c:v>
                      </c:pt>
                      <c:pt idx="61">
                        <c:v>212</c:v>
                      </c:pt>
                      <c:pt idx="62">
                        <c:v>204</c:v>
                      </c:pt>
                      <c:pt idx="63">
                        <c:v>188</c:v>
                      </c:pt>
                      <c:pt idx="64">
                        <c:v>194</c:v>
                      </c:pt>
                    </c:numCache>
                  </c:numRef>
                </c:val>
                <c:extLst>
                  <c:ext xmlns:c16="http://schemas.microsoft.com/office/drawing/2014/chart" uri="{C3380CC4-5D6E-409C-BE32-E72D297353CC}">
                    <c16:uniqueId val="{00000000-0070-4142-9DD7-3059914A0F04}"/>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ch_latest!$E$2:$E$66</c15:sqref>
                        </c15:formulaRef>
                      </c:ext>
                    </c:extLst>
                    <c:numCache>
                      <c:formatCode>General</c:formatCode>
                      <c:ptCount val="65"/>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238</c:v>
                      </c:pt>
                      <c:pt idx="18">
                        <c:v>263</c:v>
                      </c:pt>
                      <c:pt idx="19">
                        <c:v>287</c:v>
                      </c:pt>
                      <c:pt idx="20">
                        <c:v>360</c:v>
                      </c:pt>
                      <c:pt idx="21">
                        <c:v>427</c:v>
                      </c:pt>
                      <c:pt idx="22">
                        <c:v>490</c:v>
                      </c:pt>
                      <c:pt idx="23">
                        <c:v>689</c:v>
                      </c:pt>
                      <c:pt idx="24">
                        <c:v>797</c:v>
                      </c:pt>
                      <c:pt idx="25">
                        <c:v>904</c:v>
                      </c:pt>
                      <c:pt idx="26">
                        <c:v>1090</c:v>
                      </c:pt>
                      <c:pt idx="27">
                        <c:v>1207</c:v>
                      </c:pt>
                      <c:pt idx="28">
                        <c:v>1364</c:v>
                      </c:pt>
                      <c:pt idx="29">
                        <c:v>1464</c:v>
                      </c:pt>
                      <c:pt idx="30">
                        <c:v>1610</c:v>
                      </c:pt>
                      <c:pt idx="31">
                        <c:v>1792</c:v>
                      </c:pt>
                      <c:pt idx="32">
                        <c:v>1880</c:v>
                      </c:pt>
                      <c:pt idx="33">
                        <c:v>1994</c:v>
                      </c:pt>
                      <c:pt idx="34">
                        <c:v>2179</c:v>
                      </c:pt>
                      <c:pt idx="35">
                        <c:v>2207</c:v>
                      </c:pt>
                      <c:pt idx="36">
                        <c:v>2287</c:v>
                      </c:pt>
                      <c:pt idx="37">
                        <c:v>2351</c:v>
                      </c:pt>
                      <c:pt idx="38">
                        <c:v>2332</c:v>
                      </c:pt>
                      <c:pt idx="39">
                        <c:v>2320</c:v>
                      </c:pt>
                      <c:pt idx="40">
                        <c:v>2305</c:v>
                      </c:pt>
                      <c:pt idx="41">
                        <c:v>2309</c:v>
                      </c:pt>
                      <c:pt idx="42">
                        <c:v>2227</c:v>
                      </c:pt>
                      <c:pt idx="43">
                        <c:v>2139</c:v>
                      </c:pt>
                      <c:pt idx="44">
                        <c:v>2071</c:v>
                      </c:pt>
                      <c:pt idx="45">
                        <c:v>2011</c:v>
                      </c:pt>
                      <c:pt idx="46">
                        <c:v>1936</c:v>
                      </c:pt>
                      <c:pt idx="47">
                        <c:v>1913</c:v>
                      </c:pt>
                      <c:pt idx="48">
                        <c:v>1896</c:v>
                      </c:pt>
                      <c:pt idx="49">
                        <c:v>1857</c:v>
                      </c:pt>
                      <c:pt idx="50">
                        <c:v>1734</c:v>
                      </c:pt>
                      <c:pt idx="51">
                        <c:v>1679</c:v>
                      </c:pt>
                      <c:pt idx="52">
                        <c:v>1580</c:v>
                      </c:pt>
                      <c:pt idx="53">
                        <c:v>1529</c:v>
                      </c:pt>
                      <c:pt idx="54">
                        <c:v>1523</c:v>
                      </c:pt>
                      <c:pt idx="55">
                        <c:v>1500</c:v>
                      </c:pt>
                      <c:pt idx="56">
                        <c:v>1422</c:v>
                      </c:pt>
                      <c:pt idx="57">
                        <c:v>1357</c:v>
                      </c:pt>
                      <c:pt idx="58">
                        <c:v>1306</c:v>
                      </c:pt>
                      <c:pt idx="59">
                        <c:v>1259</c:v>
                      </c:pt>
                      <c:pt idx="60">
                        <c:v>1231</c:v>
                      </c:pt>
                      <c:pt idx="61">
                        <c:v>1211</c:v>
                      </c:pt>
                      <c:pt idx="62">
                        <c:v>1190</c:v>
                      </c:pt>
                      <c:pt idx="63">
                        <c:v>1165</c:v>
                      </c:pt>
                      <c:pt idx="64">
                        <c:v>1149</c:v>
                      </c:pt>
                    </c:numCache>
                  </c:numRef>
                </c:val>
                <c:extLst xmlns:c15="http://schemas.microsoft.com/office/drawing/2012/chart">
                  <c:ext xmlns:c16="http://schemas.microsoft.com/office/drawing/2014/chart" uri="{C3380CC4-5D6E-409C-BE32-E72D297353CC}">
                    <c16:uniqueId val="{00000001-0070-4142-9DD7-3059914A0F04}"/>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ch_latest!$F$2:$F$66</c15:sqref>
                        </c15:formulaRef>
                      </c:ext>
                    </c:extLst>
                    <c:numCache>
                      <c:formatCode>General</c:formatCode>
                      <c:ptCount val="65"/>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534</c:v>
                      </c:pt>
                      <c:pt idx="15">
                        <c:v>705</c:v>
                      </c:pt>
                      <c:pt idx="16">
                        <c:v>1057</c:v>
                      </c:pt>
                      <c:pt idx="17">
                        <c:v>1409</c:v>
                      </c:pt>
                      <c:pt idx="18">
                        <c:v>1743</c:v>
                      </c:pt>
                      <c:pt idx="19">
                        <c:v>2029</c:v>
                      </c:pt>
                      <c:pt idx="20">
                        <c:v>2750</c:v>
                      </c:pt>
                      <c:pt idx="21">
                        <c:v>3621</c:v>
                      </c:pt>
                      <c:pt idx="22">
                        <c:v>4792</c:v>
                      </c:pt>
                      <c:pt idx="23">
                        <c:v>5819</c:v>
                      </c:pt>
                      <c:pt idx="24">
                        <c:v>6954</c:v>
                      </c:pt>
                      <c:pt idx="25">
                        <c:v>7651</c:v>
                      </c:pt>
                      <c:pt idx="26">
                        <c:v>8220</c:v>
                      </c:pt>
                      <c:pt idx="27">
                        <c:v>9780</c:v>
                      </c:pt>
                      <c:pt idx="28">
                        <c:v>10851</c:v>
                      </c:pt>
                      <c:pt idx="29">
                        <c:v>11945</c:v>
                      </c:pt>
                      <c:pt idx="30">
                        <c:v>13084</c:v>
                      </c:pt>
                      <c:pt idx="31">
                        <c:v>14392</c:v>
                      </c:pt>
                      <c:pt idx="32">
                        <c:v>15225</c:v>
                      </c:pt>
                      <c:pt idx="33">
                        <c:v>15823</c:v>
                      </c:pt>
                      <c:pt idx="34">
                        <c:v>16938</c:v>
                      </c:pt>
                      <c:pt idx="35">
                        <c:v>17876</c:v>
                      </c:pt>
                      <c:pt idx="36">
                        <c:v>18904</c:v>
                      </c:pt>
                      <c:pt idx="37">
                        <c:v>19949</c:v>
                      </c:pt>
                      <c:pt idx="38">
                        <c:v>20878</c:v>
                      </c:pt>
                      <c:pt idx="39">
                        <c:v>21445</c:v>
                      </c:pt>
                      <c:pt idx="40">
                        <c:v>21828</c:v>
                      </c:pt>
                      <c:pt idx="41">
                        <c:v>22570</c:v>
                      </c:pt>
                      <c:pt idx="42">
                        <c:v>23222</c:v>
                      </c:pt>
                      <c:pt idx="43">
                        <c:v>23892</c:v>
                      </c:pt>
                      <c:pt idx="44">
                        <c:v>24560</c:v>
                      </c:pt>
                      <c:pt idx="45">
                        <c:v>25010</c:v>
                      </c:pt>
                      <c:pt idx="46">
                        <c:v>25473</c:v>
                      </c:pt>
                      <c:pt idx="47">
                        <c:v>25746</c:v>
                      </c:pt>
                      <c:pt idx="48">
                        <c:v>25997</c:v>
                      </c:pt>
                      <c:pt idx="49">
                        <c:v>26319</c:v>
                      </c:pt>
                      <c:pt idx="50">
                        <c:v>26637</c:v>
                      </c:pt>
                      <c:pt idx="51">
                        <c:v>26936</c:v>
                      </c:pt>
                      <c:pt idx="52">
                        <c:v>27249</c:v>
                      </c:pt>
                      <c:pt idx="53">
                        <c:v>27542</c:v>
                      </c:pt>
                      <c:pt idx="54">
                        <c:v>27719</c:v>
                      </c:pt>
                      <c:pt idx="55">
                        <c:v>27921</c:v>
                      </c:pt>
                      <c:pt idx="56">
                        <c:v>28080</c:v>
                      </c:pt>
                      <c:pt idx="57">
                        <c:v>28277</c:v>
                      </c:pt>
                      <c:pt idx="58">
                        <c:v>28494</c:v>
                      </c:pt>
                      <c:pt idx="59">
                        <c:v>28684</c:v>
                      </c:pt>
                      <c:pt idx="60">
                        <c:v>28823</c:v>
                      </c:pt>
                      <c:pt idx="61">
                        <c:v>28903</c:v>
                      </c:pt>
                      <c:pt idx="62">
                        <c:v>29034</c:v>
                      </c:pt>
                      <c:pt idx="63">
                        <c:v>29107</c:v>
                      </c:pt>
                      <c:pt idx="64">
                        <c:v>29187</c:v>
                      </c:pt>
                    </c:numCache>
                  </c:numRef>
                </c:val>
                <c:extLst xmlns:c15="http://schemas.microsoft.com/office/drawing/2012/chart">
                  <c:ext xmlns:c16="http://schemas.microsoft.com/office/drawing/2014/chart" uri="{C3380CC4-5D6E-409C-BE32-E72D297353CC}">
                    <c16:uniqueId val="{00000002-0070-4142-9DD7-3059914A0F04}"/>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ch_latest!$G$2:$G$66</c15:sqref>
                        </c15:formulaRef>
                      </c:ext>
                    </c:extLst>
                    <c:numCache>
                      <c:formatCode>General</c:formatCode>
                      <c:ptCount val="65"/>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534</c:v>
                      </c:pt>
                      <c:pt idx="15">
                        <c:v>705</c:v>
                      </c:pt>
                      <c:pt idx="16">
                        <c:v>1057</c:v>
                      </c:pt>
                      <c:pt idx="17">
                        <c:v>1409</c:v>
                      </c:pt>
                      <c:pt idx="18">
                        <c:v>1743</c:v>
                      </c:pt>
                      <c:pt idx="19">
                        <c:v>2029</c:v>
                      </c:pt>
                      <c:pt idx="20">
                        <c:v>2750</c:v>
                      </c:pt>
                      <c:pt idx="21">
                        <c:v>3621</c:v>
                      </c:pt>
                      <c:pt idx="22">
                        <c:v>4792</c:v>
                      </c:pt>
                      <c:pt idx="23">
                        <c:v>5819</c:v>
                      </c:pt>
                      <c:pt idx="24">
                        <c:v>6954</c:v>
                      </c:pt>
                      <c:pt idx="25">
                        <c:v>7651</c:v>
                      </c:pt>
                      <c:pt idx="26">
                        <c:v>8220</c:v>
                      </c:pt>
                      <c:pt idx="27">
                        <c:v>9780</c:v>
                      </c:pt>
                      <c:pt idx="28">
                        <c:v>10851</c:v>
                      </c:pt>
                      <c:pt idx="29">
                        <c:v>11945</c:v>
                      </c:pt>
                      <c:pt idx="30">
                        <c:v>13084</c:v>
                      </c:pt>
                      <c:pt idx="31">
                        <c:v>14392</c:v>
                      </c:pt>
                      <c:pt idx="32">
                        <c:v>15225</c:v>
                      </c:pt>
                      <c:pt idx="33">
                        <c:v>15823</c:v>
                      </c:pt>
                      <c:pt idx="34">
                        <c:v>16938</c:v>
                      </c:pt>
                      <c:pt idx="35">
                        <c:v>17876</c:v>
                      </c:pt>
                      <c:pt idx="36">
                        <c:v>18904</c:v>
                      </c:pt>
                      <c:pt idx="37">
                        <c:v>19949</c:v>
                      </c:pt>
                      <c:pt idx="38">
                        <c:v>20878</c:v>
                      </c:pt>
                      <c:pt idx="39">
                        <c:v>21445</c:v>
                      </c:pt>
                      <c:pt idx="40">
                        <c:v>21828</c:v>
                      </c:pt>
                      <c:pt idx="41">
                        <c:v>22570</c:v>
                      </c:pt>
                      <c:pt idx="42">
                        <c:v>23222</c:v>
                      </c:pt>
                      <c:pt idx="43">
                        <c:v>23892</c:v>
                      </c:pt>
                      <c:pt idx="44">
                        <c:v>24560</c:v>
                      </c:pt>
                      <c:pt idx="45">
                        <c:v>25010</c:v>
                      </c:pt>
                      <c:pt idx="46">
                        <c:v>25473</c:v>
                      </c:pt>
                      <c:pt idx="47">
                        <c:v>25746</c:v>
                      </c:pt>
                      <c:pt idx="48">
                        <c:v>25997</c:v>
                      </c:pt>
                      <c:pt idx="49">
                        <c:v>26319</c:v>
                      </c:pt>
                      <c:pt idx="50">
                        <c:v>26637</c:v>
                      </c:pt>
                      <c:pt idx="51">
                        <c:v>26936</c:v>
                      </c:pt>
                      <c:pt idx="52">
                        <c:v>27249</c:v>
                      </c:pt>
                      <c:pt idx="53">
                        <c:v>27542</c:v>
                      </c:pt>
                      <c:pt idx="54">
                        <c:v>27719</c:v>
                      </c:pt>
                      <c:pt idx="55">
                        <c:v>27921</c:v>
                      </c:pt>
                      <c:pt idx="56">
                        <c:v>28080</c:v>
                      </c:pt>
                      <c:pt idx="57">
                        <c:v>28277</c:v>
                      </c:pt>
                      <c:pt idx="58">
                        <c:v>28494</c:v>
                      </c:pt>
                      <c:pt idx="59">
                        <c:v>28684</c:v>
                      </c:pt>
                      <c:pt idx="60">
                        <c:v>28823</c:v>
                      </c:pt>
                      <c:pt idx="61">
                        <c:v>28903</c:v>
                      </c:pt>
                      <c:pt idx="62">
                        <c:v>29034</c:v>
                      </c:pt>
                      <c:pt idx="63">
                        <c:v>29107</c:v>
                      </c:pt>
                      <c:pt idx="64">
                        <c:v>29187</c:v>
                      </c:pt>
                    </c:numCache>
                  </c:numRef>
                </c:val>
                <c:extLst xmlns:c15="http://schemas.microsoft.com/office/drawing/2012/chart">
                  <c:ext xmlns:c16="http://schemas.microsoft.com/office/drawing/2014/chart" uri="{C3380CC4-5D6E-409C-BE32-E72D297353CC}">
                    <c16:uniqueId val="{00000003-0070-4142-9DD7-3059914A0F04}"/>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ch_latest!$H$2:$H$66</c15:sqref>
                        </c15:formulaRef>
                      </c:ext>
                    </c:extLst>
                    <c:numCache>
                      <c:formatCode>General</c:formatCode>
                      <c:ptCount val="65"/>
                      <c:pt idx="0">
                        <c:v>72</c:v>
                      </c:pt>
                      <c:pt idx="1">
                        <c:v>177</c:v>
                      </c:pt>
                      <c:pt idx="2">
                        <c:v>328</c:v>
                      </c:pt>
                      <c:pt idx="3">
                        <c:v>535</c:v>
                      </c:pt>
                      <c:pt idx="4">
                        <c:v>675</c:v>
                      </c:pt>
                      <c:pt idx="5">
                        <c:v>811</c:v>
                      </c:pt>
                      <c:pt idx="6">
                        <c:v>1133</c:v>
                      </c:pt>
                      <c:pt idx="7">
                        <c:v>1254</c:v>
                      </c:pt>
                      <c:pt idx="8">
                        <c:v>1365</c:v>
                      </c:pt>
                      <c:pt idx="9">
                        <c:v>1432</c:v>
                      </c:pt>
                      <c:pt idx="10">
                        <c:v>1534</c:v>
                      </c:pt>
                      <c:pt idx="11">
                        <c:v>1609</c:v>
                      </c:pt>
                      <c:pt idx="12">
                        <c:v>1676</c:v>
                      </c:pt>
                      <c:pt idx="13">
                        <c:v>1783</c:v>
                      </c:pt>
                      <c:pt idx="14">
                        <c:v>1996</c:v>
                      </c:pt>
                      <c:pt idx="15">
                        <c:v>2247</c:v>
                      </c:pt>
                      <c:pt idx="16">
                        <c:v>2605</c:v>
                      </c:pt>
                      <c:pt idx="17">
                        <c:v>3050</c:v>
                      </c:pt>
                      <c:pt idx="18">
                        <c:v>3675</c:v>
                      </c:pt>
                      <c:pt idx="19">
                        <c:v>4078</c:v>
                      </c:pt>
                      <c:pt idx="20">
                        <c:v>4773</c:v>
                      </c:pt>
                      <c:pt idx="21">
                        <c:v>5406</c:v>
                      </c:pt>
                      <c:pt idx="22">
                        <c:v>6314</c:v>
                      </c:pt>
                      <c:pt idx="23">
                        <c:v>6974</c:v>
                      </c:pt>
                      <c:pt idx="24">
                        <c:v>7388</c:v>
                      </c:pt>
                      <c:pt idx="25">
                        <c:v>7750</c:v>
                      </c:pt>
                      <c:pt idx="26">
                        <c:v>7985</c:v>
                      </c:pt>
                      <c:pt idx="27">
                        <c:v>8363</c:v>
                      </c:pt>
                      <c:pt idx="28">
                        <c:v>8706</c:v>
                      </c:pt>
                      <c:pt idx="29">
                        <c:v>9111</c:v>
                      </c:pt>
                      <c:pt idx="30">
                        <c:v>10418</c:v>
                      </c:pt>
                      <c:pt idx="31">
                        <c:v>10808</c:v>
                      </c:pt>
                      <c:pt idx="32">
                        <c:v>11401</c:v>
                      </c:pt>
                      <c:pt idx="33">
                        <c:v>11710</c:v>
                      </c:pt>
                      <c:pt idx="34">
                        <c:v>12376</c:v>
                      </c:pt>
                      <c:pt idx="35">
                        <c:v>13136</c:v>
                      </c:pt>
                      <c:pt idx="36">
                        <c:v>13794</c:v>
                      </c:pt>
                      <c:pt idx="37">
                        <c:v>14743</c:v>
                      </c:pt>
                      <c:pt idx="38">
                        <c:v>15572</c:v>
                      </c:pt>
                      <c:pt idx="39">
                        <c:v>16167</c:v>
                      </c:pt>
                      <c:pt idx="40">
                        <c:v>16468</c:v>
                      </c:pt>
                      <c:pt idx="41">
                        <c:v>17111</c:v>
                      </c:pt>
                      <c:pt idx="42">
                        <c:v>17953</c:v>
                      </c:pt>
                      <c:pt idx="43">
                        <c:v>18762</c:v>
                      </c:pt>
                      <c:pt idx="44">
                        <c:v>19279</c:v>
                      </c:pt>
                      <c:pt idx="45">
                        <c:v>19695</c:v>
                      </c:pt>
                      <c:pt idx="46">
                        <c:v>20057</c:v>
                      </c:pt>
                      <c:pt idx="47">
                        <c:v>20233</c:v>
                      </c:pt>
                      <c:pt idx="48">
                        <c:v>20538</c:v>
                      </c:pt>
                      <c:pt idx="49">
                        <c:v>21085</c:v>
                      </c:pt>
                      <c:pt idx="50">
                        <c:v>21546</c:v>
                      </c:pt>
                      <c:pt idx="51">
                        <c:v>22229</c:v>
                      </c:pt>
                      <c:pt idx="52">
                        <c:v>22670</c:v>
                      </c:pt>
                      <c:pt idx="53">
                        <c:v>23112</c:v>
                      </c:pt>
                      <c:pt idx="54">
                        <c:v>23294</c:v>
                      </c:pt>
                      <c:pt idx="55">
                        <c:v>23672</c:v>
                      </c:pt>
                      <c:pt idx="56">
                        <c:v>24051</c:v>
                      </c:pt>
                      <c:pt idx="57">
                        <c:v>24414</c:v>
                      </c:pt>
                      <c:pt idx="58">
                        <c:v>24872</c:v>
                      </c:pt>
                      <c:pt idx="59">
                        <c:v>25236</c:v>
                      </c:pt>
                      <c:pt idx="60">
                        <c:v>25600</c:v>
                      </c:pt>
                      <c:pt idx="61">
                        <c:v>25797</c:v>
                      </c:pt>
                      <c:pt idx="62">
                        <c:v>25797</c:v>
                      </c:pt>
                      <c:pt idx="63">
                        <c:v>25797</c:v>
                      </c:pt>
                      <c:pt idx="64">
                        <c:v>25797</c:v>
                      </c:pt>
                    </c:numCache>
                  </c:numRef>
                </c:val>
                <c:extLst xmlns:c15="http://schemas.microsoft.com/office/drawing/2012/chart">
                  <c:ext xmlns:c16="http://schemas.microsoft.com/office/drawing/2014/chart" uri="{C3380CC4-5D6E-409C-BE32-E72D297353CC}">
                    <c16:uniqueId val="{00000004-0070-4142-9DD7-3059914A0F04}"/>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ch_latest!$I$2:$I$66</c15:sqref>
                        </c15:formulaRef>
                      </c:ext>
                    </c:extLst>
                    <c:numCache>
                      <c:formatCode>General</c:formatCode>
                      <c:ptCount val="65"/>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7</c:v>
                      </c:pt>
                      <c:pt idx="15">
                        <c:v>12</c:v>
                      </c:pt>
                      <c:pt idx="16">
                        <c:v>13</c:v>
                      </c:pt>
                      <c:pt idx="17">
                        <c:v>13</c:v>
                      </c:pt>
                      <c:pt idx="18">
                        <c:v>13</c:v>
                      </c:pt>
                      <c:pt idx="19">
                        <c:v>16</c:v>
                      </c:pt>
                      <c:pt idx="20">
                        <c:v>17</c:v>
                      </c:pt>
                      <c:pt idx="21">
                        <c:v>47</c:v>
                      </c:pt>
                      <c:pt idx="22">
                        <c:v>65</c:v>
                      </c:pt>
                      <c:pt idx="23">
                        <c:v>73</c:v>
                      </c:pt>
                      <c:pt idx="24">
                        <c:v>77</c:v>
                      </c:pt>
                      <c:pt idx="25">
                        <c:v>91</c:v>
                      </c:pt>
                      <c:pt idx="26">
                        <c:v>107</c:v>
                      </c:pt>
                      <c:pt idx="27">
                        <c:v>127</c:v>
                      </c:pt>
                      <c:pt idx="28">
                        <c:v>279</c:v>
                      </c:pt>
                      <c:pt idx="29">
                        <c:v>333</c:v>
                      </c:pt>
                      <c:pt idx="30">
                        <c:v>412</c:v>
                      </c:pt>
                      <c:pt idx="31">
                        <c:v>481</c:v>
                      </c:pt>
                      <c:pt idx="32">
                        <c:v>551</c:v>
                      </c:pt>
                      <c:pt idx="33">
                        <c:v>601</c:v>
                      </c:pt>
                      <c:pt idx="34">
                        <c:v>716</c:v>
                      </c:pt>
                      <c:pt idx="35">
                        <c:v>1083</c:v>
                      </c:pt>
                      <c:pt idx="36">
                        <c:v>1254</c:v>
                      </c:pt>
                      <c:pt idx="37">
                        <c:v>1465</c:v>
                      </c:pt>
                      <c:pt idx="38">
                        <c:v>1571</c:v>
                      </c:pt>
                      <c:pt idx="39">
                        <c:v>1726</c:v>
                      </c:pt>
                      <c:pt idx="40">
                        <c:v>1886</c:v>
                      </c:pt>
                      <c:pt idx="41">
                        <c:v>2009</c:v>
                      </c:pt>
                      <c:pt idx="42">
                        <c:v>2370</c:v>
                      </c:pt>
                      <c:pt idx="43">
                        <c:v>2587</c:v>
                      </c:pt>
                      <c:pt idx="44">
                        <c:v>2737</c:v>
                      </c:pt>
                      <c:pt idx="45">
                        <c:v>2821</c:v>
                      </c:pt>
                      <c:pt idx="46">
                        <c:v>2987</c:v>
                      </c:pt>
                      <c:pt idx="47">
                        <c:v>3089</c:v>
                      </c:pt>
                      <c:pt idx="48">
                        <c:v>3169</c:v>
                      </c:pt>
                      <c:pt idx="49">
                        <c:v>3331</c:v>
                      </c:pt>
                      <c:pt idx="50">
                        <c:v>3495</c:v>
                      </c:pt>
                      <c:pt idx="51">
                        <c:v>3655</c:v>
                      </c:pt>
                      <c:pt idx="52">
                        <c:v>3763</c:v>
                      </c:pt>
                      <c:pt idx="53">
                        <c:v>3878</c:v>
                      </c:pt>
                      <c:pt idx="54">
                        <c:v>3948</c:v>
                      </c:pt>
                      <c:pt idx="55">
                        <c:v>4084</c:v>
                      </c:pt>
                      <c:pt idx="56">
                        <c:v>4206</c:v>
                      </c:pt>
                      <c:pt idx="57">
                        <c:v>4313</c:v>
                      </c:pt>
                      <c:pt idx="58">
                        <c:v>4404</c:v>
                      </c:pt>
                      <c:pt idx="59">
                        <c:v>4482</c:v>
                      </c:pt>
                      <c:pt idx="60">
                        <c:v>4519</c:v>
                      </c:pt>
                      <c:pt idx="61">
                        <c:v>4552</c:v>
                      </c:pt>
                      <c:pt idx="62">
                        <c:v>4624</c:v>
                      </c:pt>
                      <c:pt idx="63">
                        <c:v>4669</c:v>
                      </c:pt>
                      <c:pt idx="64">
                        <c:v>4700</c:v>
                      </c:pt>
                    </c:numCache>
                  </c:numRef>
                </c:val>
                <c:extLst xmlns:c15="http://schemas.microsoft.com/office/drawing/2012/chart">
                  <c:ext xmlns:c16="http://schemas.microsoft.com/office/drawing/2014/chart" uri="{C3380CC4-5D6E-409C-BE32-E72D297353CC}">
                    <c16:uniqueId val="{00000005-0070-4142-9DD7-3059914A0F04}"/>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ch_latest!$J$1</c15:sqref>
                        </c15:formulaRef>
                      </c:ext>
                    </c:extLst>
                    <c:strCache>
                      <c:ptCount val="1"/>
                      <c:pt idx="0">
                        <c:v>deaths</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ch_latest!$J$2:$J$66</c15:sqref>
                        </c15:formulaRef>
                      </c:ext>
                    </c:extLst>
                    <c:numCache>
                      <c:formatCode>General</c:formatCode>
                      <c:ptCount val="65"/>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13</c:v>
                      </c:pt>
                      <c:pt idx="19">
                        <c:v>21</c:v>
                      </c:pt>
                      <c:pt idx="20">
                        <c:v>30</c:v>
                      </c:pt>
                      <c:pt idx="21">
                        <c:v>37</c:v>
                      </c:pt>
                      <c:pt idx="22">
                        <c:v>48</c:v>
                      </c:pt>
                      <c:pt idx="23">
                        <c:v>57</c:v>
                      </c:pt>
                      <c:pt idx="24">
                        <c:v>78</c:v>
                      </c:pt>
                      <c:pt idx="25">
                        <c:v>98</c:v>
                      </c:pt>
                      <c:pt idx="26">
                        <c:v>113</c:v>
                      </c:pt>
                      <c:pt idx="27">
                        <c:v>143</c:v>
                      </c:pt>
                      <c:pt idx="28">
                        <c:v>165</c:v>
                      </c:pt>
                      <c:pt idx="29">
                        <c:v>200</c:v>
                      </c:pt>
                      <c:pt idx="30">
                        <c:v>246</c:v>
                      </c:pt>
                      <c:pt idx="31">
                        <c:v>282</c:v>
                      </c:pt>
                      <c:pt idx="32">
                        <c:v>334</c:v>
                      </c:pt>
                      <c:pt idx="33">
                        <c:v>378</c:v>
                      </c:pt>
                      <c:pt idx="34">
                        <c:v>437</c:v>
                      </c:pt>
                      <c:pt idx="35">
                        <c:v>503</c:v>
                      </c:pt>
                      <c:pt idx="36">
                        <c:v>566</c:v>
                      </c:pt>
                      <c:pt idx="37">
                        <c:v>627</c:v>
                      </c:pt>
                      <c:pt idx="38">
                        <c:v>688</c:v>
                      </c:pt>
                      <c:pt idx="39">
                        <c:v>754</c:v>
                      </c:pt>
                      <c:pt idx="40">
                        <c:v>806</c:v>
                      </c:pt>
                      <c:pt idx="41">
                        <c:v>865</c:v>
                      </c:pt>
                      <c:pt idx="42">
                        <c:v>925</c:v>
                      </c:pt>
                      <c:pt idx="43">
                        <c:v>993</c:v>
                      </c:pt>
                      <c:pt idx="44">
                        <c:v>1044</c:v>
                      </c:pt>
                      <c:pt idx="45">
                        <c:v>1094</c:v>
                      </c:pt>
                      <c:pt idx="46">
                        <c:v>1131</c:v>
                      </c:pt>
                      <c:pt idx="47">
                        <c:v>1187</c:v>
                      </c:pt>
                      <c:pt idx="48">
                        <c:v>1217</c:v>
                      </c:pt>
                      <c:pt idx="49">
                        <c:v>1255</c:v>
                      </c:pt>
                      <c:pt idx="50">
                        <c:v>1308</c:v>
                      </c:pt>
                      <c:pt idx="51">
                        <c:v>1353</c:v>
                      </c:pt>
                      <c:pt idx="52">
                        <c:v>1399</c:v>
                      </c:pt>
                      <c:pt idx="53">
                        <c:v>1441</c:v>
                      </c:pt>
                      <c:pt idx="54">
                        <c:v>1465</c:v>
                      </c:pt>
                      <c:pt idx="55">
                        <c:v>1506</c:v>
                      </c:pt>
                      <c:pt idx="56">
                        <c:v>1547</c:v>
                      </c:pt>
                      <c:pt idx="57">
                        <c:v>1573</c:v>
                      </c:pt>
                      <c:pt idx="58">
                        <c:v>1602</c:v>
                      </c:pt>
                      <c:pt idx="59">
                        <c:v>1630</c:v>
                      </c:pt>
                      <c:pt idx="60">
                        <c:v>1654</c:v>
                      </c:pt>
                      <c:pt idx="61">
                        <c:v>1669</c:v>
                      </c:pt>
                      <c:pt idx="62">
                        <c:v>1686</c:v>
                      </c:pt>
                      <c:pt idx="63">
                        <c:v>1704</c:v>
                      </c:pt>
                      <c:pt idx="64">
                        <c:v>1708</c:v>
                      </c:pt>
                    </c:numCache>
                  </c:numRef>
                </c:val>
                <c:extLst xmlns:c15="http://schemas.microsoft.com/office/drawing/2012/chart">
                  <c:ext xmlns:c16="http://schemas.microsoft.com/office/drawing/2014/chart" uri="{C3380CC4-5D6E-409C-BE32-E72D297353CC}">
                    <c16:uniqueId val="{00000006-0070-4142-9DD7-3059914A0F04}"/>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ch_latest!$K$2:$K$66</c15:sqref>
                        </c15:formulaRef>
                      </c:ext>
                    </c:extLst>
                    <c:numCache>
                      <c:formatCode>General</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numCache>
                  </c:numRef>
                </c:val>
                <c:extLst xmlns:c15="http://schemas.microsoft.com/office/drawing/2012/chart">
                  <c:ext xmlns:c16="http://schemas.microsoft.com/office/drawing/2014/chart" uri="{C3380CC4-5D6E-409C-BE32-E72D297353CC}">
                    <c16:uniqueId val="{00000007-0070-4142-9DD7-3059914A0F04}"/>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ch_latest!$L$1</c15:sqref>
                        </c15:formulaRef>
                      </c:ext>
                    </c:extLst>
                    <c:strCache>
                      <c:ptCount val="1"/>
                      <c:pt idx="0">
                        <c:v>new_positive</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ch_latest!$L$2:$L$66</c15:sqref>
                        </c15:formulaRef>
                      </c:ext>
                    </c:extLst>
                    <c:numCache>
                      <c:formatCode>General</c:formatCode>
                      <c:ptCount val="65"/>
                      <c:pt idx="1">
                        <c:v>1</c:v>
                      </c:pt>
                      <c:pt idx="2">
                        <c:v>4</c:v>
                      </c:pt>
                      <c:pt idx="3">
                        <c:v>7</c:v>
                      </c:pt>
                      <c:pt idx="4">
                        <c:v>7</c:v>
                      </c:pt>
                      <c:pt idx="5">
                        <c:v>7</c:v>
                      </c:pt>
                      <c:pt idx="6">
                        <c:v>10</c:v>
                      </c:pt>
                      <c:pt idx="7">
                        <c:v>17</c:v>
                      </c:pt>
                      <c:pt idx="8">
                        <c:v>20</c:v>
                      </c:pt>
                      <c:pt idx="9">
                        <c:v>44</c:v>
                      </c:pt>
                      <c:pt idx="10">
                        <c:v>65</c:v>
                      </c:pt>
                      <c:pt idx="11">
                        <c:v>72</c:v>
                      </c:pt>
                      <c:pt idx="12">
                        <c:v>57</c:v>
                      </c:pt>
                      <c:pt idx="13">
                        <c:v>84</c:v>
                      </c:pt>
                      <c:pt idx="14">
                        <c:v>138</c:v>
                      </c:pt>
                      <c:pt idx="15">
                        <c:v>171</c:v>
                      </c:pt>
                      <c:pt idx="16">
                        <c:v>352</c:v>
                      </c:pt>
                      <c:pt idx="17">
                        <c:v>352</c:v>
                      </c:pt>
                      <c:pt idx="18">
                        <c:v>334</c:v>
                      </c:pt>
                      <c:pt idx="19">
                        <c:v>286</c:v>
                      </c:pt>
                      <c:pt idx="20">
                        <c:v>721</c:v>
                      </c:pt>
                      <c:pt idx="21">
                        <c:v>871</c:v>
                      </c:pt>
                      <c:pt idx="22">
                        <c:v>1171</c:v>
                      </c:pt>
                      <c:pt idx="23">
                        <c:v>1027</c:v>
                      </c:pt>
                      <c:pt idx="24">
                        <c:v>1135</c:v>
                      </c:pt>
                      <c:pt idx="25">
                        <c:v>697</c:v>
                      </c:pt>
                      <c:pt idx="26">
                        <c:v>569</c:v>
                      </c:pt>
                      <c:pt idx="27">
                        <c:v>1560</c:v>
                      </c:pt>
                      <c:pt idx="28">
                        <c:v>1071</c:v>
                      </c:pt>
                      <c:pt idx="29">
                        <c:v>1094</c:v>
                      </c:pt>
                      <c:pt idx="30">
                        <c:v>1139</c:v>
                      </c:pt>
                      <c:pt idx="31">
                        <c:v>1308</c:v>
                      </c:pt>
                      <c:pt idx="32">
                        <c:v>833</c:v>
                      </c:pt>
                      <c:pt idx="33">
                        <c:v>598</c:v>
                      </c:pt>
                      <c:pt idx="34">
                        <c:v>1115</c:v>
                      </c:pt>
                      <c:pt idx="35">
                        <c:v>938</c:v>
                      </c:pt>
                      <c:pt idx="36">
                        <c:v>1028</c:v>
                      </c:pt>
                      <c:pt idx="37">
                        <c:v>1045</c:v>
                      </c:pt>
                      <c:pt idx="38">
                        <c:v>929</c:v>
                      </c:pt>
                      <c:pt idx="39">
                        <c:v>567</c:v>
                      </c:pt>
                      <c:pt idx="40">
                        <c:v>383</c:v>
                      </c:pt>
                      <c:pt idx="41">
                        <c:v>742</c:v>
                      </c:pt>
                      <c:pt idx="42">
                        <c:v>652</c:v>
                      </c:pt>
                      <c:pt idx="43">
                        <c:v>670</c:v>
                      </c:pt>
                      <c:pt idx="44">
                        <c:v>668</c:v>
                      </c:pt>
                      <c:pt idx="45">
                        <c:v>450</c:v>
                      </c:pt>
                      <c:pt idx="46">
                        <c:v>463</c:v>
                      </c:pt>
                      <c:pt idx="47">
                        <c:v>273</c:v>
                      </c:pt>
                      <c:pt idx="48">
                        <c:v>251</c:v>
                      </c:pt>
                      <c:pt idx="49">
                        <c:v>322</c:v>
                      </c:pt>
                      <c:pt idx="50">
                        <c:v>318</c:v>
                      </c:pt>
                      <c:pt idx="51">
                        <c:v>299</c:v>
                      </c:pt>
                      <c:pt idx="52">
                        <c:v>313</c:v>
                      </c:pt>
                      <c:pt idx="53">
                        <c:v>293</c:v>
                      </c:pt>
                      <c:pt idx="54">
                        <c:v>177</c:v>
                      </c:pt>
                      <c:pt idx="55">
                        <c:v>202</c:v>
                      </c:pt>
                      <c:pt idx="56">
                        <c:v>159</c:v>
                      </c:pt>
                      <c:pt idx="57">
                        <c:v>197</c:v>
                      </c:pt>
                      <c:pt idx="58">
                        <c:v>217</c:v>
                      </c:pt>
                      <c:pt idx="59">
                        <c:v>190</c:v>
                      </c:pt>
                      <c:pt idx="60">
                        <c:v>139</c:v>
                      </c:pt>
                      <c:pt idx="61">
                        <c:v>80</c:v>
                      </c:pt>
                      <c:pt idx="62">
                        <c:v>131</c:v>
                      </c:pt>
                      <c:pt idx="63">
                        <c:v>73</c:v>
                      </c:pt>
                      <c:pt idx="64">
                        <c:v>80</c:v>
                      </c:pt>
                    </c:numCache>
                  </c:numRef>
                </c:val>
                <c:extLst xmlns:c15="http://schemas.microsoft.com/office/drawing/2012/chart">
                  <c:ext xmlns:c16="http://schemas.microsoft.com/office/drawing/2014/chart" uri="{C3380CC4-5D6E-409C-BE32-E72D297353CC}">
                    <c16:uniqueId val="{00000008-0070-4142-9DD7-3059914A0F04}"/>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ch_latest!$M$2:$M$66</c15:sqref>
                        </c15:formulaRef>
                      </c:ext>
                    </c:extLst>
                    <c:numCache>
                      <c:formatCode>General</c:formatCode>
                      <c:ptCount val="65"/>
                      <c:pt idx="0">
                        <c:v>0</c:v>
                      </c:pt>
                      <c:pt idx="1">
                        <c:v>1</c:v>
                      </c:pt>
                      <c:pt idx="2">
                        <c:v>2</c:v>
                      </c:pt>
                      <c:pt idx="3">
                        <c:v>6</c:v>
                      </c:pt>
                      <c:pt idx="4">
                        <c:v>13</c:v>
                      </c:pt>
                      <c:pt idx="5">
                        <c:v>20</c:v>
                      </c:pt>
                      <c:pt idx="6">
                        <c:v>27</c:v>
                      </c:pt>
                      <c:pt idx="7">
                        <c:v>37</c:v>
                      </c:pt>
                      <c:pt idx="8">
                        <c:v>54</c:v>
                      </c:pt>
                      <c:pt idx="9">
                        <c:v>74</c:v>
                      </c:pt>
                      <c:pt idx="10">
                        <c:v>118</c:v>
                      </c:pt>
                      <c:pt idx="11">
                        <c:v>183</c:v>
                      </c:pt>
                      <c:pt idx="12">
                        <c:v>255</c:v>
                      </c:pt>
                      <c:pt idx="13">
                        <c:v>312</c:v>
                      </c:pt>
                      <c:pt idx="14">
                        <c:v>396</c:v>
                      </c:pt>
                      <c:pt idx="15">
                        <c:v>534</c:v>
                      </c:pt>
                      <c:pt idx="16">
                        <c:v>705</c:v>
                      </c:pt>
                      <c:pt idx="17">
                        <c:v>1057</c:v>
                      </c:pt>
                      <c:pt idx="18">
                        <c:v>1409</c:v>
                      </c:pt>
                      <c:pt idx="19">
                        <c:v>1743</c:v>
                      </c:pt>
                      <c:pt idx="20">
                        <c:v>2029</c:v>
                      </c:pt>
                      <c:pt idx="21">
                        <c:v>2750</c:v>
                      </c:pt>
                      <c:pt idx="22">
                        <c:v>3621</c:v>
                      </c:pt>
                      <c:pt idx="23">
                        <c:v>4792</c:v>
                      </c:pt>
                      <c:pt idx="24">
                        <c:v>5819</c:v>
                      </c:pt>
                      <c:pt idx="25">
                        <c:v>6954</c:v>
                      </c:pt>
                      <c:pt idx="26">
                        <c:v>7651</c:v>
                      </c:pt>
                      <c:pt idx="27">
                        <c:v>8220</c:v>
                      </c:pt>
                      <c:pt idx="28">
                        <c:v>9780</c:v>
                      </c:pt>
                      <c:pt idx="29">
                        <c:v>10851</c:v>
                      </c:pt>
                      <c:pt idx="30">
                        <c:v>11945</c:v>
                      </c:pt>
                      <c:pt idx="31">
                        <c:v>13084</c:v>
                      </c:pt>
                      <c:pt idx="32">
                        <c:v>14392</c:v>
                      </c:pt>
                      <c:pt idx="33">
                        <c:v>15225</c:v>
                      </c:pt>
                      <c:pt idx="34">
                        <c:v>15823</c:v>
                      </c:pt>
                      <c:pt idx="35">
                        <c:v>16938</c:v>
                      </c:pt>
                      <c:pt idx="36">
                        <c:v>17876</c:v>
                      </c:pt>
                      <c:pt idx="37">
                        <c:v>18904</c:v>
                      </c:pt>
                      <c:pt idx="38">
                        <c:v>19949</c:v>
                      </c:pt>
                      <c:pt idx="39">
                        <c:v>20878</c:v>
                      </c:pt>
                      <c:pt idx="40">
                        <c:v>21445</c:v>
                      </c:pt>
                      <c:pt idx="41">
                        <c:v>21828</c:v>
                      </c:pt>
                      <c:pt idx="42">
                        <c:v>22570</c:v>
                      </c:pt>
                      <c:pt idx="43">
                        <c:v>23222</c:v>
                      </c:pt>
                      <c:pt idx="44">
                        <c:v>23892</c:v>
                      </c:pt>
                      <c:pt idx="45">
                        <c:v>24560</c:v>
                      </c:pt>
                      <c:pt idx="46">
                        <c:v>25010</c:v>
                      </c:pt>
                      <c:pt idx="47">
                        <c:v>25473</c:v>
                      </c:pt>
                      <c:pt idx="48">
                        <c:v>25746</c:v>
                      </c:pt>
                      <c:pt idx="49">
                        <c:v>25997</c:v>
                      </c:pt>
                      <c:pt idx="50">
                        <c:v>26319</c:v>
                      </c:pt>
                      <c:pt idx="51">
                        <c:v>26637</c:v>
                      </c:pt>
                      <c:pt idx="52">
                        <c:v>26936</c:v>
                      </c:pt>
                      <c:pt idx="53">
                        <c:v>27249</c:v>
                      </c:pt>
                      <c:pt idx="54">
                        <c:v>27542</c:v>
                      </c:pt>
                      <c:pt idx="55">
                        <c:v>27719</c:v>
                      </c:pt>
                      <c:pt idx="56">
                        <c:v>27921</c:v>
                      </c:pt>
                      <c:pt idx="57">
                        <c:v>28080</c:v>
                      </c:pt>
                      <c:pt idx="58">
                        <c:v>28277</c:v>
                      </c:pt>
                      <c:pt idx="59">
                        <c:v>28494</c:v>
                      </c:pt>
                      <c:pt idx="60">
                        <c:v>28684</c:v>
                      </c:pt>
                      <c:pt idx="61">
                        <c:v>28823</c:v>
                      </c:pt>
                      <c:pt idx="62">
                        <c:v>28903</c:v>
                      </c:pt>
                      <c:pt idx="63">
                        <c:v>29034</c:v>
                      </c:pt>
                      <c:pt idx="64">
                        <c:v>29107</c:v>
                      </c:pt>
                    </c:numCache>
                  </c:numRef>
                </c:val>
                <c:extLst xmlns:c15="http://schemas.microsoft.com/office/drawing/2012/chart">
                  <c:ext xmlns:c16="http://schemas.microsoft.com/office/drawing/2014/chart" uri="{C3380CC4-5D6E-409C-BE32-E72D297353CC}">
                    <c16:uniqueId val="{00000009-0070-4142-9DD7-3059914A0F04}"/>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ch_latest!$N$2:$N$66</c15:sqref>
                        </c15:formulaRef>
                      </c:ext>
                    </c:extLst>
                    <c:numCache>
                      <c:formatCode>General</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numCache>
                  </c:numRef>
                </c:val>
                <c:extLst xmlns:c15="http://schemas.microsoft.com/office/drawing/2012/chart">
                  <c:ext xmlns:c16="http://schemas.microsoft.com/office/drawing/2014/chart" uri="{C3380CC4-5D6E-409C-BE32-E72D297353CC}">
                    <c16:uniqueId val="{0000000A-0070-4142-9DD7-3059914A0F04}"/>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ch_latest!$O$2:$O$66</c15:sqref>
                        </c15:formulaRef>
                      </c:ext>
                    </c:extLst>
                    <c:numCache>
                      <c:formatCode>General</c:formatCode>
                      <c:ptCount val="65"/>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3</c:v>
                      </c:pt>
                      <c:pt idx="19">
                        <c:v>8</c:v>
                      </c:pt>
                      <c:pt idx="20">
                        <c:v>9</c:v>
                      </c:pt>
                      <c:pt idx="21">
                        <c:v>7</c:v>
                      </c:pt>
                      <c:pt idx="22">
                        <c:v>11</c:v>
                      </c:pt>
                      <c:pt idx="23">
                        <c:v>9</c:v>
                      </c:pt>
                      <c:pt idx="24">
                        <c:v>21</c:v>
                      </c:pt>
                      <c:pt idx="25">
                        <c:v>20</c:v>
                      </c:pt>
                      <c:pt idx="26">
                        <c:v>15</c:v>
                      </c:pt>
                      <c:pt idx="27">
                        <c:v>30</c:v>
                      </c:pt>
                      <c:pt idx="28">
                        <c:v>22</c:v>
                      </c:pt>
                      <c:pt idx="29">
                        <c:v>35</c:v>
                      </c:pt>
                      <c:pt idx="30">
                        <c:v>46</c:v>
                      </c:pt>
                      <c:pt idx="31">
                        <c:v>36</c:v>
                      </c:pt>
                      <c:pt idx="32">
                        <c:v>52</c:v>
                      </c:pt>
                      <c:pt idx="33">
                        <c:v>44</c:v>
                      </c:pt>
                      <c:pt idx="34">
                        <c:v>59</c:v>
                      </c:pt>
                      <c:pt idx="35">
                        <c:v>66</c:v>
                      </c:pt>
                      <c:pt idx="36">
                        <c:v>63</c:v>
                      </c:pt>
                      <c:pt idx="37">
                        <c:v>61</c:v>
                      </c:pt>
                      <c:pt idx="38">
                        <c:v>61</c:v>
                      </c:pt>
                      <c:pt idx="39">
                        <c:v>66</c:v>
                      </c:pt>
                      <c:pt idx="40">
                        <c:v>52</c:v>
                      </c:pt>
                      <c:pt idx="41">
                        <c:v>59</c:v>
                      </c:pt>
                      <c:pt idx="42">
                        <c:v>60</c:v>
                      </c:pt>
                      <c:pt idx="43">
                        <c:v>68</c:v>
                      </c:pt>
                      <c:pt idx="44">
                        <c:v>51</c:v>
                      </c:pt>
                      <c:pt idx="45">
                        <c:v>50</c:v>
                      </c:pt>
                      <c:pt idx="46">
                        <c:v>37</c:v>
                      </c:pt>
                      <c:pt idx="47">
                        <c:v>56</c:v>
                      </c:pt>
                      <c:pt idx="48">
                        <c:v>30</c:v>
                      </c:pt>
                      <c:pt idx="49">
                        <c:v>38</c:v>
                      </c:pt>
                      <c:pt idx="50">
                        <c:v>53</c:v>
                      </c:pt>
                      <c:pt idx="51">
                        <c:v>45</c:v>
                      </c:pt>
                      <c:pt idx="52">
                        <c:v>46</c:v>
                      </c:pt>
                      <c:pt idx="53">
                        <c:v>42</c:v>
                      </c:pt>
                      <c:pt idx="54">
                        <c:v>24</c:v>
                      </c:pt>
                      <c:pt idx="55">
                        <c:v>41</c:v>
                      </c:pt>
                      <c:pt idx="56">
                        <c:v>41</c:v>
                      </c:pt>
                      <c:pt idx="57">
                        <c:v>26</c:v>
                      </c:pt>
                      <c:pt idx="58">
                        <c:v>29</c:v>
                      </c:pt>
                      <c:pt idx="59">
                        <c:v>28</c:v>
                      </c:pt>
                      <c:pt idx="60">
                        <c:v>24</c:v>
                      </c:pt>
                      <c:pt idx="61">
                        <c:v>15</c:v>
                      </c:pt>
                      <c:pt idx="62">
                        <c:v>17</c:v>
                      </c:pt>
                      <c:pt idx="63">
                        <c:v>18</c:v>
                      </c:pt>
                      <c:pt idx="64">
                        <c:v>4</c:v>
                      </c:pt>
                    </c:numCache>
                  </c:numRef>
                </c:val>
                <c:extLst xmlns:c15="http://schemas.microsoft.com/office/drawing/2012/chart">
                  <c:ext xmlns:c16="http://schemas.microsoft.com/office/drawing/2014/chart" uri="{C3380CC4-5D6E-409C-BE32-E72D297353CC}">
                    <c16:uniqueId val="{0000000B-0070-4142-9DD7-3059914A0F04}"/>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ch_latest!$P$2:$P$66</c15:sqref>
                        </c15:formulaRef>
                      </c:ext>
                    </c:extLst>
                    <c:numCache>
                      <c:formatCode>General</c:formatCode>
                      <c:ptCount val="65"/>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13</c:v>
                      </c:pt>
                      <c:pt idx="20">
                        <c:v>21</c:v>
                      </c:pt>
                      <c:pt idx="21">
                        <c:v>30</c:v>
                      </c:pt>
                      <c:pt idx="22">
                        <c:v>37</c:v>
                      </c:pt>
                      <c:pt idx="23">
                        <c:v>48</c:v>
                      </c:pt>
                      <c:pt idx="24">
                        <c:v>57</c:v>
                      </c:pt>
                      <c:pt idx="25">
                        <c:v>78</c:v>
                      </c:pt>
                      <c:pt idx="26">
                        <c:v>98</c:v>
                      </c:pt>
                      <c:pt idx="27">
                        <c:v>113</c:v>
                      </c:pt>
                      <c:pt idx="28">
                        <c:v>143</c:v>
                      </c:pt>
                      <c:pt idx="29">
                        <c:v>165</c:v>
                      </c:pt>
                      <c:pt idx="30">
                        <c:v>200</c:v>
                      </c:pt>
                      <c:pt idx="31">
                        <c:v>246</c:v>
                      </c:pt>
                      <c:pt idx="32">
                        <c:v>282</c:v>
                      </c:pt>
                      <c:pt idx="33">
                        <c:v>334</c:v>
                      </c:pt>
                      <c:pt idx="34">
                        <c:v>378</c:v>
                      </c:pt>
                      <c:pt idx="35">
                        <c:v>437</c:v>
                      </c:pt>
                      <c:pt idx="36">
                        <c:v>503</c:v>
                      </c:pt>
                      <c:pt idx="37">
                        <c:v>566</c:v>
                      </c:pt>
                      <c:pt idx="38">
                        <c:v>627</c:v>
                      </c:pt>
                      <c:pt idx="39">
                        <c:v>688</c:v>
                      </c:pt>
                      <c:pt idx="40">
                        <c:v>754</c:v>
                      </c:pt>
                      <c:pt idx="41">
                        <c:v>806</c:v>
                      </c:pt>
                      <c:pt idx="42">
                        <c:v>865</c:v>
                      </c:pt>
                      <c:pt idx="43">
                        <c:v>925</c:v>
                      </c:pt>
                      <c:pt idx="44">
                        <c:v>993</c:v>
                      </c:pt>
                      <c:pt idx="45">
                        <c:v>1044</c:v>
                      </c:pt>
                      <c:pt idx="46">
                        <c:v>1094</c:v>
                      </c:pt>
                      <c:pt idx="47">
                        <c:v>1131</c:v>
                      </c:pt>
                      <c:pt idx="48">
                        <c:v>1187</c:v>
                      </c:pt>
                      <c:pt idx="49">
                        <c:v>1217</c:v>
                      </c:pt>
                      <c:pt idx="50">
                        <c:v>1255</c:v>
                      </c:pt>
                      <c:pt idx="51">
                        <c:v>1308</c:v>
                      </c:pt>
                      <c:pt idx="52">
                        <c:v>1353</c:v>
                      </c:pt>
                      <c:pt idx="53">
                        <c:v>1399</c:v>
                      </c:pt>
                      <c:pt idx="54">
                        <c:v>1441</c:v>
                      </c:pt>
                      <c:pt idx="55">
                        <c:v>1465</c:v>
                      </c:pt>
                      <c:pt idx="56">
                        <c:v>1506</c:v>
                      </c:pt>
                      <c:pt idx="57">
                        <c:v>1547</c:v>
                      </c:pt>
                      <c:pt idx="58">
                        <c:v>1573</c:v>
                      </c:pt>
                      <c:pt idx="59">
                        <c:v>1602</c:v>
                      </c:pt>
                      <c:pt idx="60">
                        <c:v>1630</c:v>
                      </c:pt>
                      <c:pt idx="61">
                        <c:v>1654</c:v>
                      </c:pt>
                      <c:pt idx="62">
                        <c:v>1669</c:v>
                      </c:pt>
                      <c:pt idx="63">
                        <c:v>1686</c:v>
                      </c:pt>
                      <c:pt idx="64">
                        <c:v>1704</c:v>
                      </c:pt>
                    </c:numCache>
                  </c:numRef>
                </c:val>
                <c:extLst xmlns:c15="http://schemas.microsoft.com/office/drawing/2012/chart">
                  <c:ext xmlns:c16="http://schemas.microsoft.com/office/drawing/2014/chart" uri="{C3380CC4-5D6E-409C-BE32-E72D297353CC}">
                    <c16:uniqueId val="{0000000C-0070-4142-9DD7-3059914A0F04}"/>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ch_latest!$R$2:$R$66</c15:sqref>
                        </c15:formulaRef>
                      </c:ext>
                    </c:extLst>
                    <c:numCache>
                      <c:formatCode>General</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1.85155</c:v>
                      </c:pt>
                      <c:pt idx="19">
                        <c:v>2.0900240000000001</c:v>
                      </c:pt>
                      <c:pt idx="20">
                        <c:v>1.934264</c:v>
                      </c:pt>
                      <c:pt idx="21">
                        <c:v>2.4515470000000001</c:v>
                      </c:pt>
                      <c:pt idx="22">
                        <c:v>2.2094230000000001</c:v>
                      </c:pt>
                      <c:pt idx="23">
                        <c:v>2.3447209999999998</c:v>
                      </c:pt>
                      <c:pt idx="24">
                        <c:v>2.6411920000000002</c:v>
                      </c:pt>
                      <c:pt idx="25">
                        <c:v>2.9277099999999998</c:v>
                      </c:pt>
                      <c:pt idx="26">
                        <c:v>3.1041910000000001</c:v>
                      </c:pt>
                      <c:pt idx="27">
                        <c:v>3.1747869999999998</c:v>
                      </c:pt>
                      <c:pt idx="28">
                        <c:v>3.260659</c:v>
                      </c:pt>
                      <c:pt idx="29">
                        <c:v>3.6806549999999998</c:v>
                      </c:pt>
                      <c:pt idx="30">
                        <c:v>3.7656139999999998</c:v>
                      </c:pt>
                      <c:pt idx="31">
                        <c:v>3.7896809999999999</c:v>
                      </c:pt>
                      <c:pt idx="32">
                        <c:v>4.0855249999999996</c:v>
                      </c:pt>
                      <c:pt idx="33">
                        <c:v>4.1808810000000003</c:v>
                      </c:pt>
                      <c:pt idx="34">
                        <c:v>4.4340659999999996</c:v>
                      </c:pt>
                      <c:pt idx="35">
                        <c:v>4.8454300000000003</c:v>
                      </c:pt>
                      <c:pt idx="36">
                        <c:v>4.9745949999999999</c:v>
                      </c:pt>
                      <c:pt idx="37">
                        <c:v>5.5028670000000002</c:v>
                      </c:pt>
                      <c:pt idx="38">
                        <c:v>5.7868870000000001</c:v>
                      </c:pt>
                      <c:pt idx="39">
                        <c:v>6.3537949999999999</c:v>
                      </c:pt>
                      <c:pt idx="40">
                        <c:v>7.3505479999999999</c:v>
                      </c:pt>
                      <c:pt idx="41">
                        <c:v>8.1712950000000006</c:v>
                      </c:pt>
                      <c:pt idx="42">
                        <c:v>8.9128480000000003</c:v>
                      </c:pt>
                      <c:pt idx="43">
                        <c:v>9.4449190000000005</c:v>
                      </c:pt>
                      <c:pt idx="44">
                        <c:v>10.649960999999999</c:v>
                      </c:pt>
                      <c:pt idx="45">
                        <c:v>11.344016999999999</c:v>
                      </c:pt>
                      <c:pt idx="46">
                        <c:v>12.925678</c:v>
                      </c:pt>
                      <c:pt idx="47">
                        <c:v>13.896815</c:v>
                      </c:pt>
                      <c:pt idx="48">
                        <c:v>17.037890999999998</c:v>
                      </c:pt>
                      <c:pt idx="49">
                        <c:v>18.827736000000002</c:v>
                      </c:pt>
                      <c:pt idx="50">
                        <c:v>19.398657</c:v>
                      </c:pt>
                      <c:pt idx="51">
                        <c:v>19.337654000000001</c:v>
                      </c:pt>
                      <c:pt idx="52">
                        <c:v>21.090281000000001</c:v>
                      </c:pt>
                      <c:pt idx="53">
                        <c:v>20.513563999999999</c:v>
                      </c:pt>
                      <c:pt idx="54">
                        <c:v>22.400099000000001</c:v>
                      </c:pt>
                      <c:pt idx="55">
                        <c:v>24.587033000000002</c:v>
                      </c:pt>
                      <c:pt idx="56">
                        <c:v>25.865009000000001</c:v>
                      </c:pt>
                      <c:pt idx="57">
                        <c:v>29.564333000000001</c:v>
                      </c:pt>
                      <c:pt idx="58">
                        <c:v>32.721696999999999</c:v>
                      </c:pt>
                      <c:pt idx="59">
                        <c:v>32.473584000000002</c:v>
                      </c:pt>
                      <c:pt idx="60">
                        <c:v>36.972003000000001</c:v>
                      </c:pt>
                      <c:pt idx="61">
                        <c:v>45.657615</c:v>
                      </c:pt>
                      <c:pt idx="62">
                        <c:v>49.957104000000001</c:v>
                      </c:pt>
                      <c:pt idx="63">
                        <c:v>56.147481999999997</c:v>
                      </c:pt>
                      <c:pt idx="64">
                        <c:v>74.144362000000001</c:v>
                      </c:pt>
                    </c:numCache>
                  </c:numRef>
                </c:val>
                <c:extLst xmlns:c15="http://schemas.microsoft.com/office/drawing/2012/chart">
                  <c:ext xmlns:c16="http://schemas.microsoft.com/office/drawing/2014/chart" uri="{C3380CC4-5D6E-409C-BE32-E72D297353CC}">
                    <c16:uniqueId val="{00000001-84A1-4D71-B585-618A414EE633}"/>
                  </c:ext>
                </c:extLst>
              </c15:ser>
            </c15:filteredBarSeries>
          </c:ext>
        </c:extLst>
      </c:barChart>
      <c:dateAx>
        <c:axId val="89998336"/>
        <c:scaling>
          <c:orientation val="minMax"/>
          <c:min val="43895"/>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0938272"/>
        <c:crosses val="autoZero"/>
        <c:auto val="0"/>
        <c:lblOffset val="100"/>
        <c:baseTimeUnit val="days"/>
        <c:majorUnit val="2"/>
        <c:majorTimeUnit val="days"/>
        <c:minorUnit val="2"/>
        <c:minorTimeUnit val="days"/>
      </c:dateAx>
      <c:valAx>
        <c:axId val="1093827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89998336"/>
        <c:crosses val="autoZero"/>
        <c:crossBetween val="midCat"/>
      </c:valAx>
      <c:spPr>
        <a:noFill/>
        <a:ln>
          <a:noFill/>
        </a:ln>
        <a:effectLst/>
      </c:spPr>
    </c:plotArea>
    <c:legend>
      <c:legendPos val="b"/>
      <c:layout>
        <c:manualLayout>
          <c:xMode val="edge"/>
          <c:yMode val="edge"/>
          <c:x val="7.3463854808846568E-2"/>
          <c:y val="0.89577464376841476"/>
          <c:w val="0.21076776050797077"/>
          <c:h val="3.5174822052959354E-2"/>
        </c:manualLayout>
      </c:layout>
      <c:overlay val="0"/>
      <c:spPr>
        <a:noFill/>
        <a:ln>
          <a:solidFill>
            <a:sysClr val="windowText" lastClr="000000"/>
          </a:solid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[covid-19-ch-dashboard-excel_0.12.xlsm]pivot2!PivotTable2</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Deaths per conton</a:t>
            </a:r>
          </a:p>
        </c:rich>
      </c:tx>
      <c:layout>
        <c:manualLayout>
          <c:xMode val="edge"/>
          <c:yMode val="edge"/>
          <c:x val="0.3871715830297332"/>
          <c:y val="4.6153851236589528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580796803384655E-2"/>
          <c:y val="0.14475526069657627"/>
          <c:w val="0.85084545775061704"/>
          <c:h val="0.7415742791227663"/>
        </c:manualLayout>
      </c:layout>
      <c:lineChart>
        <c:grouping val="standard"/>
        <c:varyColors val="0"/>
        <c:ser>
          <c:idx val="0"/>
          <c:order val="0"/>
          <c:tx>
            <c:strRef>
              <c:f>pivot2!$B$3:$B$4</c:f>
              <c:strCache>
                <c:ptCount val="1"/>
                <c:pt idx="0">
                  <c:v>FR</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pivot2!$B$5:$B$60</c:f>
              <c:numCache>
                <c:formatCode>General</c:formatCode>
                <c:ptCount val="56"/>
                <c:pt idx="6">
                  <c:v>0</c:v>
                </c:pt>
                <c:pt idx="7">
                  <c:v>0</c:v>
                </c:pt>
                <c:pt idx="8">
                  <c:v>0</c:v>
                </c:pt>
                <c:pt idx="9">
                  <c:v>0</c:v>
                </c:pt>
                <c:pt idx="10">
                  <c:v>0</c:v>
                </c:pt>
                <c:pt idx="11">
                  <c:v>0</c:v>
                </c:pt>
                <c:pt idx="12">
                  <c:v>0</c:v>
                </c:pt>
                <c:pt idx="13">
                  <c:v>0</c:v>
                </c:pt>
                <c:pt idx="14">
                  <c:v>1</c:v>
                </c:pt>
                <c:pt idx="15">
                  <c:v>1</c:v>
                </c:pt>
                <c:pt idx="16">
                  <c:v>2</c:v>
                </c:pt>
                <c:pt idx="17">
                  <c:v>3</c:v>
                </c:pt>
                <c:pt idx="18">
                  <c:v>4</c:v>
                </c:pt>
                <c:pt idx="19">
                  <c:v>5</c:v>
                </c:pt>
                <c:pt idx="20">
                  <c:v>6</c:v>
                </c:pt>
                <c:pt idx="21">
                  <c:v>11</c:v>
                </c:pt>
                <c:pt idx="22">
                  <c:v>14</c:v>
                </c:pt>
                <c:pt idx="23">
                  <c:v>15</c:v>
                </c:pt>
                <c:pt idx="24">
                  <c:v>15</c:v>
                </c:pt>
                <c:pt idx="25">
                  <c:v>17</c:v>
                </c:pt>
                <c:pt idx="26">
                  <c:v>20</c:v>
                </c:pt>
                <c:pt idx="27">
                  <c:v>23</c:v>
                </c:pt>
                <c:pt idx="28">
                  <c:v>26</c:v>
                </c:pt>
                <c:pt idx="29">
                  <c:v>31</c:v>
                </c:pt>
                <c:pt idx="30">
                  <c:v>37</c:v>
                </c:pt>
                <c:pt idx="31">
                  <c:v>40</c:v>
                </c:pt>
                <c:pt idx="32">
                  <c:v>41</c:v>
                </c:pt>
                <c:pt idx="33">
                  <c:v>44</c:v>
                </c:pt>
                <c:pt idx="34">
                  <c:v>45</c:v>
                </c:pt>
                <c:pt idx="35">
                  <c:v>46</c:v>
                </c:pt>
                <c:pt idx="36">
                  <c:v>49</c:v>
                </c:pt>
                <c:pt idx="37">
                  <c:v>53</c:v>
                </c:pt>
                <c:pt idx="38">
                  <c:v>54</c:v>
                </c:pt>
                <c:pt idx="39">
                  <c:v>55</c:v>
                </c:pt>
                <c:pt idx="40">
                  <c:v>57</c:v>
                </c:pt>
                <c:pt idx="41">
                  <c:v>63</c:v>
                </c:pt>
                <c:pt idx="42">
                  <c:v>65</c:v>
                </c:pt>
                <c:pt idx="43">
                  <c:v>67</c:v>
                </c:pt>
                <c:pt idx="44">
                  <c:v>69</c:v>
                </c:pt>
                <c:pt idx="45">
                  <c:v>71</c:v>
                </c:pt>
                <c:pt idx="46">
                  <c:v>72</c:v>
                </c:pt>
                <c:pt idx="47">
                  <c:v>74</c:v>
                </c:pt>
                <c:pt idx="48">
                  <c:v>76</c:v>
                </c:pt>
                <c:pt idx="49">
                  <c:v>76</c:v>
                </c:pt>
                <c:pt idx="50">
                  <c:v>76</c:v>
                </c:pt>
                <c:pt idx="51">
                  <c:v>76</c:v>
                </c:pt>
                <c:pt idx="52">
                  <c:v>77</c:v>
                </c:pt>
                <c:pt idx="53">
                  <c:v>78</c:v>
                </c:pt>
                <c:pt idx="54">
                  <c:v>78</c:v>
                </c:pt>
              </c:numCache>
            </c:numRef>
          </c:val>
          <c:smooth val="0"/>
          <c:extLst>
            <c:ext xmlns:c16="http://schemas.microsoft.com/office/drawing/2014/chart" uri="{C3380CC4-5D6E-409C-BE32-E72D297353CC}">
              <c16:uniqueId val="{00000000-DF24-4A54-98BF-6043682D6CB0}"/>
            </c:ext>
          </c:extLst>
        </c:ser>
        <c:ser>
          <c:idx val="1"/>
          <c:order val="1"/>
          <c:tx>
            <c:strRef>
              <c:f>pivot2!$C$3:$C$4</c:f>
              <c:strCache>
                <c:ptCount val="1"/>
                <c:pt idx="0">
                  <c:v>SO</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pivot2!$C$5:$C$60</c:f>
              <c:numCache>
                <c:formatCode>General</c:formatCode>
                <c:ptCount val="56"/>
                <c:pt idx="18">
                  <c:v>1</c:v>
                </c:pt>
                <c:pt idx="19">
                  <c:v>1</c:v>
                </c:pt>
                <c:pt idx="20">
                  <c:v>1</c:v>
                </c:pt>
                <c:pt idx="21">
                  <c:v>1</c:v>
                </c:pt>
                <c:pt idx="22">
                  <c:v>1</c:v>
                </c:pt>
                <c:pt idx="23">
                  <c:v>1</c:v>
                </c:pt>
                <c:pt idx="24">
                  <c:v>2</c:v>
                </c:pt>
                <c:pt idx="26">
                  <c:v>2</c:v>
                </c:pt>
                <c:pt idx="27">
                  <c:v>3</c:v>
                </c:pt>
                <c:pt idx="28">
                  <c:v>3</c:v>
                </c:pt>
                <c:pt idx="29">
                  <c:v>3</c:v>
                </c:pt>
                <c:pt idx="30">
                  <c:v>3</c:v>
                </c:pt>
                <c:pt idx="31">
                  <c:v>3</c:v>
                </c:pt>
                <c:pt idx="32">
                  <c:v>3</c:v>
                </c:pt>
                <c:pt idx="33">
                  <c:v>3</c:v>
                </c:pt>
                <c:pt idx="34">
                  <c:v>3</c:v>
                </c:pt>
                <c:pt idx="35">
                  <c:v>5</c:v>
                </c:pt>
                <c:pt idx="36">
                  <c:v>5</c:v>
                </c:pt>
                <c:pt idx="37">
                  <c:v>6</c:v>
                </c:pt>
                <c:pt idx="38">
                  <c:v>7</c:v>
                </c:pt>
                <c:pt idx="39">
                  <c:v>7</c:v>
                </c:pt>
                <c:pt idx="40">
                  <c:v>8</c:v>
                </c:pt>
                <c:pt idx="41">
                  <c:v>8</c:v>
                </c:pt>
                <c:pt idx="42">
                  <c:v>8</c:v>
                </c:pt>
                <c:pt idx="43">
                  <c:v>9</c:v>
                </c:pt>
                <c:pt idx="44">
                  <c:v>10</c:v>
                </c:pt>
                <c:pt idx="45">
                  <c:v>11</c:v>
                </c:pt>
                <c:pt idx="46">
                  <c:v>11</c:v>
                </c:pt>
                <c:pt idx="47">
                  <c:v>11</c:v>
                </c:pt>
                <c:pt idx="48">
                  <c:v>11</c:v>
                </c:pt>
                <c:pt idx="49">
                  <c:v>12</c:v>
                </c:pt>
                <c:pt idx="50">
                  <c:v>14</c:v>
                </c:pt>
                <c:pt idx="51">
                  <c:v>14</c:v>
                </c:pt>
                <c:pt idx="52">
                  <c:v>15</c:v>
                </c:pt>
                <c:pt idx="53">
                  <c:v>15</c:v>
                </c:pt>
                <c:pt idx="54">
                  <c:v>15</c:v>
                </c:pt>
              </c:numCache>
            </c:numRef>
          </c:val>
          <c:smooth val="0"/>
          <c:extLst>
            <c:ext xmlns:c16="http://schemas.microsoft.com/office/drawing/2014/chart" uri="{C3380CC4-5D6E-409C-BE32-E72D297353CC}">
              <c16:uniqueId val="{00000001-DF24-4A54-98BF-6043682D6CB0}"/>
            </c:ext>
          </c:extLst>
        </c:ser>
        <c:ser>
          <c:idx val="2"/>
          <c:order val="2"/>
          <c:tx>
            <c:strRef>
              <c:f>pivot2!$D$3:$D$4</c:f>
              <c:strCache>
                <c:ptCount val="1"/>
                <c:pt idx="0">
                  <c:v>AG</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pivot2!$D$5:$D$60</c:f>
              <c:numCache>
                <c:formatCode>General</c:formatCode>
                <c:ptCount val="56"/>
                <c:pt idx="15">
                  <c:v>1</c:v>
                </c:pt>
                <c:pt idx="17">
                  <c:v>1</c:v>
                </c:pt>
                <c:pt idx="18">
                  <c:v>1</c:v>
                </c:pt>
                <c:pt idx="19">
                  <c:v>2</c:v>
                </c:pt>
                <c:pt idx="20">
                  <c:v>2</c:v>
                </c:pt>
                <c:pt idx="21">
                  <c:v>2</c:v>
                </c:pt>
                <c:pt idx="22">
                  <c:v>3</c:v>
                </c:pt>
                <c:pt idx="25">
                  <c:v>8</c:v>
                </c:pt>
                <c:pt idx="26">
                  <c:v>11</c:v>
                </c:pt>
                <c:pt idx="27">
                  <c:v>11</c:v>
                </c:pt>
                <c:pt idx="28">
                  <c:v>12</c:v>
                </c:pt>
                <c:pt idx="29">
                  <c:v>12</c:v>
                </c:pt>
                <c:pt idx="32">
                  <c:v>13</c:v>
                </c:pt>
                <c:pt idx="33">
                  <c:v>16</c:v>
                </c:pt>
                <c:pt idx="34">
                  <c:v>16</c:v>
                </c:pt>
                <c:pt idx="35">
                  <c:v>17</c:v>
                </c:pt>
                <c:pt idx="36">
                  <c:v>18</c:v>
                </c:pt>
                <c:pt idx="37">
                  <c:v>18</c:v>
                </c:pt>
                <c:pt idx="38">
                  <c:v>18</c:v>
                </c:pt>
                <c:pt idx="39">
                  <c:v>19</c:v>
                </c:pt>
                <c:pt idx="40">
                  <c:v>19</c:v>
                </c:pt>
                <c:pt idx="41">
                  <c:v>22</c:v>
                </c:pt>
                <c:pt idx="42">
                  <c:v>23</c:v>
                </c:pt>
                <c:pt idx="43">
                  <c:v>24</c:v>
                </c:pt>
                <c:pt idx="44">
                  <c:v>25</c:v>
                </c:pt>
                <c:pt idx="45">
                  <c:v>25</c:v>
                </c:pt>
                <c:pt idx="46">
                  <c:v>28</c:v>
                </c:pt>
                <c:pt idx="47">
                  <c:v>29</c:v>
                </c:pt>
                <c:pt idx="48">
                  <c:v>31</c:v>
                </c:pt>
                <c:pt idx="49">
                  <c:v>31</c:v>
                </c:pt>
                <c:pt idx="50">
                  <c:v>31</c:v>
                </c:pt>
                <c:pt idx="53">
                  <c:v>33</c:v>
                </c:pt>
              </c:numCache>
            </c:numRef>
          </c:val>
          <c:smooth val="0"/>
          <c:extLst>
            <c:ext xmlns:c16="http://schemas.microsoft.com/office/drawing/2014/chart" uri="{C3380CC4-5D6E-409C-BE32-E72D297353CC}">
              <c16:uniqueId val="{00000002-DF24-4A54-98BF-6043682D6CB0}"/>
            </c:ext>
          </c:extLst>
        </c:ser>
        <c:ser>
          <c:idx val="3"/>
          <c:order val="3"/>
          <c:tx>
            <c:strRef>
              <c:f>pivot2!$E$3:$E$4</c:f>
              <c:strCache>
                <c:ptCount val="1"/>
                <c:pt idx="0">
                  <c:v>AI</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pivot2!$E$5:$E$60</c:f>
              <c:numCache>
                <c:formatCode>General</c:formatCode>
                <c:ptCount val="56"/>
              </c:numCache>
            </c:numRef>
          </c:val>
          <c:smooth val="0"/>
          <c:extLst>
            <c:ext xmlns:c16="http://schemas.microsoft.com/office/drawing/2014/chart" uri="{C3380CC4-5D6E-409C-BE32-E72D297353CC}">
              <c16:uniqueId val="{00000003-DF24-4A54-98BF-6043682D6CB0}"/>
            </c:ext>
          </c:extLst>
        </c:ser>
        <c:ser>
          <c:idx val="4"/>
          <c:order val="4"/>
          <c:tx>
            <c:strRef>
              <c:f>pivot2!$F$3:$F$4</c:f>
              <c:strCache>
                <c:ptCount val="1"/>
                <c:pt idx="0">
                  <c:v>AR</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pivot2!$F$5:$F$60</c:f>
              <c:numCache>
                <c:formatCode>General</c:formatCode>
                <c:ptCount val="56"/>
                <c:pt idx="16">
                  <c:v>1</c:v>
                </c:pt>
                <c:pt idx="18">
                  <c:v>1</c:v>
                </c:pt>
                <c:pt idx="19">
                  <c:v>2</c:v>
                </c:pt>
                <c:pt idx="20">
                  <c:v>2</c:v>
                </c:pt>
                <c:pt idx="21">
                  <c:v>2</c:v>
                </c:pt>
                <c:pt idx="22">
                  <c:v>2</c:v>
                </c:pt>
                <c:pt idx="23">
                  <c:v>2</c:v>
                </c:pt>
                <c:pt idx="24">
                  <c:v>2</c:v>
                </c:pt>
                <c:pt idx="25">
                  <c:v>2</c:v>
                </c:pt>
                <c:pt idx="26">
                  <c:v>2</c:v>
                </c:pt>
                <c:pt idx="27">
                  <c:v>3</c:v>
                </c:pt>
                <c:pt idx="28">
                  <c:v>3</c:v>
                </c:pt>
                <c:pt idx="29">
                  <c:v>3</c:v>
                </c:pt>
                <c:pt idx="30">
                  <c:v>3</c:v>
                </c:pt>
                <c:pt idx="31">
                  <c:v>3</c:v>
                </c:pt>
                <c:pt idx="32">
                  <c:v>3</c:v>
                </c:pt>
                <c:pt idx="33">
                  <c:v>3</c:v>
                </c:pt>
                <c:pt idx="34">
                  <c:v>3</c:v>
                </c:pt>
                <c:pt idx="35">
                  <c:v>3</c:v>
                </c:pt>
                <c:pt idx="36">
                  <c:v>3</c:v>
                </c:pt>
                <c:pt idx="37">
                  <c:v>3</c:v>
                </c:pt>
                <c:pt idx="39">
                  <c:v>3</c:v>
                </c:pt>
                <c:pt idx="40">
                  <c:v>3</c:v>
                </c:pt>
                <c:pt idx="41">
                  <c:v>3</c:v>
                </c:pt>
                <c:pt idx="42">
                  <c:v>3</c:v>
                </c:pt>
                <c:pt idx="43">
                  <c:v>3</c:v>
                </c:pt>
                <c:pt idx="46">
                  <c:v>3</c:v>
                </c:pt>
                <c:pt idx="47">
                  <c:v>3</c:v>
                </c:pt>
                <c:pt idx="48">
                  <c:v>3</c:v>
                </c:pt>
                <c:pt idx="49">
                  <c:v>3</c:v>
                </c:pt>
                <c:pt idx="50">
                  <c:v>3</c:v>
                </c:pt>
                <c:pt idx="53">
                  <c:v>3</c:v>
                </c:pt>
                <c:pt idx="54">
                  <c:v>3</c:v>
                </c:pt>
              </c:numCache>
            </c:numRef>
          </c:val>
          <c:smooth val="0"/>
          <c:extLst>
            <c:ext xmlns:c16="http://schemas.microsoft.com/office/drawing/2014/chart" uri="{C3380CC4-5D6E-409C-BE32-E72D297353CC}">
              <c16:uniqueId val="{00000004-DF24-4A54-98BF-6043682D6CB0}"/>
            </c:ext>
          </c:extLst>
        </c:ser>
        <c:ser>
          <c:idx val="5"/>
          <c:order val="5"/>
          <c:tx>
            <c:strRef>
              <c:f>pivot2!$G$3:$G$4</c:f>
              <c:strCache>
                <c:ptCount val="1"/>
                <c:pt idx="0">
                  <c:v>BE</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pivot2!$G$5:$G$60</c:f>
              <c:numCache>
                <c:formatCode>General</c:formatCode>
                <c:ptCount val="56"/>
                <c:pt idx="11">
                  <c:v>1</c:v>
                </c:pt>
                <c:pt idx="13">
                  <c:v>1</c:v>
                </c:pt>
                <c:pt idx="14">
                  <c:v>1</c:v>
                </c:pt>
                <c:pt idx="15">
                  <c:v>2</c:v>
                </c:pt>
                <c:pt idx="16">
                  <c:v>3</c:v>
                </c:pt>
                <c:pt idx="18">
                  <c:v>5</c:v>
                </c:pt>
                <c:pt idx="19">
                  <c:v>6</c:v>
                </c:pt>
                <c:pt idx="20">
                  <c:v>6</c:v>
                </c:pt>
                <c:pt idx="21">
                  <c:v>7</c:v>
                </c:pt>
                <c:pt idx="22">
                  <c:v>8</c:v>
                </c:pt>
                <c:pt idx="23">
                  <c:v>9</c:v>
                </c:pt>
                <c:pt idx="24">
                  <c:v>10</c:v>
                </c:pt>
                <c:pt idx="25">
                  <c:v>13</c:v>
                </c:pt>
                <c:pt idx="26">
                  <c:v>16</c:v>
                </c:pt>
                <c:pt idx="27">
                  <c:v>20</c:v>
                </c:pt>
                <c:pt idx="28">
                  <c:v>23</c:v>
                </c:pt>
                <c:pt idx="29">
                  <c:v>26</c:v>
                </c:pt>
                <c:pt idx="30">
                  <c:v>28</c:v>
                </c:pt>
                <c:pt idx="31">
                  <c:v>28</c:v>
                </c:pt>
                <c:pt idx="32">
                  <c:v>31</c:v>
                </c:pt>
                <c:pt idx="33">
                  <c:v>33</c:v>
                </c:pt>
                <c:pt idx="34">
                  <c:v>37</c:v>
                </c:pt>
                <c:pt idx="35">
                  <c:v>38</c:v>
                </c:pt>
                <c:pt idx="36">
                  <c:v>42</c:v>
                </c:pt>
                <c:pt idx="37">
                  <c:v>44</c:v>
                </c:pt>
                <c:pt idx="38">
                  <c:v>49</c:v>
                </c:pt>
                <c:pt idx="39">
                  <c:v>49</c:v>
                </c:pt>
                <c:pt idx="40">
                  <c:v>49</c:v>
                </c:pt>
                <c:pt idx="41">
                  <c:v>53</c:v>
                </c:pt>
                <c:pt idx="42">
                  <c:v>55</c:v>
                </c:pt>
                <c:pt idx="43">
                  <c:v>67</c:v>
                </c:pt>
                <c:pt idx="44">
                  <c:v>69</c:v>
                </c:pt>
                <c:pt idx="45">
                  <c:v>69</c:v>
                </c:pt>
                <c:pt idx="46">
                  <c:v>73</c:v>
                </c:pt>
                <c:pt idx="47">
                  <c:v>77</c:v>
                </c:pt>
                <c:pt idx="48">
                  <c:v>77</c:v>
                </c:pt>
                <c:pt idx="49">
                  <c:v>79</c:v>
                </c:pt>
                <c:pt idx="50">
                  <c:v>82</c:v>
                </c:pt>
                <c:pt idx="51">
                  <c:v>83</c:v>
                </c:pt>
                <c:pt idx="52">
                  <c:v>83</c:v>
                </c:pt>
                <c:pt idx="53">
                  <c:v>83</c:v>
                </c:pt>
                <c:pt idx="54">
                  <c:v>83</c:v>
                </c:pt>
              </c:numCache>
            </c:numRef>
          </c:val>
          <c:smooth val="0"/>
          <c:extLst>
            <c:ext xmlns:c16="http://schemas.microsoft.com/office/drawing/2014/chart" uri="{C3380CC4-5D6E-409C-BE32-E72D297353CC}">
              <c16:uniqueId val="{00000005-DF24-4A54-98BF-6043682D6CB0}"/>
            </c:ext>
          </c:extLst>
        </c:ser>
        <c:ser>
          <c:idx val="6"/>
          <c:order val="6"/>
          <c:tx>
            <c:strRef>
              <c:f>pivot2!$H$3:$H$4</c:f>
              <c:strCache>
                <c:ptCount val="1"/>
                <c:pt idx="0">
                  <c:v>BL</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pivot2!$H$5:$H$60</c:f>
              <c:numCache>
                <c:formatCode>General</c:formatCode>
                <c:ptCount val="56"/>
                <c:pt idx="3">
                  <c:v>1</c:v>
                </c:pt>
                <c:pt idx="4">
                  <c:v>1</c:v>
                </c:pt>
                <c:pt idx="5">
                  <c:v>1</c:v>
                </c:pt>
                <c:pt idx="6">
                  <c:v>2</c:v>
                </c:pt>
                <c:pt idx="7">
                  <c:v>2</c:v>
                </c:pt>
                <c:pt idx="8">
                  <c:v>2</c:v>
                </c:pt>
                <c:pt idx="9">
                  <c:v>2</c:v>
                </c:pt>
                <c:pt idx="10">
                  <c:v>2</c:v>
                </c:pt>
                <c:pt idx="11">
                  <c:v>2</c:v>
                </c:pt>
                <c:pt idx="12">
                  <c:v>2</c:v>
                </c:pt>
                <c:pt idx="13">
                  <c:v>2</c:v>
                </c:pt>
                <c:pt idx="14">
                  <c:v>2</c:v>
                </c:pt>
                <c:pt idx="15">
                  <c:v>3</c:v>
                </c:pt>
                <c:pt idx="16">
                  <c:v>3</c:v>
                </c:pt>
                <c:pt idx="17">
                  <c:v>3</c:v>
                </c:pt>
                <c:pt idx="18">
                  <c:v>3</c:v>
                </c:pt>
                <c:pt idx="19">
                  <c:v>4</c:v>
                </c:pt>
                <c:pt idx="20">
                  <c:v>5</c:v>
                </c:pt>
                <c:pt idx="21">
                  <c:v>5</c:v>
                </c:pt>
                <c:pt idx="22">
                  <c:v>5</c:v>
                </c:pt>
                <c:pt idx="23">
                  <c:v>6</c:v>
                </c:pt>
                <c:pt idx="24">
                  <c:v>6</c:v>
                </c:pt>
                <c:pt idx="25">
                  <c:v>7</c:v>
                </c:pt>
                <c:pt idx="26">
                  <c:v>10</c:v>
                </c:pt>
                <c:pt idx="27">
                  <c:v>11</c:v>
                </c:pt>
                <c:pt idx="28">
                  <c:v>12</c:v>
                </c:pt>
                <c:pt idx="29">
                  <c:v>14</c:v>
                </c:pt>
                <c:pt idx="30">
                  <c:v>19</c:v>
                </c:pt>
                <c:pt idx="31">
                  <c:v>19</c:v>
                </c:pt>
                <c:pt idx="32">
                  <c:v>19</c:v>
                </c:pt>
                <c:pt idx="33">
                  <c:v>19</c:v>
                </c:pt>
                <c:pt idx="34">
                  <c:v>21</c:v>
                </c:pt>
                <c:pt idx="35">
                  <c:v>21</c:v>
                </c:pt>
                <c:pt idx="36">
                  <c:v>22</c:v>
                </c:pt>
                <c:pt idx="37">
                  <c:v>22</c:v>
                </c:pt>
                <c:pt idx="38">
                  <c:v>23</c:v>
                </c:pt>
                <c:pt idx="39">
                  <c:v>24</c:v>
                </c:pt>
                <c:pt idx="40">
                  <c:v>25</c:v>
                </c:pt>
                <c:pt idx="41">
                  <c:v>25</c:v>
                </c:pt>
                <c:pt idx="42">
                  <c:v>25</c:v>
                </c:pt>
                <c:pt idx="43">
                  <c:v>25</c:v>
                </c:pt>
                <c:pt idx="44">
                  <c:v>25</c:v>
                </c:pt>
                <c:pt idx="45">
                  <c:v>25</c:v>
                </c:pt>
                <c:pt idx="46">
                  <c:v>25</c:v>
                </c:pt>
                <c:pt idx="47">
                  <c:v>26</c:v>
                </c:pt>
                <c:pt idx="48">
                  <c:v>26</c:v>
                </c:pt>
                <c:pt idx="49">
                  <c:v>26</c:v>
                </c:pt>
                <c:pt idx="50">
                  <c:v>30</c:v>
                </c:pt>
                <c:pt idx="51">
                  <c:v>30</c:v>
                </c:pt>
                <c:pt idx="52">
                  <c:v>30</c:v>
                </c:pt>
                <c:pt idx="53">
                  <c:v>30</c:v>
                </c:pt>
              </c:numCache>
            </c:numRef>
          </c:val>
          <c:smooth val="0"/>
          <c:extLst>
            <c:ext xmlns:c16="http://schemas.microsoft.com/office/drawing/2014/chart" uri="{C3380CC4-5D6E-409C-BE32-E72D297353CC}">
              <c16:uniqueId val="{00000006-DF24-4A54-98BF-6043682D6CB0}"/>
            </c:ext>
          </c:extLst>
        </c:ser>
        <c:ser>
          <c:idx val="7"/>
          <c:order val="7"/>
          <c:tx>
            <c:strRef>
              <c:f>pivot2!$I$3:$I$4</c:f>
              <c:strCache>
                <c:ptCount val="1"/>
                <c:pt idx="0">
                  <c:v>BS</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pivot2!$I$5:$I$60</c:f>
              <c:numCache>
                <c:formatCode>General</c:formatCode>
                <c:ptCount val="56"/>
                <c:pt idx="7">
                  <c:v>1</c:v>
                </c:pt>
                <c:pt idx="8">
                  <c:v>1</c:v>
                </c:pt>
                <c:pt idx="9">
                  <c:v>1</c:v>
                </c:pt>
                <c:pt idx="11">
                  <c:v>4</c:v>
                </c:pt>
                <c:pt idx="12">
                  <c:v>4</c:v>
                </c:pt>
                <c:pt idx="13">
                  <c:v>4</c:v>
                </c:pt>
                <c:pt idx="14">
                  <c:v>4</c:v>
                </c:pt>
                <c:pt idx="15">
                  <c:v>4</c:v>
                </c:pt>
                <c:pt idx="16">
                  <c:v>5</c:v>
                </c:pt>
                <c:pt idx="17">
                  <c:v>5</c:v>
                </c:pt>
                <c:pt idx="18">
                  <c:v>5</c:v>
                </c:pt>
                <c:pt idx="19">
                  <c:v>5</c:v>
                </c:pt>
                <c:pt idx="20">
                  <c:v>8</c:v>
                </c:pt>
                <c:pt idx="21">
                  <c:v>12</c:v>
                </c:pt>
                <c:pt idx="22">
                  <c:v>13</c:v>
                </c:pt>
                <c:pt idx="23">
                  <c:v>13</c:v>
                </c:pt>
                <c:pt idx="24">
                  <c:v>15</c:v>
                </c:pt>
                <c:pt idx="25">
                  <c:v>15</c:v>
                </c:pt>
                <c:pt idx="26">
                  <c:v>16</c:v>
                </c:pt>
                <c:pt idx="27">
                  <c:v>18</c:v>
                </c:pt>
                <c:pt idx="28">
                  <c:v>19</c:v>
                </c:pt>
                <c:pt idx="29">
                  <c:v>21</c:v>
                </c:pt>
                <c:pt idx="30">
                  <c:v>24</c:v>
                </c:pt>
                <c:pt idx="31">
                  <c:v>26</c:v>
                </c:pt>
                <c:pt idx="32">
                  <c:v>26</c:v>
                </c:pt>
                <c:pt idx="33">
                  <c:v>28</c:v>
                </c:pt>
                <c:pt idx="34">
                  <c:v>31</c:v>
                </c:pt>
                <c:pt idx="35">
                  <c:v>33</c:v>
                </c:pt>
                <c:pt idx="36">
                  <c:v>33</c:v>
                </c:pt>
                <c:pt idx="37">
                  <c:v>33</c:v>
                </c:pt>
                <c:pt idx="38">
                  <c:v>33</c:v>
                </c:pt>
                <c:pt idx="39">
                  <c:v>34</c:v>
                </c:pt>
                <c:pt idx="40">
                  <c:v>34</c:v>
                </c:pt>
                <c:pt idx="41">
                  <c:v>36</c:v>
                </c:pt>
                <c:pt idx="42">
                  <c:v>37</c:v>
                </c:pt>
                <c:pt idx="43">
                  <c:v>37</c:v>
                </c:pt>
                <c:pt idx="44">
                  <c:v>40</c:v>
                </c:pt>
                <c:pt idx="45">
                  <c:v>40</c:v>
                </c:pt>
                <c:pt idx="46">
                  <c:v>42</c:v>
                </c:pt>
                <c:pt idx="47">
                  <c:v>44</c:v>
                </c:pt>
                <c:pt idx="48">
                  <c:v>45</c:v>
                </c:pt>
                <c:pt idx="49">
                  <c:v>45</c:v>
                </c:pt>
                <c:pt idx="50">
                  <c:v>46</c:v>
                </c:pt>
                <c:pt idx="51">
                  <c:v>46</c:v>
                </c:pt>
                <c:pt idx="52">
                  <c:v>46</c:v>
                </c:pt>
                <c:pt idx="53">
                  <c:v>46</c:v>
                </c:pt>
                <c:pt idx="54">
                  <c:v>49</c:v>
                </c:pt>
              </c:numCache>
            </c:numRef>
          </c:val>
          <c:smooth val="0"/>
          <c:extLst>
            <c:ext xmlns:c16="http://schemas.microsoft.com/office/drawing/2014/chart" uri="{C3380CC4-5D6E-409C-BE32-E72D297353CC}">
              <c16:uniqueId val="{00000007-DF24-4A54-98BF-6043682D6CB0}"/>
            </c:ext>
          </c:extLst>
        </c:ser>
        <c:ser>
          <c:idx val="8"/>
          <c:order val="8"/>
          <c:tx>
            <c:strRef>
              <c:f>pivot2!$J$3:$J$4</c:f>
              <c:strCache>
                <c:ptCount val="1"/>
                <c:pt idx="0">
                  <c:v>FL</c:v>
                </c:pt>
              </c:strCache>
            </c:strRef>
          </c:tx>
          <c:spPr>
            <a:ln w="34925" cap="rnd">
              <a:solidFill>
                <a:schemeClr val="accent3">
                  <a:lumMod val="60000"/>
                </a:schemeClr>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pivot2!$J$5:$J$60</c:f>
              <c:numCache>
                <c:formatCode>General</c:formatCode>
                <c:ptCount val="56"/>
                <c:pt idx="30">
                  <c:v>1</c:v>
                </c:pt>
                <c:pt idx="31">
                  <c:v>1</c:v>
                </c:pt>
                <c:pt idx="33">
                  <c:v>1</c:v>
                </c:pt>
                <c:pt idx="36">
                  <c:v>1</c:v>
                </c:pt>
                <c:pt idx="37">
                  <c:v>1</c:v>
                </c:pt>
                <c:pt idx="38">
                  <c:v>1</c:v>
                </c:pt>
                <c:pt idx="39">
                  <c:v>1</c:v>
                </c:pt>
                <c:pt idx="41">
                  <c:v>1</c:v>
                </c:pt>
                <c:pt idx="42">
                  <c:v>1</c:v>
                </c:pt>
                <c:pt idx="43">
                  <c:v>1</c:v>
                </c:pt>
                <c:pt idx="44">
                  <c:v>1</c:v>
                </c:pt>
                <c:pt idx="45">
                  <c:v>1</c:v>
                </c:pt>
                <c:pt idx="46">
                  <c:v>1</c:v>
                </c:pt>
                <c:pt idx="47">
                  <c:v>1</c:v>
                </c:pt>
                <c:pt idx="48">
                  <c:v>1</c:v>
                </c:pt>
                <c:pt idx="49">
                  <c:v>1</c:v>
                </c:pt>
                <c:pt idx="50">
                  <c:v>1</c:v>
                </c:pt>
                <c:pt idx="51">
                  <c:v>1</c:v>
                </c:pt>
                <c:pt idx="52">
                  <c:v>1</c:v>
                </c:pt>
              </c:numCache>
            </c:numRef>
          </c:val>
          <c:smooth val="0"/>
          <c:extLst>
            <c:ext xmlns:c16="http://schemas.microsoft.com/office/drawing/2014/chart" uri="{C3380CC4-5D6E-409C-BE32-E72D297353CC}">
              <c16:uniqueId val="{00000008-DF24-4A54-98BF-6043682D6CB0}"/>
            </c:ext>
          </c:extLst>
        </c:ser>
        <c:ser>
          <c:idx val="9"/>
          <c:order val="9"/>
          <c:tx>
            <c:strRef>
              <c:f>pivot2!$K$3:$K$4</c:f>
              <c:strCache>
                <c:ptCount val="1"/>
                <c:pt idx="0">
                  <c:v>GE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pivot2!$K$5:$K$60</c:f>
              <c:numCache>
                <c:formatCode>General</c:formatCode>
                <c:ptCount val="56"/>
                <c:pt idx="0">
                  <c:v>0</c:v>
                </c:pt>
                <c:pt idx="1">
                  <c:v>0</c:v>
                </c:pt>
                <c:pt idx="2">
                  <c:v>0</c:v>
                </c:pt>
                <c:pt idx="3">
                  <c:v>0</c:v>
                </c:pt>
                <c:pt idx="4">
                  <c:v>0</c:v>
                </c:pt>
                <c:pt idx="5">
                  <c:v>1</c:v>
                </c:pt>
                <c:pt idx="6">
                  <c:v>1</c:v>
                </c:pt>
                <c:pt idx="7">
                  <c:v>2</c:v>
                </c:pt>
                <c:pt idx="8">
                  <c:v>2</c:v>
                </c:pt>
                <c:pt idx="9">
                  <c:v>2</c:v>
                </c:pt>
                <c:pt idx="10">
                  <c:v>4</c:v>
                </c:pt>
                <c:pt idx="11">
                  <c:v>4</c:v>
                </c:pt>
                <c:pt idx="12">
                  <c:v>5</c:v>
                </c:pt>
                <c:pt idx="13">
                  <c:v>6</c:v>
                </c:pt>
                <c:pt idx="14">
                  <c:v>7</c:v>
                </c:pt>
                <c:pt idx="15">
                  <c:v>9</c:v>
                </c:pt>
                <c:pt idx="16">
                  <c:v>9</c:v>
                </c:pt>
                <c:pt idx="17">
                  <c:v>10</c:v>
                </c:pt>
                <c:pt idx="18">
                  <c:v>16</c:v>
                </c:pt>
                <c:pt idx="19">
                  <c:v>17</c:v>
                </c:pt>
                <c:pt idx="20">
                  <c:v>24</c:v>
                </c:pt>
                <c:pt idx="21">
                  <c:v>26</c:v>
                </c:pt>
                <c:pt idx="22">
                  <c:v>33</c:v>
                </c:pt>
                <c:pt idx="23">
                  <c:v>41</c:v>
                </c:pt>
                <c:pt idx="24">
                  <c:v>49</c:v>
                </c:pt>
                <c:pt idx="25">
                  <c:v>59</c:v>
                </c:pt>
                <c:pt idx="26">
                  <c:v>67</c:v>
                </c:pt>
                <c:pt idx="27">
                  <c:v>76</c:v>
                </c:pt>
                <c:pt idx="28">
                  <c:v>84</c:v>
                </c:pt>
                <c:pt idx="29">
                  <c:v>91</c:v>
                </c:pt>
                <c:pt idx="30">
                  <c:v>104</c:v>
                </c:pt>
                <c:pt idx="31">
                  <c:v>111</c:v>
                </c:pt>
                <c:pt idx="32">
                  <c:v>123</c:v>
                </c:pt>
                <c:pt idx="33">
                  <c:v>134</c:v>
                </c:pt>
                <c:pt idx="34">
                  <c:v>148</c:v>
                </c:pt>
                <c:pt idx="35">
                  <c:v>157</c:v>
                </c:pt>
                <c:pt idx="36">
                  <c:v>168</c:v>
                </c:pt>
                <c:pt idx="37">
                  <c:v>176</c:v>
                </c:pt>
                <c:pt idx="38">
                  <c:v>183</c:v>
                </c:pt>
                <c:pt idx="39">
                  <c:v>186</c:v>
                </c:pt>
                <c:pt idx="40">
                  <c:v>191</c:v>
                </c:pt>
                <c:pt idx="41">
                  <c:v>196</c:v>
                </c:pt>
                <c:pt idx="42">
                  <c:v>202</c:v>
                </c:pt>
                <c:pt idx="43">
                  <c:v>208</c:v>
                </c:pt>
                <c:pt idx="44">
                  <c:v>212</c:v>
                </c:pt>
                <c:pt idx="45">
                  <c:v>215</c:v>
                </c:pt>
                <c:pt idx="46">
                  <c:v>217</c:v>
                </c:pt>
                <c:pt idx="47">
                  <c:v>222</c:v>
                </c:pt>
                <c:pt idx="48">
                  <c:v>227</c:v>
                </c:pt>
                <c:pt idx="49">
                  <c:v>231</c:v>
                </c:pt>
                <c:pt idx="50">
                  <c:v>236</c:v>
                </c:pt>
                <c:pt idx="51">
                  <c:v>237</c:v>
                </c:pt>
                <c:pt idx="52">
                  <c:v>239</c:v>
                </c:pt>
              </c:numCache>
            </c:numRef>
          </c:val>
          <c:smooth val="0"/>
          <c:extLst>
            <c:ext xmlns:c16="http://schemas.microsoft.com/office/drawing/2014/chart" uri="{C3380CC4-5D6E-409C-BE32-E72D297353CC}">
              <c16:uniqueId val="{00000009-DF24-4A54-98BF-6043682D6CB0}"/>
            </c:ext>
          </c:extLst>
        </c:ser>
        <c:ser>
          <c:idx val="10"/>
          <c:order val="10"/>
          <c:tx>
            <c:strRef>
              <c:f>pivot2!$L$3:$L$4</c:f>
              <c:strCache>
                <c:ptCount val="1"/>
                <c:pt idx="0">
                  <c:v>GL</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pivot2!$L$5:$L$60</c:f>
              <c:numCache>
                <c:formatCode>General</c:formatCode>
                <c:ptCount val="56"/>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c:v>
                </c:pt>
                <c:pt idx="24">
                  <c:v>1</c:v>
                </c:pt>
                <c:pt idx="25">
                  <c:v>2</c:v>
                </c:pt>
                <c:pt idx="26">
                  <c:v>2</c:v>
                </c:pt>
                <c:pt idx="27">
                  <c:v>2</c:v>
                </c:pt>
                <c:pt idx="28">
                  <c:v>2</c:v>
                </c:pt>
                <c:pt idx="29">
                  <c:v>2</c:v>
                </c:pt>
                <c:pt idx="30">
                  <c:v>2</c:v>
                </c:pt>
                <c:pt idx="31">
                  <c:v>2</c:v>
                </c:pt>
                <c:pt idx="32">
                  <c:v>2</c:v>
                </c:pt>
                <c:pt idx="33">
                  <c:v>2</c:v>
                </c:pt>
                <c:pt idx="34">
                  <c:v>2</c:v>
                </c:pt>
                <c:pt idx="35">
                  <c:v>2</c:v>
                </c:pt>
                <c:pt idx="36">
                  <c:v>2</c:v>
                </c:pt>
                <c:pt idx="37">
                  <c:v>2</c:v>
                </c:pt>
                <c:pt idx="38">
                  <c:v>2</c:v>
                </c:pt>
                <c:pt idx="39">
                  <c:v>2</c:v>
                </c:pt>
                <c:pt idx="40">
                  <c:v>2</c:v>
                </c:pt>
                <c:pt idx="41">
                  <c:v>2</c:v>
                </c:pt>
                <c:pt idx="42">
                  <c:v>3</c:v>
                </c:pt>
                <c:pt idx="43">
                  <c:v>3</c:v>
                </c:pt>
                <c:pt idx="44">
                  <c:v>3</c:v>
                </c:pt>
                <c:pt idx="45">
                  <c:v>3</c:v>
                </c:pt>
                <c:pt idx="46">
                  <c:v>5</c:v>
                </c:pt>
                <c:pt idx="47">
                  <c:v>6</c:v>
                </c:pt>
                <c:pt idx="48">
                  <c:v>6</c:v>
                </c:pt>
                <c:pt idx="49">
                  <c:v>6</c:v>
                </c:pt>
                <c:pt idx="50">
                  <c:v>7</c:v>
                </c:pt>
                <c:pt idx="51">
                  <c:v>7</c:v>
                </c:pt>
                <c:pt idx="52">
                  <c:v>7</c:v>
                </c:pt>
                <c:pt idx="53">
                  <c:v>7</c:v>
                </c:pt>
              </c:numCache>
            </c:numRef>
          </c:val>
          <c:smooth val="0"/>
          <c:extLst>
            <c:ext xmlns:c16="http://schemas.microsoft.com/office/drawing/2014/chart" uri="{C3380CC4-5D6E-409C-BE32-E72D297353CC}">
              <c16:uniqueId val="{0000000A-DF24-4A54-98BF-6043682D6CB0}"/>
            </c:ext>
          </c:extLst>
        </c:ser>
        <c:ser>
          <c:idx val="11"/>
          <c:order val="11"/>
          <c:tx>
            <c:strRef>
              <c:f>pivot2!$M$3:$M$4</c:f>
              <c:strCache>
                <c:ptCount val="1"/>
                <c:pt idx="0">
                  <c:v>GR</c:v>
                </c:pt>
              </c:strCache>
            </c:strRef>
          </c:tx>
          <c:spPr>
            <a:ln w="34925" cap="rnd">
              <a:solidFill>
                <a:schemeClr val="accent6">
                  <a:lumMod val="60000"/>
                </a:schemeClr>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pivot2!$M$5:$M$60</c:f>
              <c:numCache>
                <c:formatCode>General</c:formatCode>
                <c:ptCount val="56"/>
                <c:pt idx="12">
                  <c:v>1</c:v>
                </c:pt>
                <c:pt idx="13">
                  <c:v>1</c:v>
                </c:pt>
                <c:pt idx="14">
                  <c:v>2</c:v>
                </c:pt>
                <c:pt idx="15">
                  <c:v>3</c:v>
                </c:pt>
                <c:pt idx="16">
                  <c:v>4</c:v>
                </c:pt>
                <c:pt idx="17">
                  <c:v>4</c:v>
                </c:pt>
                <c:pt idx="18">
                  <c:v>5</c:v>
                </c:pt>
                <c:pt idx="19">
                  <c:v>6</c:v>
                </c:pt>
                <c:pt idx="20">
                  <c:v>8</c:v>
                </c:pt>
                <c:pt idx="21">
                  <c:v>8</c:v>
                </c:pt>
                <c:pt idx="22">
                  <c:v>9</c:v>
                </c:pt>
                <c:pt idx="23">
                  <c:v>12</c:v>
                </c:pt>
                <c:pt idx="24">
                  <c:v>15</c:v>
                </c:pt>
                <c:pt idx="25">
                  <c:v>19</c:v>
                </c:pt>
                <c:pt idx="26">
                  <c:v>23</c:v>
                </c:pt>
                <c:pt idx="27">
                  <c:v>26</c:v>
                </c:pt>
                <c:pt idx="28">
                  <c:v>28</c:v>
                </c:pt>
                <c:pt idx="29">
                  <c:v>30</c:v>
                </c:pt>
                <c:pt idx="30">
                  <c:v>30</c:v>
                </c:pt>
                <c:pt idx="31">
                  <c:v>33</c:v>
                </c:pt>
                <c:pt idx="32">
                  <c:v>34</c:v>
                </c:pt>
                <c:pt idx="33">
                  <c:v>35</c:v>
                </c:pt>
                <c:pt idx="34">
                  <c:v>35</c:v>
                </c:pt>
                <c:pt idx="35">
                  <c:v>36</c:v>
                </c:pt>
                <c:pt idx="36">
                  <c:v>36</c:v>
                </c:pt>
                <c:pt idx="37">
                  <c:v>36</c:v>
                </c:pt>
                <c:pt idx="38">
                  <c:v>36</c:v>
                </c:pt>
                <c:pt idx="39">
                  <c:v>37</c:v>
                </c:pt>
                <c:pt idx="40">
                  <c:v>37</c:v>
                </c:pt>
                <c:pt idx="41">
                  <c:v>38</c:v>
                </c:pt>
                <c:pt idx="42">
                  <c:v>39</c:v>
                </c:pt>
                <c:pt idx="43">
                  <c:v>40</c:v>
                </c:pt>
                <c:pt idx="44">
                  <c:v>40</c:v>
                </c:pt>
                <c:pt idx="45">
                  <c:v>41</c:v>
                </c:pt>
                <c:pt idx="46">
                  <c:v>42</c:v>
                </c:pt>
                <c:pt idx="47">
                  <c:v>43</c:v>
                </c:pt>
                <c:pt idx="48">
                  <c:v>43</c:v>
                </c:pt>
                <c:pt idx="49">
                  <c:v>43</c:v>
                </c:pt>
                <c:pt idx="50">
                  <c:v>44</c:v>
                </c:pt>
                <c:pt idx="51">
                  <c:v>44</c:v>
                </c:pt>
                <c:pt idx="52">
                  <c:v>44</c:v>
                </c:pt>
                <c:pt idx="53">
                  <c:v>44</c:v>
                </c:pt>
              </c:numCache>
            </c:numRef>
          </c:val>
          <c:smooth val="0"/>
          <c:extLst>
            <c:ext xmlns:c16="http://schemas.microsoft.com/office/drawing/2014/chart" uri="{C3380CC4-5D6E-409C-BE32-E72D297353CC}">
              <c16:uniqueId val="{0000000B-DF24-4A54-98BF-6043682D6CB0}"/>
            </c:ext>
          </c:extLst>
        </c:ser>
        <c:ser>
          <c:idx val="12"/>
          <c:order val="12"/>
          <c:tx>
            <c:strRef>
              <c:f>pivot2!$N$3:$N$4</c:f>
              <c:strCache>
                <c:ptCount val="1"/>
                <c:pt idx="0">
                  <c:v>JU</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pivot2!$N$5:$N$60</c:f>
              <c:numCache>
                <c:formatCode>General</c:formatCode>
                <c:ptCount val="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1</c:v>
                </c:pt>
                <c:pt idx="36">
                  <c:v>3</c:v>
                </c:pt>
                <c:pt idx="37">
                  <c:v>3</c:v>
                </c:pt>
                <c:pt idx="38">
                  <c:v>3</c:v>
                </c:pt>
                <c:pt idx="39">
                  <c:v>3</c:v>
                </c:pt>
                <c:pt idx="40">
                  <c:v>3</c:v>
                </c:pt>
                <c:pt idx="41">
                  <c:v>3</c:v>
                </c:pt>
                <c:pt idx="42">
                  <c:v>3</c:v>
                </c:pt>
                <c:pt idx="43">
                  <c:v>3</c:v>
                </c:pt>
                <c:pt idx="44">
                  <c:v>3</c:v>
                </c:pt>
                <c:pt idx="45">
                  <c:v>5</c:v>
                </c:pt>
                <c:pt idx="46">
                  <c:v>6</c:v>
                </c:pt>
                <c:pt idx="47">
                  <c:v>6</c:v>
                </c:pt>
                <c:pt idx="48">
                  <c:v>6</c:v>
                </c:pt>
                <c:pt idx="49">
                  <c:v>6</c:v>
                </c:pt>
                <c:pt idx="50">
                  <c:v>6</c:v>
                </c:pt>
                <c:pt idx="51">
                  <c:v>6</c:v>
                </c:pt>
                <c:pt idx="52">
                  <c:v>6</c:v>
                </c:pt>
                <c:pt idx="53">
                  <c:v>7</c:v>
                </c:pt>
              </c:numCache>
            </c:numRef>
          </c:val>
          <c:smooth val="0"/>
          <c:extLst>
            <c:ext xmlns:c16="http://schemas.microsoft.com/office/drawing/2014/chart" uri="{C3380CC4-5D6E-409C-BE32-E72D297353CC}">
              <c16:uniqueId val="{0000000C-DF24-4A54-98BF-6043682D6CB0}"/>
            </c:ext>
          </c:extLst>
        </c:ser>
        <c:ser>
          <c:idx val="13"/>
          <c:order val="13"/>
          <c:tx>
            <c:strRef>
              <c:f>pivot2!$O$3:$O$4</c:f>
              <c:strCache>
                <c:ptCount val="1"/>
                <c:pt idx="0">
                  <c:v>LU</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pivot2!$O$5:$O$60</c:f>
              <c:numCache>
                <c:formatCode>General</c:formatCode>
                <c:ptCount val="56"/>
                <c:pt idx="16">
                  <c:v>1</c:v>
                </c:pt>
                <c:pt idx="17">
                  <c:v>1</c:v>
                </c:pt>
                <c:pt idx="18">
                  <c:v>1</c:v>
                </c:pt>
                <c:pt idx="19">
                  <c:v>2</c:v>
                </c:pt>
                <c:pt idx="20">
                  <c:v>2</c:v>
                </c:pt>
                <c:pt idx="21">
                  <c:v>3</c:v>
                </c:pt>
                <c:pt idx="22">
                  <c:v>3</c:v>
                </c:pt>
                <c:pt idx="23">
                  <c:v>4</c:v>
                </c:pt>
                <c:pt idx="24">
                  <c:v>5</c:v>
                </c:pt>
                <c:pt idx="25">
                  <c:v>6</c:v>
                </c:pt>
                <c:pt idx="26">
                  <c:v>7</c:v>
                </c:pt>
                <c:pt idx="27">
                  <c:v>7</c:v>
                </c:pt>
                <c:pt idx="28">
                  <c:v>7</c:v>
                </c:pt>
                <c:pt idx="29">
                  <c:v>7</c:v>
                </c:pt>
                <c:pt idx="30">
                  <c:v>7</c:v>
                </c:pt>
                <c:pt idx="31">
                  <c:v>9</c:v>
                </c:pt>
                <c:pt idx="32">
                  <c:v>9</c:v>
                </c:pt>
                <c:pt idx="33">
                  <c:v>9</c:v>
                </c:pt>
                <c:pt idx="34">
                  <c:v>9</c:v>
                </c:pt>
                <c:pt idx="35">
                  <c:v>9</c:v>
                </c:pt>
                <c:pt idx="36">
                  <c:v>9</c:v>
                </c:pt>
                <c:pt idx="37">
                  <c:v>10</c:v>
                </c:pt>
                <c:pt idx="38">
                  <c:v>10</c:v>
                </c:pt>
                <c:pt idx="39">
                  <c:v>10</c:v>
                </c:pt>
                <c:pt idx="40">
                  <c:v>11</c:v>
                </c:pt>
                <c:pt idx="41">
                  <c:v>12</c:v>
                </c:pt>
                <c:pt idx="42">
                  <c:v>13</c:v>
                </c:pt>
                <c:pt idx="43">
                  <c:v>14</c:v>
                </c:pt>
                <c:pt idx="44">
                  <c:v>15</c:v>
                </c:pt>
                <c:pt idx="45">
                  <c:v>15</c:v>
                </c:pt>
                <c:pt idx="46">
                  <c:v>15</c:v>
                </c:pt>
                <c:pt idx="47">
                  <c:v>15</c:v>
                </c:pt>
                <c:pt idx="48">
                  <c:v>15</c:v>
                </c:pt>
                <c:pt idx="49">
                  <c:v>15</c:v>
                </c:pt>
                <c:pt idx="50">
                  <c:v>16</c:v>
                </c:pt>
                <c:pt idx="51">
                  <c:v>16</c:v>
                </c:pt>
                <c:pt idx="52">
                  <c:v>16</c:v>
                </c:pt>
                <c:pt idx="53">
                  <c:v>16</c:v>
                </c:pt>
                <c:pt idx="54">
                  <c:v>17</c:v>
                </c:pt>
              </c:numCache>
            </c:numRef>
          </c:val>
          <c:smooth val="0"/>
          <c:extLst>
            <c:ext xmlns:c16="http://schemas.microsoft.com/office/drawing/2014/chart" uri="{C3380CC4-5D6E-409C-BE32-E72D297353CC}">
              <c16:uniqueId val="{0000000D-DF24-4A54-98BF-6043682D6CB0}"/>
            </c:ext>
          </c:extLst>
        </c:ser>
        <c:ser>
          <c:idx val="14"/>
          <c:order val="14"/>
          <c:tx>
            <c:strRef>
              <c:f>pivot2!$P$3:$P$4</c:f>
              <c:strCache>
                <c:ptCount val="1"/>
                <c:pt idx="0">
                  <c:v>NE</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pivot2!$P$5:$P$60</c:f>
              <c:numCache>
                <c:formatCode>General</c:formatCode>
                <c:ptCount val="56"/>
                <c:pt idx="12">
                  <c:v>1</c:v>
                </c:pt>
                <c:pt idx="13">
                  <c:v>2</c:v>
                </c:pt>
                <c:pt idx="14">
                  <c:v>3</c:v>
                </c:pt>
                <c:pt idx="15">
                  <c:v>3</c:v>
                </c:pt>
                <c:pt idx="16">
                  <c:v>4</c:v>
                </c:pt>
                <c:pt idx="17">
                  <c:v>4</c:v>
                </c:pt>
                <c:pt idx="18">
                  <c:v>5</c:v>
                </c:pt>
                <c:pt idx="19">
                  <c:v>6</c:v>
                </c:pt>
                <c:pt idx="20">
                  <c:v>9</c:v>
                </c:pt>
                <c:pt idx="21">
                  <c:v>12</c:v>
                </c:pt>
                <c:pt idx="22">
                  <c:v>13</c:v>
                </c:pt>
                <c:pt idx="23">
                  <c:v>15</c:v>
                </c:pt>
                <c:pt idx="24">
                  <c:v>18</c:v>
                </c:pt>
                <c:pt idx="25">
                  <c:v>20</c:v>
                </c:pt>
                <c:pt idx="26">
                  <c:v>22</c:v>
                </c:pt>
                <c:pt idx="27">
                  <c:v>24</c:v>
                </c:pt>
                <c:pt idx="28">
                  <c:v>27</c:v>
                </c:pt>
                <c:pt idx="29">
                  <c:v>28</c:v>
                </c:pt>
                <c:pt idx="30">
                  <c:v>30</c:v>
                </c:pt>
                <c:pt idx="31">
                  <c:v>30</c:v>
                </c:pt>
                <c:pt idx="32">
                  <c:v>34</c:v>
                </c:pt>
                <c:pt idx="33">
                  <c:v>37</c:v>
                </c:pt>
                <c:pt idx="34">
                  <c:v>40</c:v>
                </c:pt>
                <c:pt idx="35">
                  <c:v>42</c:v>
                </c:pt>
                <c:pt idx="36">
                  <c:v>42</c:v>
                </c:pt>
                <c:pt idx="37">
                  <c:v>44</c:v>
                </c:pt>
                <c:pt idx="38">
                  <c:v>49</c:v>
                </c:pt>
                <c:pt idx="39">
                  <c:v>51</c:v>
                </c:pt>
                <c:pt idx="40">
                  <c:v>54</c:v>
                </c:pt>
                <c:pt idx="41">
                  <c:v>55</c:v>
                </c:pt>
                <c:pt idx="42">
                  <c:v>56</c:v>
                </c:pt>
                <c:pt idx="43">
                  <c:v>59</c:v>
                </c:pt>
                <c:pt idx="44">
                  <c:v>59</c:v>
                </c:pt>
                <c:pt idx="45">
                  <c:v>60</c:v>
                </c:pt>
                <c:pt idx="46">
                  <c:v>62</c:v>
                </c:pt>
                <c:pt idx="47">
                  <c:v>63</c:v>
                </c:pt>
                <c:pt idx="48">
                  <c:v>65</c:v>
                </c:pt>
              </c:numCache>
            </c:numRef>
          </c:val>
          <c:smooth val="0"/>
          <c:extLst>
            <c:ext xmlns:c16="http://schemas.microsoft.com/office/drawing/2014/chart" uri="{C3380CC4-5D6E-409C-BE32-E72D297353CC}">
              <c16:uniqueId val="{0000000E-DF24-4A54-98BF-6043682D6CB0}"/>
            </c:ext>
          </c:extLst>
        </c:ser>
        <c:ser>
          <c:idx val="15"/>
          <c:order val="15"/>
          <c:tx>
            <c:strRef>
              <c:f>pivot2!$Q$3:$Q$4</c:f>
              <c:strCache>
                <c:ptCount val="1"/>
                <c:pt idx="0">
                  <c:v>NW</c:v>
                </c:pt>
              </c:strCache>
            </c:strRef>
          </c:tx>
          <c:spPr>
            <a:ln w="34925" cap="rnd">
              <a:solidFill>
                <a:schemeClr val="accent4">
                  <a:lumMod val="80000"/>
                  <a:lumOff val="20000"/>
                </a:schemeClr>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pivot2!$Q$5:$Q$60</c:f>
              <c:numCache>
                <c:formatCode>General</c:formatCode>
                <c:ptCount val="56"/>
                <c:pt idx="37">
                  <c:v>1</c:v>
                </c:pt>
                <c:pt idx="38">
                  <c:v>1</c:v>
                </c:pt>
                <c:pt idx="39">
                  <c:v>1</c:v>
                </c:pt>
                <c:pt idx="40">
                  <c:v>1</c:v>
                </c:pt>
                <c:pt idx="41">
                  <c:v>2</c:v>
                </c:pt>
                <c:pt idx="42">
                  <c:v>2</c:v>
                </c:pt>
                <c:pt idx="43">
                  <c:v>3</c:v>
                </c:pt>
                <c:pt idx="44">
                  <c:v>3</c:v>
                </c:pt>
                <c:pt idx="45">
                  <c:v>3</c:v>
                </c:pt>
                <c:pt idx="46">
                  <c:v>3</c:v>
                </c:pt>
                <c:pt idx="47">
                  <c:v>3</c:v>
                </c:pt>
                <c:pt idx="48">
                  <c:v>3</c:v>
                </c:pt>
                <c:pt idx="49">
                  <c:v>3</c:v>
                </c:pt>
                <c:pt idx="50">
                  <c:v>3</c:v>
                </c:pt>
                <c:pt idx="51">
                  <c:v>3</c:v>
                </c:pt>
                <c:pt idx="52">
                  <c:v>3</c:v>
                </c:pt>
                <c:pt idx="53">
                  <c:v>3</c:v>
                </c:pt>
              </c:numCache>
            </c:numRef>
          </c:val>
          <c:smooth val="0"/>
          <c:extLst>
            <c:ext xmlns:c16="http://schemas.microsoft.com/office/drawing/2014/chart" uri="{C3380CC4-5D6E-409C-BE32-E72D297353CC}">
              <c16:uniqueId val="{0000000F-DF24-4A54-98BF-6043682D6CB0}"/>
            </c:ext>
          </c:extLst>
        </c:ser>
        <c:ser>
          <c:idx val="16"/>
          <c:order val="16"/>
          <c:tx>
            <c:strRef>
              <c:f>pivot2!$R$3:$R$4</c:f>
              <c:strCache>
                <c:ptCount val="1"/>
                <c:pt idx="0">
                  <c:v>OW</c:v>
                </c:pt>
              </c:strCache>
            </c:strRef>
          </c:tx>
          <c:spPr>
            <a:ln w="34925" cap="rnd">
              <a:solidFill>
                <a:schemeClr val="accent5">
                  <a:lumMod val="80000"/>
                  <a:lumOff val="20000"/>
                </a:schemeClr>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pivot2!$R$5:$R$60</c:f>
              <c:numCache>
                <c:formatCode>General</c:formatCode>
                <c:ptCount val="56"/>
                <c:pt idx="32">
                  <c:v>0</c:v>
                </c:pt>
                <c:pt idx="33">
                  <c:v>0</c:v>
                </c:pt>
                <c:pt idx="34">
                  <c:v>0</c:v>
                </c:pt>
                <c:pt idx="35">
                  <c:v>0</c:v>
                </c:pt>
                <c:pt idx="40">
                  <c:v>0</c:v>
                </c:pt>
                <c:pt idx="41">
                  <c:v>0</c:v>
                </c:pt>
                <c:pt idx="42">
                  <c:v>0</c:v>
                </c:pt>
                <c:pt idx="43">
                  <c:v>0</c:v>
                </c:pt>
                <c:pt idx="46">
                  <c:v>0</c:v>
                </c:pt>
                <c:pt idx="47">
                  <c:v>0</c:v>
                </c:pt>
                <c:pt idx="48">
                  <c:v>0</c:v>
                </c:pt>
                <c:pt idx="49">
                  <c:v>0</c:v>
                </c:pt>
                <c:pt idx="50">
                  <c:v>0</c:v>
                </c:pt>
                <c:pt idx="53">
                  <c:v>0</c:v>
                </c:pt>
              </c:numCache>
            </c:numRef>
          </c:val>
          <c:smooth val="0"/>
          <c:extLst>
            <c:ext xmlns:c16="http://schemas.microsoft.com/office/drawing/2014/chart" uri="{C3380CC4-5D6E-409C-BE32-E72D297353CC}">
              <c16:uniqueId val="{00000010-DF24-4A54-98BF-6043682D6CB0}"/>
            </c:ext>
          </c:extLst>
        </c:ser>
        <c:ser>
          <c:idx val="17"/>
          <c:order val="17"/>
          <c:tx>
            <c:strRef>
              <c:f>pivot2!$S$3:$S$4</c:f>
              <c:strCache>
                <c:ptCount val="1"/>
                <c:pt idx="0">
                  <c:v>SG</c:v>
                </c:pt>
              </c:strCache>
            </c:strRef>
          </c:tx>
          <c:spPr>
            <a:ln w="34925" cap="rnd">
              <a:solidFill>
                <a:schemeClr val="accent6">
                  <a:lumMod val="80000"/>
                  <a:lumOff val="20000"/>
                </a:schemeClr>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pivot2!$S$5:$S$60</c:f>
              <c:numCache>
                <c:formatCode>General</c:formatCode>
                <c:ptCount val="56"/>
                <c:pt idx="18">
                  <c:v>1</c:v>
                </c:pt>
                <c:pt idx="20">
                  <c:v>1</c:v>
                </c:pt>
                <c:pt idx="21">
                  <c:v>2</c:v>
                </c:pt>
                <c:pt idx="23">
                  <c:v>5</c:v>
                </c:pt>
                <c:pt idx="24">
                  <c:v>5</c:v>
                </c:pt>
                <c:pt idx="25">
                  <c:v>5</c:v>
                </c:pt>
                <c:pt idx="26">
                  <c:v>7</c:v>
                </c:pt>
                <c:pt idx="27">
                  <c:v>7</c:v>
                </c:pt>
                <c:pt idx="28">
                  <c:v>8</c:v>
                </c:pt>
                <c:pt idx="29">
                  <c:v>8</c:v>
                </c:pt>
                <c:pt idx="30">
                  <c:v>9</c:v>
                </c:pt>
                <c:pt idx="31">
                  <c:v>9</c:v>
                </c:pt>
                <c:pt idx="32">
                  <c:v>11</c:v>
                </c:pt>
                <c:pt idx="33">
                  <c:v>13</c:v>
                </c:pt>
                <c:pt idx="34">
                  <c:v>15</c:v>
                </c:pt>
                <c:pt idx="35">
                  <c:v>16</c:v>
                </c:pt>
                <c:pt idx="36">
                  <c:v>17</c:v>
                </c:pt>
                <c:pt idx="37">
                  <c:v>18</c:v>
                </c:pt>
                <c:pt idx="38">
                  <c:v>21</c:v>
                </c:pt>
                <c:pt idx="39">
                  <c:v>21</c:v>
                </c:pt>
                <c:pt idx="40">
                  <c:v>21</c:v>
                </c:pt>
                <c:pt idx="41">
                  <c:v>23</c:v>
                </c:pt>
                <c:pt idx="42">
                  <c:v>25</c:v>
                </c:pt>
                <c:pt idx="43">
                  <c:v>27</c:v>
                </c:pt>
                <c:pt idx="44">
                  <c:v>27</c:v>
                </c:pt>
                <c:pt idx="45">
                  <c:v>27</c:v>
                </c:pt>
                <c:pt idx="46">
                  <c:v>27</c:v>
                </c:pt>
                <c:pt idx="47">
                  <c:v>29</c:v>
                </c:pt>
                <c:pt idx="48">
                  <c:v>29</c:v>
                </c:pt>
                <c:pt idx="49">
                  <c:v>31</c:v>
                </c:pt>
                <c:pt idx="50">
                  <c:v>31</c:v>
                </c:pt>
                <c:pt idx="51">
                  <c:v>31</c:v>
                </c:pt>
                <c:pt idx="52">
                  <c:v>31</c:v>
                </c:pt>
                <c:pt idx="53">
                  <c:v>31</c:v>
                </c:pt>
                <c:pt idx="54">
                  <c:v>33</c:v>
                </c:pt>
              </c:numCache>
            </c:numRef>
          </c:val>
          <c:smooth val="0"/>
          <c:extLst>
            <c:ext xmlns:c16="http://schemas.microsoft.com/office/drawing/2014/chart" uri="{C3380CC4-5D6E-409C-BE32-E72D297353CC}">
              <c16:uniqueId val="{00000011-DF24-4A54-98BF-6043682D6CB0}"/>
            </c:ext>
          </c:extLst>
        </c:ser>
        <c:ser>
          <c:idx val="18"/>
          <c:order val="18"/>
          <c:tx>
            <c:strRef>
              <c:f>pivot2!$T$3:$T$4</c:f>
              <c:strCache>
                <c:ptCount val="1"/>
                <c:pt idx="0">
                  <c:v>SH</c:v>
                </c:pt>
              </c:strCache>
            </c:strRef>
          </c:tx>
          <c:spPr>
            <a:ln w="34925" cap="rnd">
              <a:solidFill>
                <a:schemeClr val="accent1">
                  <a:lumMod val="80000"/>
                </a:schemeClr>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pivot2!$T$5:$T$60</c:f>
              <c:numCache>
                <c:formatCode>General</c:formatCode>
                <c:ptCount val="56"/>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2</c:v>
                </c:pt>
                <c:pt idx="48">
                  <c:v>3</c:v>
                </c:pt>
                <c:pt idx="49">
                  <c:v>3</c:v>
                </c:pt>
                <c:pt idx="50">
                  <c:v>3</c:v>
                </c:pt>
                <c:pt idx="51">
                  <c:v>5</c:v>
                </c:pt>
                <c:pt idx="52">
                  <c:v>5</c:v>
                </c:pt>
                <c:pt idx="53">
                  <c:v>5</c:v>
                </c:pt>
                <c:pt idx="54">
                  <c:v>6</c:v>
                </c:pt>
              </c:numCache>
            </c:numRef>
          </c:val>
          <c:smooth val="0"/>
          <c:extLst>
            <c:ext xmlns:c16="http://schemas.microsoft.com/office/drawing/2014/chart" uri="{C3380CC4-5D6E-409C-BE32-E72D297353CC}">
              <c16:uniqueId val="{00000012-DF24-4A54-98BF-6043682D6CB0}"/>
            </c:ext>
          </c:extLst>
        </c:ser>
        <c:ser>
          <c:idx val="19"/>
          <c:order val="19"/>
          <c:tx>
            <c:strRef>
              <c:f>pivot2!$U$3:$U$4</c:f>
              <c:strCache>
                <c:ptCount val="1"/>
                <c:pt idx="0">
                  <c:v>SZ</c:v>
                </c:pt>
              </c:strCache>
            </c:strRef>
          </c:tx>
          <c:spPr>
            <a:ln w="34925" cap="rnd">
              <a:solidFill>
                <a:schemeClr val="accent2">
                  <a:lumMod val="80000"/>
                </a:schemeClr>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pivot2!$U$5:$U$60</c:f>
              <c:numCache>
                <c:formatCode>General</c:formatCode>
                <c:ptCount val="56"/>
                <c:pt idx="19">
                  <c:v>0</c:v>
                </c:pt>
                <c:pt idx="20">
                  <c:v>0</c:v>
                </c:pt>
                <c:pt idx="21">
                  <c:v>0</c:v>
                </c:pt>
                <c:pt idx="22">
                  <c:v>1</c:v>
                </c:pt>
                <c:pt idx="23">
                  <c:v>1</c:v>
                </c:pt>
                <c:pt idx="24">
                  <c:v>2</c:v>
                </c:pt>
                <c:pt idx="25">
                  <c:v>2</c:v>
                </c:pt>
                <c:pt idx="26">
                  <c:v>4</c:v>
                </c:pt>
                <c:pt idx="27">
                  <c:v>4</c:v>
                </c:pt>
                <c:pt idx="28">
                  <c:v>4</c:v>
                </c:pt>
                <c:pt idx="29">
                  <c:v>4</c:v>
                </c:pt>
                <c:pt idx="30">
                  <c:v>5</c:v>
                </c:pt>
                <c:pt idx="31">
                  <c:v>5</c:v>
                </c:pt>
                <c:pt idx="32">
                  <c:v>6</c:v>
                </c:pt>
                <c:pt idx="33">
                  <c:v>7</c:v>
                </c:pt>
                <c:pt idx="34">
                  <c:v>7</c:v>
                </c:pt>
                <c:pt idx="35">
                  <c:v>9</c:v>
                </c:pt>
                <c:pt idx="36">
                  <c:v>10</c:v>
                </c:pt>
                <c:pt idx="37">
                  <c:v>10</c:v>
                </c:pt>
                <c:pt idx="38">
                  <c:v>11</c:v>
                </c:pt>
                <c:pt idx="39">
                  <c:v>12</c:v>
                </c:pt>
                <c:pt idx="40">
                  <c:v>13</c:v>
                </c:pt>
                <c:pt idx="41">
                  <c:v>13</c:v>
                </c:pt>
                <c:pt idx="42">
                  <c:v>14</c:v>
                </c:pt>
                <c:pt idx="43">
                  <c:v>14</c:v>
                </c:pt>
                <c:pt idx="44">
                  <c:v>14</c:v>
                </c:pt>
                <c:pt idx="45">
                  <c:v>15</c:v>
                </c:pt>
                <c:pt idx="46">
                  <c:v>15</c:v>
                </c:pt>
                <c:pt idx="47">
                  <c:v>16</c:v>
                </c:pt>
                <c:pt idx="48">
                  <c:v>16</c:v>
                </c:pt>
                <c:pt idx="49">
                  <c:v>16</c:v>
                </c:pt>
                <c:pt idx="50">
                  <c:v>16</c:v>
                </c:pt>
                <c:pt idx="51">
                  <c:v>17</c:v>
                </c:pt>
                <c:pt idx="52">
                  <c:v>18</c:v>
                </c:pt>
                <c:pt idx="53">
                  <c:v>18</c:v>
                </c:pt>
              </c:numCache>
            </c:numRef>
          </c:val>
          <c:smooth val="0"/>
          <c:extLst>
            <c:ext xmlns:c16="http://schemas.microsoft.com/office/drawing/2014/chart" uri="{C3380CC4-5D6E-409C-BE32-E72D297353CC}">
              <c16:uniqueId val="{00000013-DF24-4A54-98BF-6043682D6CB0}"/>
            </c:ext>
          </c:extLst>
        </c:ser>
        <c:ser>
          <c:idx val="20"/>
          <c:order val="20"/>
          <c:tx>
            <c:strRef>
              <c:f>pivot2!$V$3:$V$4</c:f>
              <c:strCache>
                <c:ptCount val="1"/>
                <c:pt idx="0">
                  <c:v>TG</c:v>
                </c:pt>
              </c:strCache>
            </c:strRef>
          </c:tx>
          <c:spPr>
            <a:ln w="34925" cap="rnd">
              <a:solidFill>
                <a:schemeClr val="accent3">
                  <a:lumMod val="80000"/>
                </a:schemeClr>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pivot2!$V$5:$V$60</c:f>
              <c:numCache>
                <c:formatCode>General</c:formatCode>
                <c:ptCount val="56"/>
                <c:pt idx="19">
                  <c:v>1</c:v>
                </c:pt>
                <c:pt idx="20">
                  <c:v>1</c:v>
                </c:pt>
                <c:pt idx="21">
                  <c:v>1</c:v>
                </c:pt>
                <c:pt idx="22">
                  <c:v>2</c:v>
                </c:pt>
                <c:pt idx="23">
                  <c:v>2</c:v>
                </c:pt>
                <c:pt idx="24">
                  <c:v>2</c:v>
                </c:pt>
                <c:pt idx="25">
                  <c:v>2</c:v>
                </c:pt>
                <c:pt idx="26">
                  <c:v>3</c:v>
                </c:pt>
                <c:pt idx="27">
                  <c:v>4</c:v>
                </c:pt>
                <c:pt idx="28">
                  <c:v>4</c:v>
                </c:pt>
                <c:pt idx="29">
                  <c:v>5</c:v>
                </c:pt>
                <c:pt idx="30">
                  <c:v>5</c:v>
                </c:pt>
                <c:pt idx="31">
                  <c:v>7</c:v>
                </c:pt>
                <c:pt idx="32">
                  <c:v>7</c:v>
                </c:pt>
                <c:pt idx="33">
                  <c:v>8</c:v>
                </c:pt>
                <c:pt idx="34">
                  <c:v>8</c:v>
                </c:pt>
                <c:pt idx="35">
                  <c:v>8</c:v>
                </c:pt>
                <c:pt idx="36">
                  <c:v>8</c:v>
                </c:pt>
                <c:pt idx="37">
                  <c:v>8</c:v>
                </c:pt>
                <c:pt idx="38">
                  <c:v>8</c:v>
                </c:pt>
                <c:pt idx="39">
                  <c:v>8</c:v>
                </c:pt>
                <c:pt idx="40">
                  <c:v>10</c:v>
                </c:pt>
                <c:pt idx="41">
                  <c:v>11</c:v>
                </c:pt>
                <c:pt idx="42">
                  <c:v>11</c:v>
                </c:pt>
                <c:pt idx="43">
                  <c:v>12</c:v>
                </c:pt>
                <c:pt idx="44">
                  <c:v>13</c:v>
                </c:pt>
                <c:pt idx="45">
                  <c:v>13</c:v>
                </c:pt>
                <c:pt idx="46">
                  <c:v>13</c:v>
                </c:pt>
                <c:pt idx="47">
                  <c:v>13</c:v>
                </c:pt>
                <c:pt idx="48">
                  <c:v>14</c:v>
                </c:pt>
                <c:pt idx="49">
                  <c:v>14</c:v>
                </c:pt>
                <c:pt idx="50">
                  <c:v>14</c:v>
                </c:pt>
                <c:pt idx="51">
                  <c:v>14</c:v>
                </c:pt>
                <c:pt idx="52">
                  <c:v>16</c:v>
                </c:pt>
                <c:pt idx="53">
                  <c:v>17</c:v>
                </c:pt>
              </c:numCache>
            </c:numRef>
          </c:val>
          <c:smooth val="0"/>
          <c:extLst>
            <c:ext xmlns:c16="http://schemas.microsoft.com/office/drawing/2014/chart" uri="{C3380CC4-5D6E-409C-BE32-E72D297353CC}">
              <c16:uniqueId val="{00000014-DF24-4A54-98BF-6043682D6CB0}"/>
            </c:ext>
          </c:extLst>
        </c:ser>
        <c:ser>
          <c:idx val="21"/>
          <c:order val="21"/>
          <c:tx>
            <c:strRef>
              <c:f>pivot2!$W$3:$W$4</c:f>
              <c:strCache>
                <c:ptCount val="1"/>
                <c:pt idx="0">
                  <c:v>TI</c:v>
                </c:pt>
              </c:strCache>
            </c:strRef>
          </c:tx>
          <c:spPr>
            <a:ln w="34925" cap="rnd">
              <a:solidFill>
                <a:schemeClr val="accent4">
                  <a:lumMod val="80000"/>
                </a:schemeClr>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pivot2!$W$5:$W$60</c:f>
              <c:numCache>
                <c:formatCode>General</c:formatCode>
                <c:ptCount val="56"/>
                <c:pt idx="5">
                  <c:v>1</c:v>
                </c:pt>
                <c:pt idx="9">
                  <c:v>3</c:v>
                </c:pt>
                <c:pt idx="10">
                  <c:v>6</c:v>
                </c:pt>
                <c:pt idx="11">
                  <c:v>8</c:v>
                </c:pt>
                <c:pt idx="12">
                  <c:v>10</c:v>
                </c:pt>
                <c:pt idx="13">
                  <c:v>14</c:v>
                </c:pt>
                <c:pt idx="14">
                  <c:v>15</c:v>
                </c:pt>
                <c:pt idx="15">
                  <c:v>22</c:v>
                </c:pt>
                <c:pt idx="16">
                  <c:v>28</c:v>
                </c:pt>
                <c:pt idx="17">
                  <c:v>37</c:v>
                </c:pt>
                <c:pt idx="18">
                  <c:v>48</c:v>
                </c:pt>
                <c:pt idx="19">
                  <c:v>53</c:v>
                </c:pt>
                <c:pt idx="20">
                  <c:v>60</c:v>
                </c:pt>
                <c:pt idx="21">
                  <c:v>67</c:v>
                </c:pt>
                <c:pt idx="22">
                  <c:v>76</c:v>
                </c:pt>
                <c:pt idx="23">
                  <c:v>87</c:v>
                </c:pt>
                <c:pt idx="24">
                  <c:v>93</c:v>
                </c:pt>
                <c:pt idx="25">
                  <c:v>105</c:v>
                </c:pt>
                <c:pt idx="26">
                  <c:v>120</c:v>
                </c:pt>
                <c:pt idx="27">
                  <c:v>132</c:v>
                </c:pt>
                <c:pt idx="28">
                  <c:v>141</c:v>
                </c:pt>
                <c:pt idx="29">
                  <c:v>155</c:v>
                </c:pt>
                <c:pt idx="30">
                  <c:v>165</c:v>
                </c:pt>
                <c:pt idx="31">
                  <c:v>177</c:v>
                </c:pt>
                <c:pt idx="32">
                  <c:v>189</c:v>
                </c:pt>
                <c:pt idx="33">
                  <c:v>198</c:v>
                </c:pt>
                <c:pt idx="34">
                  <c:v>211</c:v>
                </c:pt>
                <c:pt idx="35">
                  <c:v>219</c:v>
                </c:pt>
                <c:pt idx="36">
                  <c:v>227</c:v>
                </c:pt>
                <c:pt idx="37">
                  <c:v>229</c:v>
                </c:pt>
                <c:pt idx="38">
                  <c:v>244</c:v>
                </c:pt>
                <c:pt idx="39">
                  <c:v>251</c:v>
                </c:pt>
                <c:pt idx="40">
                  <c:v>258</c:v>
                </c:pt>
                <c:pt idx="41">
                  <c:v>263</c:v>
                </c:pt>
                <c:pt idx="42">
                  <c:v>269</c:v>
                </c:pt>
                <c:pt idx="43">
                  <c:v>270</c:v>
                </c:pt>
                <c:pt idx="44">
                  <c:v>277</c:v>
                </c:pt>
                <c:pt idx="45">
                  <c:v>281</c:v>
                </c:pt>
                <c:pt idx="46">
                  <c:v>288</c:v>
                </c:pt>
                <c:pt idx="47">
                  <c:v>291</c:v>
                </c:pt>
                <c:pt idx="48">
                  <c:v>295</c:v>
                </c:pt>
                <c:pt idx="49">
                  <c:v>298</c:v>
                </c:pt>
                <c:pt idx="50">
                  <c:v>299</c:v>
                </c:pt>
                <c:pt idx="51">
                  <c:v>304</c:v>
                </c:pt>
                <c:pt idx="52">
                  <c:v>306</c:v>
                </c:pt>
                <c:pt idx="53">
                  <c:v>311</c:v>
                </c:pt>
                <c:pt idx="54">
                  <c:v>316</c:v>
                </c:pt>
              </c:numCache>
            </c:numRef>
          </c:val>
          <c:smooth val="0"/>
          <c:extLst>
            <c:ext xmlns:c16="http://schemas.microsoft.com/office/drawing/2014/chart" uri="{C3380CC4-5D6E-409C-BE32-E72D297353CC}">
              <c16:uniqueId val="{00000015-DF24-4A54-98BF-6043682D6CB0}"/>
            </c:ext>
          </c:extLst>
        </c:ser>
        <c:ser>
          <c:idx val="22"/>
          <c:order val="22"/>
          <c:tx>
            <c:strRef>
              <c:f>pivot2!$X$3:$X$4</c:f>
              <c:strCache>
                <c:ptCount val="1"/>
                <c:pt idx="0">
                  <c:v>UR</c:v>
                </c:pt>
              </c:strCache>
            </c:strRef>
          </c:tx>
          <c:spPr>
            <a:ln w="34925" cap="rnd">
              <a:solidFill>
                <a:schemeClr val="accent5">
                  <a:lumMod val="80000"/>
                </a:schemeClr>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pivot2!$X$5:$X$60</c:f>
              <c:numCache>
                <c:formatCode>General</c:formatCode>
                <c:ptCount val="56"/>
                <c:pt idx="27">
                  <c:v>1</c:v>
                </c:pt>
                <c:pt idx="28">
                  <c:v>1</c:v>
                </c:pt>
                <c:pt idx="29">
                  <c:v>1</c:v>
                </c:pt>
                <c:pt idx="30">
                  <c:v>1</c:v>
                </c:pt>
                <c:pt idx="31">
                  <c:v>2</c:v>
                </c:pt>
                <c:pt idx="32">
                  <c:v>2</c:v>
                </c:pt>
                <c:pt idx="33">
                  <c:v>2</c:v>
                </c:pt>
                <c:pt idx="34">
                  <c:v>4</c:v>
                </c:pt>
                <c:pt idx="35">
                  <c:v>4</c:v>
                </c:pt>
                <c:pt idx="36">
                  <c:v>4</c:v>
                </c:pt>
                <c:pt idx="37">
                  <c:v>4</c:v>
                </c:pt>
                <c:pt idx="38">
                  <c:v>4</c:v>
                </c:pt>
                <c:pt idx="39">
                  <c:v>4</c:v>
                </c:pt>
                <c:pt idx="40">
                  <c:v>4</c:v>
                </c:pt>
                <c:pt idx="41">
                  <c:v>4</c:v>
                </c:pt>
                <c:pt idx="42">
                  <c:v>5</c:v>
                </c:pt>
                <c:pt idx="43">
                  <c:v>5</c:v>
                </c:pt>
                <c:pt idx="44">
                  <c:v>5</c:v>
                </c:pt>
                <c:pt idx="45">
                  <c:v>5</c:v>
                </c:pt>
                <c:pt idx="46">
                  <c:v>5</c:v>
                </c:pt>
                <c:pt idx="47">
                  <c:v>5</c:v>
                </c:pt>
                <c:pt idx="48">
                  <c:v>5</c:v>
                </c:pt>
                <c:pt idx="49">
                  <c:v>5</c:v>
                </c:pt>
                <c:pt idx="50">
                  <c:v>5</c:v>
                </c:pt>
                <c:pt idx="51">
                  <c:v>5</c:v>
                </c:pt>
                <c:pt idx="52">
                  <c:v>5</c:v>
                </c:pt>
                <c:pt idx="53">
                  <c:v>5</c:v>
                </c:pt>
              </c:numCache>
            </c:numRef>
          </c:val>
          <c:smooth val="0"/>
          <c:extLst>
            <c:ext xmlns:c16="http://schemas.microsoft.com/office/drawing/2014/chart" uri="{C3380CC4-5D6E-409C-BE32-E72D297353CC}">
              <c16:uniqueId val="{00000016-DF24-4A54-98BF-6043682D6CB0}"/>
            </c:ext>
          </c:extLst>
        </c:ser>
        <c:ser>
          <c:idx val="23"/>
          <c:order val="23"/>
          <c:tx>
            <c:strRef>
              <c:f>pivot2!$Y$3:$Y$4</c:f>
              <c:strCache>
                <c:ptCount val="1"/>
                <c:pt idx="0">
                  <c:v>VD</c:v>
                </c:pt>
              </c:strCache>
            </c:strRef>
          </c:tx>
          <c:spPr>
            <a:ln w="34925" cap="rnd">
              <a:solidFill>
                <a:schemeClr val="accent6">
                  <a:lumMod val="80000"/>
                </a:schemeClr>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pivot2!$Y$5:$Y$60</c:f>
              <c:numCache>
                <c:formatCode>General</c:formatCode>
                <c:ptCount val="56"/>
                <c:pt idx="1">
                  <c:v>1</c:v>
                </c:pt>
                <c:pt idx="2">
                  <c:v>1</c:v>
                </c:pt>
                <c:pt idx="3">
                  <c:v>1</c:v>
                </c:pt>
                <c:pt idx="4">
                  <c:v>1</c:v>
                </c:pt>
                <c:pt idx="5">
                  <c:v>1</c:v>
                </c:pt>
                <c:pt idx="6">
                  <c:v>1</c:v>
                </c:pt>
                <c:pt idx="7">
                  <c:v>3</c:v>
                </c:pt>
                <c:pt idx="8">
                  <c:v>3</c:v>
                </c:pt>
                <c:pt idx="9">
                  <c:v>4</c:v>
                </c:pt>
                <c:pt idx="10">
                  <c:v>5</c:v>
                </c:pt>
                <c:pt idx="11">
                  <c:v>7</c:v>
                </c:pt>
                <c:pt idx="12">
                  <c:v>9</c:v>
                </c:pt>
                <c:pt idx="13">
                  <c:v>12</c:v>
                </c:pt>
                <c:pt idx="14">
                  <c:v>13</c:v>
                </c:pt>
                <c:pt idx="15">
                  <c:v>19</c:v>
                </c:pt>
                <c:pt idx="16">
                  <c:v>22</c:v>
                </c:pt>
                <c:pt idx="17">
                  <c:v>24</c:v>
                </c:pt>
                <c:pt idx="18">
                  <c:v>28</c:v>
                </c:pt>
                <c:pt idx="19">
                  <c:v>32</c:v>
                </c:pt>
                <c:pt idx="20">
                  <c:v>40</c:v>
                </c:pt>
                <c:pt idx="21">
                  <c:v>57</c:v>
                </c:pt>
                <c:pt idx="22">
                  <c:v>61</c:v>
                </c:pt>
                <c:pt idx="23">
                  <c:v>72</c:v>
                </c:pt>
                <c:pt idx="24">
                  <c:v>81</c:v>
                </c:pt>
                <c:pt idx="25">
                  <c:v>93</c:v>
                </c:pt>
                <c:pt idx="26">
                  <c:v>105</c:v>
                </c:pt>
                <c:pt idx="27">
                  <c:v>116</c:v>
                </c:pt>
                <c:pt idx="28">
                  <c:v>135</c:v>
                </c:pt>
                <c:pt idx="29">
                  <c:v>153</c:v>
                </c:pt>
                <c:pt idx="30">
                  <c:v>164</c:v>
                </c:pt>
                <c:pt idx="31">
                  <c:v>176</c:v>
                </c:pt>
                <c:pt idx="32">
                  <c:v>192</c:v>
                </c:pt>
                <c:pt idx="33">
                  <c:v>204</c:v>
                </c:pt>
                <c:pt idx="34">
                  <c:v>216</c:v>
                </c:pt>
                <c:pt idx="35">
                  <c:v>230</c:v>
                </c:pt>
                <c:pt idx="36">
                  <c:v>237</c:v>
                </c:pt>
                <c:pt idx="37">
                  <c:v>243</c:v>
                </c:pt>
                <c:pt idx="38">
                  <c:v>251</c:v>
                </c:pt>
                <c:pt idx="39">
                  <c:v>257</c:v>
                </c:pt>
                <c:pt idx="40">
                  <c:v>267</c:v>
                </c:pt>
                <c:pt idx="41">
                  <c:v>284</c:v>
                </c:pt>
                <c:pt idx="42">
                  <c:v>297</c:v>
                </c:pt>
                <c:pt idx="43">
                  <c:v>302</c:v>
                </c:pt>
                <c:pt idx="44">
                  <c:v>310</c:v>
                </c:pt>
                <c:pt idx="45">
                  <c:v>315</c:v>
                </c:pt>
                <c:pt idx="46">
                  <c:v>326</c:v>
                </c:pt>
                <c:pt idx="47">
                  <c:v>334</c:v>
                </c:pt>
                <c:pt idx="48">
                  <c:v>338</c:v>
                </c:pt>
                <c:pt idx="49">
                  <c:v>347</c:v>
                </c:pt>
                <c:pt idx="50">
                  <c:v>349</c:v>
                </c:pt>
                <c:pt idx="51">
                  <c:v>354</c:v>
                </c:pt>
                <c:pt idx="52">
                  <c:v>355</c:v>
                </c:pt>
              </c:numCache>
            </c:numRef>
          </c:val>
          <c:smooth val="0"/>
          <c:extLst>
            <c:ext xmlns:c16="http://schemas.microsoft.com/office/drawing/2014/chart" uri="{C3380CC4-5D6E-409C-BE32-E72D297353CC}">
              <c16:uniqueId val="{00000017-DF24-4A54-98BF-6043682D6CB0}"/>
            </c:ext>
          </c:extLst>
        </c:ser>
        <c:ser>
          <c:idx val="24"/>
          <c:order val="24"/>
          <c:tx>
            <c:strRef>
              <c:f>pivot2!$Z$3:$Z$4</c:f>
              <c:strCache>
                <c:ptCount val="1"/>
                <c:pt idx="0">
                  <c:v>VS</c:v>
                </c:pt>
              </c:strCache>
            </c:strRef>
          </c:tx>
          <c:spPr>
            <a:ln w="34925" cap="rnd">
              <a:solidFill>
                <a:schemeClr val="accent1">
                  <a:lumMod val="60000"/>
                  <a:lumOff val="40000"/>
                </a:schemeClr>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pivot2!$Z$5:$Z$60</c:f>
              <c:numCache>
                <c:formatCode>General</c:formatCode>
                <c:ptCount val="56"/>
                <c:pt idx="0">
                  <c:v>0</c:v>
                </c:pt>
                <c:pt idx="1">
                  <c:v>0</c:v>
                </c:pt>
                <c:pt idx="2">
                  <c:v>0</c:v>
                </c:pt>
                <c:pt idx="3">
                  <c:v>0</c:v>
                </c:pt>
                <c:pt idx="4">
                  <c:v>0</c:v>
                </c:pt>
                <c:pt idx="5">
                  <c:v>0</c:v>
                </c:pt>
                <c:pt idx="6">
                  <c:v>0</c:v>
                </c:pt>
                <c:pt idx="7">
                  <c:v>0</c:v>
                </c:pt>
                <c:pt idx="8">
                  <c:v>1</c:v>
                </c:pt>
                <c:pt idx="9">
                  <c:v>1</c:v>
                </c:pt>
                <c:pt idx="10">
                  <c:v>2</c:v>
                </c:pt>
                <c:pt idx="11">
                  <c:v>3</c:v>
                </c:pt>
                <c:pt idx="12">
                  <c:v>3</c:v>
                </c:pt>
                <c:pt idx="13">
                  <c:v>4</c:v>
                </c:pt>
                <c:pt idx="14">
                  <c:v>6</c:v>
                </c:pt>
                <c:pt idx="15">
                  <c:v>7</c:v>
                </c:pt>
                <c:pt idx="16">
                  <c:v>10</c:v>
                </c:pt>
                <c:pt idx="17">
                  <c:v>11</c:v>
                </c:pt>
                <c:pt idx="18">
                  <c:v>13</c:v>
                </c:pt>
                <c:pt idx="19">
                  <c:v>14</c:v>
                </c:pt>
                <c:pt idx="20">
                  <c:v>15</c:v>
                </c:pt>
                <c:pt idx="21">
                  <c:v>17</c:v>
                </c:pt>
                <c:pt idx="22">
                  <c:v>21</c:v>
                </c:pt>
                <c:pt idx="23">
                  <c:v>25</c:v>
                </c:pt>
                <c:pt idx="24">
                  <c:v>31</c:v>
                </c:pt>
                <c:pt idx="25">
                  <c:v>35</c:v>
                </c:pt>
                <c:pt idx="26">
                  <c:v>37</c:v>
                </c:pt>
                <c:pt idx="27">
                  <c:v>40</c:v>
                </c:pt>
                <c:pt idx="28">
                  <c:v>47</c:v>
                </c:pt>
                <c:pt idx="29">
                  <c:v>51</c:v>
                </c:pt>
                <c:pt idx="30">
                  <c:v>53</c:v>
                </c:pt>
                <c:pt idx="31">
                  <c:v>57</c:v>
                </c:pt>
                <c:pt idx="32">
                  <c:v>60</c:v>
                </c:pt>
                <c:pt idx="33">
                  <c:v>68</c:v>
                </c:pt>
                <c:pt idx="34">
                  <c:v>71</c:v>
                </c:pt>
                <c:pt idx="35">
                  <c:v>77</c:v>
                </c:pt>
                <c:pt idx="36">
                  <c:v>83</c:v>
                </c:pt>
                <c:pt idx="37">
                  <c:v>85</c:v>
                </c:pt>
                <c:pt idx="38">
                  <c:v>91</c:v>
                </c:pt>
                <c:pt idx="39">
                  <c:v>93</c:v>
                </c:pt>
                <c:pt idx="40">
                  <c:v>94</c:v>
                </c:pt>
                <c:pt idx="41">
                  <c:v>94</c:v>
                </c:pt>
                <c:pt idx="42">
                  <c:v>95</c:v>
                </c:pt>
                <c:pt idx="43">
                  <c:v>99</c:v>
                </c:pt>
                <c:pt idx="44">
                  <c:v>104</c:v>
                </c:pt>
                <c:pt idx="45">
                  <c:v>107</c:v>
                </c:pt>
                <c:pt idx="46">
                  <c:v>110</c:v>
                </c:pt>
                <c:pt idx="47">
                  <c:v>115</c:v>
                </c:pt>
                <c:pt idx="48">
                  <c:v>118</c:v>
                </c:pt>
                <c:pt idx="49">
                  <c:v>123</c:v>
                </c:pt>
                <c:pt idx="50">
                  <c:v>127</c:v>
                </c:pt>
                <c:pt idx="51">
                  <c:v>129</c:v>
                </c:pt>
                <c:pt idx="52">
                  <c:v>131</c:v>
                </c:pt>
                <c:pt idx="53">
                  <c:v>132</c:v>
                </c:pt>
              </c:numCache>
            </c:numRef>
          </c:val>
          <c:smooth val="0"/>
          <c:extLst>
            <c:ext xmlns:c16="http://schemas.microsoft.com/office/drawing/2014/chart" uri="{C3380CC4-5D6E-409C-BE32-E72D297353CC}">
              <c16:uniqueId val="{00000018-DF24-4A54-98BF-6043682D6CB0}"/>
            </c:ext>
          </c:extLst>
        </c:ser>
        <c:ser>
          <c:idx val="25"/>
          <c:order val="25"/>
          <c:tx>
            <c:strRef>
              <c:f>pivot2!$AA$3:$AA$4</c:f>
              <c:strCache>
                <c:ptCount val="1"/>
                <c:pt idx="0">
                  <c:v>ZG</c:v>
                </c:pt>
              </c:strCache>
            </c:strRef>
          </c:tx>
          <c:spPr>
            <a:ln w="34925" cap="rnd">
              <a:solidFill>
                <a:schemeClr val="accent2">
                  <a:lumMod val="60000"/>
                  <a:lumOff val="40000"/>
                </a:schemeClr>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pivot2!$AA$5:$AA$60</c:f>
              <c:numCache>
                <c:formatCode>General</c:formatCode>
                <c:ptCount val="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c:v>
                </c:pt>
                <c:pt idx="24">
                  <c:v>1</c:v>
                </c:pt>
                <c:pt idx="25">
                  <c:v>1</c:v>
                </c:pt>
                <c:pt idx="26">
                  <c:v>1</c:v>
                </c:pt>
                <c:pt idx="27">
                  <c:v>1</c:v>
                </c:pt>
                <c:pt idx="28">
                  <c:v>1</c:v>
                </c:pt>
                <c:pt idx="29">
                  <c:v>1</c:v>
                </c:pt>
                <c:pt idx="30">
                  <c:v>2</c:v>
                </c:pt>
                <c:pt idx="31">
                  <c:v>2</c:v>
                </c:pt>
                <c:pt idx="32">
                  <c:v>3</c:v>
                </c:pt>
                <c:pt idx="33">
                  <c:v>3</c:v>
                </c:pt>
                <c:pt idx="34">
                  <c:v>3</c:v>
                </c:pt>
                <c:pt idx="35">
                  <c:v>3</c:v>
                </c:pt>
                <c:pt idx="36">
                  <c:v>3</c:v>
                </c:pt>
                <c:pt idx="37">
                  <c:v>4</c:v>
                </c:pt>
                <c:pt idx="38">
                  <c:v>5</c:v>
                </c:pt>
                <c:pt idx="39">
                  <c:v>5</c:v>
                </c:pt>
                <c:pt idx="40">
                  <c:v>5</c:v>
                </c:pt>
                <c:pt idx="41">
                  <c:v>5</c:v>
                </c:pt>
                <c:pt idx="42">
                  <c:v>6</c:v>
                </c:pt>
                <c:pt idx="43">
                  <c:v>6</c:v>
                </c:pt>
                <c:pt idx="44">
                  <c:v>7</c:v>
                </c:pt>
                <c:pt idx="45">
                  <c:v>7</c:v>
                </c:pt>
                <c:pt idx="46">
                  <c:v>7</c:v>
                </c:pt>
                <c:pt idx="47">
                  <c:v>8</c:v>
                </c:pt>
                <c:pt idx="48">
                  <c:v>8</c:v>
                </c:pt>
                <c:pt idx="49">
                  <c:v>8</c:v>
                </c:pt>
                <c:pt idx="50">
                  <c:v>8</c:v>
                </c:pt>
                <c:pt idx="51">
                  <c:v>8</c:v>
                </c:pt>
                <c:pt idx="52">
                  <c:v>8</c:v>
                </c:pt>
                <c:pt idx="53">
                  <c:v>8</c:v>
                </c:pt>
                <c:pt idx="54">
                  <c:v>8</c:v>
                </c:pt>
              </c:numCache>
            </c:numRef>
          </c:val>
          <c:smooth val="0"/>
          <c:extLst>
            <c:ext xmlns:c16="http://schemas.microsoft.com/office/drawing/2014/chart" uri="{C3380CC4-5D6E-409C-BE32-E72D297353CC}">
              <c16:uniqueId val="{00000019-DF24-4A54-98BF-6043682D6CB0}"/>
            </c:ext>
          </c:extLst>
        </c:ser>
        <c:ser>
          <c:idx val="26"/>
          <c:order val="26"/>
          <c:tx>
            <c:strRef>
              <c:f>pivot2!$AB$3:$AB$4</c:f>
              <c:strCache>
                <c:ptCount val="1"/>
                <c:pt idx="0">
                  <c:v>ZH</c:v>
                </c:pt>
              </c:strCache>
            </c:strRef>
          </c:tx>
          <c:spPr>
            <a:ln w="34925" cap="rnd">
              <a:solidFill>
                <a:schemeClr val="accent3">
                  <a:lumMod val="60000"/>
                  <a:lumOff val="40000"/>
                </a:schemeClr>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pivot2!$AB$5:$AB$60</c:f>
              <c:numCache>
                <c:formatCode>General</c:formatCode>
                <c:ptCount val="56"/>
                <c:pt idx="10">
                  <c:v>1</c:v>
                </c:pt>
                <c:pt idx="11">
                  <c:v>1</c:v>
                </c:pt>
                <c:pt idx="12">
                  <c:v>1</c:v>
                </c:pt>
                <c:pt idx="13">
                  <c:v>2</c:v>
                </c:pt>
                <c:pt idx="14">
                  <c:v>3</c:v>
                </c:pt>
                <c:pt idx="15">
                  <c:v>4</c:v>
                </c:pt>
                <c:pt idx="16">
                  <c:v>5</c:v>
                </c:pt>
                <c:pt idx="17">
                  <c:v>6</c:v>
                </c:pt>
                <c:pt idx="18">
                  <c:v>6</c:v>
                </c:pt>
                <c:pt idx="19">
                  <c:v>8</c:v>
                </c:pt>
                <c:pt idx="20">
                  <c:v>10</c:v>
                </c:pt>
                <c:pt idx="21">
                  <c:v>13</c:v>
                </c:pt>
                <c:pt idx="22">
                  <c:v>15</c:v>
                </c:pt>
                <c:pt idx="23">
                  <c:v>19</c:v>
                </c:pt>
                <c:pt idx="24">
                  <c:v>22</c:v>
                </c:pt>
                <c:pt idx="25">
                  <c:v>24</c:v>
                </c:pt>
                <c:pt idx="26">
                  <c:v>27</c:v>
                </c:pt>
                <c:pt idx="27">
                  <c:v>36</c:v>
                </c:pt>
                <c:pt idx="28">
                  <c:v>39</c:v>
                </c:pt>
                <c:pt idx="29">
                  <c:v>41</c:v>
                </c:pt>
                <c:pt idx="30">
                  <c:v>49</c:v>
                </c:pt>
                <c:pt idx="31">
                  <c:v>53</c:v>
                </c:pt>
                <c:pt idx="32">
                  <c:v>55</c:v>
                </c:pt>
                <c:pt idx="33">
                  <c:v>57</c:v>
                </c:pt>
                <c:pt idx="34">
                  <c:v>65</c:v>
                </c:pt>
                <c:pt idx="35">
                  <c:v>66</c:v>
                </c:pt>
                <c:pt idx="36">
                  <c:v>71</c:v>
                </c:pt>
                <c:pt idx="37">
                  <c:v>77</c:v>
                </c:pt>
                <c:pt idx="38">
                  <c:v>79</c:v>
                </c:pt>
                <c:pt idx="39">
                  <c:v>83</c:v>
                </c:pt>
                <c:pt idx="40">
                  <c:v>87</c:v>
                </c:pt>
                <c:pt idx="41">
                  <c:v>91</c:v>
                </c:pt>
                <c:pt idx="42">
                  <c:v>95</c:v>
                </c:pt>
                <c:pt idx="43">
                  <c:v>99</c:v>
                </c:pt>
                <c:pt idx="44">
                  <c:v>105</c:v>
                </c:pt>
                <c:pt idx="45">
                  <c:v>105</c:v>
                </c:pt>
                <c:pt idx="46">
                  <c:v>107</c:v>
                </c:pt>
                <c:pt idx="47">
                  <c:v>109</c:v>
                </c:pt>
                <c:pt idx="48">
                  <c:v>110</c:v>
                </c:pt>
                <c:pt idx="49">
                  <c:v>113</c:v>
                </c:pt>
                <c:pt idx="50">
                  <c:v>114</c:v>
                </c:pt>
                <c:pt idx="51">
                  <c:v>115</c:v>
                </c:pt>
                <c:pt idx="52">
                  <c:v>115</c:v>
                </c:pt>
                <c:pt idx="53">
                  <c:v>115</c:v>
                </c:pt>
              </c:numCache>
            </c:numRef>
          </c:val>
          <c:smooth val="0"/>
          <c:extLst>
            <c:ext xmlns:c16="http://schemas.microsoft.com/office/drawing/2014/chart" uri="{C3380CC4-5D6E-409C-BE32-E72D297353CC}">
              <c16:uniqueId val="{0000001A-DF24-4A54-98BF-6043682D6CB0}"/>
            </c:ext>
          </c:extLst>
        </c:ser>
        <c:ser>
          <c:idx val="27"/>
          <c:order val="27"/>
          <c:tx>
            <c:strRef>
              <c:f>pivot2!$AC$3:$AC$4</c:f>
              <c:strCache>
                <c:ptCount val="1"/>
                <c:pt idx="0">
                  <c:v>(Leer)</c:v>
                </c:pt>
              </c:strCache>
            </c:strRef>
          </c:tx>
          <c:spPr>
            <a:ln w="34925" cap="rnd">
              <a:solidFill>
                <a:schemeClr val="accent4">
                  <a:lumMod val="60000"/>
                  <a:lumOff val="40000"/>
                </a:schemeClr>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pivot2!$AC$5:$AC$60</c:f>
              <c:numCache>
                <c:formatCode>General</c:formatCode>
                <c:ptCount val="56"/>
              </c:numCache>
            </c:numRef>
          </c:val>
          <c:smooth val="0"/>
          <c:extLst>
            <c:ext xmlns:c16="http://schemas.microsoft.com/office/drawing/2014/chart" uri="{C3380CC4-5D6E-409C-BE32-E72D297353CC}">
              <c16:uniqueId val="{0000001B-DF24-4A54-98BF-6043682D6CB0}"/>
            </c:ext>
          </c:extLst>
        </c:ser>
        <c:dLbls>
          <c:showLegendKey val="0"/>
          <c:showVal val="0"/>
          <c:showCatName val="0"/>
          <c:showSerName val="0"/>
          <c:showPercent val="0"/>
          <c:showBubbleSize val="0"/>
        </c:dLbls>
        <c:smooth val="0"/>
        <c:axId val="178449776"/>
        <c:axId val="1228720975"/>
      </c:lineChart>
      <c:dateAx>
        <c:axId val="178449776"/>
        <c:scaling>
          <c:orientation val="minMax"/>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228720975"/>
        <c:crosses val="autoZero"/>
        <c:auto val="0"/>
        <c:lblOffset val="100"/>
        <c:baseTimeUnit val="days"/>
      </c:dateAx>
      <c:valAx>
        <c:axId val="122872097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78449776"/>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 New</a:t>
            </a:r>
            <a:r>
              <a:rPr lang="en-US" baseline="0"/>
              <a:t> positive &amp; new deaths</a:t>
            </a:r>
            <a:r>
              <a:rPr lang="en-US"/>
              <a:t> </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8.9323272090988629E-2"/>
          <c:y val="0.10689814814814817"/>
          <c:w val="0.85474540682414701"/>
          <c:h val="0.72082754498200308"/>
        </c:manualLayout>
      </c:layout>
      <c:lineChart>
        <c:grouping val="standard"/>
        <c:varyColors val="0"/>
        <c:ser>
          <c:idx val="8"/>
          <c:order val="8"/>
          <c:tx>
            <c:v>new_positive</c:v>
          </c:tx>
          <c:spPr>
            <a:ln w="34925" cap="rnd">
              <a:solidFill>
                <a:srgbClr val="33CCFF"/>
              </a:solidFill>
              <a:round/>
            </a:ln>
            <a:effectLst>
              <a:outerShdw blurRad="57150" dist="19050" dir="5400000" algn="ctr" rotWithShape="0">
                <a:srgbClr val="000000">
                  <a:alpha val="63000"/>
                </a:srgbClr>
              </a:outerShdw>
            </a:effectLst>
          </c:spPr>
          <c:marker>
            <c:symbol val="none"/>
          </c:marker>
          <c:cat>
            <c:numLit>
              <c:formatCode>General</c:formatCode>
              <c:ptCount val="6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numLit>
          </c:cat>
          <c:val>
            <c:numLit>
              <c:formatCode>General</c:formatCode>
              <c:ptCount val="63"/>
              <c:pt idx="0">
                <c:v>0</c:v>
              </c:pt>
              <c:pt idx="1">
                <c:v>1</c:v>
              </c:pt>
              <c:pt idx="2">
                <c:v>4</c:v>
              </c:pt>
              <c:pt idx="3">
                <c:v>7</c:v>
              </c:pt>
              <c:pt idx="4">
                <c:v>7</c:v>
              </c:pt>
              <c:pt idx="5">
                <c:v>7</c:v>
              </c:pt>
              <c:pt idx="6">
                <c:v>10</c:v>
              </c:pt>
              <c:pt idx="7">
                <c:v>17</c:v>
              </c:pt>
              <c:pt idx="8">
                <c:v>20</c:v>
              </c:pt>
              <c:pt idx="9">
                <c:v>44</c:v>
              </c:pt>
              <c:pt idx="10">
                <c:v>65</c:v>
              </c:pt>
              <c:pt idx="11">
                <c:v>72</c:v>
              </c:pt>
              <c:pt idx="12">
                <c:v>57</c:v>
              </c:pt>
              <c:pt idx="13">
                <c:v>84</c:v>
              </c:pt>
              <c:pt idx="14">
                <c:v>137</c:v>
              </c:pt>
              <c:pt idx="15">
                <c:v>171</c:v>
              </c:pt>
              <c:pt idx="16">
                <c:v>352</c:v>
              </c:pt>
              <c:pt idx="17">
                <c:v>352</c:v>
              </c:pt>
              <c:pt idx="18">
                <c:v>335</c:v>
              </c:pt>
              <c:pt idx="19">
                <c:v>279</c:v>
              </c:pt>
              <c:pt idx="20">
                <c:v>729</c:v>
              </c:pt>
              <c:pt idx="21">
                <c:v>871</c:v>
              </c:pt>
              <c:pt idx="22">
                <c:v>1181</c:v>
              </c:pt>
              <c:pt idx="23">
                <c:v>1047</c:v>
              </c:pt>
              <c:pt idx="24">
                <c:v>1135</c:v>
              </c:pt>
              <c:pt idx="25">
                <c:v>697</c:v>
              </c:pt>
              <c:pt idx="26">
                <c:v>569</c:v>
              </c:pt>
              <c:pt idx="27">
                <c:v>1560</c:v>
              </c:pt>
              <c:pt idx="28">
                <c:v>1071</c:v>
              </c:pt>
              <c:pt idx="29">
                <c:v>1095</c:v>
              </c:pt>
              <c:pt idx="30">
                <c:v>1139</c:v>
              </c:pt>
              <c:pt idx="31">
                <c:v>1308</c:v>
              </c:pt>
              <c:pt idx="32">
                <c:v>833</c:v>
              </c:pt>
              <c:pt idx="33">
                <c:v>598</c:v>
              </c:pt>
              <c:pt idx="34">
                <c:v>1115</c:v>
              </c:pt>
              <c:pt idx="35">
                <c:v>938</c:v>
              </c:pt>
              <c:pt idx="36">
                <c:v>1027</c:v>
              </c:pt>
              <c:pt idx="37">
                <c:v>1045</c:v>
              </c:pt>
              <c:pt idx="38">
                <c:v>929</c:v>
              </c:pt>
              <c:pt idx="39">
                <c:v>566</c:v>
              </c:pt>
              <c:pt idx="40">
                <c:v>383</c:v>
              </c:pt>
              <c:pt idx="41">
                <c:v>742</c:v>
              </c:pt>
              <c:pt idx="42">
                <c:v>651</c:v>
              </c:pt>
              <c:pt idx="43">
                <c:v>670</c:v>
              </c:pt>
              <c:pt idx="44">
                <c:v>668</c:v>
              </c:pt>
              <c:pt idx="45">
                <c:v>450</c:v>
              </c:pt>
              <c:pt idx="46">
                <c:v>463</c:v>
              </c:pt>
              <c:pt idx="47">
                <c:v>273</c:v>
              </c:pt>
              <c:pt idx="48">
                <c:v>251</c:v>
              </c:pt>
              <c:pt idx="49">
                <c:v>322</c:v>
              </c:pt>
              <c:pt idx="50">
                <c:v>318</c:v>
              </c:pt>
              <c:pt idx="51">
                <c:v>299</c:v>
              </c:pt>
              <c:pt idx="52">
                <c:v>314</c:v>
              </c:pt>
              <c:pt idx="53">
                <c:v>293</c:v>
              </c:pt>
              <c:pt idx="54">
                <c:v>177</c:v>
              </c:pt>
              <c:pt idx="55">
                <c:v>202</c:v>
              </c:pt>
              <c:pt idx="56">
                <c:v>158</c:v>
              </c:pt>
              <c:pt idx="57">
                <c:v>195</c:v>
              </c:pt>
              <c:pt idx="58">
                <c:v>183</c:v>
              </c:pt>
              <c:pt idx="59">
                <c:v>164</c:v>
              </c:pt>
              <c:pt idx="60">
                <c:v>135</c:v>
              </c:pt>
              <c:pt idx="61">
                <c:v>65</c:v>
              </c:pt>
              <c:pt idx="62">
                <c:v>64</c:v>
              </c:pt>
            </c:numLit>
          </c:val>
          <c:smooth val="0"/>
          <c:extLst>
            <c:ext xmlns:c16="http://schemas.microsoft.com/office/drawing/2014/chart" uri="{C3380CC4-5D6E-409C-BE32-E72D297353CC}">
              <c16:uniqueId val="{00000000-3C9B-4CCC-99BC-84CFF113D9B4}"/>
            </c:ext>
          </c:extLst>
        </c:ser>
        <c:ser>
          <c:idx val="11"/>
          <c:order val="11"/>
          <c:tx>
            <c:v>new_deaths</c:v>
          </c:tx>
          <c:spPr>
            <a:ln w="34925" cap="rnd">
              <a:solidFill>
                <a:schemeClr val="bg1"/>
              </a:solidFill>
              <a:round/>
            </a:ln>
            <a:effectLst>
              <a:outerShdw blurRad="57150" dist="19050" dir="5400000" algn="ctr" rotWithShape="0">
                <a:srgbClr val="000000">
                  <a:alpha val="63000"/>
                </a:srgbClr>
              </a:outerShdw>
            </a:effectLst>
          </c:spPr>
          <c:marker>
            <c:symbol val="none"/>
          </c:marker>
          <c:cat>
            <c:numLit>
              <c:formatCode>General</c:formatCode>
              <c:ptCount val="6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numLit>
          </c:cat>
          <c:val>
            <c:numLit>
              <c:formatCode>General</c:formatCode>
              <c:ptCount val="63"/>
              <c:pt idx="0">
                <c:v>0</c:v>
              </c:pt>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3</c:v>
              </c:pt>
              <c:pt idx="19">
                <c:v>8</c:v>
              </c:pt>
              <c:pt idx="20">
                <c:v>9</c:v>
              </c:pt>
              <c:pt idx="21">
                <c:v>7</c:v>
              </c:pt>
              <c:pt idx="22">
                <c:v>11</c:v>
              </c:pt>
              <c:pt idx="23">
                <c:v>9</c:v>
              </c:pt>
              <c:pt idx="24">
                <c:v>21</c:v>
              </c:pt>
              <c:pt idx="25">
                <c:v>20</c:v>
              </c:pt>
              <c:pt idx="26">
                <c:v>15</c:v>
              </c:pt>
              <c:pt idx="27">
                <c:v>30</c:v>
              </c:pt>
              <c:pt idx="28">
                <c:v>22</c:v>
              </c:pt>
              <c:pt idx="29">
                <c:v>35</c:v>
              </c:pt>
              <c:pt idx="30">
                <c:v>46</c:v>
              </c:pt>
              <c:pt idx="31">
                <c:v>36</c:v>
              </c:pt>
              <c:pt idx="32">
                <c:v>52</c:v>
              </c:pt>
              <c:pt idx="33">
                <c:v>44</c:v>
              </c:pt>
              <c:pt idx="34">
                <c:v>58</c:v>
              </c:pt>
              <c:pt idx="35">
                <c:v>66</c:v>
              </c:pt>
              <c:pt idx="36">
                <c:v>63</c:v>
              </c:pt>
              <c:pt idx="37">
                <c:v>61</c:v>
              </c:pt>
              <c:pt idx="38">
                <c:v>61</c:v>
              </c:pt>
              <c:pt idx="39">
                <c:v>66</c:v>
              </c:pt>
              <c:pt idx="40">
                <c:v>52</c:v>
              </c:pt>
              <c:pt idx="41">
                <c:v>58</c:v>
              </c:pt>
              <c:pt idx="42">
                <c:v>60</c:v>
              </c:pt>
              <c:pt idx="43">
                <c:v>67</c:v>
              </c:pt>
              <c:pt idx="44">
                <c:v>51</c:v>
              </c:pt>
              <c:pt idx="45">
                <c:v>49</c:v>
              </c:pt>
              <c:pt idx="46">
                <c:v>37</c:v>
              </c:pt>
              <c:pt idx="47">
                <c:v>55</c:v>
              </c:pt>
              <c:pt idx="48">
                <c:v>30</c:v>
              </c:pt>
              <c:pt idx="49">
                <c:v>38</c:v>
              </c:pt>
              <c:pt idx="50">
                <c:v>52</c:v>
              </c:pt>
              <c:pt idx="51">
                <c:v>45</c:v>
              </c:pt>
              <c:pt idx="52">
                <c:v>45</c:v>
              </c:pt>
              <c:pt idx="53">
                <c:v>42</c:v>
              </c:pt>
              <c:pt idx="54">
                <c:v>22</c:v>
              </c:pt>
              <c:pt idx="55">
                <c:v>41</c:v>
              </c:pt>
              <c:pt idx="56">
                <c:v>39</c:v>
              </c:pt>
              <c:pt idx="57">
                <c:v>25</c:v>
              </c:pt>
              <c:pt idx="58">
                <c:v>26</c:v>
              </c:pt>
              <c:pt idx="59">
                <c:v>22</c:v>
              </c:pt>
              <c:pt idx="60">
                <c:v>17</c:v>
              </c:pt>
              <c:pt idx="61">
                <c:v>9</c:v>
              </c:pt>
              <c:pt idx="62">
                <c:v>7</c:v>
              </c:pt>
            </c:numLit>
          </c:val>
          <c:smooth val="0"/>
          <c:extLst>
            <c:ext xmlns:c16="http://schemas.microsoft.com/office/drawing/2014/chart" uri="{C3380CC4-5D6E-409C-BE32-E72D297353CC}">
              <c16:uniqueId val="{00000001-3C9B-4CCC-99BC-84CFF113D9B4}"/>
            </c:ext>
          </c:extLst>
        </c:ser>
        <c:dLbls>
          <c:showLegendKey val="0"/>
          <c:showVal val="0"/>
          <c:showCatName val="0"/>
          <c:showSerName val="0"/>
          <c:showPercent val="0"/>
          <c:showBubbleSize val="0"/>
        </c:dLbls>
        <c:smooth val="0"/>
        <c:axId val="267841359"/>
        <c:axId val="1298294639"/>
        <c:extLst>
          <c:ext xmlns:c15="http://schemas.microsoft.com/office/drawing/2012/chart" uri="{02D57815-91ED-43cb-92C2-25804820EDAC}">
            <c15:filteredLineSeries>
              <c15:ser>
                <c:idx val="0"/>
                <c:order val="0"/>
                <c:tx>
                  <c:strRef>
                    <c:extLst>
                      <c:ext uri="{02D57815-91ED-43cb-92C2-25804820EDAC}">
                        <c15:formulaRef>
                          <c15:sqref>ch_latest!$D$1</c15:sqref>
                        </c15:formulaRef>
                      </c:ext>
                    </c:extLst>
                    <c:strCache>
                      <c:ptCount val="1"/>
                      <c:pt idx="0">
                        <c:v>intensive_care</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extLst>
                      <c:ex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c:ext uri="{02D57815-91ED-43cb-92C2-25804820EDAC}">
                        <c15:formulaRef>
                          <c15:sqref>ch_latest!$D$2:$D$66</c15:sqref>
                        </c15:formulaRef>
                      </c:ext>
                    </c:extLst>
                    <c:numCache>
                      <c:formatCode>General</c:formatCode>
                      <c:ptCount val="65"/>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33</c:v>
                      </c:pt>
                      <c:pt idx="18">
                        <c:v>36</c:v>
                      </c:pt>
                      <c:pt idx="19">
                        <c:v>40</c:v>
                      </c:pt>
                      <c:pt idx="20">
                        <c:v>51</c:v>
                      </c:pt>
                      <c:pt idx="21">
                        <c:v>65</c:v>
                      </c:pt>
                      <c:pt idx="22">
                        <c:v>68</c:v>
                      </c:pt>
                      <c:pt idx="23">
                        <c:v>107</c:v>
                      </c:pt>
                      <c:pt idx="24">
                        <c:v>116</c:v>
                      </c:pt>
                      <c:pt idx="25">
                        <c:v>137</c:v>
                      </c:pt>
                      <c:pt idx="26">
                        <c:v>168</c:v>
                      </c:pt>
                      <c:pt idx="27">
                        <c:v>202</c:v>
                      </c:pt>
                      <c:pt idx="28">
                        <c:v>204</c:v>
                      </c:pt>
                      <c:pt idx="29">
                        <c:v>239</c:v>
                      </c:pt>
                      <c:pt idx="30">
                        <c:v>268</c:v>
                      </c:pt>
                      <c:pt idx="31">
                        <c:v>292</c:v>
                      </c:pt>
                      <c:pt idx="32">
                        <c:v>323</c:v>
                      </c:pt>
                      <c:pt idx="33">
                        <c:v>337</c:v>
                      </c:pt>
                      <c:pt idx="34">
                        <c:v>384</c:v>
                      </c:pt>
                      <c:pt idx="35">
                        <c:v>410</c:v>
                      </c:pt>
                      <c:pt idx="36">
                        <c:v>441</c:v>
                      </c:pt>
                      <c:pt idx="37">
                        <c:v>446</c:v>
                      </c:pt>
                      <c:pt idx="38">
                        <c:v>456</c:v>
                      </c:pt>
                      <c:pt idx="39">
                        <c:v>458</c:v>
                      </c:pt>
                      <c:pt idx="40">
                        <c:v>448</c:v>
                      </c:pt>
                      <c:pt idx="41">
                        <c:v>447</c:v>
                      </c:pt>
                      <c:pt idx="42">
                        <c:v>441</c:v>
                      </c:pt>
                      <c:pt idx="43">
                        <c:v>438</c:v>
                      </c:pt>
                      <c:pt idx="44">
                        <c:v>430</c:v>
                      </c:pt>
                      <c:pt idx="45">
                        <c:v>418</c:v>
                      </c:pt>
                      <c:pt idx="46">
                        <c:v>418</c:v>
                      </c:pt>
                      <c:pt idx="47">
                        <c:v>407</c:v>
                      </c:pt>
                      <c:pt idx="48">
                        <c:v>403</c:v>
                      </c:pt>
                      <c:pt idx="49">
                        <c:v>390</c:v>
                      </c:pt>
                      <c:pt idx="50">
                        <c:v>368</c:v>
                      </c:pt>
                      <c:pt idx="51">
                        <c:v>348</c:v>
                      </c:pt>
                      <c:pt idx="52">
                        <c:v>335</c:v>
                      </c:pt>
                      <c:pt idx="53">
                        <c:v>321</c:v>
                      </c:pt>
                      <c:pt idx="54">
                        <c:v>313</c:v>
                      </c:pt>
                      <c:pt idx="55">
                        <c:v>301</c:v>
                      </c:pt>
                      <c:pt idx="56">
                        <c:v>286</c:v>
                      </c:pt>
                      <c:pt idx="57">
                        <c:v>255</c:v>
                      </c:pt>
                      <c:pt idx="58">
                        <c:v>247</c:v>
                      </c:pt>
                      <c:pt idx="59">
                        <c:v>242</c:v>
                      </c:pt>
                      <c:pt idx="60">
                        <c:v>233</c:v>
                      </c:pt>
                      <c:pt idx="61">
                        <c:v>212</c:v>
                      </c:pt>
                      <c:pt idx="62">
                        <c:v>204</c:v>
                      </c:pt>
                      <c:pt idx="63">
                        <c:v>188</c:v>
                      </c:pt>
                      <c:pt idx="64">
                        <c:v>194</c:v>
                      </c:pt>
                    </c:numCache>
                  </c:numRef>
                </c:val>
                <c:smooth val="0"/>
                <c:extLst>
                  <c:ext xmlns:c16="http://schemas.microsoft.com/office/drawing/2014/chart" uri="{C3380CC4-5D6E-409C-BE32-E72D297353CC}">
                    <c16:uniqueId val="{00000002-3C9B-4CCC-99BC-84CFF113D9B4}"/>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ch_latest!$E$2:$E$66</c15:sqref>
                        </c15:formulaRef>
                      </c:ext>
                    </c:extLst>
                    <c:numCache>
                      <c:formatCode>General</c:formatCode>
                      <c:ptCount val="65"/>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238</c:v>
                      </c:pt>
                      <c:pt idx="18">
                        <c:v>263</c:v>
                      </c:pt>
                      <c:pt idx="19">
                        <c:v>287</c:v>
                      </c:pt>
                      <c:pt idx="20">
                        <c:v>360</c:v>
                      </c:pt>
                      <c:pt idx="21">
                        <c:v>427</c:v>
                      </c:pt>
                      <c:pt idx="22">
                        <c:v>490</c:v>
                      </c:pt>
                      <c:pt idx="23">
                        <c:v>689</c:v>
                      </c:pt>
                      <c:pt idx="24">
                        <c:v>797</c:v>
                      </c:pt>
                      <c:pt idx="25">
                        <c:v>904</c:v>
                      </c:pt>
                      <c:pt idx="26">
                        <c:v>1090</c:v>
                      </c:pt>
                      <c:pt idx="27">
                        <c:v>1207</c:v>
                      </c:pt>
                      <c:pt idx="28">
                        <c:v>1364</c:v>
                      </c:pt>
                      <c:pt idx="29">
                        <c:v>1464</c:v>
                      </c:pt>
                      <c:pt idx="30">
                        <c:v>1610</c:v>
                      </c:pt>
                      <c:pt idx="31">
                        <c:v>1792</c:v>
                      </c:pt>
                      <c:pt idx="32">
                        <c:v>1880</c:v>
                      </c:pt>
                      <c:pt idx="33">
                        <c:v>1994</c:v>
                      </c:pt>
                      <c:pt idx="34">
                        <c:v>2179</c:v>
                      </c:pt>
                      <c:pt idx="35">
                        <c:v>2207</c:v>
                      </c:pt>
                      <c:pt idx="36">
                        <c:v>2287</c:v>
                      </c:pt>
                      <c:pt idx="37">
                        <c:v>2351</c:v>
                      </c:pt>
                      <c:pt idx="38">
                        <c:v>2332</c:v>
                      </c:pt>
                      <c:pt idx="39">
                        <c:v>2320</c:v>
                      </c:pt>
                      <c:pt idx="40">
                        <c:v>2305</c:v>
                      </c:pt>
                      <c:pt idx="41">
                        <c:v>2309</c:v>
                      </c:pt>
                      <c:pt idx="42">
                        <c:v>2227</c:v>
                      </c:pt>
                      <c:pt idx="43">
                        <c:v>2139</c:v>
                      </c:pt>
                      <c:pt idx="44">
                        <c:v>2071</c:v>
                      </c:pt>
                      <c:pt idx="45">
                        <c:v>2011</c:v>
                      </c:pt>
                      <c:pt idx="46">
                        <c:v>1936</c:v>
                      </c:pt>
                      <c:pt idx="47">
                        <c:v>1913</c:v>
                      </c:pt>
                      <c:pt idx="48">
                        <c:v>1896</c:v>
                      </c:pt>
                      <c:pt idx="49">
                        <c:v>1857</c:v>
                      </c:pt>
                      <c:pt idx="50">
                        <c:v>1734</c:v>
                      </c:pt>
                      <c:pt idx="51">
                        <c:v>1679</c:v>
                      </c:pt>
                      <c:pt idx="52">
                        <c:v>1580</c:v>
                      </c:pt>
                      <c:pt idx="53">
                        <c:v>1529</c:v>
                      </c:pt>
                      <c:pt idx="54">
                        <c:v>1523</c:v>
                      </c:pt>
                      <c:pt idx="55">
                        <c:v>1500</c:v>
                      </c:pt>
                      <c:pt idx="56">
                        <c:v>1422</c:v>
                      </c:pt>
                      <c:pt idx="57">
                        <c:v>1357</c:v>
                      </c:pt>
                      <c:pt idx="58">
                        <c:v>1306</c:v>
                      </c:pt>
                      <c:pt idx="59">
                        <c:v>1259</c:v>
                      </c:pt>
                      <c:pt idx="60">
                        <c:v>1231</c:v>
                      </c:pt>
                      <c:pt idx="61">
                        <c:v>1211</c:v>
                      </c:pt>
                      <c:pt idx="62">
                        <c:v>1190</c:v>
                      </c:pt>
                      <c:pt idx="63">
                        <c:v>1165</c:v>
                      </c:pt>
                      <c:pt idx="64">
                        <c:v>1149</c:v>
                      </c:pt>
                    </c:numCache>
                  </c:numRef>
                </c:val>
                <c:smooth val="0"/>
                <c:extLst xmlns:c15="http://schemas.microsoft.com/office/drawing/2012/chart">
                  <c:ext xmlns:c16="http://schemas.microsoft.com/office/drawing/2014/chart" uri="{C3380CC4-5D6E-409C-BE32-E72D297353CC}">
                    <c16:uniqueId val="{00000003-3C9B-4CCC-99BC-84CFF113D9B4}"/>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ch_latest!$F$2:$F$66</c15:sqref>
                        </c15:formulaRef>
                      </c:ext>
                    </c:extLst>
                    <c:numCache>
                      <c:formatCode>General</c:formatCode>
                      <c:ptCount val="65"/>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534</c:v>
                      </c:pt>
                      <c:pt idx="15">
                        <c:v>705</c:v>
                      </c:pt>
                      <c:pt idx="16">
                        <c:v>1057</c:v>
                      </c:pt>
                      <c:pt idx="17">
                        <c:v>1409</c:v>
                      </c:pt>
                      <c:pt idx="18">
                        <c:v>1743</c:v>
                      </c:pt>
                      <c:pt idx="19">
                        <c:v>2029</c:v>
                      </c:pt>
                      <c:pt idx="20">
                        <c:v>2750</c:v>
                      </c:pt>
                      <c:pt idx="21">
                        <c:v>3621</c:v>
                      </c:pt>
                      <c:pt idx="22">
                        <c:v>4792</c:v>
                      </c:pt>
                      <c:pt idx="23">
                        <c:v>5819</c:v>
                      </c:pt>
                      <c:pt idx="24">
                        <c:v>6954</c:v>
                      </c:pt>
                      <c:pt idx="25">
                        <c:v>7651</c:v>
                      </c:pt>
                      <c:pt idx="26">
                        <c:v>8220</c:v>
                      </c:pt>
                      <c:pt idx="27">
                        <c:v>9780</c:v>
                      </c:pt>
                      <c:pt idx="28">
                        <c:v>10851</c:v>
                      </c:pt>
                      <c:pt idx="29">
                        <c:v>11945</c:v>
                      </c:pt>
                      <c:pt idx="30">
                        <c:v>13084</c:v>
                      </c:pt>
                      <c:pt idx="31">
                        <c:v>14392</c:v>
                      </c:pt>
                      <c:pt idx="32">
                        <c:v>15225</c:v>
                      </c:pt>
                      <c:pt idx="33">
                        <c:v>15823</c:v>
                      </c:pt>
                      <c:pt idx="34">
                        <c:v>16938</c:v>
                      </c:pt>
                      <c:pt idx="35">
                        <c:v>17876</c:v>
                      </c:pt>
                      <c:pt idx="36">
                        <c:v>18904</c:v>
                      </c:pt>
                      <c:pt idx="37">
                        <c:v>19949</c:v>
                      </c:pt>
                      <c:pt idx="38">
                        <c:v>20878</c:v>
                      </c:pt>
                      <c:pt idx="39">
                        <c:v>21445</c:v>
                      </c:pt>
                      <c:pt idx="40">
                        <c:v>21828</c:v>
                      </c:pt>
                      <c:pt idx="41">
                        <c:v>22570</c:v>
                      </c:pt>
                      <c:pt idx="42">
                        <c:v>23222</c:v>
                      </c:pt>
                      <c:pt idx="43">
                        <c:v>23892</c:v>
                      </c:pt>
                      <c:pt idx="44">
                        <c:v>24560</c:v>
                      </c:pt>
                      <c:pt idx="45">
                        <c:v>25010</c:v>
                      </c:pt>
                      <c:pt idx="46">
                        <c:v>25473</c:v>
                      </c:pt>
                      <c:pt idx="47">
                        <c:v>25746</c:v>
                      </c:pt>
                      <c:pt idx="48">
                        <c:v>25997</c:v>
                      </c:pt>
                      <c:pt idx="49">
                        <c:v>26319</c:v>
                      </c:pt>
                      <c:pt idx="50">
                        <c:v>26637</c:v>
                      </c:pt>
                      <c:pt idx="51">
                        <c:v>26936</c:v>
                      </c:pt>
                      <c:pt idx="52">
                        <c:v>27249</c:v>
                      </c:pt>
                      <c:pt idx="53">
                        <c:v>27542</c:v>
                      </c:pt>
                      <c:pt idx="54">
                        <c:v>27719</c:v>
                      </c:pt>
                      <c:pt idx="55">
                        <c:v>27921</c:v>
                      </c:pt>
                      <c:pt idx="56">
                        <c:v>28080</c:v>
                      </c:pt>
                      <c:pt idx="57">
                        <c:v>28277</c:v>
                      </c:pt>
                      <c:pt idx="58">
                        <c:v>28494</c:v>
                      </c:pt>
                      <c:pt idx="59">
                        <c:v>28684</c:v>
                      </c:pt>
                      <c:pt idx="60">
                        <c:v>28823</c:v>
                      </c:pt>
                      <c:pt idx="61">
                        <c:v>28903</c:v>
                      </c:pt>
                      <c:pt idx="62">
                        <c:v>29034</c:v>
                      </c:pt>
                      <c:pt idx="63">
                        <c:v>29107</c:v>
                      </c:pt>
                      <c:pt idx="64">
                        <c:v>29187</c:v>
                      </c:pt>
                    </c:numCache>
                  </c:numRef>
                </c:val>
                <c:smooth val="0"/>
                <c:extLst xmlns:c15="http://schemas.microsoft.com/office/drawing/2012/chart">
                  <c:ext xmlns:c16="http://schemas.microsoft.com/office/drawing/2014/chart" uri="{C3380CC4-5D6E-409C-BE32-E72D297353CC}">
                    <c16:uniqueId val="{00000004-3C9B-4CCC-99BC-84CFF113D9B4}"/>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ch_latest!$G$2:$G$66</c15:sqref>
                        </c15:formulaRef>
                      </c:ext>
                    </c:extLst>
                    <c:numCache>
                      <c:formatCode>General</c:formatCode>
                      <c:ptCount val="65"/>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534</c:v>
                      </c:pt>
                      <c:pt idx="15">
                        <c:v>705</c:v>
                      </c:pt>
                      <c:pt idx="16">
                        <c:v>1057</c:v>
                      </c:pt>
                      <c:pt idx="17">
                        <c:v>1409</c:v>
                      </c:pt>
                      <c:pt idx="18">
                        <c:v>1743</c:v>
                      </c:pt>
                      <c:pt idx="19">
                        <c:v>2029</c:v>
                      </c:pt>
                      <c:pt idx="20">
                        <c:v>2750</c:v>
                      </c:pt>
                      <c:pt idx="21">
                        <c:v>3621</c:v>
                      </c:pt>
                      <c:pt idx="22">
                        <c:v>4792</c:v>
                      </c:pt>
                      <c:pt idx="23">
                        <c:v>5819</c:v>
                      </c:pt>
                      <c:pt idx="24">
                        <c:v>6954</c:v>
                      </c:pt>
                      <c:pt idx="25">
                        <c:v>7651</c:v>
                      </c:pt>
                      <c:pt idx="26">
                        <c:v>8220</c:v>
                      </c:pt>
                      <c:pt idx="27">
                        <c:v>9780</c:v>
                      </c:pt>
                      <c:pt idx="28">
                        <c:v>10851</c:v>
                      </c:pt>
                      <c:pt idx="29">
                        <c:v>11945</c:v>
                      </c:pt>
                      <c:pt idx="30">
                        <c:v>13084</c:v>
                      </c:pt>
                      <c:pt idx="31">
                        <c:v>14392</c:v>
                      </c:pt>
                      <c:pt idx="32">
                        <c:v>15225</c:v>
                      </c:pt>
                      <c:pt idx="33">
                        <c:v>15823</c:v>
                      </c:pt>
                      <c:pt idx="34">
                        <c:v>16938</c:v>
                      </c:pt>
                      <c:pt idx="35">
                        <c:v>17876</c:v>
                      </c:pt>
                      <c:pt idx="36">
                        <c:v>18904</c:v>
                      </c:pt>
                      <c:pt idx="37">
                        <c:v>19949</c:v>
                      </c:pt>
                      <c:pt idx="38">
                        <c:v>20878</c:v>
                      </c:pt>
                      <c:pt idx="39">
                        <c:v>21445</c:v>
                      </c:pt>
                      <c:pt idx="40">
                        <c:v>21828</c:v>
                      </c:pt>
                      <c:pt idx="41">
                        <c:v>22570</c:v>
                      </c:pt>
                      <c:pt idx="42">
                        <c:v>23222</c:v>
                      </c:pt>
                      <c:pt idx="43">
                        <c:v>23892</c:v>
                      </c:pt>
                      <c:pt idx="44">
                        <c:v>24560</c:v>
                      </c:pt>
                      <c:pt idx="45">
                        <c:v>25010</c:v>
                      </c:pt>
                      <c:pt idx="46">
                        <c:v>25473</c:v>
                      </c:pt>
                      <c:pt idx="47">
                        <c:v>25746</c:v>
                      </c:pt>
                      <c:pt idx="48">
                        <c:v>25997</c:v>
                      </c:pt>
                      <c:pt idx="49">
                        <c:v>26319</c:v>
                      </c:pt>
                      <c:pt idx="50">
                        <c:v>26637</c:v>
                      </c:pt>
                      <c:pt idx="51">
                        <c:v>26936</c:v>
                      </c:pt>
                      <c:pt idx="52">
                        <c:v>27249</c:v>
                      </c:pt>
                      <c:pt idx="53">
                        <c:v>27542</c:v>
                      </c:pt>
                      <c:pt idx="54">
                        <c:v>27719</c:v>
                      </c:pt>
                      <c:pt idx="55">
                        <c:v>27921</c:v>
                      </c:pt>
                      <c:pt idx="56">
                        <c:v>28080</c:v>
                      </c:pt>
                      <c:pt idx="57">
                        <c:v>28277</c:v>
                      </c:pt>
                      <c:pt idx="58">
                        <c:v>28494</c:v>
                      </c:pt>
                      <c:pt idx="59">
                        <c:v>28684</c:v>
                      </c:pt>
                      <c:pt idx="60">
                        <c:v>28823</c:v>
                      </c:pt>
                      <c:pt idx="61">
                        <c:v>28903</c:v>
                      </c:pt>
                      <c:pt idx="62">
                        <c:v>29034</c:v>
                      </c:pt>
                      <c:pt idx="63">
                        <c:v>29107</c:v>
                      </c:pt>
                      <c:pt idx="64">
                        <c:v>29187</c:v>
                      </c:pt>
                    </c:numCache>
                  </c:numRef>
                </c:val>
                <c:smooth val="0"/>
                <c:extLst xmlns:c15="http://schemas.microsoft.com/office/drawing/2012/chart">
                  <c:ext xmlns:c16="http://schemas.microsoft.com/office/drawing/2014/chart" uri="{C3380CC4-5D6E-409C-BE32-E72D297353CC}">
                    <c16:uniqueId val="{00000005-3C9B-4CCC-99BC-84CFF113D9B4}"/>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ch_latest!$H$2:$H$66</c15:sqref>
                        </c15:formulaRef>
                      </c:ext>
                    </c:extLst>
                    <c:numCache>
                      <c:formatCode>General</c:formatCode>
                      <c:ptCount val="65"/>
                      <c:pt idx="0">
                        <c:v>72</c:v>
                      </c:pt>
                      <c:pt idx="1">
                        <c:v>177</c:v>
                      </c:pt>
                      <c:pt idx="2">
                        <c:v>328</c:v>
                      </c:pt>
                      <c:pt idx="3">
                        <c:v>535</c:v>
                      </c:pt>
                      <c:pt idx="4">
                        <c:v>675</c:v>
                      </c:pt>
                      <c:pt idx="5">
                        <c:v>811</c:v>
                      </c:pt>
                      <c:pt idx="6">
                        <c:v>1133</c:v>
                      </c:pt>
                      <c:pt idx="7">
                        <c:v>1254</c:v>
                      </c:pt>
                      <c:pt idx="8">
                        <c:v>1365</c:v>
                      </c:pt>
                      <c:pt idx="9">
                        <c:v>1432</c:v>
                      </c:pt>
                      <c:pt idx="10">
                        <c:v>1534</c:v>
                      </c:pt>
                      <c:pt idx="11">
                        <c:v>1609</c:v>
                      </c:pt>
                      <c:pt idx="12">
                        <c:v>1676</c:v>
                      </c:pt>
                      <c:pt idx="13">
                        <c:v>1783</c:v>
                      </c:pt>
                      <c:pt idx="14">
                        <c:v>1996</c:v>
                      </c:pt>
                      <c:pt idx="15">
                        <c:v>2247</c:v>
                      </c:pt>
                      <c:pt idx="16">
                        <c:v>2605</c:v>
                      </c:pt>
                      <c:pt idx="17">
                        <c:v>3050</c:v>
                      </c:pt>
                      <c:pt idx="18">
                        <c:v>3675</c:v>
                      </c:pt>
                      <c:pt idx="19">
                        <c:v>4078</c:v>
                      </c:pt>
                      <c:pt idx="20">
                        <c:v>4773</c:v>
                      </c:pt>
                      <c:pt idx="21">
                        <c:v>5406</c:v>
                      </c:pt>
                      <c:pt idx="22">
                        <c:v>6314</c:v>
                      </c:pt>
                      <c:pt idx="23">
                        <c:v>6974</c:v>
                      </c:pt>
                      <c:pt idx="24">
                        <c:v>7388</c:v>
                      </c:pt>
                      <c:pt idx="25">
                        <c:v>7750</c:v>
                      </c:pt>
                      <c:pt idx="26">
                        <c:v>7985</c:v>
                      </c:pt>
                      <c:pt idx="27">
                        <c:v>8363</c:v>
                      </c:pt>
                      <c:pt idx="28">
                        <c:v>8706</c:v>
                      </c:pt>
                      <c:pt idx="29">
                        <c:v>9111</c:v>
                      </c:pt>
                      <c:pt idx="30">
                        <c:v>10418</c:v>
                      </c:pt>
                      <c:pt idx="31">
                        <c:v>10808</c:v>
                      </c:pt>
                      <c:pt idx="32">
                        <c:v>11401</c:v>
                      </c:pt>
                      <c:pt idx="33">
                        <c:v>11710</c:v>
                      </c:pt>
                      <c:pt idx="34">
                        <c:v>12376</c:v>
                      </c:pt>
                      <c:pt idx="35">
                        <c:v>13136</c:v>
                      </c:pt>
                      <c:pt idx="36">
                        <c:v>13794</c:v>
                      </c:pt>
                      <c:pt idx="37">
                        <c:v>14743</c:v>
                      </c:pt>
                      <c:pt idx="38">
                        <c:v>15572</c:v>
                      </c:pt>
                      <c:pt idx="39">
                        <c:v>16167</c:v>
                      </c:pt>
                      <c:pt idx="40">
                        <c:v>16468</c:v>
                      </c:pt>
                      <c:pt idx="41">
                        <c:v>17111</c:v>
                      </c:pt>
                      <c:pt idx="42">
                        <c:v>17953</c:v>
                      </c:pt>
                      <c:pt idx="43">
                        <c:v>18762</c:v>
                      </c:pt>
                      <c:pt idx="44">
                        <c:v>19279</c:v>
                      </c:pt>
                      <c:pt idx="45">
                        <c:v>19695</c:v>
                      </c:pt>
                      <c:pt idx="46">
                        <c:v>20057</c:v>
                      </c:pt>
                      <c:pt idx="47">
                        <c:v>20233</c:v>
                      </c:pt>
                      <c:pt idx="48">
                        <c:v>20538</c:v>
                      </c:pt>
                      <c:pt idx="49">
                        <c:v>21085</c:v>
                      </c:pt>
                      <c:pt idx="50">
                        <c:v>21546</c:v>
                      </c:pt>
                      <c:pt idx="51">
                        <c:v>22229</c:v>
                      </c:pt>
                      <c:pt idx="52">
                        <c:v>22670</c:v>
                      </c:pt>
                      <c:pt idx="53">
                        <c:v>23112</c:v>
                      </c:pt>
                      <c:pt idx="54">
                        <c:v>23294</c:v>
                      </c:pt>
                      <c:pt idx="55">
                        <c:v>23672</c:v>
                      </c:pt>
                      <c:pt idx="56">
                        <c:v>24051</c:v>
                      </c:pt>
                      <c:pt idx="57">
                        <c:v>24414</c:v>
                      </c:pt>
                      <c:pt idx="58">
                        <c:v>24872</c:v>
                      </c:pt>
                      <c:pt idx="59">
                        <c:v>25236</c:v>
                      </c:pt>
                      <c:pt idx="60">
                        <c:v>25600</c:v>
                      </c:pt>
                      <c:pt idx="61">
                        <c:v>25797</c:v>
                      </c:pt>
                      <c:pt idx="62">
                        <c:v>25797</c:v>
                      </c:pt>
                      <c:pt idx="63">
                        <c:v>25797</c:v>
                      </c:pt>
                      <c:pt idx="64">
                        <c:v>25797</c:v>
                      </c:pt>
                    </c:numCache>
                  </c:numRef>
                </c:val>
                <c:smooth val="0"/>
                <c:extLst xmlns:c15="http://schemas.microsoft.com/office/drawing/2012/chart">
                  <c:ext xmlns:c16="http://schemas.microsoft.com/office/drawing/2014/chart" uri="{C3380CC4-5D6E-409C-BE32-E72D297353CC}">
                    <c16:uniqueId val="{00000006-3C9B-4CCC-99BC-84CFF113D9B4}"/>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ch_latest!$I$2:$I$66</c15:sqref>
                        </c15:formulaRef>
                      </c:ext>
                    </c:extLst>
                    <c:numCache>
                      <c:formatCode>General</c:formatCode>
                      <c:ptCount val="65"/>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7</c:v>
                      </c:pt>
                      <c:pt idx="15">
                        <c:v>12</c:v>
                      </c:pt>
                      <c:pt idx="16">
                        <c:v>13</c:v>
                      </c:pt>
                      <c:pt idx="17">
                        <c:v>13</c:v>
                      </c:pt>
                      <c:pt idx="18">
                        <c:v>13</c:v>
                      </c:pt>
                      <c:pt idx="19">
                        <c:v>16</c:v>
                      </c:pt>
                      <c:pt idx="20">
                        <c:v>17</c:v>
                      </c:pt>
                      <c:pt idx="21">
                        <c:v>47</c:v>
                      </c:pt>
                      <c:pt idx="22">
                        <c:v>65</c:v>
                      </c:pt>
                      <c:pt idx="23">
                        <c:v>73</c:v>
                      </c:pt>
                      <c:pt idx="24">
                        <c:v>77</c:v>
                      </c:pt>
                      <c:pt idx="25">
                        <c:v>91</c:v>
                      </c:pt>
                      <c:pt idx="26">
                        <c:v>107</c:v>
                      </c:pt>
                      <c:pt idx="27">
                        <c:v>127</c:v>
                      </c:pt>
                      <c:pt idx="28">
                        <c:v>279</c:v>
                      </c:pt>
                      <c:pt idx="29">
                        <c:v>333</c:v>
                      </c:pt>
                      <c:pt idx="30">
                        <c:v>412</c:v>
                      </c:pt>
                      <c:pt idx="31">
                        <c:v>481</c:v>
                      </c:pt>
                      <c:pt idx="32">
                        <c:v>551</c:v>
                      </c:pt>
                      <c:pt idx="33">
                        <c:v>601</c:v>
                      </c:pt>
                      <c:pt idx="34">
                        <c:v>716</c:v>
                      </c:pt>
                      <c:pt idx="35">
                        <c:v>1083</c:v>
                      </c:pt>
                      <c:pt idx="36">
                        <c:v>1254</c:v>
                      </c:pt>
                      <c:pt idx="37">
                        <c:v>1465</c:v>
                      </c:pt>
                      <c:pt idx="38">
                        <c:v>1571</c:v>
                      </c:pt>
                      <c:pt idx="39">
                        <c:v>1726</c:v>
                      </c:pt>
                      <c:pt idx="40">
                        <c:v>1886</c:v>
                      </c:pt>
                      <c:pt idx="41">
                        <c:v>2009</c:v>
                      </c:pt>
                      <c:pt idx="42">
                        <c:v>2370</c:v>
                      </c:pt>
                      <c:pt idx="43">
                        <c:v>2587</c:v>
                      </c:pt>
                      <c:pt idx="44">
                        <c:v>2737</c:v>
                      </c:pt>
                      <c:pt idx="45">
                        <c:v>2821</c:v>
                      </c:pt>
                      <c:pt idx="46">
                        <c:v>2987</c:v>
                      </c:pt>
                      <c:pt idx="47">
                        <c:v>3089</c:v>
                      </c:pt>
                      <c:pt idx="48">
                        <c:v>3169</c:v>
                      </c:pt>
                      <c:pt idx="49">
                        <c:v>3331</c:v>
                      </c:pt>
                      <c:pt idx="50">
                        <c:v>3495</c:v>
                      </c:pt>
                      <c:pt idx="51">
                        <c:v>3655</c:v>
                      </c:pt>
                      <c:pt idx="52">
                        <c:v>3763</c:v>
                      </c:pt>
                      <c:pt idx="53">
                        <c:v>3878</c:v>
                      </c:pt>
                      <c:pt idx="54">
                        <c:v>3948</c:v>
                      </c:pt>
                      <c:pt idx="55">
                        <c:v>4084</c:v>
                      </c:pt>
                      <c:pt idx="56">
                        <c:v>4206</c:v>
                      </c:pt>
                      <c:pt idx="57">
                        <c:v>4313</c:v>
                      </c:pt>
                      <c:pt idx="58">
                        <c:v>4404</c:v>
                      </c:pt>
                      <c:pt idx="59">
                        <c:v>4482</c:v>
                      </c:pt>
                      <c:pt idx="60">
                        <c:v>4519</c:v>
                      </c:pt>
                      <c:pt idx="61">
                        <c:v>4552</c:v>
                      </c:pt>
                      <c:pt idx="62">
                        <c:v>4624</c:v>
                      </c:pt>
                      <c:pt idx="63">
                        <c:v>4669</c:v>
                      </c:pt>
                      <c:pt idx="64">
                        <c:v>4700</c:v>
                      </c:pt>
                    </c:numCache>
                  </c:numRef>
                </c:val>
                <c:smooth val="0"/>
                <c:extLst xmlns:c15="http://schemas.microsoft.com/office/drawing/2012/chart">
                  <c:ext xmlns:c16="http://schemas.microsoft.com/office/drawing/2014/chart" uri="{C3380CC4-5D6E-409C-BE32-E72D297353CC}">
                    <c16:uniqueId val="{00000007-3C9B-4CCC-99BC-84CFF113D9B4}"/>
                  </c:ext>
                </c:extLst>
              </c15:ser>
            </c15:filteredLineSeries>
            <c15:filteredLineSeries>
              <c15:ser>
                <c:idx val="6"/>
                <c:order val="6"/>
                <c:tx>
                  <c:strRef>
                    <c:extLst xmlns:c15="http://schemas.microsoft.com/office/drawing/2012/chart">
                      <c:ext xmlns:c15="http://schemas.microsoft.com/office/drawing/2012/chart" uri="{02D57815-91ED-43cb-92C2-25804820EDAC}">
                        <c15:formulaRef>
                          <c15:sqref>ch_latest!$J$1</c15:sqref>
                        </c15:formulaRef>
                      </c:ext>
                    </c:extLst>
                    <c:strCache>
                      <c:ptCount val="1"/>
                      <c:pt idx="0">
                        <c:v>deaths</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ch_latest!$J$2:$J$66</c15:sqref>
                        </c15:formulaRef>
                      </c:ext>
                    </c:extLst>
                    <c:numCache>
                      <c:formatCode>General</c:formatCode>
                      <c:ptCount val="65"/>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13</c:v>
                      </c:pt>
                      <c:pt idx="19">
                        <c:v>21</c:v>
                      </c:pt>
                      <c:pt idx="20">
                        <c:v>30</c:v>
                      </c:pt>
                      <c:pt idx="21">
                        <c:v>37</c:v>
                      </c:pt>
                      <c:pt idx="22">
                        <c:v>48</c:v>
                      </c:pt>
                      <c:pt idx="23">
                        <c:v>57</c:v>
                      </c:pt>
                      <c:pt idx="24">
                        <c:v>78</c:v>
                      </c:pt>
                      <c:pt idx="25">
                        <c:v>98</c:v>
                      </c:pt>
                      <c:pt idx="26">
                        <c:v>113</c:v>
                      </c:pt>
                      <c:pt idx="27">
                        <c:v>143</c:v>
                      </c:pt>
                      <c:pt idx="28">
                        <c:v>165</c:v>
                      </c:pt>
                      <c:pt idx="29">
                        <c:v>200</c:v>
                      </c:pt>
                      <c:pt idx="30">
                        <c:v>246</c:v>
                      </c:pt>
                      <c:pt idx="31">
                        <c:v>282</c:v>
                      </c:pt>
                      <c:pt idx="32">
                        <c:v>334</c:v>
                      </c:pt>
                      <c:pt idx="33">
                        <c:v>378</c:v>
                      </c:pt>
                      <c:pt idx="34">
                        <c:v>437</c:v>
                      </c:pt>
                      <c:pt idx="35">
                        <c:v>503</c:v>
                      </c:pt>
                      <c:pt idx="36">
                        <c:v>566</c:v>
                      </c:pt>
                      <c:pt idx="37">
                        <c:v>627</c:v>
                      </c:pt>
                      <c:pt idx="38">
                        <c:v>688</c:v>
                      </c:pt>
                      <c:pt idx="39">
                        <c:v>754</c:v>
                      </c:pt>
                      <c:pt idx="40">
                        <c:v>806</c:v>
                      </c:pt>
                      <c:pt idx="41">
                        <c:v>865</c:v>
                      </c:pt>
                      <c:pt idx="42">
                        <c:v>925</c:v>
                      </c:pt>
                      <c:pt idx="43">
                        <c:v>993</c:v>
                      </c:pt>
                      <c:pt idx="44">
                        <c:v>1044</c:v>
                      </c:pt>
                      <c:pt idx="45">
                        <c:v>1094</c:v>
                      </c:pt>
                      <c:pt idx="46">
                        <c:v>1131</c:v>
                      </c:pt>
                      <c:pt idx="47">
                        <c:v>1187</c:v>
                      </c:pt>
                      <c:pt idx="48">
                        <c:v>1217</c:v>
                      </c:pt>
                      <c:pt idx="49">
                        <c:v>1255</c:v>
                      </c:pt>
                      <c:pt idx="50">
                        <c:v>1308</c:v>
                      </c:pt>
                      <c:pt idx="51">
                        <c:v>1353</c:v>
                      </c:pt>
                      <c:pt idx="52">
                        <c:v>1399</c:v>
                      </c:pt>
                      <c:pt idx="53">
                        <c:v>1441</c:v>
                      </c:pt>
                      <c:pt idx="54">
                        <c:v>1465</c:v>
                      </c:pt>
                      <c:pt idx="55">
                        <c:v>1506</c:v>
                      </c:pt>
                      <c:pt idx="56">
                        <c:v>1547</c:v>
                      </c:pt>
                      <c:pt idx="57">
                        <c:v>1573</c:v>
                      </c:pt>
                      <c:pt idx="58">
                        <c:v>1602</c:v>
                      </c:pt>
                      <c:pt idx="59">
                        <c:v>1630</c:v>
                      </c:pt>
                      <c:pt idx="60">
                        <c:v>1654</c:v>
                      </c:pt>
                      <c:pt idx="61">
                        <c:v>1669</c:v>
                      </c:pt>
                      <c:pt idx="62">
                        <c:v>1686</c:v>
                      </c:pt>
                      <c:pt idx="63">
                        <c:v>1704</c:v>
                      </c:pt>
                      <c:pt idx="64">
                        <c:v>1708</c:v>
                      </c:pt>
                    </c:numCache>
                  </c:numRef>
                </c:val>
                <c:smooth val="0"/>
                <c:extLst xmlns:c15="http://schemas.microsoft.com/office/drawing/2012/chart">
                  <c:ext xmlns:c16="http://schemas.microsoft.com/office/drawing/2014/chart" uri="{C3380CC4-5D6E-409C-BE32-E72D297353CC}">
                    <c16:uniqueId val="{00000008-3C9B-4CCC-99BC-84CFF113D9B4}"/>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ch_latest!$K$2:$K$66</c15:sqref>
                        </c15:formulaRef>
                      </c:ext>
                    </c:extLst>
                    <c:numCache>
                      <c:formatCode>General</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numCache>
                  </c:numRef>
                </c:val>
                <c:smooth val="0"/>
                <c:extLst xmlns:c15="http://schemas.microsoft.com/office/drawing/2012/chart">
                  <c:ext xmlns:c16="http://schemas.microsoft.com/office/drawing/2014/chart" uri="{C3380CC4-5D6E-409C-BE32-E72D297353CC}">
                    <c16:uniqueId val="{00000009-3C9B-4CCC-99BC-84CFF113D9B4}"/>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ch_latest!$M$2:$M$66</c15:sqref>
                        </c15:formulaRef>
                      </c:ext>
                    </c:extLst>
                    <c:numCache>
                      <c:formatCode>General</c:formatCode>
                      <c:ptCount val="65"/>
                      <c:pt idx="0">
                        <c:v>0</c:v>
                      </c:pt>
                      <c:pt idx="1">
                        <c:v>1</c:v>
                      </c:pt>
                      <c:pt idx="2">
                        <c:v>2</c:v>
                      </c:pt>
                      <c:pt idx="3">
                        <c:v>6</c:v>
                      </c:pt>
                      <c:pt idx="4">
                        <c:v>13</c:v>
                      </c:pt>
                      <c:pt idx="5">
                        <c:v>20</c:v>
                      </c:pt>
                      <c:pt idx="6">
                        <c:v>27</c:v>
                      </c:pt>
                      <c:pt idx="7">
                        <c:v>37</c:v>
                      </c:pt>
                      <c:pt idx="8">
                        <c:v>54</c:v>
                      </c:pt>
                      <c:pt idx="9">
                        <c:v>74</c:v>
                      </c:pt>
                      <c:pt idx="10">
                        <c:v>118</c:v>
                      </c:pt>
                      <c:pt idx="11">
                        <c:v>183</c:v>
                      </c:pt>
                      <c:pt idx="12">
                        <c:v>255</c:v>
                      </c:pt>
                      <c:pt idx="13">
                        <c:v>312</c:v>
                      </c:pt>
                      <c:pt idx="14">
                        <c:v>396</c:v>
                      </c:pt>
                      <c:pt idx="15">
                        <c:v>534</c:v>
                      </c:pt>
                      <c:pt idx="16">
                        <c:v>705</c:v>
                      </c:pt>
                      <c:pt idx="17">
                        <c:v>1057</c:v>
                      </c:pt>
                      <c:pt idx="18">
                        <c:v>1409</c:v>
                      </c:pt>
                      <c:pt idx="19">
                        <c:v>1743</c:v>
                      </c:pt>
                      <c:pt idx="20">
                        <c:v>2029</c:v>
                      </c:pt>
                      <c:pt idx="21">
                        <c:v>2750</c:v>
                      </c:pt>
                      <c:pt idx="22">
                        <c:v>3621</c:v>
                      </c:pt>
                      <c:pt idx="23">
                        <c:v>4792</c:v>
                      </c:pt>
                      <c:pt idx="24">
                        <c:v>5819</c:v>
                      </c:pt>
                      <c:pt idx="25">
                        <c:v>6954</c:v>
                      </c:pt>
                      <c:pt idx="26">
                        <c:v>7651</c:v>
                      </c:pt>
                      <c:pt idx="27">
                        <c:v>8220</c:v>
                      </c:pt>
                      <c:pt idx="28">
                        <c:v>9780</c:v>
                      </c:pt>
                      <c:pt idx="29">
                        <c:v>10851</c:v>
                      </c:pt>
                      <c:pt idx="30">
                        <c:v>11945</c:v>
                      </c:pt>
                      <c:pt idx="31">
                        <c:v>13084</c:v>
                      </c:pt>
                      <c:pt idx="32">
                        <c:v>14392</c:v>
                      </c:pt>
                      <c:pt idx="33">
                        <c:v>15225</c:v>
                      </c:pt>
                      <c:pt idx="34">
                        <c:v>15823</c:v>
                      </c:pt>
                      <c:pt idx="35">
                        <c:v>16938</c:v>
                      </c:pt>
                      <c:pt idx="36">
                        <c:v>17876</c:v>
                      </c:pt>
                      <c:pt idx="37">
                        <c:v>18904</c:v>
                      </c:pt>
                      <c:pt idx="38">
                        <c:v>19949</c:v>
                      </c:pt>
                      <c:pt idx="39">
                        <c:v>20878</c:v>
                      </c:pt>
                      <c:pt idx="40">
                        <c:v>21445</c:v>
                      </c:pt>
                      <c:pt idx="41">
                        <c:v>21828</c:v>
                      </c:pt>
                      <c:pt idx="42">
                        <c:v>22570</c:v>
                      </c:pt>
                      <c:pt idx="43">
                        <c:v>23222</c:v>
                      </c:pt>
                      <c:pt idx="44">
                        <c:v>23892</c:v>
                      </c:pt>
                      <c:pt idx="45">
                        <c:v>24560</c:v>
                      </c:pt>
                      <c:pt idx="46">
                        <c:v>25010</c:v>
                      </c:pt>
                      <c:pt idx="47">
                        <c:v>25473</c:v>
                      </c:pt>
                      <c:pt idx="48">
                        <c:v>25746</c:v>
                      </c:pt>
                      <c:pt idx="49">
                        <c:v>25997</c:v>
                      </c:pt>
                      <c:pt idx="50">
                        <c:v>26319</c:v>
                      </c:pt>
                      <c:pt idx="51">
                        <c:v>26637</c:v>
                      </c:pt>
                      <c:pt idx="52">
                        <c:v>26936</c:v>
                      </c:pt>
                      <c:pt idx="53">
                        <c:v>27249</c:v>
                      </c:pt>
                      <c:pt idx="54">
                        <c:v>27542</c:v>
                      </c:pt>
                      <c:pt idx="55">
                        <c:v>27719</c:v>
                      </c:pt>
                      <c:pt idx="56">
                        <c:v>27921</c:v>
                      </c:pt>
                      <c:pt idx="57">
                        <c:v>28080</c:v>
                      </c:pt>
                      <c:pt idx="58">
                        <c:v>28277</c:v>
                      </c:pt>
                      <c:pt idx="59">
                        <c:v>28494</c:v>
                      </c:pt>
                      <c:pt idx="60">
                        <c:v>28684</c:v>
                      </c:pt>
                      <c:pt idx="61">
                        <c:v>28823</c:v>
                      </c:pt>
                      <c:pt idx="62">
                        <c:v>28903</c:v>
                      </c:pt>
                      <c:pt idx="63">
                        <c:v>29034</c:v>
                      </c:pt>
                      <c:pt idx="64">
                        <c:v>29107</c:v>
                      </c:pt>
                    </c:numCache>
                  </c:numRef>
                </c:val>
                <c:smooth val="0"/>
                <c:extLst xmlns:c15="http://schemas.microsoft.com/office/drawing/2012/chart">
                  <c:ext xmlns:c16="http://schemas.microsoft.com/office/drawing/2014/chart" uri="{C3380CC4-5D6E-409C-BE32-E72D297353CC}">
                    <c16:uniqueId val="{0000000A-3C9B-4CCC-99BC-84CFF113D9B4}"/>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ch_latest!$N$2:$N$66</c15:sqref>
                        </c15:formulaRef>
                      </c:ext>
                    </c:extLst>
                    <c:numCache>
                      <c:formatCode>General</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numCache>
                  </c:numRef>
                </c:val>
                <c:smooth val="0"/>
                <c:extLst xmlns:c15="http://schemas.microsoft.com/office/drawing/2012/chart">
                  <c:ext xmlns:c16="http://schemas.microsoft.com/office/drawing/2014/chart" uri="{C3380CC4-5D6E-409C-BE32-E72D297353CC}">
                    <c16:uniqueId val="{0000000B-3C9B-4CCC-99BC-84CFF113D9B4}"/>
                  </c:ext>
                </c:extLst>
              </c15:ser>
            </c15:filteredLineSeries>
            <c15:filteredLine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ch_latest!$P$2:$P$66</c15:sqref>
                        </c15:formulaRef>
                      </c:ext>
                    </c:extLst>
                    <c:numCache>
                      <c:formatCode>General</c:formatCode>
                      <c:ptCount val="65"/>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13</c:v>
                      </c:pt>
                      <c:pt idx="20">
                        <c:v>21</c:v>
                      </c:pt>
                      <c:pt idx="21">
                        <c:v>30</c:v>
                      </c:pt>
                      <c:pt idx="22">
                        <c:v>37</c:v>
                      </c:pt>
                      <c:pt idx="23">
                        <c:v>48</c:v>
                      </c:pt>
                      <c:pt idx="24">
                        <c:v>57</c:v>
                      </c:pt>
                      <c:pt idx="25">
                        <c:v>78</c:v>
                      </c:pt>
                      <c:pt idx="26">
                        <c:v>98</c:v>
                      </c:pt>
                      <c:pt idx="27">
                        <c:v>113</c:v>
                      </c:pt>
                      <c:pt idx="28">
                        <c:v>143</c:v>
                      </c:pt>
                      <c:pt idx="29">
                        <c:v>165</c:v>
                      </c:pt>
                      <c:pt idx="30">
                        <c:v>200</c:v>
                      </c:pt>
                      <c:pt idx="31">
                        <c:v>246</c:v>
                      </c:pt>
                      <c:pt idx="32">
                        <c:v>282</c:v>
                      </c:pt>
                      <c:pt idx="33">
                        <c:v>334</c:v>
                      </c:pt>
                      <c:pt idx="34">
                        <c:v>378</c:v>
                      </c:pt>
                      <c:pt idx="35">
                        <c:v>437</c:v>
                      </c:pt>
                      <c:pt idx="36">
                        <c:v>503</c:v>
                      </c:pt>
                      <c:pt idx="37">
                        <c:v>566</c:v>
                      </c:pt>
                      <c:pt idx="38">
                        <c:v>627</c:v>
                      </c:pt>
                      <c:pt idx="39">
                        <c:v>688</c:v>
                      </c:pt>
                      <c:pt idx="40">
                        <c:v>754</c:v>
                      </c:pt>
                      <c:pt idx="41">
                        <c:v>806</c:v>
                      </c:pt>
                      <c:pt idx="42">
                        <c:v>865</c:v>
                      </c:pt>
                      <c:pt idx="43">
                        <c:v>925</c:v>
                      </c:pt>
                      <c:pt idx="44">
                        <c:v>993</c:v>
                      </c:pt>
                      <c:pt idx="45">
                        <c:v>1044</c:v>
                      </c:pt>
                      <c:pt idx="46">
                        <c:v>1094</c:v>
                      </c:pt>
                      <c:pt idx="47">
                        <c:v>1131</c:v>
                      </c:pt>
                      <c:pt idx="48">
                        <c:v>1187</c:v>
                      </c:pt>
                      <c:pt idx="49">
                        <c:v>1217</c:v>
                      </c:pt>
                      <c:pt idx="50">
                        <c:v>1255</c:v>
                      </c:pt>
                      <c:pt idx="51">
                        <c:v>1308</c:v>
                      </c:pt>
                      <c:pt idx="52">
                        <c:v>1353</c:v>
                      </c:pt>
                      <c:pt idx="53">
                        <c:v>1399</c:v>
                      </c:pt>
                      <c:pt idx="54">
                        <c:v>1441</c:v>
                      </c:pt>
                      <c:pt idx="55">
                        <c:v>1465</c:v>
                      </c:pt>
                      <c:pt idx="56">
                        <c:v>1506</c:v>
                      </c:pt>
                      <c:pt idx="57">
                        <c:v>1547</c:v>
                      </c:pt>
                      <c:pt idx="58">
                        <c:v>1573</c:v>
                      </c:pt>
                      <c:pt idx="59">
                        <c:v>1602</c:v>
                      </c:pt>
                      <c:pt idx="60">
                        <c:v>1630</c:v>
                      </c:pt>
                      <c:pt idx="61">
                        <c:v>1654</c:v>
                      </c:pt>
                      <c:pt idx="62">
                        <c:v>1669</c:v>
                      </c:pt>
                      <c:pt idx="63">
                        <c:v>1686</c:v>
                      </c:pt>
                      <c:pt idx="64">
                        <c:v>1704</c:v>
                      </c:pt>
                    </c:numCache>
                  </c:numRef>
                </c:val>
                <c:smooth val="0"/>
                <c:extLst xmlns:c15="http://schemas.microsoft.com/office/drawing/2012/chart">
                  <c:ext xmlns:c16="http://schemas.microsoft.com/office/drawing/2014/chart" uri="{C3380CC4-5D6E-409C-BE32-E72D297353CC}">
                    <c16:uniqueId val="{0000000C-3C9B-4CCC-99BC-84CFF113D9B4}"/>
                  </c:ext>
                </c:extLst>
              </c15:ser>
            </c15:filteredLineSeries>
            <c15:filteredLine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ch_latest!$Q$2:$Q$66</c15:sqref>
                        </c15:formulaRef>
                      </c:ext>
                    </c:extLst>
                    <c:numCache>
                      <c:formatCode>General</c:formatCode>
                      <c:ptCount val="65"/>
                      <c:pt idx="0">
                        <c:v>0</c:v>
                      </c:pt>
                      <c:pt idx="1">
                        <c:v>0</c:v>
                      </c:pt>
                      <c:pt idx="2">
                        <c:v>0</c:v>
                      </c:pt>
                      <c:pt idx="3">
                        <c:v>0</c:v>
                      </c:pt>
                      <c:pt idx="4">
                        <c:v>0</c:v>
                      </c:pt>
                      <c:pt idx="5">
                        <c:v>1.05155</c:v>
                      </c:pt>
                      <c:pt idx="6">
                        <c:v>1.1878029999999999</c:v>
                      </c:pt>
                      <c:pt idx="7">
                        <c:v>1.5773239999999999</c:v>
                      </c:pt>
                      <c:pt idx="8">
                        <c:v>1.992815</c:v>
                      </c:pt>
                      <c:pt idx="9">
                        <c:v>1.95258</c:v>
                      </c:pt>
                      <c:pt idx="10">
                        <c:v>1.811061</c:v>
                      </c:pt>
                      <c:pt idx="11">
                        <c:v>1.7953969999999999</c:v>
                      </c:pt>
                      <c:pt idx="12">
                        <c:v>1.9758830000000001</c:v>
                      </c:pt>
                      <c:pt idx="13">
                        <c:v>2.066198</c:v>
                      </c:pt>
                      <c:pt idx="14">
                        <c:v>2.2956279999999998</c:v>
                      </c:pt>
                      <c:pt idx="15">
                        <c:v>2.5696639999999999</c:v>
                      </c:pt>
                      <c:pt idx="16">
                        <c:v>2.4373520000000002</c:v>
                      </c:pt>
                      <c:pt idx="17">
                        <c:v>2.298794</c:v>
                      </c:pt>
                      <c:pt idx="18">
                        <c:v>2.3386339999999999</c:v>
                      </c:pt>
                      <c:pt idx="19">
                        <c:v>2.5962459999999998</c:v>
                      </c:pt>
                      <c:pt idx="20">
                        <c:v>2.5461670000000001</c:v>
                      </c:pt>
                      <c:pt idx="21">
                        <c:v>2.8146610000000001</c:v>
                      </c:pt>
                      <c:pt idx="22">
                        <c:v>2.8313269999999999</c:v>
                      </c:pt>
                      <c:pt idx="23">
                        <c:v>2.8748870000000002</c:v>
                      </c:pt>
                      <c:pt idx="24">
                        <c:v>2.8136139999999998</c:v>
                      </c:pt>
                      <c:pt idx="25">
                        <c:v>3.3870369999999999</c:v>
                      </c:pt>
                      <c:pt idx="26">
                        <c:v>4.2274349999999998</c:v>
                      </c:pt>
                      <c:pt idx="27">
                        <c:v>4.8581110000000001</c:v>
                      </c:pt>
                      <c:pt idx="28">
                        <c:v>5.5618290000000004</c:v>
                      </c:pt>
                      <c:pt idx="29">
                        <c:v>6.4062169999999998</c:v>
                      </c:pt>
                      <c:pt idx="30">
                        <c:v>6.4592520000000002</c:v>
                      </c:pt>
                      <c:pt idx="31">
                        <c:v>6.187684</c:v>
                      </c:pt>
                      <c:pt idx="32">
                        <c:v>7.8304140000000002</c:v>
                      </c:pt>
                      <c:pt idx="33">
                        <c:v>9.1878799999999998</c:v>
                      </c:pt>
                      <c:pt idx="34">
                        <c:v>9.9234570000000009</c:v>
                      </c:pt>
                      <c:pt idx="35">
                        <c:v>11.105675</c:v>
                      </c:pt>
                      <c:pt idx="36">
                        <c:v>12.708921</c:v>
                      </c:pt>
                      <c:pt idx="37">
                        <c:v>12.82465</c:v>
                      </c:pt>
                      <c:pt idx="38">
                        <c:v>12.501239</c:v>
                      </c:pt>
                      <c:pt idx="39">
                        <c:v>14.68956</c:v>
                      </c:pt>
                      <c:pt idx="40">
                        <c:v>17.351711999999999</c:v>
                      </c:pt>
                      <c:pt idx="41">
                        <c:v>19.553027</c:v>
                      </c:pt>
                      <c:pt idx="42">
                        <c:v>22.812736999999998</c:v>
                      </c:pt>
                      <c:pt idx="43">
                        <c:v>25.701111999999998</c:v>
                      </c:pt>
                      <c:pt idx="44">
                        <c:v>25.553325999999998</c:v>
                      </c:pt>
                      <c:pt idx="45">
                        <c:v>25.467960000000001</c:v>
                      </c:pt>
                      <c:pt idx="46">
                        <c:v>28.643042999999999</c:v>
                      </c:pt>
                      <c:pt idx="47">
                        <c:v>33.589492</c:v>
                      </c:pt>
                      <c:pt idx="48">
                        <c:v>41.044998</c:v>
                      </c:pt>
                      <c:pt idx="49">
                        <c:v>50.103155999999998</c:v>
                      </c:pt>
                      <c:pt idx="50">
                        <c:v>54.989438999999997</c:v>
                      </c:pt>
                      <c:pt idx="51">
                        <c:v>62.060343000000003</c:v>
                      </c:pt>
                      <c:pt idx="52">
                        <c:v>61.083638999999998</c:v>
                      </c:pt>
                      <c:pt idx="53">
                        <c:v>60.032530000000001</c:v>
                      </c:pt>
                      <c:pt idx="54">
                        <c:v>66.871260000000007</c:v>
                      </c:pt>
                      <c:pt idx="55">
                        <c:v>73.617097000000001</c:v>
                      </c:pt>
                      <c:pt idx="56">
                        <c:v>83.323183</c:v>
                      </c:pt>
                      <c:pt idx="57">
                        <c:v>93.587773999999996</c:v>
                      </c:pt>
                      <c:pt idx="58">
                        <c:v>101.98912300000001</c:v>
                      </c:pt>
                      <c:pt idx="59">
                        <c:v>101.27400400000001</c:v>
                      </c:pt>
                      <c:pt idx="60">
                        <c:v>109.00396499999999</c:v>
                      </c:pt>
                      <c:pt idx="61">
                        <c:v>119.972234</c:v>
                      </c:pt>
                      <c:pt idx="62">
                        <c:v>131.184438</c:v>
                      </c:pt>
                      <c:pt idx="63">
                        <c:v>162.82407599999999</c:v>
                      </c:pt>
                      <c:pt idx="64">
                        <c:v>199.36436499999999</c:v>
                      </c:pt>
                    </c:numCache>
                  </c:numRef>
                </c:val>
                <c:smooth val="0"/>
                <c:extLst xmlns:c15="http://schemas.microsoft.com/office/drawing/2012/chart">
                  <c:ext xmlns:c16="http://schemas.microsoft.com/office/drawing/2014/chart" uri="{C3380CC4-5D6E-409C-BE32-E72D297353CC}">
                    <c16:uniqueId val="{0000000D-3C9B-4CCC-99BC-84CFF113D9B4}"/>
                  </c:ext>
                </c:extLst>
              </c15:ser>
            </c15:filteredLineSeries>
            <c15:filteredLine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ch_latest!$A$2:$A$66</c15:sqref>
                        </c15:formulaRef>
                      </c:ext>
                    </c:extLst>
                    <c:numCache>
                      <c:formatCode>m/d/yyyy</c:formatCode>
                      <c:ptCount val="65"/>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numCache>
                  </c:numRef>
                </c:cat>
                <c:val>
                  <c:numRef>
                    <c:extLst xmlns:c15="http://schemas.microsoft.com/office/drawing/2012/chart">
                      <c:ext xmlns:c15="http://schemas.microsoft.com/office/drawing/2012/chart" uri="{02D57815-91ED-43cb-92C2-25804820EDAC}">
                        <c15:formulaRef>
                          <c15:sqref>ch_latest!$R$2:$R$66</c15:sqref>
                        </c15:formulaRef>
                      </c:ext>
                    </c:extLst>
                    <c:numCache>
                      <c:formatCode>General</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1.85155</c:v>
                      </c:pt>
                      <c:pt idx="19">
                        <c:v>2.0900240000000001</c:v>
                      </c:pt>
                      <c:pt idx="20">
                        <c:v>1.934264</c:v>
                      </c:pt>
                      <c:pt idx="21">
                        <c:v>2.4515470000000001</c:v>
                      </c:pt>
                      <c:pt idx="22">
                        <c:v>2.2094230000000001</c:v>
                      </c:pt>
                      <c:pt idx="23">
                        <c:v>2.3447209999999998</c:v>
                      </c:pt>
                      <c:pt idx="24">
                        <c:v>2.6411920000000002</c:v>
                      </c:pt>
                      <c:pt idx="25">
                        <c:v>2.9277099999999998</c:v>
                      </c:pt>
                      <c:pt idx="26">
                        <c:v>3.1041910000000001</c:v>
                      </c:pt>
                      <c:pt idx="27">
                        <c:v>3.1747869999999998</c:v>
                      </c:pt>
                      <c:pt idx="28">
                        <c:v>3.260659</c:v>
                      </c:pt>
                      <c:pt idx="29">
                        <c:v>3.6806549999999998</c:v>
                      </c:pt>
                      <c:pt idx="30">
                        <c:v>3.7656139999999998</c:v>
                      </c:pt>
                      <c:pt idx="31">
                        <c:v>3.7896809999999999</c:v>
                      </c:pt>
                      <c:pt idx="32">
                        <c:v>4.0855249999999996</c:v>
                      </c:pt>
                      <c:pt idx="33">
                        <c:v>4.1808810000000003</c:v>
                      </c:pt>
                      <c:pt idx="34">
                        <c:v>4.4340659999999996</c:v>
                      </c:pt>
                      <c:pt idx="35">
                        <c:v>4.8454300000000003</c:v>
                      </c:pt>
                      <c:pt idx="36">
                        <c:v>4.9745949999999999</c:v>
                      </c:pt>
                      <c:pt idx="37">
                        <c:v>5.5028670000000002</c:v>
                      </c:pt>
                      <c:pt idx="38">
                        <c:v>5.7868870000000001</c:v>
                      </c:pt>
                      <c:pt idx="39">
                        <c:v>6.3537949999999999</c:v>
                      </c:pt>
                      <c:pt idx="40">
                        <c:v>7.3505479999999999</c:v>
                      </c:pt>
                      <c:pt idx="41">
                        <c:v>8.1712950000000006</c:v>
                      </c:pt>
                      <c:pt idx="42">
                        <c:v>8.9128480000000003</c:v>
                      </c:pt>
                      <c:pt idx="43">
                        <c:v>9.4449190000000005</c:v>
                      </c:pt>
                      <c:pt idx="44">
                        <c:v>10.649960999999999</c:v>
                      </c:pt>
                      <c:pt idx="45">
                        <c:v>11.344016999999999</c:v>
                      </c:pt>
                      <c:pt idx="46">
                        <c:v>12.925678</c:v>
                      </c:pt>
                      <c:pt idx="47">
                        <c:v>13.896815</c:v>
                      </c:pt>
                      <c:pt idx="48">
                        <c:v>17.037890999999998</c:v>
                      </c:pt>
                      <c:pt idx="49">
                        <c:v>18.827736000000002</c:v>
                      </c:pt>
                      <c:pt idx="50">
                        <c:v>19.398657</c:v>
                      </c:pt>
                      <c:pt idx="51">
                        <c:v>19.337654000000001</c:v>
                      </c:pt>
                      <c:pt idx="52">
                        <c:v>21.090281000000001</c:v>
                      </c:pt>
                      <c:pt idx="53">
                        <c:v>20.513563999999999</c:v>
                      </c:pt>
                      <c:pt idx="54">
                        <c:v>22.400099000000001</c:v>
                      </c:pt>
                      <c:pt idx="55">
                        <c:v>24.587033000000002</c:v>
                      </c:pt>
                      <c:pt idx="56">
                        <c:v>25.865009000000001</c:v>
                      </c:pt>
                      <c:pt idx="57">
                        <c:v>29.564333000000001</c:v>
                      </c:pt>
                      <c:pt idx="58">
                        <c:v>32.721696999999999</c:v>
                      </c:pt>
                      <c:pt idx="59">
                        <c:v>32.473584000000002</c:v>
                      </c:pt>
                      <c:pt idx="60">
                        <c:v>36.972003000000001</c:v>
                      </c:pt>
                      <c:pt idx="61">
                        <c:v>45.657615</c:v>
                      </c:pt>
                      <c:pt idx="62">
                        <c:v>49.957104000000001</c:v>
                      </c:pt>
                      <c:pt idx="63">
                        <c:v>56.147481999999997</c:v>
                      </c:pt>
                      <c:pt idx="64">
                        <c:v>74.144362000000001</c:v>
                      </c:pt>
                    </c:numCache>
                  </c:numRef>
                </c:val>
                <c:smooth val="0"/>
                <c:extLst xmlns:c15="http://schemas.microsoft.com/office/drawing/2012/chart">
                  <c:ext xmlns:c16="http://schemas.microsoft.com/office/drawing/2014/chart" uri="{C3380CC4-5D6E-409C-BE32-E72D297353CC}">
                    <c16:uniqueId val="{0000000E-3C9B-4CCC-99BC-84CFF113D9B4}"/>
                  </c:ext>
                </c:extLst>
              </c15:ser>
            </c15:filteredLineSeries>
          </c:ext>
        </c:extLst>
      </c:lineChart>
      <c:catAx>
        <c:axId val="267841359"/>
        <c:scaling>
          <c:orientation val="minMax"/>
          <c:min val="10"/>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298294639"/>
        <c:crosses val="autoZero"/>
        <c:auto val="1"/>
        <c:lblAlgn val="ctr"/>
        <c:lblOffset val="100"/>
        <c:noMultiLvlLbl val="1"/>
      </c:catAx>
      <c:valAx>
        <c:axId val="1298294639"/>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26784135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Todefälle</cx:v>
        </cx:txData>
      </cx:tx>
      <cx:txPr>
        <a:bodyPr spcFirstLastPara="1" vertOverflow="ellipsis" horzOverflow="overflow" wrap="square" lIns="0" tIns="0" rIns="0" bIns="0" anchor="ctr" anchorCtr="1"/>
        <a:lstStyle/>
        <a:p>
          <a:pPr algn="ctr" rtl="0">
            <a:defRPr/>
          </a:pPr>
          <a:r>
            <a:rPr lang="de-DE" sz="1400" b="0" i="0" u="none" strike="noStrike" baseline="0">
              <a:solidFill>
                <a:sysClr val="window" lastClr="FFFFFF">
                  <a:lumMod val="95000"/>
                </a:sysClr>
              </a:solidFill>
              <a:latin typeface="Calibri" panose="020F0502020204030204"/>
            </a:rPr>
            <a:t>Todefälle</a:t>
          </a:r>
        </a:p>
      </cx:txPr>
    </cx:title>
    <cx:plotArea>
      <cx:plotAreaRegion>
        <cx:series layoutId="regionMap" uniqueId="{538DAE7F-B7AB-41C6-827B-EE90E3A1AE0E}">
          <cx:tx>
            <cx:txData>
              <cx:f>_xlchart.v5.2</cx:f>
              <cx:v>death</cx:v>
            </cx:txData>
          </cx:tx>
          <cx:dataLabels/>
          <cx:dataId val="0"/>
          <cx:layoutPr>
            <cx:geography cultureLanguage="de-DE" cultureRegion="CH" attribution="Unterstützt von Bing">
              <cx:geoCache provider="{E9337A44-BEBE-4D9F-B70C-5C5E7DAFC167}">
                <cx:binary>3HzZcty4su2vOPx8KQMgAII7du+IDQ41aLQkW7ZeGJrMeQJAcPic83Q/4rztH7tZtuW2qtXt9gmf
h6sIh20VC1VJLGTmypVJ/fNu+sdd9XCjXk111eh/3E2/vc6M6f7x5o2+yx7qG31Q53eq1e0nc3DX
1m/aT5/yu4c39+pmzJv0DUGYvrnLbpR5mF7/65/waelDe9Te3Zi8bd4OD2o+f9BDZfRfXHv20qu7
dmjMbnkKn/Tb64u7bHzIl9evbu7rvAlzbVR+Z/Bvr1fVjRr061cPjcnNfDl3D7+9fvKe16/e7H/D
H6x5VYHBZriHtZQf+AJj6nmcY+wSgV+/qtom/XrZP0CceYwg4lMsfMrcx68+ualh+Y/N+WzMzf29
etAa7ubzv7+ve2I6vHz0+k93Itdt8GWTgnZnebD+fKtvnoLwr3/uvQA3v/fKdzjt79SPLv2pcU/u
A2A6eRjusv/8l3moHvfr10DlM0YFgT8+Rpg/gYofeAIR5hHCkMs5wYDkl1PyBSow6aG5HVT6+PJz
Fj2P1ndLn9wo3Gf0QgD7941Kb4a/2pqf9CvvgCJfUI8wnxFMBX0CljjAjAuOXAb/Evb4vV+Q+rEt
z8P0uG4Po3+vXghGp7fjTXX/0Dzu1nMH+CdR4geCCSyowBRiG94h8V30EwcECeERz2cYUV+gPaD+
jkHPQ/X7yj2wTq9eCFjyRj9UzoW5uTe/EC/vgHEqfJ8CXAIhTzzByzvgmBEuiIuoC38TcLrvQ+Df
tOl5yJ4s3kNNXrwQ1P7ddQ/N8lBVrzZN86BUBqn2V/qbd+AigbDrY46+Rr7v/M2HmOm6jDOImIQi
4u7h9806529a9zySf/Ixe5j+e/PiMP33oPX/DqiUY0I8irnvE+w/cUr/wKXYR4ICc/EZwv5eEP0d
jb9r3o9Qffo5+7CevxBY5YNq3uz+engMcr8mHxLCdy6IuEuhJngCJcRXAjByBOmQMNdHcPlJfAVr
Hl95zpjngdvdw16h89trGb0QmHaV3AyF3C8r2DwoybCA3Aa0xBNsrwoQBx7jHP5Q7hG4yvYg+rE5
z4P0uG7Pmy6uXwhMX7L70U1zr6G+//RrOQtl2ENQkHk+hvhI9nwKLkGy8yn4k+A+3st5P2PY89D9
8RP2QJQvpeqOVX7b/qDC/ekCwUOCIY+5nqAAoLcHHvJ3ugkg6FPIfAL46PcBMVYP+f+s5P595R5Y
8UvJX6uH5j//1/7a5EUwcEfOqI9ABtlLXvwAu8hzASyoHKB+2CeXYM+nR/T+fvL6smoPo9VLSV4r
dTPc/ue/GygC3qxUvtMm87/ao592LshUCCQtBvXaF3HxSTXAiQAuQhGnoD7CP49f/VV7/N24xws/
gdv3i/fheykuth3UzV9tzU/CBcUbREIoqzn/XL2BFvwdXN5O0kI+iCiIeRQUE8hz38fCHxnzfPL6
smoPoO27F8I63t9UN7l+c3VTVfmvFfUJEApQQjxfCND095ECpwOP8jwCXN53PfYUqS9WPb72933q
cd0eWu9fijhyNCw/KHB+2qEQ93wXsHA/S8EQ4L5zKNCIMXIxyJOu8IVP2B65+LE5z7vU47o9mI5e
ilOd5Pf/CzqxD94Ecr0Qgnufed4TpCgC9RgqYtC1viog34e+v2XR82B9t3QPr5OXohRfmINXK4iA
v1ho3InAzKU+Jhhi3FOh2D8gHvbhHZxhAfyDg2T1PWAXN01p/oZRz2P2dPUebBcvpRsDisDNp0/Z
zaB/MXAeKIhQc3EfpOB94MRO/4dSzHPFTiomCDLbE+D+plF/AtyT1fvArV8I6bhoq9Zkw19LdT+d
yYjPfIiMCNgftGWeThGAbkh9D2ADdwSvBBFkD7W/Y9GfQPb70n28Tl8IXpeA1a/uTe+azxyqYY6E
C13qJ7wDZj6AbzAKohRwRPqHruffsOd5rL4t3EPq8qWExMv8Lm/ax7P9HHH+SbfiB8QHhk584SHg
7PSp+iQOxE6b4j5U0a5HEFz9PhZewsRN/j/Q4x/X7aO0eSH+9E79Wg3DAyoB2iBC0OfaFwgFdExA
1IWoR7jnuuBrTzH6gS3P+9HnRXvovHspmsX7m+H+cY9+iQcxGMAB5c8nEM3+ODMFfRIObRJoNX+p
wR6/+ovEdHXzg/GF5wH6umwPovfhC3Gg6yF93KZfgNBON/KguGLkS/sYZKMnpRUo7wTqKgZNL+HD
8MfjV39B6Ae2PI/P50V76Fy/lCR0/Z//hlnR7HGbfglCFEN/g4JU4SHoYu0jBJo7TEdBRxLqYw6D
OY9f/RWhH9vzJyg9LtxH6v9XIv4lOX8B5Mm878/P7MLsEyh8UODuYtqOTj9xGehG7VISg9E2UNfR
Xkdx18r9PFv85/Y8D8i3hU+M/25Y+X9nRPfPx3e/DTaHN+Ym+jwR/d0E719f/XyLML29t/Qrg3rW
a77s1+b+t9cenHKPou9w233ME/b1hyrrybqHG21+ey0O0E6BBSxhpO2zcvT61fiwuwJSuwvhzoex
GpBxPbYbdGtaZTKY2IYZOBhDd2EIA8a2dwLu61e6Hb5eQiDq+lBBAyvclc/fhtTP2mpO2+bbnnz9
+VUz1Gdt3hgNHwz3031522dbdwNaFOgnGLKT9D0X/L67uzmHQXh4N/4/c6ZaVjecSC+/rpZpORkL
mx9nzSAXVs8rpxSlXDpbHHX60C/JFMxFXwRFV9koo3aWJVF9WLU5WVWZjgvVfMiomldevriycdUs
PbdEciLJ7ZIlZ8O8oks3XKjaVoE70TpoWDtJU1Z8XeauG9iikjbBY7DknnQIbYMsTT9Ny7yeDCpD
1+Ko6vtGTrl79R1yz+wEgd3+4054MFkh0K614YHq8P1OlKISOm0xkU7S1lHHl2HdTOxyrHtHOp2d
QgVArZ1uamU6RinJGqmTmck0RUFW+rJP5xVrlvd6cJeYqmWTaVSFWZlTKayHJUHqfGRDeVgSP9Y6
VAm96IyVfUJ82N2ml399Q7tZ8P0bgjOFmdhNJ3uQfJ/eEC+5J4giRBZGN3Kxy6apcRNgQ856J9/i
tpQFx9ulHNvQm6dz7i7v/9qEz9R3zwaYfKACRqB96O3BgNhTG2bDmnF0cyJzu/BtoZNDGDvaVhe5
GjbG9c2pLtt3i9Of63EcV3jmW9the5JlISr7Ka5NqwKvcPJAwResM+oHWKlCjo3ScVr2p31L85VK
9AMoEyqytmArPArZaXw+5KYKCl7hCISSMu6cUkWYXHXL4sSluGz76v3k8Fh4RcBw/U6Liq1HoWyg
23xd2Pq2qK0vh8KSaG6L9yotok5lm3q23hplZSM7rH2Jq14yzwkaRKO+l85CA78lS1DrsQ1S693P
pmnhbJQkqPtqWFHHv45x7mdBX6EmsmzlFoN32o2iPVxoJVZmUR8V7ZZDJw0byAgxytESirlka20T
InvTqygpRRYMfEsHe0/bZncn+rwZ+5Muyd5NpduGtAG/KtNuCh3jDRFisnJ1PKi6DrokF5uldN/S
Mbn1C49L47ErZJPY5XBQhIPbTZPouB3qTZKP5HzKQpcWbjSr7Ix0Yyy0njc1RW+TurmYqt5ISop7
i9m6RyoYy5bIpiy64x6ZMkDTcjhaU0bLaC6bqlixCTtnes6yGLPpotLNp8zW7wblIVnRiYR26eWU
UnK8OOA12pRhPTdoZXp7tVRLJWtVrSAyLocUx9xye9ExFcKcVA5fVROZdg2KiSla6S/00ozIkbQV
aSjy8qofXS37wYtQ3qOAVvVDMrVlIMpkDFo2TbJpbss+bY4Hr1CBwFoSx8nlVOC48Imzon5/5iQD
Oc1cwYNUNDq2zUmh6lSWuU3C1k9k1oqzYahsOJDkjGdEnw7esnKXQXZTwyIq5kWqhm4wMjpOxiEP
SlGksncT2HqR1kGbQwxMSJXIxOudoFZ+sxpNj2ROnWKTp/N6nEsvmIljV1U/mYj1cO8t6fNo8r3+
yB/n8VDPY5haUQXU63NZ5KndVJUzxE5iVaRwL/NmbI86Ds8j2Slo+0KWY9Id1yM6Gyq+mp22jr0+
LMrShrppmcyLfgpR4rpbCqbKeqxUoOvknWsVlRm6nbt5DnuyjEFVD0y2s3Gk8kNsqLu2Pj5zWt6H
WqFqVaQAGZznQNNy2KJmk/cfdYlzmWctWZlCZQFLk1MI9SX4q8MPYdTjyCPVOulQGzZpZ2VBahT2
FtGY9vN10fH0iC0Vl4SUpcSWpgFvnSFI0/q+W/RbZeyHYVLpxivqkwzrNmrmkkqcXKpZ1DKB8Z+1
tWmoFxOhGQ54bQqx6s2ysuUcV9Zp15nQpyZVLFB6NoHq6ofZ0V5MO1fm7R0/h1PehKWXfBw4aVYl
JqeNl+aBPzlyzrNaOsLEQqVrapcUElyfh6IHN7GDlR5K8XHT3na82sDUXxW0aQexxDghE4kNs4RV
6xqycD8TJMsW4gzXfvG2JKMLQfIIUWJP0t7Z0GnickKUh7jNWzlOV/k89yFx6GXbChSo2XeD2nUz
ifoirCc6yNRTzkmOTBYI4+vIr7JSKuJe5dM4S1yMK2hYAoyN/TDDJm1459wCzekClp8UeVVuEc5t
OBcDpPq500HnMSObYV4vfXrteEaWtRtbV5x3YhLbvkxuMjTeN+5Qx2053LPcHnXGXYLU42Ok+kuH
tqNc8kmFqb9ErRjXuF+GcDH99ZJZK6fJDlG5NN2JdfN7rzccwrMhQVP3p17SPkze4dRxFaC0ttJm
ZRfYqnrrpjRsF3AR6DaUkk/DyZjmlWxLyMS1yc+8spedT2xIkZrkIICdMDDH9mmY9Gkr3WZewky7
t6M/3ZQlyoLUNTZCtmMxbZd8w2bTSrNMQ5jMTRG0c7LWXUuipTI3me/Hn3PqVwL8lah8oXB3bTfD
QE729VHDbz/+6yov8+7hPr/5/Njb76/vHlb8/afji/jyL9+wjs6j/Tfs7Pj2EWDGV7t21PfJD39g
4n/Ctb88K/knF58Q8ScFx2N5uSOphAAV+/bA4x9J+JdS59WbVxdDDrPvu//YfIE2/re5mG+f8oWS
Y3QALUNoCLowYuv6QNseKTk7AOJHGbR3QTlnMLIJV36n5KCS79Q9eIJyN5kLTPmRkrMDQaCXJUDf
+Dwx7f4MJQdJ5A+knINoD+MbYBo8kAm86SlrcnOd9jgH5rbYEoIhnFZh2ixkC/yvGoaTxbk1RhFp
RIK3lbCurGnGgyUhs7ToJKeXadouJ8AsJwj0Cgd4YkT6fDz2yHlhqlqypg4VTLRGPc0g9iNxL4rp
/eKVmaT5xWx5sp7au2zpUdRYd5CuIR+0XdqN6obVWLSFdKZZSd157apCSxGiamzAedJBEsX9FRXM
lbge1owOy/GQLpDsRRmyinorrJqVo+opsO3MgrpxWJRPZIqJQ/rA8jHoGuesyxO2XvCQStHP657n
5lD39Wqo8uM+xWVsnRIC5JwMkLxMH45Om0lM6neN1Xbb60JASKoWCElaOj2Q9yxLlTyEBGGCvDBD
vKT1LeH+6Zgm0yrlUxNOCz2fEvLQ9UkVZcPAopleDrwmgVtayTuEQjJxI3lVPFhq7+pyNNucfnTK
I8wNzqQGBkOM2FrO84sRCyfq7EhDmi6BZ0ZXZqROt0BDb4e+w2thxw8Tdzpgr/NGpK0jfa1OTV2A
bRXxA6aquB/0+6noP2apO0sOm677Od2OpQnnkWeB6fItyhAOW5KcTGWhIkTHJrBm2Uys1HFmpZsO
3hHzbnJi3cN5yS/SniThVPrH0DgyQIpyFHBdhCOumpg7wCYy1fHIFyMwMoiZtEt6iUZHy8WdJB9L
fQ6OFcAcixxbtpyWxK4H3h6mdT3L2ecimrNbquo5KjE971k1BX2WHNYFif3ajfIRxzVGWViljRtn
nVtJ6mbvEtzn66oeAfAcnxhjLpXOSdQENGZpOkfph54xJgdXb2xeC8ikCuqmpr0QeroWtV5CP7Ne
REm5daoW6rMZpUFSI33mWAjNFT5ExPEDp83Zyk50WvVeSqSu/UPgZGNUJfOJi7J1T5NcdqObxeVE
Ctkqka3csaGRHa+6AcgoSlgWGVx4ARNzv/U1ucBu15z0HTrRGY9xQVnU8m5XIVIraZlISJO1ROWY
h6RxkrhXFtKyWwU5dBlkRtMTzT54dLpYYM7h0LT+u7Kuprcs9e7qxZFmyIbVTEmQuTUOe0OYJG6j
gnRpytgd6HI4ee5b5GTXvfOWLGyOjEbvia2ToxyNF85sY90142G2GCBmip+MzWzWzNhawtZ1Af+A
4BH6wI5+GTSeWEI2OHMgrBHrcTMtYx5kNT7Ma50H2k5ZbIa2OYZnhNa4LmNQE2gkPNZGSZaukqab
39YNlEQZxTJhBJKmOnfg5GBdjLKefBxwlrgB6rlsHMFXbb58TJBbrJyu/wjl4SEttV1T0731Cv0w
1aaJ0n5yjzq2dDE2ZRoamolIOQClmo+wQ5szOGkG7jk9XIClHldCuiWU5N0yAf3mKagLbpjwgawS
vAIxJo1V49MQu/ddR0qAM2sPteZAOpycy76CGGJSMgKLEhAUd3SvH50yEnrYTF5y6/Iq9C01G1/w
dwVtT2rmzGuDlxOWFFlATbvRKKthzyLmAGVm4dSj6aYbnIiIPg08MiYRg5CVLiZfm1lLRZtIKdNL
0RkPqI/bxRQPV3XR3WawZJMlWrbpaebYHtzeFyvO6tMF5X6YYXPdprwNIfS4wayrIPMtBFiRsBBq
imxW50zvaH7pBn0+NdKxxRoN5H1fbuupGreOSHhYpCKJ/HnSMZ9mIQdgmBMvWITruZPuLjaMABso
BsXaG9x7D+cFxL8+rMUSecmYbeGEZbJqItK2LJxphUJvaq/okLxNS28MiKePcT9t8zqNgR3DDfu+
WuUCn+V53cRZO49SV1aF/gIF6uSdKYWzVeY/dAW8b8Ksl8RbbmAU3EaVr7aizmzkpBRoqp2ummSd
zaYO+y5ZwjkX28bz8lPLnTMPfv1DkHRVJRczbPmY57D5eR57VZlEFGqNzDF2xSA9JlUHkkQufTgM
0axpKguVGOnxJXLhZagKl6B1QOJycx/CeJFsK+fQNKhczc00SqcqHNkiS8LEoyrKkgQOd151Euhv
6HMQuZhSEatSL3BqxVZIz0NQQ0GepV0uSw/qg6Ln/kfe383OvJ1Te1z7jXOeNOO1cjwWdO4AlZFy
zUXZ6lQ2voBSx5c+XAtFobd0SZpVMq8EDEMFY5KacOqwCgptPgg2bSAsaijbIP/qyjm3eLzf+TuB
5LK2xgaJm2SrssxDJ0epnDC9rIWu4jnNjz2nHEM6+zQurM5k6rSbnOZWzhp7Mmnd923SgAvNuotT
PBYRX5oq1K7YFG1oZvfY1roKQRuAU1XTWZp2hmIegze3MwpIKUJSQMlAeW4/uGpZeSoYSu+KqAUF
U2EA4E4FvXLFyYxTyabdjWnkB3Qemo2zsBJOHbtZ1Bg3tFlW2YgeyqoOvJKHJhFj2JZV1CS4kzDt
R1YoBzK/YCtzMr6HCp1sZzKVEuSxB9Z743qsC5nk7FOhzFvmzWsLP/td04S7Cy0zSwgy7RKYya0D
UFSLwIckBdLk0IXw1tuioGvVLs6aKDc5AbXhEFVQZ2EXaoh0at5OuFAhjOiCXGTMqnOa4XKmZpEI
lK/Ym3dVOpzXYdqark6OCTAyeJa9jsox5avBr9fEGW0MsUZLjtmmbqHyH/PlYk6njxa2q9dl5M5U
ScjER/DNRVCNBMBLehZMI8IrkgEnKg2ThXczQuwJXWAHoyO9ytnWYlTRItA7bb0hMGO+zTQZIqdo
K8h73A14MWarusJnCztGTrFL7P1Rz7ANREeORS3O/DljEvuHrhZiNWp/hu9pEwhR1I3s7K2HJROS
7xJkbfwoh8hU1ONh7+c32FnaAO43AwFnzWp0W4lkCtQCebhSLTAE7wYk1VSOXVnv8v9JPqFpS8R8
xMk0rcXcgRQ39xt3rMGb88B6bkwISNV4zFRYpxMOltoJimaajrnTHvXOerEcyQTKRDktE3yyhXgP
AzLZStQgxvpoLEDRBY1hOoJvPgNfhBAL+rcEakVPFzOtdG3CMtcdKDA+l1Xd1rIi3oZ7Jj9XFbq0
1rkdEjpuzOIswVxXScAaUAmp1Wfd4voQ8Dhsfv8JdD9x7nWOiOclJWEz+/CerHoLHC+Xyp11rDJw
paw89sujDItsk7ctUHF3vM/y5azy8P3sLTqYJ3E1JFWzQs0Ql914ofNOb0gLAlJaXYGU2Fzljr2g
zcrNVnjnpVXmbJGdVzzhDuBp7jADXcyrt53PPvZCgAZfuGHtEijzmQi0cCCBc9dGZeNKqM3xEff6
aAZvACmmUSFP2m7l8W3bjlFD03dsbNpw5LDK5TaN8sZdd1WOpYJUSZNrDkNJISYaBCWOohktVVBO
fS77jBQgVw5uMFJ4zYKWWvK5PBS0HoC3sQ1KUx24HSA6gxgLj5ysgIzWq7ZprUwTcaPbrAtg4Lo5
9HFDohZ+IUTcMb+VHVTZRzRvQWuoR77miw0WT80h80UWLRBZz/uOneuuGg7rAXaIW4GiSbH02B2X
Q4Mq8dY5MazedD0rD+mMgTK1w2pi49sMz2FaeTvpwUCSrVGUuNCuKAv3DgFRtF7zQXDnwfeqFatV
B6GovcG277dKN6fQIZgPaTIf9Vlz6/V8WBXIP1OprtfL1N+IgdsYU2ZW0zBfGuaUYTsE2bigyAzD
su1zZ93UYrvUaXrW9z2JgJW8hcnL66W0kwR5AfLS2EMmLE66Cl/YCoRhL2NBkmKovEY2bxeg4KLA
euNPfJLdkKZryGi5R+935eKg2sOegvrcjG+pB6LbtAxQ0eDEWSM8Hzud0eCV7n3fONUJx8CBEnKG
zeIdFlXuhWNuTJiPI1Aigj/WcMyll7UoEtbxglqAmI19iMID3Gy1zpzOO0qRDr3UTaHAAdvHvIxF
BdLnMJZnqkXr1lcaFFbVBAmelrCrlncKjlFqEYfCF73PcFWFSZPKfITkNEDRLF1R+9HiBdBRs1ub
jkE59/26r5JrxRSJtAXJitlbEGJ47HQKapwGWltDtoSlC8q/ruBzbALHHnoP+TC6K2yXLExZxLS2
wdAUnzIDX1IcurY8sl7fAo8RRhrbWAkP70YFd1uZpVDW5SCoZvOsV0qN2wGY3Hb+kBZ1Bs2sScvK
m64GNG695S2pIOwpGqLJ9yW4aAd1c5jj1JNui9NY1+1pzT0Q511zyDwEVsCus2FI4oHkRkI7Tx1l
s/ceGgOw+3oET3L6oCvHXhYMzgVZko89TfsjM3AQDCBQDL0aQD6AKG66U3dC2WZKWAwPCZ0LlF3l
9QhFFPXiTg0ibCezRaIBeniRVhleMTE5QVUVWy5GT1pH3E0OciCTVItcGjgJXXXvpCDfCQadQ6PM
ZlZw0FUl1jBxdQiZ+13qAUOwkFGt0p2cNAjM4zhnQQmb04mcgjzJQIwGl43aFsJk76SQPFV5p1VW
xG2xmdkDdqAtScxpkwal04CAPk8rxkZoXThOCZFwmSDdFYeDoqdtz6Anl6MPqh4uVa7LAGcecKqB
f3IEhBK/4n1U8eyDk4Dg27Qo5mzajlV6NjeQpRE/5o2fhUM/BdRiBlQl9Ku5WHcjcuFIH1ZuBc3S
1rsu63PtPzRcZkqPG64HiHg5VBqdWYqoaZf7QlftpoKR2pBBX1gO8AtRoOi3mwG98617r4X7CX7H
2YosKpMKlZ9oOburwoX0nA11oIEaQTSYgk6NR6JDcTPaJfYVl8iZ4mTmfjAa/xK2e5HwhKsjseh1
aL3qmJJ8itqkMDKdXC/ES3EqvGnddun5OK0Kn5lj0tNtY537meKPriMuB7aAJqwwFP6g90g9J1vQ
LuOuNnczqm980gUKXKkwGDy7u64YPWtxka+g9dIzctZ2TthlTky0OpwHAQY5CMQp/xNU0rk0JuVB
k+S+XOY6okN3AX75yWgOYnVubbiTz5u6XUCx5nWQ5PWDRvwOfp1bETTlVaUAYTu7Jx6UGU1K+thR
O24Kydpli4nHJfmEk/lO18V1Pw6haPllw3QCFSjZlDzbAE/sYjtCt1oVwJYct4TeQYKj5UR3cK8l
tIwj6OmcZnO1rnIIwTnXwISdrFqTMTsqKQjNExS9Tf7OF3kDvXRnkm5dvbeZn0XTaO95ulThQpMB
eNC1q90xrEh/NNVDGc4pi5UeSgk6oRMVzlE/cH4EelgLkiNcxe+s018rKs5S0xz7TtEFhQtNS2I8
EhaJDnQDTlPBb6CKS3pXNaKLa3c4gnbsmW1Rezw3EBNSn6iYytJW9LQn99XcXU4OKeMyayNuZnoE
/ZtwaTUILakfcQgJn3vFeTZc6gjVy1ZVUBW5qRONKV3NM+gvtMognapiM46oCohQchH95VLVWkLX
qInrrjqruHcNafehUhP0ZDTVwcjS086QRbb/j73v6pEbSbP9Q8uLMCSDfLkPdOnLq9wLoVKVgj7o
Imh+/R62WmipzcydBQY7gzsv3ZBQlcpkkp85LjIqQrfXaeB0IPUOWT5hki2xclvWGWMXiXLlhFry
KhFmOMxSRTMJLTelYUGqR233WLL0+tlJp8DUnJ6BR+2soQx4K/ydcgw7Vr45LiRtj6VjVXEri5Nw
uvE4TrYVNGsdKzG+/pPUCnldHUWZ32WD9nazbQeVh/XgL1QB3ZzepFSnsTCAnTpHfeXo1rviravY
egTsp8aN6tFpVNKlCVin/LNEmWos/7pezdmv9ItY7DLJLYGaK+jObR4K8FdHH8VeNM2lLE7u2JRx
tjGdiJZ7XuemD6a5AtvUNyATp+nraInXtXHvMgJuk+n7BnhrBFyH5utTnWZB2ZZ5YHd1QkQL+mT0
7vy028HzO91s2FDQz9yJmDfvaE3MpWzQfCYyiMgydpjNWY95ecVDg8ethaYpnKvFj5q5i1HoehAw
VhXxSj5U1lCDeeXy2EzkPvM8oJaY0FMvT6M0VwWWzd4JrILR/WjZt/n0lPE2UmNbJYDATfiCrV+F
ngCTtN1XdCi7aCwHHiBPL5RVDSBgya5o5RbnphNAiYsJ3UUjlpAXuCnBwms/m69liWXbHm0nmLK2
CeqVqJgWTYudTpjIARUZVsKqg5XpZj8iOiA2G0DIbDBHoJeSuhyrQLfx0KZV0hInTUAFjoESeeik
w93aZg/Uz0+sGxtgNJYdUqnqqGjzSJbNDeVmQOGcsGcW/W6YSow6sn300u5LnblPK52SeZmcYMiw
oy+q3oNKuIgO4D3LbTzsxr6Av8177xnwDyiD7k6DXaaN8MOuaxdgf9mLC0AtYGa9y6GoCPQ27HjX
mFVyDHR2kk301aWAqtaGteCGu0is64zp2UDakPHnsrvFhntpVl4+CMcADMa4MxmOdim+zrPfhkx6
z5qm98sgeFRZcx6spA5U6iV9L+K2nUlkaSg1NElWfzg29CIHl12vc32WKse3Z2p5qgfnKgUo2o5U
7cdCfC0XGpEOBc31xhQ7mfW0StDoDk0DrKn5vu6f69V7tYfmc7uABDRdHxHLvHTaT5hfF8k8eWjH
tBuxHYrj3LgfanTAzffGwQSZTUmefxLtivlMX2FtV4A6siMQT8gmnKmCvmMsonUdjivthnhFPw5s
J6sTToBsT1NbhZWagNii8hjqzSHmpLaym1BmPgutqrob5sqcwMzflUr00aQxqkx2CmXUjPdmrwRf
Z3tPJTvSNnumozjzzp4DXx15c+qUwQ07eSdr4cszccfYVMV713vinghLBxpaG7C11l0pfTfCdwv4
q2Bga8fpDQCatqsYyrIorYrubOxMBqnVAwtoinInJvGYmw4vIdH7PAiwmvW1mPsc2NJ0LbuWhSXV
j1D4EHTaOUfjwCPPJdhWVQBRIpauIDMAI2Dax65qp93EssehqHF7i6G8c0r5aWj6t/kryUTSt5Xc
k/xT6/P63Ige9wZtJXZlTyULZFKUFmDtfTdLHNCsaF7jydf6qR95frSwDMZsLZLanaynJZ9Pch6h
q5DKThory0I+2NOl7VHZuGOi1JnqvZhXJy4NA/5iAUK3pZ6fa8cF1ZV/Vo21n+zqYx0YELAJPL9J
rWjNu9da0QjQVw1xFk1y0+5bUju7jqbjpbqi2D6jshsMRDCTiiuZWpdKjiFXuCRFmXphySc36AFj
BS14tL2p+GNvpmRxusuwpoesVh+lP6dYzHBfTX7qRXVPofKYBh6PvsmhVrhKxSjBX03uselHID15
GVdZlwKmr+zD0NRr2HwWZLahH8oBAX2eVTolrkffnIKjdBkrooVfgzbiOiy7koZ9PxOsJMPenYak
xIZlA61poT+NFF2+AruxgslRxxSreMgK4MKEdEsoKmDMOdVu4jILOgy3u2gz3lcZYD6BwYEv2RwC
L3+0Vf+lbBs70krxwCkAsECcsgbg/gfs+C30Sai5s1s+ptVyz03jHJwCEKM7oQblaSvA2ty2trkW
bfPQ43EM/FRhxVRNe+TQOF7bpFmSllGMYCP7VFb73kB3s9QrDZ1W4OuCYrDJeBb5bfpiLCDxlkmb
UJm6ix3wSQ0ephlTWg5tz0Ds93x7gnnBJ1S9JvK9Yo103VEU90Om03rXFfyB1Ysb1vP6xEXbhd3X
krd3mdNdNXWtUBodGdJSvE3te7EBf5ZBWc7LSJDmThgXeH9zRQqMNuzMVHXXzvWHcYekGRX4H52+
UGVTsEGgPnnuBcSdaLDw9kH71RTkqx5DsNhnbwR64kvzOLhO3Inm4r5gAWFk36feh6ZAFbAoL82d
6ZwvnaswrKcJ8eeD7y4H4Zb7MUshburtL7yOc+46wRjzFcPBYNefc20/45ZeFoUL2wNecq5GQnWc
G/U59fwx6pV3RdvY9q0Iz/uVHtc3umRRS4or1VAd1PX0FdJRB739BjKYmwHSSTR0lF/elAfPkvRq
EliXwc4MpckgqGnzfen01k26fcjR0ztuOWgdiJZDNWrXR5EeZ9NKEMjGAYQN1ntuyXKU5fhi2i5a
C1McxxTgGqDKi8Yb3ZG6OIBAPCy1yC62N7wQv6+OGVaMYVr8xHIzPxrBDWGzz1UyZSaS9tRDGSYH
yJNSjPGDA2gEV4kALzv1vdechlLagPxTFVq8dY/cqDYSw0Cxuojh6BauCqHd7qOh6yygX/eZVJ9h
9F+TjncPhchi4q72lbOQIbHtHOsnYDnoZcthB5EObvxUn1RpXzCuukFRcGu3xn6OgShzCKQ5Xnns
l/l6qaDTI5iNCWbxQ+frm8k1L6sXZqNbBE42uIB5ZkxAkKkkg7M3KyiVyqFYqRRUYZNIMdTYZcSc
CUS9vLLnFXJGa40zTsH0OdwkPQRAQV+rK2gY6VkVnQQCKvQRCidI0gZMW8AP9q0ibkgytPnBvVO0
KaORjjSG+jVgfjEeCz5+Ill6xDBFEmI10HfNnhWl/byvDQSSjqwYZsSsDM2iTxA+LChGeJ4WtIYT
hkEVzLphUUV4WEy4w8sW/GeapSIQBfukZ6jVVNkHGGBl5DMskN08R7nHyrNk0CGP5YzfBenaTSMY
G6+Ma+zV2GIUAX+9FqGRSl75GlV/ZlaivPo+J1Uf9C52/LanMqaul0a5Q95mp1Exb8CRgrYXe9wU
e15ZaHlWekktJo8WCgmm7L291DTZxAVizdqYqi4NBt09Vou4z/LxYbWEjhwne8ufunoEy8o9A7B2
HiJJsHNX5ZvNQA6JNq8DP2MvztAfVtSplECEwcKhPUIW4b5T6ytUX15k+nzBQ/6OMOIn8AUlOKD1
VQ+ejGEB1cHS7jItQelka5JRFTmlcW7tedxxSN8iCCIt3A1znOeye3ULjIO64hR05vS+1F9VV364
1fyJoqmvtimDMf3cYr5YS1CNbudiwdVFgnGz31VmuCMpLvRAi+IADuixdtvPzlrXRz7UH65rjko7
S8A0W6LM4is+Dz4N4epTygzg6wIobN49AZbBlsvlY0+ax9IRD1YpUEJK6gbpPB9EzzPMkEUWFECe
AkhV5IEUFhp670VjJevrho34ztC+UsrftCeOZel++PZqx+VoR1Y2eHsYXgD9DEAYbSuyN7h/wXVr
5gp62NYOsLVEfulATjzbZL86BGTrWiaFsrBaAuwcvRIQpWG4BVf3wSltHfJVFDGFJnSRMt8Dgort
bAYv0kF52lgDlrZipxbQ5Z0jAruR4P47aF+VSg8Ym709Lvqr4XhErWITYfqgRW2Q8NNQhF0NrQJn
7xMo/WNRt8E4L18tv3tTQGyDXmPyNZLQyzQ5VZDrj1qx1y7FbNlsmKtvNyAHISMt8g1/edNNegug
6GKlZb2DOA9YHYh/yIPDkmmI+3VY0CrfQ3wIgs5PE4klKcBdVe9St3ifagiHa5F/kaIi4GEbCWS5
gM6zqc6//AdzV3UeTF+GM7wpgJIggRW6H07FmH2wDPzN2rcFFiV7jsdcvzJHHigr+Dn3WcRy+oGg
tSohaeMEjsYP2lAIB9ZEy3M5gpUlE3B08GRjPK2ga9aSHdLXHMPyuasbUObpZ0wzweKZ9CSV85lA
gSi69D5TtkKbg6o4k1ctx/Oaz9HklI9QCaJ+LPqlc0WyGuBLZnnUotZh5U33DbOL2wFfOLafm7Gg
693UqqsUof2JXXVWUkHCaBuFnsM6FlQLqjEX8s1zHY3NuZfAX7ssWrupjLppNdGsQWLqRlw5UJWe
/Am/VAICUKWb3zAJdNo4UMT7EA/GuQfJQ9+VJ2aVT1AVFce5G3QM9wHIeYFlzF8haS1sAZyo99eI
9DyPsHfvjVPdjusKsNPl75N2gZjWUifjVCTgqAGwzxe16ADcPgpdV4V9LgyKPK4aNKe4DMsTRSsK
0rWUe3cJWc7npKMaRdl3nkpRo5nY5L7iBAw8ZqxDN8Cm4ZikcJolqsAnhTVzoWulPYPZQ+4/V01R
XPf1kzXfKuDFJiV9lNXLe0rgOagGUOnIdYt1V38pFuuqs7oL6TMdG5pVMYiZG9PkFErQBjs1OFe9
AN6h2gmzLL/GQ1699iUPBk+lSVuR2443Y9ByEte9ZQ7KwDmCexRPNJnsfarl5yLvrdBmd13N3cCx
8wHAtGnitbXTMK36vUsgJ3c2Kr8ULVg/STEFz+Vp6dpYLt0N1tOvncrynZ/baQCcGxBVbTHUh+zJ
G0aWTM16qmftQU2WjjGDWEsUu7FBTcP392i6hUQaIrsw0/NbzbE0TqJ6hQaO79NVfRrnq5ou/W3Z
6XynbUIwBTWf9bgQLJbL59Ubq3ORLjxsSRvkbdR2lj7mrBhAggMwDq1tradLtxdmegWlUiZ6bIDZ
+euFoacSNq+BaEGZZqnOgnSs90VrsyQfyaNevI+5H+0jApxZPEWi8PHZLGiyaqrBRNf2wemL7DKo
9cWuHcABqZiOZrLaPYLjrMiYB3tDkPPmbEE4Eqb9AnpqRAUpuwZUaRfKQaHQ9WDLUsAMAvh05Z8U
zfJXLGkAeJ3XQuYplBku9OhL0JEKep6suB587J6jcb4iOfpiVSNURn11XkWDHc0hJ5Nf2UXVYgbx
vMjvqqij4+3gG3y/1bLX6Qjt1kaj/xcMTd06+qCXxg6yHMv23xuQnVxP96B3oXNyn7LS21XKgOec
LBVyknSCPxR+c17lCvTc4GafNwK17F+sDnKL/4IhYC1WF3iQdKHimCuswdhncZvnocb4V0zA0i0i
XzQgHAd+BwyJ+dtAivvaq26YJ5YA0fObpqY+ikpCqIMNUYNVDwpPYOvJJADh+ZaRajyWzQsp5yr8
x3XDl+/nnvxe9fuj6Pf//pks+Kcf+DNh8f+ebvgn5+iPumEY+OD7hivqr7XDfzzC41cH37df/CYX
RhgvAqF8CH8FzkmxxZbB8M3B5/6fLaB3s/4zB95lZxMq/yYXRh4sQjbg00P+l7ulhn6XC+NAgs3S
h/yN70dDfNdH/yT/hnHx1z//6ODjDF7A33msEKHDkabOYQVlhG0+sJ8sfDPrkJcP9LIfxoBADxuV
o5VGHjRnd3L21pClIBiHydWhXvA0DjDgmCbT1w4MTiC3v7gSYJCYpyFuZ92erJlHDh35houQQHb+
rskNtEeZBnKpWX/nzvlphl9mP3DAnD0bvpSr2te6Oo6gJ8AJmQ94vmjQeM5yILyFecFqnJDN4Gvs
Vaqwa/KoxS6PafDR6acoI+8+vSOTd2wlmB7fAr5ZXLY/96UfC+Ls7cZEsGxdfB8ani5WPd0PZYkO
IyAxAR9rk2CQ1X4VkLLJ6Z6p8Sx9fXCbau+sNwinDCBSurj1eG4L79kvmyv4+CqnP6f4KaciJ5gx
Q6v1I+7ya82LYzX6kQWVRyn0Ab6oJGVD3GtnX9AhWZojfBRJoQm6oLjStU745n5CxZD58glC4BsG
NhZkwyGFhM130J1tEqZ2ubcYvxbdvHOL6jJr/H/GywPFtcBtkswcKg3fAOQ9XQ8ij4ZZa5LGU7A2
tQAvTMRTAJ2UYgySQetal4ZmEQXP5Zv+XJkuzKC/XPwSLJWM+hHvtjRBNd1P/Rfi6QgtPSReuXfm
/uwN3rGYHcBw9h6L9XkC15pld3pOMUCocCyGOPP8BELYfQYdSlmM5wb/oAWbqMgO21WBBD0Qsg2r
Zt5pZ4REc94xd4gLZ89FtcmKi2Ckbiz8dbddCkmyK08ud6ysLgWWWWjHDordNhjhF8cD+q8Plhpi
gIChhiBhzoY4B+HGJa6kDaUzJ3CEoh9B8MBEuYfUNDI5fmZwI1NY6lTm3eemgmixHDdmfgYwA7/X
sZxVXFvTfK8kUEehIQnNxhLGJ9Wf4XGJs6F2I4zXoP6tqYrMYr03Ss/7drGnkC78kJf0WrX+u1Qw
FMrJl0HNZ9TzrEQzLEAtzDQXV7y5IbIxoY/FAEvo9NR7pQDFJNugSadbAI/lA5v5qVUTP9U+e4ao
M1yW4+Cj49iLfJVjC0i8v2Q49iJwewjZJtCtoDay3dxb0EaXZkjqGbOfNZU0+A9o/r8JmveGNfAF
iBw5Bmg/v7pofirvP7psfmqvf7f/7j7UFrsw/M0u/u/TpH3i/80m/f3Io5+s+d9+6bvFfotBIHDM
YAATsBrD6fzdYi+22Bcka1IXBLgv0Lp/a9AuEklg1ITvC+Z3jvfwvUEjroS7MCzDtG9/CyX+Bxo0
ML8/NOjNqE9tCk8/cRBU+HOD9tq6Y2IusJ74kGQjDnmJU5gbgYNu2BkUTVToF2X757qEeMzvQmCb
MEaUrR2mDLaaWnjDni30blV1F1nIAAgclR+bnCwhxv7HdOWJ5cNR3/AqXjo7HEcXL1qWQ2wt1Scp
3ajMlp1fqGQsx+JSaPne+XV3mLba2nQSODLAtbBI6RUW+yWofGvEYlBDeTwX0Di4RoH+ap4bL7+q
4DzGOSH3qd1dq+V5ogBEoK+G7ibPIwDfNYS9kh5rNLxgtMK88SHsVCKCiA/DCRkIfHjZfV2MnxdT
vnaNC937RgL6jSER9Id7CLUd4DPunR7re2Ll/o2XQwpsLZEFkSQfRIyEkmdRGzvqAHH6kycv8/qY
ilTHvW+dK3gjwrSBLM9dr4ex/agnVoNCcJ7hdrdvuO3eIwI0T6Toro1mb//Ry/xHL/NXehk4z7zJ
7EUBUcwMJvgMD23i51e086QMbW7voZotIMvLdgaTMWwc7vWAHIxhgpRJNBTDcZOdJFY8YIyjE1aL
x6I2da7IRhHBoLZjXa8S1TUEGlUf+CeceiDCKLkY45+1LtjOGosc0QLVY2mm/Yi0kH3WjAft+U8S
dFUIIINAKiTqPewIOeMX21cf4G9ICMtSDDcTYD1Y3/nmgR82N7wHW7xWqCFqkQTxB4CikG8GrgA2
ese45p7TZN389RWM9niLFehD81S3kuzKuYiaDvYe3x8ZZrguyLqBQSiM0axqyk/OUn4FY3s/wPyM
B7qz0BCLHZnGh3lLAIBk8wSyoQzVlg4wbzkBPQIDhLL3k8zefQcVguXVPbR7t15RImOgNAmM5NcQ
xbKYemFdl+xuktWhcHrIUOC3gZ0T89U4wAE4Y2nv+Ay62JnPBURRyQj+KPKszI7JBEwdRFQFcKe9
67JxP+RbsgQ8dWHr0wvWFpPAlqfCYZCHGcgSmH7vgwn1YtSMQrYg5ECns7vPxHi1kgkj87Kc284O
JGswcTIXGEnF4nkEAGLb+Ccx0kVrk9X3lYcqla0DpIRMXvSsnXONbAZZ6WzX1OLNUdcSH1yLDMMj
G0+sgNDcqhAQYpUyWQF3IY0CLmjLznYgZ+qgNS74SstZ9xyjNKz49aeiVu8zBP3eVAAPJlAld5a3
b/sUalFeOKHqO8CuHF4WWNt9KIjSyzIC2YUKNaG8Sfxh3PxyN7JZ74XCBegfKie93v449PyLlc6v
A4VDIXN3bl3ezoI8zZTeNyt5gu0lyPI3q0kf2rXeEybhZsSb6EkiJnZGH7iCT+ko8/keGsSkEl3A
HXyDkIBzXkDsu58bduGQuy49zFopO/UWe7IzP0lbtl+q+T6l9hmOyGfN3ctUYs9tsrh0lupMKwbH
QpNeVZw99UofwJoXOwhtbuZ8MseZDhxAUXsa08WE1Sw7KIhYHdWMuztn6gnwUAN9hgPgMJvsPJrS
kT2C7IIIwU8gW113IMDUhOAPpAv0YQlJ5xm3jQyd+fmfMPb9+0x0nredWPTXsMsfT6v5abb79uvf
wRffBeThY6xDxj0igTE8fZ/tgHdAXoZgG48hl5vDkP3bbOfAfPg9rvEn8GVLXYJwUiD19NcDRP6B
2e6PTm2kcoKWZkAHGI4BpZgvf8ReeOEuMOFhByzxBOLRBANrK3OaLP3ub5Knpp1gZxm/jC7EpT9c
sj8Bftj22r+PbiLUcYD40C2XHJf8x3/btAObXAbqIxvlvWIGrhbrk9+Ld8HkfePUkWPNV8Rf4HzK
4yGDFNCC13W1d+v+T3WgsKvdGj6cK20fBTD7qTqANL1RhB1J7z3+vXf/J3lLSNV0Cez2nMMr+rup
uJxraNAdyERq2qaBXdQVIFLkn8BCBdoZXulArwtCXbaclA6BKbbBoz9yaH2KTVpf0h20quO1ZvK2
5p2BXNS7scEZl4ykkVVBPiDmK0ugD1CTCSQBOewa8p4bM6TWjrYs0SncjJ6CYL5GL6i23BfVvLVb
DoxH8hnQDpThBToq6Lp2a7AkYyTJtqZr0H2p3R8yNNN9hb7coz9LjUYNnpTtJvRuDNPksm7tvNsa
e7u1eL41e4TY7EjmFxGohSvodFikXChdlQTNyYl15NWClrumXjBikvAxUazwcUDelu86twXnj6mD
/TJ/pPnVinlk2QYTZMj4ccHsGkYs9UmCPiPQvjM4BFLNj9LJgS37j2PlPbF5BAY+XbW99yBLc1VY
7Y0Z7V1upTvHtp5p73/F47ObwXAMSt7Vhbpp7L2YQCTM9qkfbNgIdPM8iOrYKgOx8HjoRxnXNtTd
6qGryv0syce6zF+U515XBKo8Ah/DVEB3o2VcsfazjQSBRNC5AMwedimGETtLYdC23I8ZIvidK+FB
8hpxZBoyci0j3hW4BLRHOhFka7LG7UnHZd9k9uP/TPebI6msxPUtoQHfFQwhZmM9QArUWjqG5b5A
KBDCztRwsuAaOIsChkOyBaLlSEaTMDNd2qpZ4Rp/WZBENoN9CfoFdpERIWV/rv3tf4kFQz5Yi5ww
WfogErAKAVgGh4YoMcvE6RYt1iGtYr8iZSxSTb2ZQ/lDVQxwyFRFHXdbSli/5YV1I6S07RrxKRef
cspOYoAwf6xhwODIncnAM8DmYY4EwVBRCV1gAvkerMZwLYhc7BsG7SpJH+otB0duiTguonHAGsmD
5c7PFdG3E1PvOS9MyLY8nZRBUO+PrRtwWsBKJcirq4QNCRloUwTW4IEcHTjlENODsOmzI1sYP5TA
zJda15AiIO4KkAnMTzZ2SvuFNofRRvpPt+UAlQgEGnA37dItI0gjLIhsqUGdHyHSxsLTiTyhvAYY
N28ZQ5K8sS1zqEf4EEpUH/Itj2jdkolcGyIQKOmh5MQyCEAx6ua8TkYEGlUTuSELaS8TGK0McnS4
4b90vFbnATy8tJCKVG75SJBHmAPfMpMgTgVrihilmYnpNOqqP0u4I2N7S1sqt9wl6EjMzmxZTBlC
mTIb6Uxmy2mqtsQmJDFZ4f/vQwJwmr83JPx0uPCv5Azmgy1/9Jd4RcTOA+LxQcEAFv2Wj/19PHA2
PgSQDw5fwaF85KfxwKU45BKHPv8S18Lwar9BP8CPcKIOE56H4G3f/keiXMQfqRmMBx5yU7nNPIR4
/m488LKiWkHDcNC7I4T9wYLe0cImx9BwspzEZQFmAJw8XKawyH3kWApHzK5QkU5flm128DBETPar
z6BWQpAgNGD/An6MGZLMIYUvJn+DzS9Y1o+6Q13CLO3zNnDLF1dewRhIs9tOPhLEnOT3sALBK49w
LkA5yKeDNh8SQeiorEKHg5uHBbQvaFKQrjAEKK34Oy9qwLf/cAP9ycgk8MX+fmTCnCS2oZEAi/uF
SvuRKluxftQOTKxqgp6pVcPnzGSxrqf8k4Z6CzEO+xY9i6B34e4KlqqIMjnuFYeHbsBz3kHv80Ag
1uGLCiFjjbcVv4BaXQP0zzpIfRlS/+DKKieYFre/wyyzgDWeYSNa8LkNBI+LQbev4XDfPArrh414
nd7fV+DcXPS28h1pC5CzvSj9KpvHwbxmAjZl5wEOxcBxHin7f/DC1OiL8PUue39rlQI90+Q9+qcF
Tg7dlKKrCnRXZ2uz09ZwU3ResP0+wgHRjCcWultz/ifUr/95tNW/JgON5QBw8F9Xud9ORv6T466/
17tfXuNbvfNx/DnKCU5HZ2CdsROh5HwreDiDmUKzgSP2fKDaOMHop4KH6kgAg5Nf+GuCWfu3gscA
TePwAeoxlyLm/h8peM4fHjB3Q7gFPrXLEIpPfzfUT06RqWHBmCD4HQe6eszm7jAaJL4JvbgxamT2
CYDWBKMGlMN51t5Kd0o/eTUCNqAWrWw6xojrS0YY6uAO75C5VCAiwCOQssthUPueQtwPuRkiHB1v
56/TEYmANuAwOw9bGC+jBl7NJC87TBLZI+xxFVJjSJhPeL7sJhsCn9ZHEJoIIyz0GW6OA/UB+9g5
bGRdyyxgHsy/aORHGOtK1vN73lp83zT02eWQ9Tkr6Y5SpPQ0cbG3ZO1fCgnz6ppVIGT7qk5+uBn+
pGKxbYn7acnDBUVbQyAZ2AiBLvLzktfx3sOiBM+KXuCQYC50P2wFw+90GaRuM42QLiOQi5Jfw0oK
WTkUd2E/g3StewSt9PQGJpbr3BHTzoaHy4yTd0aqw6VD0iBMO8irnJfsgUPtGBa6vrZoDrp6QRaN
NRX3f/uj0D8sfNtHseHp5WjHOODnd/cGNLlLPxWlgAgTSRPoHDs45eG9tfWmmWwu8KoWkSeguYTV
C9fygFyQEyA2clqXZdfI9H203TZAMsx452JAJtxuDv+EEvXvg8PgOFt8CX9dfH53POuv5ebbb30r
Ny6KCsKhMV85kL74AGG+l5u/FZWH33IdnC9DvyXlbYfFfy832wmtQIcINBsODrDGeZ//CPzyx/kK
gc2M4WRlqGw2vOfnpyNdbQ/xR4gey8iygBcn7/BGxqxlyCurvFeKER6SqhIbG1zXOrvzIIefFuec
d7CytPB4CETxiKFY4Bm3VMAa/1R7PP7hmv7JM4xzKH7/EDsCUcu2wBXEEad4BH5+m4avnkBUDfIV
2H+cK//qzhXbcpF93mApXIIZqXO0hQtSLXuvtsDOhjkUOBjr90unEsGxL0v4dlOCnBG+q3w44Zbx
gEOydrmLWRJKpaIeDpkN95G+S3uoS7yoQCSKk6fIT+9ihFLvWq9CQOlmsBnDtWwTnGm3Q4ZHAqIl
zJVJ5NAilU7G0rIvoxoODj9mkNKalp3KFnnBGuMb8lIbSIYaDy/pgmJqkJSHkKPUxE1JzgjcOhcw
a8m+QXTqAp8/iW0YO5b+AFlToDePB5AzhJAAPUMz4y9SDWiuePcEObmZD5a1i4c0YPOCSAEvhGcj
6f0rH7kUlIQL0qUZxUuDE+PYcsSQxbaisbGOEwKafA3qmexnrDKUw52a7welkAEyIsb73og7W/lh
DYgs4364ApRHp7bWNEbODsIu5X+zdyZbchtpln6XWid0AMO8qEU5fHaPeSK5wWGQFObZAAPwbL3r
F+vPqJMliqrK7FzkooYNMyUxIjzcAdg/3PvdSAb9bnhYWyQvpTzNMomqzHisY1gQt9gf9gAigAS0
2958Lyg8ijFk/PEqlk8zFJVgsOC4CPy41n5G1qbChiHft9587fiNDNg8YuRvdMZuFPIwmCLKRLZb
+QirlplICHKn2yn1WBfjxl2A/63pru67fdjEUcLFMSD71K/dUjKSRlJuCigSmKJX86XypxANXvXl
f5Q3759wHv83k8PodcIPB8yfeLe/dwz/NoK7ZWbXEN39k/D1t2/y7y0DdSFHOE5BHa7jcPz8tWWw
QpJFQsfWSXCB6fxBHuPoRpnEP4b0WuT6+xnu/8LwRHcaPmIWNLH/2Bmu+5I/lbiOb7vMOkVI9/Cz
fjV3u66aK/DdZYgAfYRQE4/edqbATnWl7ema29fVd27ZH7KSYTQMqq+OcI3bcaeGJIbHkib3Di5U
tOB4+Wu/OEnK+0zX+XPVnJMFd4sXd/Z2ht2Ufe8K0tdUdwmV7hca3TlI3UNUupsIaCtW3V/g22Hq
SsuBza05mq2Foa2EthYU4wvUE2Pf96he3GrA+GKVT+044xUKgX1NXXO3Lr0ZSSd/VnUKUgl4KJr8
4GbUNTjcvU2qq3JFee71672dcRLUQGfhEFHB61rep6hf83o7deWdqOPwXJrdbVin66Eurecazqml
K2CfUrjQNfGoq2OOpG82wPlG183Q9C5iWMtTuPV1Xa0kA6aaUhvy0a33UnUYnrq83Sxms2dSmt5J
E/FlYBfdAUadjzl/xqkPJ6v0smNQBzZmb4ya7oHciYqFy0O1MEdmOWdtY2kBZmrkM97vOlIfxhR7
u4ZhNhxZh0xmy2bM8l+hwHWb2AQWicWEMt8csTBPDttsxK0m8+boOzJ/8Itym1QpZjgpFDMZXNRd
Hdb3c451WJXG3lIjCvzKOoZieZzCHlkwPwSgJdLkaQ7vE3OF7F6pYlOByYX2E1+cnCIQ8gIk8LR8
qgquJXiF2ylVhzouP1Ux0HPPsD/JpIQvHDBBXwjNiOYZRVSLhjU0Z5BshsHG2rJvraFKb6vcBXA1
VPw6qqiRTPkIpUBKHAz4g5s5xmjdAnHp0ym5WUPz0bfLc4UwgIJw2fXqzUuYeLulgoDsAG+tOwQP
64ou+p/wGP2v09YEvvc3ZyqbHxK8/zpC+f4lvz0Pg1+Q6Pnk7rj01Tp68d+fhwjzabNZNoffn4bf
98a/r5SRAvJVFhNd0rqJ3fmhp2FDzfPQwiegk6P/oRGK+BP8GxUjqkSXfp+8OlJy/9gsFCoICkTB
YmPq+zre8yguLn8bEdP2kHzG7qVeWKfIHoBrngkUhDxtz5ixX13U9lB6/s5sQg/d//jgdolW1r4H
/YYAqfqp+1r8fnDNxhGsLcf1AGXqIEvuwY4gg6Z5D3SugSLgINRJB75RIg+sZms/eKz+fOxR2BEG
L5G/XesoZP9jP4Slj4s/TEzY7uOvEB4NFxFJ3k/HSdx0Q2b7+OXlIMKdUyaMV9OrnLXaaDJHToA5
Mq8SMEQkWH0uftj+nZdARtefXgOTNtYSqP4D5Kh6wfDjaj5hpls7rMYAZiX5ZiomK2pIqtmY4WRc
xyqvN+x9N66fzgA0V8hw/a/Bun7OJms649aakE0+TO0l88M6WlOrIFSjQZrerymrgmS58AbgbgID
tWM32JKv4mOMDtItIxRnDwTJ2joyye/qdj44SL6yxHmzkgDzbAuCT5gZKByJfL2BJ2MCEkvi5oVD
41OoyecKRebiWW9jN+8qKe0olgFrRUp+fJhFeqmNA1XDwvlsXxJqjkgvazXfwN63sd7brXizqqAO
ty0nWSfmBpRP9uD5w7jvk+m2XeLXel0AsPhYO4cB49c4RkGP8dfuzMeyjy/E42COnagG0gWT4pTQ
NljkUl1xGUMDaeS9spJXZwFlrqzuufaGNzhfCAIq4zOfy1FWlXljNaRfmPqnLuPnDuD+C4xUuO/1
50UW7m2b5f2rZ5unWvT2KfDlcxbWwXl0EosACZPgDTAS8D8JA1rcy9h1QJGW2YnWPF2ObepC+w7y
4wrcdmOOU3ech+maOvEBg2S5r1s3PocxO/ys9/NNbswgMRIKAMdeWPBjt0gNvBWcaOdAJefC7Fug
0Jbcl/EY38UZlApgR8UpyfvjlJzDJFtvLWCIBYkb5yx8g9sMjXBY/aNHxIZZADHuRQp2eJ17vB/s
g2eMF67/EsJZv8fdjcNiSO6SdH2t8pngqpb7Qwe1HHoplpObgcKB1MnfYtMx1BnkbBQGe5m5kVdm
F0OGgKHVvlX5fV7g52zndL1vIE7h/ekjjzSGiIFidwWuAylaAACZ5K7NTRDgdgx9Y0jxJR7QG2pw
bX6ls4VUHhqgpTHyN11YgrkNHwdkM9dsuptKAOxVtrVm8DGjxDu6KIlOQD/TvCYVZw9hFxSS5txM
1hYkAz5UqCsiW7uTM3bgcbLhNg+L4DIrHb0yRClHytuaZyZ8DrfaqGHg9zISvmX761y5MrLL6rYZ
A+M8gtsrij49xLGTbpRXqMgxaiip6QoHBSAjqD/0eeSQ1U7eP8O+8I5hJW22+Mk+dUwCzzoZHyQ2
ZzVIsD1hv0ZqIJAkq4pbU/J2MEwWWxtmCIRp1AROM2qS/LRbFDZVVOlfG4lFZzAqIE7USJk3Xpym
a9mL1cu5gRFnGUZw6ucM4s/o+g/2cFljI72N57Pnzx54gurey29lJ0i3mih3vLJ9zbiUNDUaSBvb
oCa1143jgIlN+m+LDegcBUQQKX6/CL0bqjc43ZvC3S/WghvZxDqbScq1yvkCRaZkSa+425qKQIV1
kxXxUS+bTuYqoCtsbQfrVFzHEjwGazIovNtRjss+Ng2khyBiTehu0RxKD0QwpIDEwCPz3VJThemH
ZtaKUDHv+vm1Trz4JuwCYKGgVINluIH5zlNkypvHrp6B2CfWeEBM+ijwYBKf1/F9+JFE7oARzasv
aV6zrB+sdaPawDo4qflJ1N16E2tP7VA6uznIWMS5GFZFIOYzaGMQ8LmW6nhhDrGsT8BxzNf+u640
Y4LnGCMyQq067QVgMLMJiVmw32Ido+WSp1Xn1oPFI/REUgXu36XfB9YmGRkzBlaOGd0uZr0IbODf
Gs++1dxC2Xh0dYSXS5bXxKeno71Awvc7qeO+BhE4iCrHdcsNXu9zaLwQfS8jKWF1H/uHclwbJKOj
f8fNTKpazWKEcLHIJmes1IFjbUL02KxDyFQVfy11LFmgA8qYnUYtW9vZBl5kRCZNS2PhHjN5ZOBx
J+Ss6dNTh/hxJv1M6hg0u6HMBj34HoTJMRkxOwUGqWyhLF7MAlaZ4+5bdFBl8NzpkDUh3jodutaa
OqxAGLi1w6aMOrLZBBltasrdQ6Bj2wby27J2zg5gg+9gAEAd0iFvCcRVA3sGaxawaSMNUmRO+bwv
gygPu+l2Ttzz0IKaWsiP68mRG3SgXEqyXPFUFuu5toMLh5HHAzPcY6z9LHUqD8fPsRJ9Ho06scfT
2T2kyWWnwMrcfWqT7FN+z/hR5mfag3dHp/9UJJ7QbRARNfnwDIKRYEjN19WpQV7RbczSye4bu7wQ
1VJCSFe33MYFMQRIRRzih/yyfui7Bu/yiFIG1HwfgXQ2oI/72XAnoRNEdUl6ky/LrzCh2ttlJukI
O+C0MQk/Eh0pSC1xSCljPjvoiTsDGrUxwiflmWoH5GeNrAELn+y/+g3ktzKUX7vZ/2wZTQBQFoqr
Ye19lG4mwUzUaUerDoHRgYXgOENAaOkcp0InOnnZLfSMNgJL/b7qzKeB8CfadgMq63xIdS6UnXlv
aQWVIOhzuUOwnjISFMatiP1xE1TEtZlgOweU8mDNOUzjyn/ubLvbJsZbOpbkspUkDzQD533icfaV
qbotxmtRCnvbOU3xEEjP2S0VxcGIuxSSd0U2CBbJDpGZU04OBkN+EsrvALB59mI7/Xg3GVJyC/df
jKXIrjU4YuRaNp+VGrKLD5sUNqV3cqn+gX1X/X4FPhCNBYbN1uFSm7izg1G9BOyjqmbCdi/W15IM
CyarKBW8uLrt2KHeccOGd0x6863FMIF5RJtFoqtWkHAjD5k1JA3BLPhMasWclhfMzl3Ve7yywBeK
QuxkvFNdvneq4s5R1gYI2VM19S8s4t5Vmr6whQCPpRVgsDRu+ooCCkiB3OIpAEifdTzoa8QGHVW2
qd7Mgvmr00umHp3xzV9PeWHvh9DekEZxdYJD0ONLsBiLHCU1biuwAQFRvrbEBQBbsI9oW6tjKjhp
mQIdi3L+PGOTOeL+Xx666QhPxXka3AaJAKyzJq3hfLnuQ7nm3kG0VbY3mxF63RAcihZOdKmtiYs2
KSptV0yqhPEJqSWZTySF9NcAocSNSgowG7gdgVlwVixnia6LYIQPoSL/pKrcC/CB8rk3lgc8BPjl
c2CBqMTeCC0kL2EintFf7mUl/dt8dtDdtnHB6pgOHTwRxMYMAl+NVzPFs5lm7qnMQr6/tnOO+Dpd
bfDstNUz0aZPlzCJuTA6hF3FF08bQx0Vco64xfxUqHqnqv4sqDQjOCUAw5dwRddRf+5T0VwkjoZN
THZeac0Kook4zpWNQKcJOFnksgtcpXaMuzt4JDBwvBQBYTVN9vX7H11G/GGK5HGTuXn94M3pLZfD
dO1JZgTXC/FEwSFuneEKcJCcHDXA2qvVVppoWxtRB2jx4upS++utseZFtAr3sTBhT3d1f2d8NZbw
pmhIn+hc3CnlwAsLlwMl+nMSOo9FWBy4x6zTaAANLFHfxSsGCrPGMJvYfDc4BpTb9dcyZ7SuZvsN
awgMXse9eh4s76wkE8gK1aNlNc9T4j6G9iS3XbjsVClehMvR5XswO6Fay40bLsG+VNnJSP02ihno
pF5+8B36W8ew0ejflXHREUDgkZ9HOEzi3C21pKaGV7MZ3HaKvIIACEopxIaF98AK+KMog5BZFjrU
OmmOrZFXm8rMeTnrB0TCu5pEj6nfSxXv/Tp5Dmb2y7UgnClcT1jKiw2ZPwBzRUtazGwDsu3dV1Xf
1U57NZIPnmFduRSmKKerpTx290SIXhnMhLeKhkJ21cIdMvWc9hSILZFkGwgR626A9mpjgd6Id3QL
PACR7Wx5Y6Ak6vhVq0s5CLFFl0n4GcsJyTcWutE8h02Gxa/xWE6ME9ea7UIgYmtCjJy9ITyUaE/3
neP30U/sxzKTwW4MzC/IuivoFMT62dV5rYH+zHNzwmlIx40Fhg90QXGxPkkFYXvBBtONeUlaVe/t
a08O27RkYdEruzslQ//iG+P4EUrTfSauI0JTAn0JGaLLg/Zd5bsSt5AmB3RRLcVZmu6D8DoJ0omL
a82VTxpGeEf9xEInDHaEkKCD8qZe/+0eAiunZgs8P8wgBHVsl7JgCwqUznUzeqxVsiSuedZMt6Pi
0x4L1rUlpQruc+BiQeT0fbdRwRLsKlg03orYKs699VLYdDVBUeORdJNi09SkZgLgQ36LimuX1nz7
Ktw3g/fQV9XJtitWPT0ZmUMiSQQNCVIo+kLt/xJbpTPKorM2nOm/AuJju5XDFGz1pccSeyOQWZeT
/xzWobX/y++puj5xucEyP9YNtC2jt88ut3hLsK4pxT3hOPiDk+VkN1SJ/4Rp3n83HRUjOQY5/7mU
Yd9n783YJz/tQX77st/mfjg/fBSdrEBsGB5oP3+Y+2kVAXO/gGmWYyJQ+dFKonU3fFXosMIXf9Qy
MJ+zTQoJBk0h+S3/kJbh+2Dvp8EVGxiPRtkJ0KZ+Hwz+IE4sejIL5mwwN7WAvhnGLhVmZR38kYdK
VZBmVdXutzhfa9j0j2lqthg7YPXFULgADuAeqFrqAtRX3WEuXZoPRx1IdGIN2yNADMjaK/3mKsYZ
3GtIvlM/gNCg4UumAUgbnJ2dUMvNqjTLk1M5nwAcmphyPTjfaeVOEfA/a2t0CYiJZTomKL32yg1f
ZxMYEzeHF1m2uvYiPM62dwq5hVf+N3OtqzHnB8TTYJTtiyfanTYe6hUyMWaP18y17zrPusZG8tGH
C+I1N1As7qxCfcIB/C01+R6pcRy8FpanucfsvE2W4FqLZzbQLhj1je8WD+Pk361pT2Yf9C/x4LnF
SnfIm9KRML5hIoAwVV3MTpyaIbhpWo5e9rnkeExjeG2gdRcV/VqRgoWDaXkJ4Xju4sn9phyKR+Ky
oXjnl8EjMlR9mh3ecawBimS1rOvuCK0TF0rUC3w8uK+I9zdVooCsAfX4O6PF7wK6ny4SAj8YTwue
PWiofhJROXEYdnkMdNFQzBTCBfia2UwfioZ5WoesvYMzu/FgVe0tE7NIsbjtM62878J9rdkG/p3X
Y/950sn8lxvE9cms5Fj/aQYMjdGpOyKXMTDAw81nZLt2/5iNJgXlCBLJ6hs2+gGKZjwcTXkKhqw+
NAJGZh2gwUcGa/UjZDozADaW3s+T+VQwFQbDYljbHhRuM3oepMh4OKBcuBAw1Dcl/7cdr3aYbrKF
8SWSM7Rwo2w3gCp7ENQmhEj8hT88T+5/e49/BO3wK/1pqouoUQsvNWeAXar441TXack2W6gCN73V
NTeyUAgWjfB1Iq1hWdtqD/h8Z/lVuCmC+ZRY+GIcZpDH2AMrSmqAQ+R7CVqWBVLrcCTnvTZ4FOq1
7hbYKsJ4qltxYtyQbjxnbZ6rOp6i2kExZDkIGxLtMnOwPcpClGCAw6/MTVN2VBSCKmkfCp9RT1WD
EfcMIgmce6I4wAqY8sW2DM55feJX+uxflsXbd8lAPaArg5ESIaBUEO267EHSgEOjjFgoJ4g2zKIe
EwlxMZGlKw5icb4UugbxKEYGihJFccJw4TXpUKfbaoYdU+4JlkmiprVtTKsronBcS3sUyW8dZU9F
+dPpOmjukl3fcjg6ukYKuPu3lq6baLl1FSUpp3pdV0FIY3Wray1+HqByXX85JMZl4B5uARNfB0q0
Qtdqk67aFmFf1/FDPvbXZrlTwie4HfJdpas9a1zbDWklHNMEoHcGZFDUkYeAInG2jX0IqLVfLmqx
d4JSchQl9RY8ur5vj7OuNm1dd7Jl/VhSiJoACHgXCYzrdZW66noVgAwZC7FLmAYDGKNmAt51O8lq
enbPga55DV39Gt0uyaiGkZ2fYNsR+VGSHVT3K3lJunp2gvUlY9AwK4SeigJbUGgLCu5cV96+rsHR
npCLSFXelNZbpet0QcHuM6NPVoJQgopKMh5r1tuU93h+GSQ4hF0E8B1V4j8utAJ0gZXuDDqH5wQ0
ddg2a3iTsFvrMW3RS5g0FbkDTKEX1m071TVvTU972njx1tHdSKb7ksSUKJWGq6k7ls4WjM4W75TE
/XQlsPxmATH8UOaeRlN6yb5yS1og/YeXMNlvdG+ESa3jCW2A+BPNrmXlzwgBLlwJ+nJSA6MR49XQ
+EkvD0awo89dzOK6a1cv8hXc2Kk/fv+H1Tf2QcdG2IiP1iSIRdD884x1P7Njr3t0Z+fc5xick+Ih
aYDSZ+JcDdabJOCg9anzc3ob2KBZtjyBD7yzw/Vqq/BOjuFd74obd7RvLCUuFslEU+Cc50Kc9X8n
7vXBfhho3cTou/ehxekQp0ptEmnVe6a6XymX37UJi+xEZMbLUmHu9mpK5QHPeuGpF5eihd4HM4GR
GrMO3ChZbLdfbWP6NuRMVTlUwG0y1XQAeTidysCaksfS+XSoRmgeTH6hzTC/DaY+ncsWnKicmFpD
YsaFVWAjzK2dKYhgtbuUmh8hW1ywUAk9QgOmxToVpF0RYGING9Uza0it9hFUeApcmJOyaepD4s9P
eVxITeSmSZiXHfctWI95/oQEuY6W2CiOq1HbUAKwcxbW0zS7H2s+ky7gA+FknLfOCCa1sb2Ac2ls
b/B3AjHEVlF2ivzEzr9MK8+CMbSL7TA/cmFCqfYjCT29r8QNi7Y8cmVTRyxPvlQLOxGvf2AWW2y9
JH6ein45DenyNM6KYTk7hw3OnFc1LJ9zbomYr94ZtiCjs2gC8koOIERpMf2Cpxm9VE2KrBjGF5DM
xMzoTOG5HUUkBxd9GAGaUd2kvEDaSDNhUpgwlUl68RUZtnwAu7Ad4OBHAxyqjcMQnhDUAFAsWVEg
AuGbub3aiIQxRZCKJydMLk7NA6AZyXeWFDitzxldFbAHPInugCUE4+vGYW57VR3Eazi+RB/WpTik
FfzQucFmN1nqWNSRx5vP/CpOjul4DhIGUHXPlWabyAxCieE39EgES89TfMcsARmFO9f7QbCwWNGn
QViYToLPwSuEOI7kpNBv3xBdw0al5Rmm5eYjKsa4acp9WKTQvoPuvUs7ANK4dksbmoIrronx6k/B
7RS7xbmt72PA/wySA3hyQb+fRHxdVt59Ei22Beq+xGuJ9kuLXT5m2c7Ps62/gKkIS3s6GQWInFqx
pGHNkt4bwYKzdBM7Y8pzNH/NGDZHTqkvtbrtbzkI9mzL3iVIzh0jKUL9SvFM/NLHdZLYb1uxTcP+
BupnfZjjXodXkrPTFU+OHI3NX37fFa96C2yzDm5HElKG23JYInzkINP03rhLr7beI8+5Cv+OOPg/
kAbrRT+FEzY1ENM/bYp/7z5dMk32swifbfpNrZ7mDRijcGrZAKVLwFNw+vV/+8il/fav//K3iJDY
AbFY/Od95KH83I/Dz13k9y/6q5pOaJ4UEb+OhZUM4/pf1XTBL4Qdo0G3wAeZthDasP+7esRCAs5a
3kScQBtJ6Tg0o0z/9V8c7xfshqQ9o4mnveRb/CNdJNr3n4tUTDdmaMGitHAdOuZPF1QWtNk6rEiq
gmTWmeLxRxy/X1k5NxyMzEs9ad0M1hSfZUOAuoOHLeu5/6uhfQC73jC3xRMfeiyJ+EPRhuwnb95a
C2PgxSOqfeQnMxAV6uIbHBaNGRPxQOyWy8R4XdiWW2tXPI+J+pVZ7DGJh93glAxF1Iqlug1IZjRO
PBo8GlwfjTNh4JTucf7g9yMUkOmBGTBRUfayFzMhtfGYg3b2fUKGe+2bTqh4yaxiRNa2u34I8KS3
GeOsRH7CGXRhP84u3/AvxbSSIYgrAJjO+GtTyRF0QAnxd3rTIZEbz0XzPMbJZSQw/KGwrFunG1Dj
NSwWfYhWgwHatkmpHuyYDEYbLkulAYojUpoqhtlsDqyQukU8jykW7iWnuw0DuOBj7pQXslgTiBDq
JKnrigSDIRkZRHDIdThxxJ5mNgZBWyJNrK+pEGdVfY4r2JDBcAmK5NHsy21vu2cXp//SO5fKOBpm
+aAU4rBZnHkMn/uR6IsGHvQ07YMhOSQWLzKeSEDzosnifXfyLZmXG0G+JSEjO2N4FiXycpayDZk0
8Pa3IFS2VggRvs2+LeOU3MOV3Nlp/JCl/nCEavEsPAhCoRD5pRhnBqSYCscuJ6JpZ5CKtGulnd8Z
k73rlqr+YGT5Zc7g3PqxUx48VhvWu9NWX6zcPc+g1yMtrSvBN2yIJ2V/UBCkLDlV23A+tF7p76hH
HuKWueWCtZsJJm4Jnfi2drSHHdmHRUN2QFaOy7afY2tjDDDJ2ZRzGJIa1N+PCO03cTh9TlMh0W0s
Xy27uGtJm0ETMV8NNyXwKnFbllUG5XPS7Yt3z25RVC49IRs5yvmhu5EExThTW58J3RwigCRsDwLj
iwfdOsrsMSfwjFAknyMeGfinAAdnMWYPshmGA9pWJxKrIi4T1C/rAtDszERT0heRdrJ+Z4M943Ba
m5VOYR2DS1O1T+4s2Hqpc5EEzsGvgemU5QCtmlRUMGwQivGrFVdnmXaBV3yBfQQEoPjyvwfB/8dB
oFVZf+Mg6D+P7//3/9R/1laTkcRX/nYaWOYv2tMD3w9Ugx0CZ/j9NEAYzTnBsIaz3WHe+ONpYHqM
IL+PTL4/8X84DCyNkQk9LajjwLD+kcOAcvZPh4HNPJFThXkFYj3tBvtRh2bNod8hfAARkzKUR61R
SIDlckQGVb0LL7xTSTwfEm+uSXZ1HudYfGs7LQJDWMIo7Xn0KgHmctp4rYkVc/a4csv8G6D6L2xk
JQuFj0ZxtThTaM8pjYUMzhP90JOyAmPXTtwMTrJG5GjwEkC6nFujeIezZR2DCV840aaHPl4ARjX6
qOrvZEVO6grsKSKhfN+Nwyssjo9pYlOgkoM3dEtyVoUkHdZLI3S9ZzPV0UUivp2LHICuw9R9kutp
dhERpATQoLy4uv7nTEw2QXIklnZoxuYivDF9W26DTEfcD8DZrbLeewZQh7RvvV0YqJex18v7lobb
VBx0qz0zhSiGRy6GSLjIFxrCrgoxHQndviRVtcDd9YLdkr47fbXolGwq45KBXBpfKkq7kN4rIySs
4sTblsiyWOtRXTt2+hJbXcaKG8Qrk8RbksWf+yFjjxU5ezdJll3yoXOpB0cbU09WBXsUALTadfMU
DPOnoKJxCcl53zmiOHOaYaRfTLr/yhzuDWz1srQuJk1iZDSZe5hmZz50foKypAovLauwXRkvgEzS
Y+cQ2wAwLkV9hQW96QnFtlXt7Cb1BkvOAhjiUoVbSHEI7ey0aOnJYkZ027Xm7UC6t5U77q7xWl6B
IiDEKeINmgI6gUJlW1Eb8R4IyFu22GWEspH4Iye5HdwPPiPblQv4Ikl6K6pyfnAT/0uFIUmO6UiY
msDQwyK5k5y0wmYzxdwYRcnorBeyMh5MI/3UGQ9iRUEtB/NVTFV8zUz1ZCzTfmgZ0qarVAwbvVtV
L8waJdEuvHVt5H0wS8LLJhUWeAaClVwtg1CcSQZHdZpXBUilsi5ZhfVgICxkT05gfUMY3JFnMhpW
29lRzjWsNIlJrNvloYJJzG9FEijSAbRvjwZXjjXkTL7n0Io8l7bb7LxNbQQe4aMrS0CbcVDbfZxW
7+IU1BWObB/8fPg2V7LeJd1sM+ZZW9jKRbKVDjsxBOjg8perhRTqnitN8jsnl3WomxsClog4gjW0
orgSLAxqVtqxNwpCHA+2TZXW1yHJ2/bXtmX4YsZpcxkGTzGoRhnflaQly4TF7WwGTI4TVGGdMjA7
DONp9uN32yvJi3HkierthaDp28o1lqMk05uNG9HP4PgGrfgndMs1QLa427kz589MB3YCFHnkCxUT
hzXy8cnsKJdh0ztkeaB1gpsoUaZldrtn3Mk8q31P+ZJTSnZLk9xBSu647cPg4LnV3YrACeGY/ARW
DuKMJJpsGVCKhhNU/QCtwcjHtvSPLo1kRv4hIj8Uj8aUH81RvHbFuZpLdTYCRCjIKOMdERkww+eF
HBSGV7OHetqqWI/Y+tmg+NgsgAxwo+2vvgUwyisZqgUrnj+VnrnCqExZnDQ4GhZo6VtGxG/OGD8k
BaWD8Icbq5vPGbm0hc8v0yOrO+DGu8+yqt6nDWSpoWSYGa60e7N/3/dWekjDby0m58NsuYRv+Otn
tMaoksL+HFQoFoyEUJt+mt/q+Jgustp2bbxulyw4176f3U2ece/35CAQhMn8S45nDzwrb36W7f2y
iHeOBZbCkNPBJWglRjnq8i/QJKWEXTPNzPtYMmNEaMS/blyQgY3RIbHIQh7jRIvozIzaLA5LDW/S
KHMD5cVEqKDv9Ls0jrm4M3Sohi+38MTYZpNw5JaJHxmoPA7msIxRhRguxZG7KXw6lLzzwo9e92Ux
lvOSTDcVsaaPqFw+9YZPMpM9AgzqbflUNCRy1mFwdddQCxndbZAPZwdBDBGFB3guVsQQRDK1sQjg
G+SHwJ3JDvOHLePrdT+UxiMTk6/6fhccLsdJkpWEDQe1Z7Y1MiQPs+U8V8FQ7pcku/ENFEfOgpw6
15OkxGhOsIuALg2WTyak/doQfbQBYd6SSKrynbeSd4qd5JQ3W7nYN1MFeaDsJFdVBR9ANovF6JK7
uVnMSBQBXAPUV46XTR+wuR/8ns23/4ZhB2VkTlVLbmDU9XZwS8bzxp31LzaYzICWsT4ZK5vmsnY/
4yne1069HgjR/laUVeRDDZdxoMAXlLuaWOONGwQau5SwK7TQoAr1mjYBzlAxsz1HgOZ2vjoqFvlx
5v6a9/LB9ZfjxD+HbV1v9X9oXLluLcdfIznbVYQhAKkfhxTUo7Hd8lff89zRzYhxREkd3wIavZjs
cnAndck2mesHhuz9lvUp8YtSHsC+jM+LI0nwJpZ87y94vnyu13E+y7aKb0TKONpyql2hEg9dcHUU
Bp0Pzxr2AJZ7qhqwSypbn5Zk/jjxdlEQ75B2sxvwmis/OQddJ/jw4s6NZmUS6JxOZ2Z97ib3Pyue
PVub6kAZ5IEb5ypQPeoT82WYgBIAeDqngyBfO29Kzj0PdTu5ogeCOu5XYp6MXB/s3bVzLcSPrUC9
H9yHC/lMVnixB7ZTRCgu/Jwm5hHl2Ltp8Y/jmgJ01wdkJUO67Uc3r9SlCzP0ebAt+H3TrS+gJJvv
ZRDP8AI5h8u+oUIgB75Gsa/agiyX0b7NZnM+i2C5eoL0hWBpYdIt3clWFXdzFk2+jeqyHS6I5npG
/7MVrZUR5fU833hGc+2M4zqhLkI7zaRM52Gpiec90Ib0EFQgxchHAcnm++fBIvbUL8KjyHms5lmG
zyxsiXuTDfs5vzr0a53dgbMFyDUSClNy6BM/5u8Xyr/9XKSPg6bvKZtsbRt+aktyp2+xPagG0gIq
hQ6LuIaeYTDC0dgoxytDknbDyI+H5DzcjKMkkrecC31JSw4oaLuhkZ2UQW4sd+zHMRujlpHa0Q8a
62YZj27eysv3P4Q7++fcuUM7Rvp7X3rbtqeeSbMwP9bLnV/KEf5faZ0S88NoYOXOlnk/lmxM/E4+
TOtw4/8/9s50N24kzdq3MhcwLDCC+99kZjI37bJl6w9hyxb3fefVzxPyV11qu6Yb1ZgBZj5MA90N
FCrLqhQZ8S7nPCdZ0zs2yfHGKoW+z3JqvpC5hacGGEJNMsh/P00YkxuIQbLoX60yTB9JH00OlRqE
tNy1sxqNuKoAUMOSUY1NEsZ6u5jU5U3LOzoBJYMUzD/77X8wihAYVvESlXeNpSLtIiDhJHpuXcQr
p9xMxZUFSqqecrI28uhb7Dmfs3jUWORnLzOdIcP8F4tOMVQtY6Gaxyac80OGcBAIGmWJ7oivxoDC
IJnNlPI8/LQ6RsApMvigIduC8y3Non5HUsPiEzQK0Df6glibcYTJQGHgikVRDhpN/7RWMXyUqKTT
trKt1tsGmPDhLnKKiD6aMOGuzs6D3rLQaP06KQ3aiaVBRdROfoaGYYMMGEWDnu4rGglWSVq3q5Lx
Wq9QQC597e0KA79M5F0WK4YP0uWcF0vo8v7UJNlpDtNs4R4cQ9tI60Yf7Ls8dz5rEZn3hqFRwxjV
vhjpCT4gFL0epMlunzjRxjRg/HLtFskSHQ3nUvNOc+PWLplKap2x1h47RAI7iHvDSjOiv/K69Gw0
mrlNUsveRtYUXUs9OjQJWtYlccR1Ul3PsTOQzEjqVtKkKkDpOuuG7naZ2HqgKbpm6020ljZl2zWH
nBUvEfd76QaRht7ItuABM2XrfMu6XRlxBaUZ3VrmsiPzggzZXn7p82ygdMz9KcmTXZuzzZzLiwq3
9VdSvc7F0qTBULEPIE9xCRYD46O0cHTMDBaQ2CG+1AfrRBnZs0JZs13XUZ3HqZU+6v2MsN+Q+9RI
nwwUEGjf0Y0DQmbsz+nnu+oYzKb4qel5c9Qyzk5739HNl0QvzwKBxG2LuhNEqX3lgDktU+ZXcrS0
40AG7qYisF7G8beGp3u3DASEcPfwzdVM4Oj0ljPFcuWzNwfBqW+56cjHnefxGjXvFjTg53DqrGMr
UvLbyNPCTiROXb8GLGeAjFkxX69VHk1RPNLYEmjYd1UQ1RRfpl78KxlK/7qw6p+GPPzPJFg5bzPk
/3xQchraLz/Py98+8rvqCi2TMp9jMZeE5yiC0Q/3OW5LQGysNvE44tkzDGYnf8zLf4hKELgIPugx
PPl9Xk44g4Xu6m/EKvlXRiSGCm/6yS5oWcxcDBJHbdKcLH6I9yOSqKgrdnGp2MxaYwdOntt3CBK3
poFa2mkhsXaF9VCPB6LElrtJ6aN1Y/0SkxotdNKzvV4jXC0k142qOHC5ni5COFtrhI1e2/Gha0aw
3cx2kWT3SLMzJNqle/TS5NVQyu2sCPNtFj71StO9KHW3i8xbj8aUYikbtqUH0KnsRXcFu/WQuam3
mRGK1wjGBxJXZeg+oLrdWAjKZ4TliEfHqpE7r6Tao/khwVCp0Avk6FluT7tFKdSXN7G6ULr10ejh
Zumj4eeWm27HdWWfLRC5JxYJiA1JkXESrkFupSTHxWzGyNXO1vnDgGC+Usr5XmnoF6Wmt5Wuntwr
nVxGtPYlaUTWKJIz0VoYCZUiP1TafIFIP5WiBygrh5uhzj5YZeoFRoEWeYlQIQzKQ1rOSwDDHUep
coiOWEVHm+T3MNtDRxN7i/H+xmujQ5uMqCeYMcwVkhMH9GkuJD2QxMXVxs8Q59mk3ifWV1OX+G4K
Zz/OzK9wC/iDanDJX7wpRq06TNmybzlWyj51A3r0jjaSyD3FUZ0UUXVWbFUykxD0y7OpqKurwq+m
zkOjnLU2O8x1+Ggpx22mfGqDcuGiFsK6iTG3waDL/Krqja2eDeE2E0sJhb3yLhFFV6l5N8U6IlgY
PjsLrrpEcxh8w+C1y8e06dcTUc3SKQnFTc92X2a7mBhc39KNT+tMCN1ERQHivXRIo5xee815XksU
gjpLFjk8lF1TbBlQCGQOBdiBrM4SdqDFXsdFwo/k3pMnCbLEm27VkIPyy7C20p0D5EzjVVbS10x6
52y10fQJfW+5Hlf6IDs+1phffVYJHr+uZueNBrpfT8sBr0YsCTqEWcKIMH/qD0T2MX6j1Awx4kNh
h/4bCQQH7Dxxa2rmXTI9xQYpxn2d783YHv3PtK84lRwm7FaDC6TL0F5nSKB0A/NqXtDRLvG1yO30
UjZkimO694kepmg0UiyFbnUevHi+idipb8weAiMbC5JUVr3aIW0nW9JwRkL4ah1RJAyDVQ7lodel
3I1q0iVNyqEpSuDGYEEZaqoZdE21Tqw2eHmsMxiSrLC7hybwKLzkLBsAwEmpmb6IEGClhABGWXkr
jLEL2HrTMKVt0E3Zuq2j+qMb4ruNMSSKiZyziY1ITLO5VMUB9eqV0yDJkIkJKWc0sQDuk9b9xKuc
b/LmfoAnKUrH85umRkzQEbDIZGgjx/U+ES0tUEbp5d7YJJnSL5j7eBLPtmDmspayJqy84TFdZz8q
ABsQSPspa+5o1a7K1cgeHWtkqglbe+I44Gl6nWePqztyPw0ifFg6B8mMBsQH8famCl3YF+RL1NTj
oHIRwiPNVLlUWatX5xFTyKrcIUL5RP4bthX/nzFhHETG/2hZcRnWX5kHPz704xZ2f0NcgIqZ1YJh
0j2b/ON+3MIOt7BiHgDRBxkpkIC+v4VZWknlpucvs7pm1f37LczWWtFh+JDOOhzd8l+5hQEp/HIL
O8h+oMBAZXXhUf5k2sfBNk3RPHORde64i+wR/ko7wPprnN0qIFqtyjmL7ex6srHQTZXnki5KUPDS
PhBoT+T5iqF+8XS8bW5qX6YwPncLQO/obH1ql9T0eXKN03OiYyonvGS/xo0NZooFshb3z11YLw89
vK24q4go7l/SkWxgyDE9vBccp0W9tmpWxsHQnSbMYRs7zjQ/G/gxnM2Mnoq1SpJ/0vHRkSgN7yoZ
gjlZk3MjiYvojXuvbD/MdWjclvpwGWeJbmUamAZjLqxkelX1tOVaZaGJQalcIO5E5/SUr/ZwGkoS
J4q+pZGoDXdXE5ACCVY5biwtPutQ7FAOrvusHhq6/e6mC91DGb1odORej5sLzDbmqkNv4N2MsF3Y
6Tav4c12M533CiCPUwmb0DZG44Tk6RSbJIlLAg/bYidIjs/JJWHcgQolRP8pNxGW6JTvDV/eDoxM
la27iCPTje2t2jQvmBaJMt21A18NIz9NWNt0tvcT8Tdd1xOaaO/7uttXprZbGy6SGBlfJzcjY34j
ftSY97lJMC79yeKsm3A+OrS2TofTkhSUdgl3MxHLSYRZM6yCxev3nmYjALVw/UKzHEu/8UYU2+l2
7gfYLBiXPGaR5aPIDb+nw+1X4qbTfFfxtI2T5ZfYQJk4B5NZH2VOdg/yNSHY09Lxap/dcNrH0RFo
+2ESJoc5D19v+wpeEUXFNRHUtG8m0bjrTn0TeDa3NUpoN1lu9OnD1CEFzPNr9QvQm2+ZS9tmeY+6
3Z3yOD6zw/ncLcyb6ySoy+JrEg33lcFkzsnaR8bXmvfYJ8Zh7LTdm3+fVuprPA+Mi4bqgm6wPIVT
QoylEx/nvGEY7hjzQS+yR4J2kQPi/YaygaDDxviymeekJW5ZBtkEsw3ytLEF9Z6qPJNcJZvYKuME
zly64y7LVPrJ6u2jiTSUWeWiJCohhcQFk8URpGdb5aeUFPyB9papotJVBpWzwsaMUOXFYCJNBktI
GEuoUlk4V440mU/kkl9jzFTNbK3CfcntWdZNEZpXUShPZt0e0hJJLr+mCFclcQGiJgRnFEG3JkFM
B+nFl07xCQhy7xwS6ptorxnTXquzgL++Q7eBC5CmcjX3S0bpWszuVTExVBAq/qbyMsnkiYu6UeE4
iYrJMfX5zjVKIgVK7Fdu860wqw8s03L8uOw3jEI1sRFCYF1F8GQ8hboK5ene4nmqFqt7bt7UaXfu
VYQPwcWbPLx2ZvPrVJS08qq3V6E/Hek/SHMsBAUEAukqGigyNH9iBENJkjc+zJJdLgkSiiWRQk0D
FSklZGhRaUOkDvUqfmhYGlxWKpIo7IrPqWN9Z/+iIw8NDwPzCJ95FgUxiUauijZiuwSdQbSHaSzv
o5j4I3elwmM5bewGFY6UqZgkDqNoxzI4Rb6IkF9XHnhgwfOpUb74STnkGb+YOw/T/FBE65WBjX5U
fvpUOeu9CJWMNqQv+PT5MgZqsF458UVDLDLWfDzAQ5BkA+pxwyjvnTwe9jjkrnJl6X/z9iuXfzN/
tJXr3zQZEk3a05unUwuxgOYqIBTptk2cEtwAAUAAdwbBtYopUCTM0XCt+p7iDax55W2Fj7IFxWyX
L8fEcPle1k0jSFgHIRgkKZNHKDQvDYyCRnENFkneOqqTamUmOrnUghMCMF8oHsJs0CJMzjcstESV
DuvKCUr8Z9w4m8TQWC+5BbpHZPedYi1Y6XUIesFSDAZvBr4Ik0HyVChGA0EEA88P3IYSgAMILjAg
iukQA3coFeXBVLyHEvADEjKinNC8v6sH/sS9gCHp5yvWFsJ+a7bhrqJWUMKxv7MXaZZFK0PWUa5/
GOX3KY9TxJNVuBNZVfhaX9wvg0CGWojung4c0q5e3kzMlDZW75F2y+EIG6GqD2jfUozp+Yu7DieW
HYHTGMHgIAQww3uDDrJNsTnHnNzicxJvU/sc2fdFVLCxh24ZtkcDWGuIMjgs54OtKe46PkZxY+u9
j8OCHZx9dF3FpQSbg6pWuAuWi0KdL7SIaowfH3WtCXQt9Du78Gs8/E5rAkauzx5gs0b6LOeCFM1o
XndBmKM7l2i7M+GDUfM12ClOOO8pX1mGH8xFAw1rbHvPOq4Daitbv5iDcwztaOfi10CysLVltaFN
xMowH+jH+IGfEfIG8WlAqmCPhKcgax3QXXlYOjJtYL8NdYf/NkjruOCMGgIFJzVJh6QskvzdoHxK
SS2HmLmSA0LM1aHE11hdrFdE81jBj+NUy+C/oXL+34MBs0njfvcS/AJKvE6+TV/yX/U7Pz73t7rY
UWxEBJvCpo5UNKkfdbH7m2RBg5oTTjFjKrCJ7+tiJLsOEhGDkRGcAT70vi42EXi9oQwlEoC/Uhe/
sar+3u3FWEqoP8Vjyes5PzmODKeJie1eiBiWciMiC+VGv69Nzmw1U2ntoMsFy+eP8IGQcYSbfsE7
NDub/nHtaxh+3b5G6U1UbQtTFqMQYcfKzErdNITYhvPtKp4cyzrQ017pxJKqGo+D8BpvhXJbbzFd
tQ4wWnR+dXODCYFbSu/WvaDqbFX5yeh+fM3D5MEmaHxXqip1VPWqhev6FHvZk/IpJZS0oapt1xU9
x1q6mg+5D4lgVTzGkt2erbPxWuNpvDim9yyQonrsTd797v/kAJQm3cpPkz7kWapbcTjATeaOf38A
upllEhrUgrvgbTMykWyTBG1E1JgPtmyvKvp5NhDPs6zrY53pV2FHEZl5LAqTGkJH2CYP8G9PSdnB
5kJVQoioTx/sHF0LtctQ4XaHOKZmFbADIlfv6OKfWd0ARlQwQQI8yG0lHGJTmMq6kq53hud+iS2L
w9Qa8BKb4z7NJ06iJS7O0UCVD8Gh9Kktv1QOOQ7NzIKtdJgRtlJ2PlkTMyQQ7yuPMNGBA6ch6vno
gCWbG5tmf0DYBPd+Y0f5x9IqNUD8RQ/H2OwosfNr4Y6fucUvGOoUh2Hea5aJ0N2BAFzEHflLcX1K
rOimBSvpwuVPCv0DSpnLuJhUjk9gULY4Uh+tFKak1M7kZvk8LY9G4zxWmvaSRMZdJT6Cyjw1bvyF
Je5ZGuO9u6bcoMnTHJm+22XPyezsh1ZsTH260XGV9Dwn4JTTMjvBqjlmiX1Zsuq2XvMvhElej27x
3BgWK5b+hFT/pqRyl3I+T1l1ZPwTeBz0hdueypEsdoI2huY2jgO+cFbYFpqIJjDmGc8B+uOGIHdy
w9ZK2xW5u5/jkr0OeeFj+t2s+w9a8Zk3BpELU6SZrk/MYGsoLNuvJZ2SldSHDr9ZZSEYwoM647g0
hfZgTvPTAuvKNpIvGWrR+SWx850EXUmt7C+VSe6JSx5i6or7wghPqcOI2dOv+sU81Gt9JFB8b3cD
egprqy/ptT4yFcKEQRdlNtjjY4uc9yqY3Dro2Hu4er5LneVsFa+d9TKlMCRrcCG45QqsHB1qHOUE
XrIUAgdKL6aODd1JR/2rI7y2+pu6AuCJVCelfcPRC6WKjkhoJ8dyb3U3vM2mh3WSjMPlQXL+UFkd
QT/skmz0mWRu10jssyT+mPXxsUqiZCcnUCGzwdg3ZiFW9c1+TYOVP3zLa03w2JJ5dGENKr8ukkGb
1nfpMMybXLciGv0bHcDLwQmrlTiCGqzDiO7WNHNwXREk6sWJ+WkLFFRF5R47kriy6nmdIJmQI3PV
FMa9mY7fOtOOH3RPg5gGECy0KYEZ4v84Tv5rg7r/F92l4Cbfnae/3KU3X//8Kn372N+u0rekAAsb
A1cVN+AfV6nOFct/bOFahs6t+MdVav/mAdXUmdoy+eGTfOjdVYpilasZkiLJJUyf/kpUgPMrV9Nh
E4UoF8u+6bpq2/S+/g2NUqvB6NAXp16xMZpWP/NIOk+O6H18nhujRJJNYEh3XSUoKHh+YI3ED8Ag
vrU8WbZ6xHSetZhnDkUfQd3HMBrQzYWsHxz1eHK/IGNZMAZk6uF11WPMcnsE4Xdr1Vq0y9SjrqXt
nSFLGQzqNWCB7aKkQZuvq5dET4NZvTQeb49JL34OR3vLC5Dsct6wnDdtqOaD4q5raFBNO8U1RpIv
Cl0UNecUFn2BSH1mPK1cAO42t2h+wnDHvkIEWK4IWb0xMph35zIEskLP5MDxyV6METGXXShS7b6M
vuSoMjqxBHo17RfEa0JlV4GpF5wQDo0lk3ZWJwBu2nhH3UJDBlk3rn0NtE7VDH4Wmtu6b+9QLD/r
b/e6uuFRH/FP59J3WxxyWkP3i3CgDyJArWB6u/RKrFtNjcUcDWMXv4sL3kzj1tLox5mh1czSEP4k
5zrkUzXSBS6X7TLq2ac8LwHrIVoU7hGyX+hPMd2aLFsUsQQEq/EdmD9QkGqkl6nhnl22L70soCHp
INU8YmaZA4ZqIMjuHDZQKdAfW7l/7RiWPJUu0s3+44RUmbn7yHQRjaR9mdXAMVOjx6ZkSsCv/aEY
JrCBOmZQRf4bFQOwAwYIMCUMIhNDSggoELGNsUHxax8KRREEQW/FDlTBPA059Y0F4TGqyVHRB9n/
xagyIBIiiUFelEdnCaxwUtTCGnwhfKiIP6bz373ef1Iu/fq62IJLRRi8y7wtb/Pn968LCRkuVhzg
YL2xFL5ht9/HFrnZiIbYix3tQFv/WVjTY5Zl/bH2YoZpBuRsk4cYwn8yV+csHR3MMtWxiOzJJy+h
4kvvTtIsvVep3ZaG6TtD9zooPWDqOHT6bLN21cTqYp5x0ZQSXrenqiJBeZSoOoni7ouRzHehNth+
ny/R5s3+mKj6ylSVVjgRmkV9I1UN5q42N6cL96xrWYeak+4cTYq24U0TTBknKOc8yrpY1XepqvQ8
VfNVFH+TqgJLysGSstCiPDQz+QAvS7IiRs1MxQUBj0xlhiInm/BiS3Epa7X5myf+YW+/jP/ay+Zf
Fyb8z9QdsOtihPGf6w4e+t/+LfiS599/Zt//+OCPS4m4LIg9jD1c/HBSZ/X+x6XEg83fSnCw7hJa
xQbjvfoA3QG9n3yLHFaShT8uJZdNBZZN3SYYh6XKX7mUHPEnbj2L/YuJOMb1cJL8dCnx3HYG6jQS
K2XMJBoqn1mD+6WirXyjHq7MhKHLmEeALZdxuNRKLgefnEXfDIZTrsMclMvI+s0GPFQ0WDDayDp2
Elxskd43DfYnryodiFIdqnzGqYWS7HVv4j0l44vR87lK2JcpiZ+hxH4uqr9eyf8WdIBRxLZlvqBC
ROilMWGuESZgszBv1n4OiOgAG9jVrIQ9m/OMWjKXztF2euANuf44jtrXITTxwQGC8JeCuA3ouA3I
h46CnoVEl7MY0JrXdHDce6fW3P2yRhJEvcffE+d3+D2STWssgBli1RZlV/QfsXBjcjkgOBnG9C1O
1tvcEd8WZ+38ZXafBjY2gc7SJqunB7xm3VEiUQij/AlwZvmUaOODWQYGZDyl2M1j7aSPS2CHNnZ5
0b8IC7aAU5xqz/rcuOTjjamxZXJ9nRII4Hcu2rLCNsZdRoogMQTiYjvNbkEZu0m5brZ2WNWBY58q
xpSouD5YMC23CMNwZAPY3SGEO5AeK5hnrddm+GybcEqE7FTYmb7D9IW8YmZY38QyBXEbfUIofduH
zk2RSUjFcrvEOXJMnGW5dkBSzs5aqbwT1GRD+rVMQhRx0XE04ytaKSziIFTMbVZb1542PiN8R/M1
Pc8ZB/TKz1+O9tFxecLC4QDHAennalyhD9zPbTAtZNqs8XElld0YjQ/j6Pg6iJyOGakvars+elp/
u8YrhncNSMMMZWPRj8BWAzee77WmP7S6d0zSYTu47ROGxB4hN/LOdfYOXgbZYpBcr1GPvd2DStGh
CYd4buDz3ItS/7pk7teqkq8u4PAd6AwjKFovImsmDH3TbW7c8TKlJBJ08TRfkpBIAKA5AKmLk2sv
XzRzPFlEsxIiDP1ANkkA/f/VJun2UKTrsWvaC9YG7+RM4rvTMuzTI36dlaVtE/cuIVEWCd56U/Yh
WJGuAbdicv2XVFt9HmPtS24shIzEzrAJHGiT8PZfPJUCo/z+pXPIrcdk4d+uDgn4JE/7Wo7i4yj7
ryw7UOYDtD6ZRffBiTX7yqsAnbX6vh3XaatBrd0M7gWYUOK6WFhN1jdDNaANMuM9y1h7N9Q0rct0
TProk1wqNggzgLT1aVlcNmyxQOSTGDHq35CvxHExvkO6bESxM4JyWhPM9QNb/QJctpE9iIGoe/h0
znYul2obV818sGz70sT1sIfr/RICX0QwVNnsAMIJj5B+XffuvDNYQbgRtVM/Ecor8jDe1gZDAw1D
J54neeyrCVZ3BLHJ5oLfupF3b+nJjZbzFUVKqCjN6rKaOghSrFSbogGQYCygFAZ6Nt6SRot9PW0h
51BziqHb9XGrIUto3YDV5SNYuWAG9LIWqA1SBN4aECrYVAnukg484yILgJk9Qhab5xLm/G0xztm2
zYKRwmOjSfvUwlXc9F0BCS7OlpMtXxHwPiL0GIPO9l7XSpqXcZybg0CuCS4B5KrdM1uuhPY5Az57
E8ZfzD4JnI4RujGx0as1FKPQLcgkSXbl8GwJF9jLGNRCO4wMLcYJK0zpHJGT+8kQHljX7ka0UhM6
GqwAyMtkwFblKo21c5n3t6TH8uQpBt68hVFRfFky7Tpso6M+tiijugAN1SWcXyT2ptmEGDTuk96m
vzecx5AiWOw1Qqv6wTiHJpsFYVzhLwhMlipROgTR0gZI0Q8CpY4EWl5r5m4d2vth4EiJShuE5Hdy
jyjkzb14aDSHhbLlvYraOGsty12LrWNyoVu5t4z4q/r/kWGYCSJ2NYnCZhdsmN7BMB2/xe60rPF+
RZrJCaNHcR/kOo1MHuFMWhozELK1L5lGcpWWBMIZ2R93Zb2b8/0w5Y8qzjRVFmRXmZGFjS1Zs6rH
WBmVpXIs41wOPT26jZWXecyv6k4DIGae7F3RkRXVtfdFER/DImQTlrPSIl0G/Lb6EYsBIhP2PH0G
DxtJ5GXxZ88Iz9p5GJp7RDNotbvyu1GPgeydQyqWB/TIH+wp+jg15SmXVgDr/7vTLM9ta17FrbnD
j7MNR77rOb1Lc+1G8q/VMtYrVZqsstqkBNZX3xv8ERBQ28MCF9hYH2LB7slblwcMPlvHRlunpX2w
1vplqNHte6SF04jYHXhmg/FVH4tNameHNNIvMgwPrSKOZ/Z1ldc3E27LyX3EGoDXILypM+e1iFnF
L9PI3hAVceUsd1byFCbR7Sqa+8RN7+xcP0e6cYJ1fDe58eea3+est6/AziLWPtTjrvK3N7p6aZTn
nVD6R9x1KWcJM5tu1Fk2h/02ZRG6slnbV1oIyFr56GvlqB+x1hsNHvtuMsjtmgmPmZOzpXz4YGrr
DYOfpw6Lfqm8+jGmffj9OCmUj9/B0K+jnTs2WPwjrP4Se9S2Ue7/BAwAuOZsr2mQYzLFCIDZEG88
xQ3Q1k9sagUNIbrl1LsR5BdAtWZ5JZUrQCp/QGLeCOUXMJV94O1/5uFgK09BpdwFPTaDFLvBqHwH
hnIg/PsfGadNS96nrpI/M5UBGsWkgaJ73lYhx5adALnSVZYL+H0Gu7DQd7ZKenEiMl+05MmZ5bIb
pOa7Rn7SCYfpVEoMbihkoOTGRDULaLSDExcQ6dCuypdJO5JmSpU5gzkxVqqC607l0VhJ2+1zHd23
yqrhNwlyXrVEg0qySWb7GewQb+VQPbfNTKnjuttisT5lRfmgqzwc08vtjWtoZ8BKkKTKNdtMBgfo
QJBOohJ1YpWtM6iUHZe4nbQcBGMQlIsT127eF6xuq+pW5OBl0NZMBw3vwK5ThAMEA/1NVzgY520S
fiq4FEVJWoCrdp5FPlhbSyUC9UQDxX3Cd7igmOsYWcoy6rbRF/w7pQ/MrX+UiQSuABSuVJlDaXXH
lVNuSRqxAE07Kpsos3Ff1KQVgfvdhSq/yFFJRp1OptGk0o1mYo7MlNNvQKkoH23UKzHi02BYwfAY
XhQsthxYlZQbTMmPcFeXwEIGy+XpnSZCmHTCmLxZOqd1gYqoAliHLqeOMfWc8jxHR6Eefq3z4u2s
Mw/W3fYDaR7ZbkCvwUwIe2CdQ8PHALWngSQhgS3yltgO00nDD0tU3oXejOhJOvAltIqk3LKzd3GM
BpA28+iIXJ609v7/est/av7nmaCn+we95Uv85fU1/jJ0f9Jdqo/+PvLEoY9LHzG4YeqG8W7iaQqD
7hIyCZt2dovvJp4I7nSaTo/rVrKFfz/xdH6z4CgKR/xFCgy0l593XSy6OOgQ0sEkkPINI/lu2U/0
RAwbo7Y2/YRxZi2dc1rn37QIcZZrNfSQba9A0wCOUZXDTzzjIPwQOZxiI9Lose1qgO8GYanTEvtZ
AejYTdjX9FazTVeQ/VVFi9ZoEaacNnvpWqQEVXqUU0eDRjwEQoxtWC3AnSbztTeSIB1HnG4Vq+7c
toIuNtpAn3MdqD765TFkJqPUIhM9gqZHnwf0s9Y0KqBe8rXT04fCzW+lC1yEabFy5hYnJwf1a7FK
z9rBh7HfH13sI5thym5hnB8qr+3II2tLfFszqtt8/dDSZFGO2ptR1z+ihckR7kSbBOjqhskaYz+3
8HbgxjAjjKcxwqa0NM2hycPn1mrxM/HjlNb4lRh2G7VRiwKqHAElxCvcasqdDm7xMIZ0EahHkmEi
w3NcY+xCO6vrWNyU6oTjD8FLNLJDcwDs5bPbb/oRxa10iWxCtLuJKcz2idNs42XpAgZupwHP82n5
FKX8EmaQ2qi95qdBn+D638kcgyDDJ53cjg0NbE2W2DYRwFKMiiljV1Q3he0Ux9DAGufo/BShvLWG
IdwPMiG4srTbS7w4H4mf2CZTR8j9qjV+jUx4k1oEHMg1/NyYUXPpB5sngzZ6aPi615BWp69v6AEo
AUMLPA4RA3r8lBTUBrnp7GvUf6yB+pMObMYAu5DHImAnrPl5np5sdyJQSHNfZk3X/sncUqE4/n7L
C5SZ2YwHkhfNuimVDObdk29Ec9Nzf1ubtWgaeH72VZoa2cZK85sQjaXdZkRylALpaBt9GHkKsj4r
jlGxXUp/mHX7CqF3GfXktFnAhVpMketaIuFyqyu9il/tfLzDAXhlTdXZS1pr++6Y+ZOx6xuR4+82
/vz4TIfR3bKigB7yE0/VlWWCIonreOQVMp2YnWUk0IxN1nJa0YC7Kfwgb7ah4yAeOWC/Thzzm2dP
VwMM/gb4zFJOd6ZTYKVCzbI1RagddLFcaXWPosYwvjVYMa5tgWGfh0H0K0dDnqDDS3pseBOGsliC
6WQOs3HiSienVXPYqDLhXls6u9q7+YRqAs4k6/FtP4MeTCa+KNxi+6HQah79fPQRgA5bmdFs2z0E
pLzfcRbe/t/F9c8vLs7id0/UL3u6h5d4Wtaf7FjW24d+H4iq2aXJPJ+VrdqrvRO8ALMW3EsGdxrL
aIUW/sOOxR3CbSYN4/8l3L0fiLK+Q/DiCG47iGN/ZSD6q0ZNBYNzc/GDIDz/eRxa9xqTGQuJF3ur
oNDME8AuRoIsozr3kjEX0RlqlGy43n1Hf/LWMer9+cxABQQihxQA1xFvU9p3Z0Zorbrt1onFAV9s
Mf5vegc1FkblkPYG/8b5H/9xCO5/+QMJh9Nxnko2nMJzqSjeH1Iya3t7cYHFskVKjzA/tM0gEud6
KeJ7uUrsOKX2Patrl92c2/kF4aJ+UqvQmiX5liFI9WW+gA9IFkWqchgrBpVoxh2xU6PvKKrV91gh
rmbFumpwcUQ2+CtdgbBkbgVZLq5CCFmJQmWVRfaC8LDZGPLWQ8la6jpinJobT2G2mmldtqPJMMZr
C7/kAwfZIWntSVK3YQVtpLYQ7QS0JTHIWm7SEsqDgB05G/Wxh/RVKOSX6kEEacvMqeGchNXL0Jtf
EU4oVJhbINCM0vS8FHr5yVss2GfJcEMRPO8Ab3NtFDupxgNalAVMtURQqNEBmYfxvljTfe30iKKJ
rTAzDQiy/ZWgkNkLqbURoiSJdqcYackaflTUtax/7mV+kFyIfR5ecrcJJsmIOXc+zpY4DXFyUu7g
ODQPa2QeEKwfV9ypCXjOZsgvNFWHUI9PolUa8UNGNpA+GzAxssNAbynm7tj01lXNIKgK79fIIL1r
3A2tcRKZhto5O3BQBuF4szC95+zdxor+ln5tkanzM1/mcdhXhX2ohuwAkfcg+whmzrQnLyRYpbZ3
Uh14NuA5Jz3V4Qed1aBGh4nqJkUYRo49LJ5p1wweRj9GyrwsGkNBUhEOJVvZCA7fNByEvT5p3pIj
BOXfkClJNiNJZReNudGPAMm9aWxq+yGPy0sJcan3ssOUpqCgi60l8VNJBo18ewZKJK0dgMsWFycO
d/nU3PDNXMyJ8WYIP6C6XQT8lEG7r7HyZVN9s+A8oBjzEGgyzNU8WMwYsXhABBTTuBvJtaE8XLNv
45KDclpYyTVOZm5gGfp6i9JN6FcdymXwb5oTYFZutjXO4VHQYS5EcASJKIZ9XQo/pdU9awbm45Z0
xMoy2Uuu0zd9pQlOD/GcpFdfsQl+E0oUI0N9PnTyGzxelVTn3qeVtQs14MgJhBaQOst4yv+DvfPa
sRxLr/QTsbDpydtDHu/CuxsiLD256c2zzd282HzMRqmrqlvSNDC6GEECqtGdqsyMOEHz73+t9a2G
qit2ncU0YFCKDnnzbCaWX9g9wOvcH+naWVrdW8cAY5Dscnb1drIzcP5Ldk7Aj9cdyWwEAKJ4/ECh
5Xfo0QUWHESXkt2eyE6G1m+yOjpoXbg1jWYvQSYbHf4W/vvyT0pmIyJ3uFCARydcF+VS8M6QW1A5
CL9Wh5Oh8qeWwm9aPjXCb40SrUtqApKcoitWBEvWwCA1UZvWwSRrw84EfzqiRnFE7/IcC59+eVmW
wVLAEmQ9Iw56m5A5f2+Uydc6k9ojHFVusBvrO8kmKuFzKowOCfu6fN1x5p5ZNbAPpiwHZwVzjBWZ
ezerFspuWRwwVl6smesS79aHlcfhFd1jn5vFei7vYjqBs6fSShPimvImT6Lt8lVLUE4Zd9sEkhe7
8kG5sh686Rb9PgyetLFnQdRd09I8OFm0ldwElqOsTIxZLPVXE+Ia6wPqEbwuxBMGOGzimFJWQBPL
Zg8A2+sSakKndysv9iM7mU5niSSwK+6GkTVd5WjpZkgjQn54oguF/0KjvHZHIJFUnYZHKkhyz13M
1Fkr4g2JdjoLiwdCzyC3smBPZvYcjPPG6uJzz5asXLIquLCsmsdD5pDnVZ47fqBKt9w6wzo1oEMW
6icpmQel7Y4hHAeuzUNbuw9jH27bEI5Oz4Y1nV/MFjYngJqAdMr8SWOfT2CDsO1IlNY82O55gdnm
C8ajjNZ1ke+Wf2JYTHkEH+O1VEkQpZtZsVeaFOdwsE8JCRBCg/T2KGuRQX/p9d1gvQ29spEhFKmJ
FZ9R3nB8MqNsE7X62RX9JWjHS5NUGwtzs+Q6WvXDfprbfVpOp5pyIL31uDk93u9bCkc9jpJGrzNl
Bpz6WpsMoV6WhIdtnoH0dfO4iXgXZJXW7GC7leyn8Jqa87maRiyOXbrioYyVX0cGZLXEX0YIylY5
rMhiAVg33LiWTnF4mbzJyOFciqxWOKwjhyJ71Or43EEu8abeoKPagO6mkHXzAWLuiIJaix46+6N2
bOLqa8ZRABsEJEcR0hA52cZeDNXT/4yz//k4y/jzh9npH8bZh4hKl/fur/Psr9/1+zwLWhEbEYRD
JlNNX3KSvxu4LX5pEfFNFQSjLf40z2IJ4BchNqK6M9r+XeCnJcbBiiY0U2iGsSQR/xXX2T87jS4g
R8NizGPE/Iu+HwRE2rVSA+Jh70uRbjphXvEBv6t9VR0MtqSACfx61E4sig5jbSw3/8VZoC2yXyfg
9v7w6f2TQddw/sliCBSlQciS86Wh/ppM/zDqQpTr9EhnfV/ZGkKbIdg5ok0vMA49NRuqJkoy6biO
2QWR7RnSq0iVu6oPez/UYeGY9UwvOlyfOe5cwtZIfmIR/7pFBmxEjJCFMgj3CgVn0QoX0XBe5ENl
ERLDsfyUi7Tojs5JDbmTIfKVfrMIkFFtuht7uFcXaTJfRMp8kSuTfZ7aJBEBkzdhSR9fGm5pHI7Y
m+JoxeFAHDx6CVPymR3TboQqOg57Lcx6X13k0hHdtF0EVGamHCc2omqWHlvnZAd5zsDPXKBUYuOg
wlqLHKujy+aVZGIL9Marq+FDRbtN0XDLRcwlK5DRyfdYC2c3JnjMoFrp4alfRGB8BARDF2FY79Jr
18nIk9QW5GjHwyIiJ4WODmGP18ruKQp2bqNFcNbqFIs214eFFj04rXugouqUo6VbUsBjdtOffKIy
bRGy3ba0Vww2BxuNGy/Ygd7RY7SI306bj6f+lyCen8qQSWtIFC9vosjTF/G8kUiSRJh+RnR1gb6u
/RLaK5NO0ok1Fmogxaa5w3cnWXX5OpISqalmxQjFpqjsnuvq1gR11+iU4xXpTopsV9rKOrP1A8UN
G3ry9nM23hdG+uFozdbAEgz7rPCLzuDhusC1mp5yPsf5GaLmJgxiKoGMg+PMb/akvMRuczfGKqUd
7Yp2ZX9Gm6Mnk4c8Wd2wWdeOfkiwvnVYLPq3FmdYrWFrrPeCrWAo+Rf4GsLGq/J2LUS7NYti353N
bjyloYULzXhzYmJ3seQ/ivDVlWmzfDCTj4B8D7Tkp4k6j5uVvBcbGm/5emcZI3UAcWLvkuL8qF9p
MgfokV7mUC6BX1KrFhw9NXEejYQ/1xpNcnfJrQukOq/Mu14n21/17l3P6ytyaQVtv2mt3eIkw8b3
4qTtde7EZy2jw3I0QJ0DcA0AwwieprGj1KW8SUBC23I48lHc2gF+zgWllib6pyA919vFi2Mp366d
bUGo7VxIgg2nrYHBwgagMSk0viBgucnsV3F86Cm8EFWFz5+iaHsp0wzv7Li+8rw5CQiEPeCzBSw9
1+lrzplgdKtdaCh+g4G0sdpzBFw6zUK/tOxjL1QMINnzrIePuZleB6M9Mx7Oi3VOASw+8NDIndYv
WuWxp67DqDVOMOIUOvPelrTqCnno3ZtIcW5lNfqTah/VINkGET5uNeU0ax0DvqVRYxbtw32WRjdD
wLc49eesb1bTTaING0l9t1kQP6DFxaToc0ZvTiwqvQmHOhxQB0wzfXqYisZn3QqaiqioBn9Q2zvo
4vbgHNt4KdhS9zm5WJ11r25VO0tSY8OfblrUstqwnVo6fPi6wBwcG9iMHLZCPgz+l63Jg5m3r3ha
r0axBBC4Q5U725JfWhPeDWlG3ZWNjhalW1UoN3Wig7AcNrNZHyxT8zLgtWOPCElFBIdqv5G/inPo
FwmGirBCckG+vDdYnWWs0CjuY4G8LNWW7Vqy7Nn6ZeMGCbvaqMsWjv3lFmam4tcmbLfTVNvX+tfW
TnX5QLrdzIslUqR9CkVDrFrHXzLwlw00ixO5Z1KbwKJgTqBIz7Y9sKY+i7xbje7cQ1q8inTEr8P6
nh6paNuXx1ml8iUyiA0PpFX3mDW8qgcB4S6INAowiGt36uNUhvZW4GXduTTQuENvnRcIZzSq+zKc
qaEBXrLMVoHTkP4YVcA5yH0116YZlu6eU8CiqIKS7RHRxkiWm1nl6YIZp03mg814vo0F3wUqMI9R
8jcG6Z4uzA8QSOpNTvjF05p1HLw7BgxklQzMCvBG7sMbf2iS8jVz9GR1WzWmPIza8KiGI5ppJCo8
r86Xrk6Xuk+D7dw713TkJdDbpNFH98vsNTzO4HuYDEnBZjoNy02SwS5E6yCO7ao+dm/P0mS1aSZi
4Q28uJuoe21IEeXPBBPxbzMee9EcT2c44Rv2QXiDanKYLdHzSZWvJqDlPeWEn0Fo+5UyYvvrc0QO
G5K6atzwC4AAYtPwR1P6VSDg85h88uGCkuOxBgCFZXUYbGJrW0RgG1MNlOV/PFH8UpL+srBmiYiF
cVHAWAL+ZZUVDDXyqKoQuG25XnSMSxU8NKFHyErKzjCT2ywUz2kLsUxz9GuZQA9xcI6JxUL2PyP0
/80IzdD570uZD/FnXJT/OEHzm36foJmDSDMKFAfiHGx5/z5B63RVUKvjENwAHyKYXn/fCFu/gfIi
Grk0TfySOP8+QZu/4ZolsKFivWWNjHv2X5igrUVd/ctyVofQRaUFFHMiIr9a2f4wsRahdAe3I/+Y
E7BjeoL7Ko9Js49VIFNAE4Is+coTyEB5l68Dimk4I1wWm6HuFbV+O+sRKWsECGU58MISaMu3kGpD
TCzhvYtuiKPlxqq8JNJO6kin6IC1DB/5fCFxcY9tf5PXuLqtWHlADjulqbETWoydhZx90XWsBtz7
qTEPLu3A8By8SIRnOek4hbpjBdx0FZrzpQgOeb20KZUUIQgn/eENdezM8kxi8ZAUOWzn6FRaELn3
8tWI7DvLdm+NenT8KuzvmfqI5HUsgtsmWis4bs8DLrIK1//KlgF16Xm8G4cgwbubnEK3vJQKv5XO
Gfy0TnaClKRvhZy+OppQzSD7COz4E4iAvdYgP5UtRR9zAAAS34ifjSpyT2yfnK5g2JPAIisb9WfZ
VvNMj06qGS7FSpa1ksPcADEku1crrI+HmRxIkQRHKjgskYFyFPZxUHmQdl1Un103hkFaPYp4Oes8
9waLDGIBLFbatRLh/hM5m6hc4SeTTHTTm7h7pszYl67CSzwy1qGq+WWiQ0vSs/xk0b2McMwWYHgd
04yWuWCyKZoF9Jih1+JOqh8hI0JsiU3I2uxk3FrNtvbs0qiW/jhGklANMoWbQS8+6kwpdq5LQV7m
UigF3qKhxXA1tFG0dmpoS3aUfTgpQ2ejR6Unb7SEKiMq5wm9BShxwdIDH7cPJkY+Vnv9IQQpvtKb
4a6uGwipxbSlS4hjgcPawuanySJdANLqzXSnJQPZA5sdc8tuC3qGumUz3cIJoak4HWwbYiQ/flfx
RhHgOCGIAmLGuCZtTEBpKrdF+hC7dCQGTnSM2wIRTzE0HEn6bZCx97KC7mQukCkcwCwmu5Vmpajm
8QiFfvoCOAzdJesetGkiiRcyVRvSV7nUunh5w7f0OS5dIjWHk1VRV6gEc/BYgIPjowoWzFmT7cda
PwniR7lRZRfRGWt7AtECmQYCnEKiqQ8STGARhoGMVaGDXewoc7VEUqcXJdB0EAize5Ni6tpOOXdg
NEcX6PvaNsmDr0QYyCS9KtdtbzWrxVlZZtm8n6czWO0EDzilNL3qsG4ibVWVKpzm/jYxlQtdh0Ar
EmUEVTNXvCiNnabNQKGDdWqVVLBFHABdAlJTaj1lbsWxMvzM9PLRZZiBapJ6cmaIZKlIoTWsIanS
PBg3VIKGOPRrl+NSkx7xBEQ7kWav1hjfupgkVBV6KB7utYw0Ca1aWY2d8t1HKf4I6EKpRnaq5LQ3
p+MqSqt8Zyn6d9DQoViTRI3xIrYNH0acYMU74EBeUehY66lHy8GqELu0r3jMFflzu0wyNmPCqqp0
kOcO3cppjcPPMTnELBk304gPNkATXFjlTY6K3NC0s89GXFCWPrNzczkfuOYuKeF5Fl2zewx0cWxH
5SeR8ye12m8hxocyCj8ywUKVJdvAgyCbfyohPnJb1BuVds5V47brkQzrGmdtsVPC8VFRlNc8p+DT
MqGMUgxrmLSswZs111abv+eaxbmZwM9UiEcodOFKnzIIEJrCr5S4PjV95zTuhgQZGJkqeqyd5Hl0
HE6DTPOZqWCAlfW6iftmbebAzRVDgN2Zs21danBk7HhbMGtJdLVNCA2bx1hxHWf3m47ocDMZcFby
fIav1jX3dTI6KzPEtFtHPwYkknWl2SgTBhE/dlOvVccFy+OoKsAHdUO4crCfrYX62AOsWjV58DK5
yxbbuILX2QcA8H2FMNNeWO1uigz7WNZG79eiRU5z3CNnxcrXR0SUjk0y68tmJWvKZLq8tVa/Vh6C
Qx5xdG8epxM9dw9lcBlk+OymuKWdYC1d90HXs1fCU5XBWBcD6Z+7K0oaBWpN895WD9B3uBnwjddL
c3oWh+fC5tsYRnevBdnWQtBz5fDRJtxqKgv7MumuXbWdObkKJKnS1s96NiAPLX1RdAN6AS3t0Jpv
1aA4xdmwyXXOlh31vTBpZ625Wkn84lME77mi26jsi22emx06iDJbB/iAviask9mXBIx5tVph/ras
8mUNnnaQwcmUD7J1l4YeNjD8I3gOExUkAg79R/DujTL8uWZ/YJ11Z7wYcPlz3Alp/o3P45vX2Jc9
jF7ErqIZmisMlFM9hluZA9vEgtlkJMKwXXcqoqNzN9gj2Y/hl7IbV7dg2s9k6cGk5/ephI3juHxU
tojOZptfNT150zv7oQniW6XhE1bTaKsRKp4q5+RUNJywAqdF6tXkewqL4p2j5W7CSNKL0K+Iqoia
MgKtYc1g5+/SdL5csTzypgz4PS0N3myar3OkPlhJTRHq/JFr2rVqcrnJNB7zIMsqDtlfiTrchTVS
ILkdbI4Zgs+Io91X1XqDDazG6sLHonAVjMXdqPX3Tkq2BrJ85TaG1y5yXdy3b6nRRAdn6C70ivL2
IofoG3l6YIjxcTEd22YSeMEbL6qKD2kXZ9sJJ2+ynE0aJeoa2vTBbuJypyjmTzkbYLW0lZApWVH6
IG371OVgKRTaJ60vS+FRRPAjFgTxLXXVFvW+qigIMT+qJNwEwPRrJb/BbHDih8yQ0G9HCPgJufcp
kjdURm0jdECjpBy0nimw0m/juNqZXXnfZe42anQCkuRiwE0VQN6Hxr5IlgPloD+GhsEG0tok7ovk
WFab+qXtwIxZ1Gqm3TMrkbMjBrGyx2492lRfMM3QFA6irNybfHc5uoWu2+CAzEsv4w+YyjyeHHIy
MpvArAJUTWy/Uw3kRmNbj9U2CvN7SADP6UwjZHPM1PE/sQswcP/jCEw8esm1kVcTZKj/bBfA/yyH
kWuDAA2gZcLX0NtJLYMDu9ErBzJUWuIkRrNJ7JcsMeCD0e+9nuPwwiHf0xzuobjUHZILxqfKOc2v
c/OpWexQiXDuUit6M50CB58hr0Gars2KSz0yiNea9/WggJcMw6d01k4p/LZgpFGO9dWmrqb7jut7
Zbl8ELF1cDoNim7D2pHKG7I6k18BsvOsDmCpIHVGfooobuWYPozqFy1JlG0+HRpFGzxhM/sJ0ECr
zmJZLlrzRbe4CIn7j7yrV7mqkOF0Xu2o/tD7gKm7Cz/gEZy4IU4MjofMvegZtQlBZp5Gu73rzeyt
hZNQ0sPCVesVjf0QKpAnTBq4gjQ7AaYEJZafOiwK4SjvlfiF3DofnH7JYueysOX4Tm7isr7tjYce
eH/Tk0JLLrMC+m7GixxhHQgvxV1ZxHs7hV1a7iuwQYtFm+Fu36OZYdU7Wm6+7txgjQhAFC+9JOPD
PIQ3hEswuGi7emo3RUGAxMlPaTEe7Sa6tETIUqJWEZS62jCpBXrmLXI7SpsvgMYMgC28mqj+vQkV
+WIl5Q3iuDCuVlndVxZPM83hK6+ggHRI51OlbWrVuYm5u+ZKvWUqPunx4A2qgdFtOC+v6LIGFZLG
jzFKpDXu29rB81+QYe8q/UYY08sct4LLJwLChAWiZ6AECYI9W7FfZjFxxZQcyfQ12ESgXj3vhTaU
0ZJeAmo0QPGV1Z1eyrOs+YtLkiOYAgMa4bSaEtUan7uw2OJZjfBcKm5aRX0oVZLp+kdnh2+DAbDU
TCCvZe+ICJ/VlKyKtnlkHXlh88DH0w9U5SjzylZNe0WFlP23Jcf/2/ztfzPkKCZKwqr//l7h7X//
rzr+jP66WPj1u353R6PK4WQEIQo+ydVMTva/S3O6CTr0T/+f3xcL9m88L4jqqZgfrb/5037P3i7k
b55/KHq/5DxWUf/CYsH8Z05RrAbsrkCiGjoC4p+fqh2NKDU8RICG8B5iiQZewQBbxyS7nCYcES9M
04fjHOOUXo2OGXC8jDZ1Mz+CCxCMLvEHK3k2jMsjVrnJTWg0LPA0/kRzAvdWAJJUSqg3wrrQ/Xu3
YGmcJv5emrwtEd4psx+n03FTqfIlrsfr2BSs85r0o2Goy43gpt7JsHkRgyTOU6SUVubp2QLc3Cpu
scKKzZYvQ9RO0iuRjfugUJ5ingVVVbwyeLIfAVQ8td0a+yoIGDrGYO6zB8gGgGtSu00dsbWoZHO1
9sDA/t4s/4aigmmzqkcd12Yrec8nPzmNNXQJWH6MB6sUwyY2m3MsMhoO+jP7+TfCPucQc9rK4YBM
IRgzo3VJzZb9Pu/OgPjszJlxlMWuU+htJCkSGMVpkj1WN/oq6BDPxxuZ/LANzVZmx1dvpYy9UJCb
gtb1iXua/pDP+2BmDa32z4iI97GRYWrLlc9psGHmBN964u6gpwPwCCbPnNUna9aflvqtZEwvZmbh
aAluMtbRmTnckZ4BMVBuSIvuG1KBduPyL6pWsZJlR16u+TCN9M1QDE5bw3lpWouD8VZSCtWFiFky
D29rEAjqOD5wxfhlV500vvZw1B/ttt1kznAnQvuCeWbnjoBIldt4ppcNa+y7Bd58ZRM8MgAYkV++
RjUcvSg8Zg0dJjp96kF/rt1gP40PbOW2Zfem5JQYdQ0HhJY992mEdufO5ngDpud1intkhJqmpaSa
lnQylHmi5HQlhN+86Xtkw+SBnzLucBuiwkSG0U7Nw7BkINO43HLWAQMKJfvS1QFJ77DDkmbmBHIi
56CYA1aMEuDkErAUJC0hx7+gbGxzEpg496m76SJgqwNUeG2kAUSDd9q7ot6Bv5o5MGcksgXW/Lqo
+CmNePWKAXwEPrPGEh0mroGvx9A5i6tUTrvAXbty6kCNm9bKVBMIe5X6jvXU3g7SkSAasBAmlvWZ
BeGwx3ty7Xgze61SKLBj56dintSN+OrDjkaMQbJIMDhAihEKbsHNFEWbiFuc8aS+qopt+C5hg1XW
Nhlh2+K8YKaI9ywihLun5tpPdHdL/PInnYHLm/TobQPMHxeSkNSaEOEM8uQyTfWzkx5NCOjezLjv
ORFStNV88OfkSoqaqoRii5S0DwZmEUUijM/BLgy1eq26OZpMYJNN5l5WCLaOfbmp9KmkvIL2u4Ir
P5FVtacw8TFGFCH0DxR20UnqRTBpI/pAQHBoGlsPy9631tjeZu135/BYYTpqdwAwbiceTBt1qkzm
HA4rYq2bXJPF6JT+rJgXI52P3cA11ecoSEYKbJ2TYuslU516ijiEFWQbRQxvcxU7QF5+OuQg32X3
hz/qkuYUnw1hWHnE9l7Jut8P8LXAU836YaS8d6W6yyVBEMzTDe1NTelGAKhBbZcXm+33bKkvTT72
XhJjJbVjcKbYdFneSZ4kmnqH/5PIb0mG2BzpMauflHGivw8G55iPrFoilatX7Z9Mld0w5S9oZt0b
9/BGi5yQMviu4mzEKSaF1VItJZOG2ayTzHmpIjgfSdhAGHbNF+xFw9pOp5dc46RrUjpjK8YJVOjX
WLHetEu/s3niyyCa1qrGhaVq2XMJRGEbjdHtPJo3vTbG68Fq9M0CzeJpaO1aSajlRXFEfyhV7PYC
hBruyZGk73UkuGK7pe6Xs2uv3cZ+5wzNBRMynUox3ihWdi51RnK1b79UY/ooKFYuOhmypu6e4W+e
tVxRVkVBsiQKl4uHXvRVL8uL0TxnYinPQQ0Egbq3UORWAQ5nDuPGpxsvaR4aNs+YasSKtetPEcDu
NPi0sg6xzcEiF0f0wKjJl2pb47adKE6ILEgCtCDuUjWj4NDUnuAfx9yhCO4wn70KjGXD0H4cRPQO
Lm4kKQSNKIBBGI/d1qAL2AeLkvgEVuh0KyyY2UH1IfB1rdRJsIsPSeKwLvNMm9XaOEdrMyyopaHD
CzQ/tGg5ds92RLCuj+Pr4vaEofqSWEulu7hXy2VRtp1K+pL0xX7Cmw+cn7S8TBp3LAR+UtW6rzTD
uukMWo8rtfJ7JXpp2YnvTLJGShvW16Ch91R112E5X4UoTiMZRSpAACnnLajSXNuxA30wRPq1PFFW
VW2zyxXNo5Orqyya+m1WtQIy4ng2myzf9pHE0pJepA4bwCy6F1i8ZwuS4CkEqeClT9BhVYCKJDTk
U6bCA42QG3rp+nYi+yPNQ7PHKdulCmfTuEBYq5i7LIP26xGc5RvFQANt9Mrk9Vj1yr52Mn09u9GH
gIyBm0PsVcPJPNoni/V/gcz2/w/6zCRm8x8Nuo91/Nch99fv+LchF3K+7lLAqmM3c6w/qmeEkBhX
oYdyNy2omD+oZ0vlu267ms1VRz3w39Uz6zdSCLaFkMpg+gs7+i8MuZbxj9EGmixczG+CsCHD+V+G
3KGsppjuGaCXRfzT0sJZ2QG1ZWpKCVgVrkcO3bjlDS+e0luVLXa5rLNhBx65yGp/cFIghnb33UZi
pxOaokaR8N+yFg+WBbnDplwi6kxq/DlmqEFs0p0FObas1pNlyd7ieVPscZ/05o7yXao+l4V8SdMN
hGaJfMOiPmJhL8Sg7sH0J0nYE7/NrDUWYIAkESjI2FcZtlejnH7KaNrFpbjNqugjBkjAyaMmIQVa
ysB3uxJ2GK0De42tbz+05gblge1T0tw1TvlklsVtGlKa6cyrvdGV+3LqCR1IGjwZyVdGkusbxQqu
WWQdeoWaYIZuLyuT27Bb0vqa37IOTODolJ3gCxdi8ofA7lbB0rrVQMon78E61yyOQ9A+T1XKQVZE
m1h1d6Op3cyBeMi04WsccMOlYDlTgcdi2So14myTtSAxTUSvx39XOcAwNNz1Y+4ykC3NfNC/Lxlw
793Ec2Fieus1ax04LJIT0/VGTtTq3P40qrh3B/U5x4g+mmBNVPTGHGgQXI5yk4pyG83dpo2KPQct
MMRnozUPQII65FLtfqosJEre7jM2G5xA/V22sL9cmELAu6Oeo0bElDnJ6IVf+ZqCi1q8iELZ9oQN
6iB5CcPoYFTptzRbKM59dEhnQuwTzuzAGvysTd46NYKnz251pVfpsTExvtCp9xO29oMO6oh1fv0I
R4TXcoUT3NWAkjb86N2c7phQxfyOfX1dmdP9EKMnxdW7Pug/Nj5Bv5MZwf2rU5ItTLBaekbnPkHj
OCeW+c2at2WXMWDjAusyM7mCYQDGLx2ccbFxRjY5prH9aRXaBuhMv0rZAvf9IPeBU27I6GyTMdmH
7oD7HnZ9qBovPe7jsDRATGuixjndQsG4ppLVTTUFj9lEa9PgPEcRa5C+cDnPRblHbACDZUXGyNyW
dQPG0g2enFzbj0583+MfPXCaoduUH8ccTH6eYnvRU15yMmd73sfRoi6lr61eX0mBfNTk7Qfq93YK
WFAfkitgzZm7IUhx5QXxOpZh4hVL81KeDzGWNG1rxe+WxvkLZ3/0I7ObuSI9km7oLbTlN6Ygbv60
P5Yoe3if5/g8BSAtPKX6pC0nNL5GXOpYicr2fiI7OPqR8QqzwOEDmPk0O4IY9VOX3gnj5BZrvUDi
XuflLQWEKEc3bXaftLB4Dg7TrGSzuy0sqAVnTVwoshzkWre3lboubX5kNwGhhxw3JV4vo2Z4osSq
T9KVEV3V8qzHT2nPJGOdYXPbo/QGDsRWcy/Cbar6GjeFXV9UeVNBxhHBrapQSnqez4GarOSI2T2j
husazneaxfL/cY7uJ/VuVC5afpvo56Z+CJ1tat85+ZWVmN3YXKvvFb8XuXLF34vSxCDHYk1nPv12
rJuIRr75YyofSo2P7ZXl5ahTYqh/luFFGbHLnfnP2n2ukrve/Ym5TKsXNZ+9rnmGx88JFclHe4nM
V8W9r3O/bzdT/BGadxMHTnwGa6DLzBh0P6kzQ3IoIUqExNQ4VxOcpurTj5ubAKmP4ts4fG4CRG8z
8d3mecl/jOoEzEESLxIHgF46OZvW/rYB/c+UNIR874PlWy0/ZPoWjfhJ4dDRBcl6pDgUfGLXn62h
8TIj9px68KWL0hhl6w68FG6gVUz7a//dAtUrkANq7T0kS5seVYLh4V2HX01CpdVfnPg4JedUe7DD
YxK9W9UlbgFxYp+ggGCllq81cjulw36LsKNMFyc+aIv5k5hTxA44bFwKjPoNLdKrGlIjpc3V84BX
czk1RN0lQPupEcT6O/pxkSz43vCxFi7KafY15fcWsgTVbytDISoTH4rpu6u/pvAeHXMVQqJSq4eS
46WDwWyaCAFQKjATZXYzCpSqyMv0xyIkHFg+qwoaFwWSSJvUpIAQrr2+NzjRVJuALLfZcudhEtbi
jCkuISCvwKhFfYID5dEjUa/MBjCGlqYrkiHhau6x6VGIuoG0/+X01ocRQnK2+/wQy+Fbascuhyrz
pc0MoZa+vBPb8EOgM1d2cadyStup83mULEmKOgHxW3CI5tXuUZgNDA7VvsT0B+sYyHxSbJSeg8vQ
8bEWzlLXrd1KLh7c03TVCEjOntauy77jjMEbfxXZxJ7SJN1WWp6v5VC9mmUPStd5GCm90bgnbUF0
nmOyVkAJbRVeu6JdWuTdCx5hnhzVKyvBh3oKt8J0LnIsQYVSN2UCFqF4EjE5xV0xBw1HzQKzNxbw
3EFeCa41WZM+N27Lur5GuTOSCdG5hvGYzbNcCnZWue5G3iBYjOH/I4tM4Cy1HOGFAyknR0mvvTM9
m8uAoIzyG05agdDzranR6FdRcksHBc/L+Ul0zpMiOezbwcEg9QHKA+k0shSWYqikOq15c83juh/d
gitCBa9lPcyzdjW77JG/gg1BCD+6pH+2uU5Vdxq0Gn87fy1OPulQ4lBEndwMiXnPrOdpHWEVLrnW
triPywqf5ZS9FFV5zuP0rNPU7o2pvMQB3eZa+5Lwf5vOlq9q5b43QgfRMhaHWcxAzyDllSHc9nh6
sCqSKjhJOTmqOKCb+9Tps8Mkn+Ka279K7PjwXzD//7ejUWJC+49OCU/v3dc/HBOW3/K3Y4L9m2aw
B+cVjsENA5rFYeBvu3DrN8jGusChQxLl18b7z8cEC6vtkkMR1rLA/n0Vbv0GI0T8W5mX/i+lVKx/
sNiZFjgSdzmN2KZKA9efN+FxjyIrApMjQS+yPbslbDXwGbe409ZSHb9DF7NVYxW075p1w8Zlad7S
WKLWpCz90rGLTbfsVIkCE8Sa1W9l5nBQ9qnmVRTde5ORT0fdUOqV0wtY9kDf6qz6KKDhcsLXOfrj
gUpjkhpmfGVkP6hsa/cpgY2LGfS8JEzXWMLE3FdU8x7BaYqHcDJ7PwslOBCYvpDbOaTHw5TsBtGu
VCkNv5QxOQDisanbsdTKOeWUICZ5ykh95wCmcMCmGYuOajAUW5aw107wLHQaAqzCRsETxXcw0zSo
cZ5Wss3cATHHiI9GTTVt/3/YO6/luLFsTb9KRV83amA3gInpjphEembSiqZ4g6Bo4L3H48xzzN15
sflAStUiKam7OivO4YmYmzIiBSB3bqy9zG86ihlVah8tNWdn/D5I+Q5Lx1besXQM2OHUbKDDNVRc
3mIeayNPC9YXlEwllFMUOJilu2oBEMg9H7zYBCyB4ptVT5qhg7eLDWXH5LMiMYuf5MQFt+1Vn/IW
ZI3uoz+Nnt4uG9t9oX2SEVfbWCGMAdFElyi9ORrwcYcWMLZgJdr7Sn9aSBlohD6zLhJO5z5p9F3t
1dJMK0E1hWOJ0rKcbvJKnKX2MkhDBDN9I1wMmDVuxFRwSMR6PRzg20EV2NtYjyPsBJkWH+35ZIhm
Va63arxM4FdU4+vY5XQAoxZW6GRtnaLs2bKPlHQhB9bcagA2+TpQL3PET4e5Z63CxhYcRl1Kr9UD
z+VmgtO3lE7gdpkcbaLa0MqZuTjMH9EWqeyyPGIglTiRzSGL9dU6zgd3VgYRqMvmqQwHTMn9WCHI
D1edlaLr7yHFHJmmsU4SK1pi69OGD2ZbSBfm2O2aiJQXQQ1lYVsA46typOZAbYPysQfHAZGga7x6
U9Ud+iiBPcuxBqtsE+9JI2aaoRfrMWCiglq9djzN9UsLv7WUU8EooouxUiL+BHA6sKwQcSFHzoG3
t7W8H1S2c8F5D9Cp2apYgdLO4/DsLL1fyVZl7NXMutfy9NYNcn9xPaY1VIu+9k/HimMXr/SCEbnG
DhgYNVhU1lETUCj4WIqKXFvG2NjgeDYvSpzuzdrb1369lM2gpkcJe6oeTksMqLeitY4l9yo31J1h
lOD0qeIa14au7N8VkTacS1q0op2mRNro6CQlI+pgIrTW7kjaTszYjkL1kRxt7Xk9GZTYtetEXncF
RQOCqILyss98p0jiW5f22YyxAjJsYLQUexDLBJIn0BLcNNzeAbSZro1OXNOnRGomM7xNmiAnboAx
IO/oMWoIsE+JUyYo4gQBujk+RjkdTwy3wDkQeiSBnXiYLywEdgrfVqcYBy4E4+4+g99VuZPjfA5V
1I5GwcHO/qlzsLLoFKCxdJYFxgMm8CE+SNsEtRk3ScNdE3q7vJPQQ1D7ft5AuQNM1tckqS6eT3I/
zoIzHBd4Tzv/3gYwlLmkoSWK8Zuwxhy9FsHK6uxrvbEodzN0X2Lds+YdUjvaUw3NLYnNbBUjArHw
h/BTp6+kBoRkplPph329CTvpJKpGDfmGwQSgkd9EuU+elHqXkPU/B2V22+XsciTxU+Bogb03Asr7
nAxcqZHC6V1xygQHZfQaABPnExy6UX7SYnvdqtJx2DxInb6xDRdNRxfxg6Ihs6ZVeQtk1pzHQWah
/GdWk5Ft65ReGp50anM0liVTT6SaSX4meK2lKBtvlOWNyQ/VFH2mYCQvTD24SHIR4o5ehf4cpbve
iXRMB0FtO4ZmTTIdzU4eRLhU4zRZ9BL3rHJkl7RoralkuUg3RshyhsbczPKdEkYWpZIkz9WWpU5E
DhojH1d6kRaEM/cmN3yEcszkUlZABvm+8CkFakhrqrGM8eZxGvoDqCjUJ+Almlks5aiSRiXwxkE7
ilUV5WX0nhxZvarj9FZJEvQzRpZGRjXYKj3awypUwKCI6VoDjHY4Q1usGvWAPlXpIEjUwqHelb58
Ecsgb+oa/hgalCBrwiPwgvD2G/tS8suTRmVOk2OMRzK8xPC9xCLYt7V1atefvcG+8itpO/QgfyY2
visuwwmzVoqeHsxAvz4p100nLvCeZzidFicySllUXfNa9s5CtUJVFJK9bl1FOWLOhbRs8QD04/64
lrylD7DaH/ojjIZg8phludXB16DNbF9hrEjLnSFb5yZEsQc5jNcQvE+z1L+BEY99C3koDtnU1HD+
Nxp8LlQJhjmYu7npSvjqRWKm+sltUrQY2YOdBZioF8ZW5P6IzAZscvGgS3k5S/NhxwwXBJSPYqL0
CQb8brqLBLx5lPR86pPwein3WiBd1FrqiLhf9B1KhQUTV6+yKP9kVFRKiWqHSTWdDMsYNnoAcMl2
65temGKVN/7TGKGKC2HUgQqJH2IZoLsg0fxlEppBgbXHfVh7yiI1b4oIIBEnkOSF/haE+Rnuwjd4
FCRHTAODE7bAGv2p36IiFSe4G5XNSdVhk1f5tNk6idmqHpnMVWoLmwaV2YtR59tJsArJspDRBy1X
kclHOJ+hxqV5qmOLY0P2H2JsE88HGsvzOsmv2HH2UaajRBHkFN+S581zX9NXMhtn8kr1kQdQgJ8b
UOMwdJ7XBjfImCkx/VK9kwm1bATRvGp1cZwI9xqhUCRjkS07sbrJyBHFGOihmyi3PyFAA8tIxL/l
odWftZkGh7Hnlav0hxpqwE3kwx8AxOvOY725rkioetdULyi+Y2NpuI1xZSsMmuuug/ts1ZNTFIN6
twhBafdqfGr7QUi979L6dbOzvoE4YJyqxQiTqFyrNug00LUuRTMpmIyNJ1IubrxgjqhBc/RSx2Me
sh7zPFm5prRvrSxbSnoNmLQy0B5viKZ0WOJQWZq8ETS5pTOvK/21NiZIozMpU4L0OBdDNddEc5HX
TLdbPN8k15I2qoRQzRCCzuyCQV+2ylVoctIg20ajs0MoRBeuvhGteoeQUroeRHtVeAR9kO/+PDWQ
vyjdaksJCQjCR+S0gFF1FOFiuMpBgMS9vey6EKbj7WCPx4kXP9ELX5EpCSfAdwBWXHbS+osB4CNU
D9RSMgVxcq060SPvsgA/l6b9Z8h0Tzpd51mk5nT2tKeikHdJsAewybzWbRP8rfujqkfhN4fP67mf
THyqY3clbG/LvNnA1YdrRyX6w83CjLNTjtS1h0oNctKXqVpvNIRd/MS/cBvtvgwvs9ICGRDuCg0V
F6lOzmqMK2xQ7bQ7oOFlOx2yp5u6O99N9uGmGwCuFbgXAZ2mrs6yHb5g6PfyxHG56UWLhjCqr0p0
opF9INF9lpQ+Irb9USlZl7bqXpMi3mYdWaamPnhZeZEil6MoyTzJc6DapXw/eBQt5rjpAL0/h568
Q+MYRgpQFFCb4FAgx3E/UDT04IXroD30W8O3CmDmEssXoLmkuXKs7RoccCmml51SnHQd3SboCJBh
LiJdrDGOP6pT86GQ0rmrrIH2BrW+BqDwGwDcRRXHEFFR/EmruwRlvFnIINvNqn3IdLhHE6dBotRL
64XpZbtamVfNkpcbTLOu7TsicUkDnsMZvd1UHk+tTJy4BR+5oveMm+G1hQA5vMulSJKbwlhOmGxm
gXOvYytFw/HI3DZPGr4qnLbqAYXxdC4nDSgeqTueFEQYccKwh9SrKdiAqzTrkjxEO52ORC27FyDT
nx9lJVMKtS3Sr4Yq2mletAbQuS1kxeeAi3eaIV3T8jpHGWcW2wDm+TqIkg81qti8nIjCd+I+irzr
rI9oWWWnkSsQS+yoLkHc017RYb1U/Q7/Tm/e9AR4WZxVioLbk7xAEuA2H8yLEANaki20y+0r5Mn2
SkMoBDyzjxp/A+5/Aa8q5WTglhhBc9x5W3I38oBqHjDFEJ5+r8cu754d3Siq5gy+sa5MOFvIO/mm
e4Vl6LnohiMTsHsFKnkO8xRRbpRWTT+cGcj3DPDA825vFYozhOkGrP9er+T7tggxNrMvyII4u/t5
jWhfJIe3kGB2lsnshP2bKvtAi5tZENd3QW6fq9pDa/UnE9u7HuxrLbU+WZ5+TloyT8rwFm3nU3+a
SxRxNU0K2maRNAGjcTAcpGJKsHDx5G00l0Zv341nWigz5pqlUuFvpaTd+mma7hhjAffV+wEX9mjf
RBCIs9jddyKQ590INUouCzgDUneNyjFZtzlXdY9Q1VBs1Ka9USr7AW+0sziyYKAqrfNXd9StWtE4
mpHZpa1vH8lxiCccelOIMiTFkpQF+ZwKI82kPvfCBG4YaJGZNaYnZWOOs9R+UArMkGxRDOu/MnkK
JBtDr1mqIH9kp6R7ahOZa08zTkiplVlj6y3cfqpItYElok1mLzL8ulQf7q2sf/xrW9FRaDua2E2U
0gFoQt9J0K5f1UV/22qDeVQzdVPRR1t5eUNHukFBLgZQWwEJx/Ce1M4N5tmQ7QGw2FCVJLDwBT1e
QVu6MBnSJ2USQepFyFkGWo7ODcOROs7HZZFHD7G3hotUOK1GHM2SXALdmy7sVjYW/7/V9s8Zreil
fNMweScKc3UX3wXVL//jl2vcX4LqXddt+ttfh/M6FbpgQ8E1tBCC+UfTzTRpu9kWDTkb/Lv6jTYM
zFZjGpkruo2AjDrJxnztusFsNZBHtHTNNP4I9tScHuk1qdWwVVAB9HcABjCk5sm+FQBs7XCoApfA
mw34f8k5w+lOOYpzAOU6Q+TEhrLumijpovGUxB5cJP6Dq53Ear2yMqSJ3DbcFAiFuDIFwqgPj0op
6wtdAMkRWUdE9DOuU5X4t59H9UAVh7jgrMphffbS0kCSwOmiAXfeaNx1MYFT9qTkmKYP0O30lEZ1
3HbeUa9G7aKzlg1DFSeqwbLnxgU8pEsf2Asxm0OJJj+NsG4gtUD8G8jNTsa/A2OP8CiuqdRdfeUL
lJy0gbCDQ8CyKwn5uvHkBlq/zMz6M1MGWEwN1Euz0udk/3dhWsjok+J10pufg4H5oS8qRj2hQcym
FgtDRg6o6/bkp47CeGQuyQJJ+qRfQ6Xs6WmBEEpQVNAjI18UnnuuR/RQAhprizJkcoOx4NpMcoBS
MYimULZ3GFBcFoxCnCTHQUGI3/RRU/F0HsG+m8OSsN3MeqE0jm6WGsJr56Uh0YaAwAUhbFzgvm3R
smpIbRsBrlKxsD9B5A/YJpjOGJBR2BdYwvT4Iar30AskJ5Ld2CkDppxo9qeLMjf05VMRmApcZfMU
2V8D3ikwzTg2F5D2bjyofDRA1z2G0fQU4ss+bECsohRS+hTtCUoA9I/ky5JeDOe+jHItXRMlZrYr
e0xnbXfp1UzKPHJ0xhAeMsUqpJdiAngmeT9PYAV7ZiyveuWZefXIdGjAIaU3HA30iKNKYTGLLdEu
TXd0FBoeC7P1xAZFi13T0jQt2MqR2irYh9LGsY1MRvo/mUclApRhZTlpHkAmQhhznhJ9MelzNxle
zjNfhXuiotSXVBBMx6RChBnvNE6CjKSWCsRqUTIpYyoPzwBjrJm5zDszQTRG9IYaejOadY4FOQMi
rRnmeUrjsxqg8epKsNcbspg+o7L3SJ9QO7uCyzypFplO7+n7aOhxLUqRDmNrFFQVHRmr40XxnV8V
PWUhA6pC90PGXcGnEZITAd+49bHZWJlBRxOpN3c99GTb5H8yZTxFCS5ZUlwutUIC/qeeuPGdNyDX
IpnWUk2w7TMaGqKFER/nPqJpVY/C0SYhXYTP7CLFU55jUFttFAOHnpFXQC8BAVB+l64pz+UCIqUk
VEQ2GPjEkL+qyniMW/uqaZVsI3nZIlfzdZnViJR5qIFWqUp4UI5dt+3oeKmTVu9wnkFtXtFxcCQ3
PYL9TG0NrBGZyFo6VTrNRprEAyLRLP2yWcU8xIh2olQgj12NwVLVhjWENF7aXK/mEEtlv92UYeGe
mJUyGyNwCUypDKeUGT/6FLK5ARkllOj7JZAcs6K+KBsmxDmfIULekMJ8b6Z+ShUdQDq36iXTx1NU
BnAzLvnq81o6KfEKt9IqXxl+V88HWz7VA/dzDlzUgWF55csIxxgRb6SWICdZ44CYCjoCTQ1LVoIu
i5VhsqAFmUOj5Q2OnJTBvDTL5zEo8y2u7xk98hIucaKEF5FoHgCfIJMXoXWqh1srZLCMYeMOhf+Q
j8pQLYCWCS3+Mp7GbT5zt0JZJtMYLhEDEEutfbDhpuICaWN8nkUX0hDBUvTxStWScqWZ2Y2I7cox
DJITm+V2SnMra+msNR8wLEmcgk2wcqUHvi78eiztVBrHiCuhzRW1xqfGXA8FwFovNVhRgEKzxJxU
DrwzJccrusvPhEd7QjTZuuuPvDi+CCx7Yh7DoXTJcvIryQr1o2wMtgIjxkpWrbkhYVViqgylDSQ9
vVJJd1WOtNPQTOqdJj35/Bgl1GfPSm0Q2MUodCtcGkKS3CzaUKXqttWz3ouKhVS4dEuxWKgVHXBj
B4cWhXUFJc3rCu76VkV0xsW3+rjztn5YrqUgi2BdA69P3MY98UelXkYlvW3LkzZDaqdbksalHkf1
Lkv6rZoQ71vyQHrVaGz5gWnNAi1M5jJkfjLPGJiWCxSI6ejV2LTFOqr8x0GndkgT/YLGUTizU/NS
knuU6iHHMShxt3WnZssSgzCs3MUi9SwkXWoT2UJ7vKbk2EAOHcDKwDTC1nDcDsux4AhDUUFbdvd5
axTHJugsJRjkSWcJTyXMbao+uTCqHcUfn6dzETgsZdpBiG5JIO5xfy83eixfNfo4eVGiKasicREY
BQoAinfl2xlSKYDpOtG4e6XzFqVg+FbkmEuZeoKd0nAfqtuENMhppeBeD+0nAGYlziNo8Bp+cqem
7kpmCIS0gic7YeedAULNtoqkcdIF9rygZYC+jo7CY6FqSwPTJ4c9pU2uOEf9AMgNsnomJ9FcljrF
KazxKTTQ9LSNmvmfaD774MSoNDtHmvSJvNI77nRpGVU2LxdyDrO4Cj3m2jiJKX7jFENyBbySsGXv
gybxjv0Row8KeHx0NPe8bOvLQE+1I/j/oROUk29aICk4nEbqCX5BCqC+ENQVr5V8E7XVPs1skxVX
oyPN1BZ6YZ2EhXnsAR9G3KLDBwooS+WZ4K0KcDLMWZepiu4FDnmb1PUufRIReiWJvJOiLU433ad8
Gn4BwbZcH+SNCeuHmVOB2SQKzGlwacF8WVn12IKs/qQjipX0iJYVOODUMjQLAzIzgkXe3JODJ1co
jM8CeQc9kCGdSRN4ZJ2C3BQ7WuTnQu+B/+pRQxOvVU6t0lg2YKlAWjfQBcb6pJQmNk5qb/QQzGIW
2vegLJh6VMVeyLByaFhNJGpNC7S70p1TpeERMNV5xlTxIcV00VECFmOLvlfTzIQP5dimL7qyq+DU
RRd6Q3tKp4gMp2rSDZBpcIW7rKdKM5xqThpmTF+mOrR8rkgt+6aD4pzTBW/HCser6iYz4M0jQzWr
MnupTe8vwrT+XG7A/CeezsnrjrNIUh79pLhtbIa2kV9mUAPHVV5jTWZK6dS1Q5rZY8eido2E6qhd
9GGhOaMCdz3XEadNVLgHbncpRe5vUe2eJIhfW7Q3SnJOYiJweqkZrhqtbBkDRp8kzbDJhcH0yESJ
1PM3Po0dRomO4rKS3iQlVSHYVAgDMg0CwCajxOX0juH+Sv+LSHJLkJ8OfYBc7YDsRdv6jEyluall
IwUnc+fe9fJd2itbCPfrRu6Bsud35QTET7DWWJXSeMzUTczS0cwduDyXWks714tQ0oAww6HeWp/R
Gh1XjB3gcQM4Km31uiox/DJF0i7UNqBxLcTNOLKh0ABUiEZPCoaBnRbCiIiFU0G2rnWUkGXJvuoQ
dV4FOtoKdpLv3CHaQoxJloWLkEgq8SLXCeyYEvasYkkQtSyx1AZqb10PHty2ALQPhHSmD6mxiFEZ
ULHJAnNLilkyQ3PI3E/lgi8+pS0CXecuczUkFvUaxLzRbsa+pDRwCcnQy+I8qxZqovUOOEj0PAZz
aWSAKHsZZKcaSZ/pSx9pFaYbA1x/rcMrxytH4lyJ3Ig87v2AZlb/0EhTu7YbEZ2dpmg0TAQdQadv
lJUnm5jORZ9rK8IOMGrxFuwf9I7dqpgjrdVhN7rk4npmBGg/V8iUyZ8irR4Wsl5iTxLaiGFjswww
iS67ZdwUtRmi1Y3PUooNwh8v4vfBfZlV2VP9v16ZrT5Du+8zxGgCPM/+vl6cL376C/+NUPXypCP1
O+rhXRF/23hvC/fnv/G1cEePSsdVANqoqqAfBkD+d+ooOBkxOWNgJo5VANj9f1BH1QlMT8XPH1Nc
g7H5Wrmbv8qWbCmTt8Af9NahTH9buwtFEZpiTaxWy1CNN2x8TrFIsjNmx76uPPggA3c6Ps2FQkws
KU2xOV10BmBKSntYaFj7iRE1PYQLjsDMg1MN7Gsv1PUVzs1IpnQoH9UJrOgkOOoLgLl122Dm5mK8
TKpmZA3E+EDQN20HRMYjfVFKk1vokIF2aSOGcUs9ScJZ5sW6A62Wwxt/SyvwwfTZ/udqYoXg07P1
Eu9KfeGLELPgj/hgfag+p6NtYpe4E8+E0OJ1ZDAobLVH5sRF4UHOcxJYA5KKOrFVvODYuujsRKMD
KVU7fSK1QG4pJpZLAN2lg/YiJv4L2nP7fEzkZTJxY2wyPwuyTDmxZiSX1fHcDdoNpyYPszAMtPuQ
rWuQttuHeNNgMxbQ/NPSmywv1yWiSHOlyWxq7+gxULS9HWcZuW6+lgamTS3BOJIYTTFZ0YRUgdeF
RGZGYuNZyQwY0DZkUEiFtWgZzGHcw0iXqRulpoTtOSRHqEx0FLASK25A64PmBl/fU8Sklukgq4dd
KciRoZtbZgHMfnD8zJ556HGMS6+3T7rpuM9Q52iYAwAd7bLGgaA4T6QWZCj5Ic3Jym7PJu3JJsRt
rdaZf61iJNJHOVnXPm1H7axHpLu11wk4VsbwawQEIUjADSDZA4Lk+oBE/A5NcPlehLSGHLXNFg2e
Q1FoLFKM2bwFUxNEVZS5ZhEf+xbfTzJWanO7sEgzx6UxRNCAmfer8ZK28t7oburGcmwTUVrOAqn0
VsR3Z0BtyiBOD9RI+tjPDQHPKaoWMdCFwrqVlTMRXbRKgcNDc5Z09mrKwFS8sBsXYSL52upuwSa0
JRqotFyNsVomNoJt2dJk8tKjCVYmUGSzaB1F6WI6HkiQlQRKZ+7kDDUjNI5iTo4iQ86Lir+fGvtZ
jgcmyl/ZGYKoi8JFMJwnLJTrJueFGKt9gxypMVwCTJlK3/lomYtJ76IqkF10Eav/DItsHkX0IbL7
lD0jMhVl3WSlecOsLCOkfJHYapoFRAPHNAfHHf2ZEZ3C1Jm5CNzbSwy14FLljgZmxpKUVRHjgQT4
dQR97rfJMqublZ3r2wr7LFnjc5OoVrq1NHvhmJmJCFaoP1lYXCzHsn7oMG7644fMPz0+/ktAmV9U
FqYTYJHWQT2cNY/lcP5YwXSuvnKbpp+eZkFaf8r+vV/6+YV+eXy+86d/3nt+bwz3/FjPz/yzq8R3
fLTm4fFvf9HNX01VgT5C4xl5/+cLxlnqffmx9SvHEx1uE8WByTJu6i9zTH6zSj9ah59/xJcF/fnv
vPoA91mT1tMX4QXZKwv15274q5P7B0vw5grfLIHA405WgTDqBlhMkKV/+eXVEqh4+9BGN4zpSDZk
Tvf/kiW4e0iCFHYEAI77+k06IoT11mnpB8vw5iqvlgG9HsTqOXf5wPLEAPxmGcSvpiWrhqkiNa8J
QZ7zAZcBHOrBy2D+OqVy6PRDKlNhnfJ1f7MMFqoewhKIx/LvaUTz4baCZRsvO/S+/5/eY/Z7rPpj
QUEjA4XSCdLgy+f8Zg1sVohYIQzWR9Whan7ENwK26sFbgT1PYETFlQioK0zZXm0FsnRw8ADQiQ+T
LcPki/XxdgNSuM+PddBu0A3FlHnl0Z8Bdw/++5vdwAHCCvDOYGAoW0jsfsTdwEvBU/8rx8SP4yNe
G7pAzcfUIeG/2HB8sww2P53OUc4QbsYp8iFjg6W8PNZBu4GUwKKk1TExmSbVb3aDQGMZVOyksc0/
1Q+5G0xxcIgkaVDVySMF6SlNN6fy/ZvdgC6Uyk4QskF4gLM/iVF/uNhAUHsJWQfsBvGrqnAQCAPC
ELnBm2WA+KPJpkaMZKuwYT7mSWHaB4dI8SuUJAX8xnQgaOqUjH2zG2xYU6ARVShVqH7a+tSE+XC7
wcBn5/AQqdoGAhJseplz880y8FLoNhQhS9NtwsNzov3hlgG068EhcgLl8OobOsUCrr7T1/1qN6AU
R+SAJAeHbuLKfcDdwGY4eBk4MNkEnAECOhpp5OtlmPTx6H9qClvF1G2ARR9xGeQ/YxlkgXwKrD/t
uW54fVJQUCiwoiwFjysQXuCPPuAyTGKuf0Js4KU3ePfRwuJ7f5032L+qpmKTNQjj9075h4sNgih+
6DJwUpAeUT8+y+88Fw3fxAaL0srQFDIGSq8vSebHWwZkgg5fBsCJeGRYCmkkMYBg82oZcHuw4PcS
FmTs8r68hP/5bac31cBLY27z8Le/wCJ7Marm2zkgfaKGZJZKlsxHncCVb2MD0yGOEiZEz5pMxkc8
KaaW0aG7waTNaE2cZSLkM2T11W4gfSI0GuiskjSY+gfdDe8p9/9GB86g6UTKbKsTK/zNbiCrwKhk
QuBOCrDTUfK87B/spSDpOXQ3UFPYZAYqqmMyaZT+uu1i0a2lKYMlJhkFlKWXiPzBVuG9Stu/sRng
0tOIVNBke998sigwabaQRzPy1TRg3h9xM5Dr/wmbgdYSR6bJfJ3C6m0SyQYhiSZrn4bpE9L9A1ZW
79EFf3g3TNkyIAEm+C/dp9c9OMY0vArkDAanCTSBLxH5g70U1DuH7gaa8wpFtD7JEcr0I98uA60I
8gXOU6Kj4Ij+13fDv7BWv8//HD+IH54nf8Fj9b0B4Y9+4Wuu8P7nX4ZdU2oxTbRe/eI0CHy59z8G
g39/lZk8D+S++eHXAd3zfb789S8f8P2tX93r66f6+ofr4LG8K++Rin2eSX55zOO7hNnhbfNjTfUf
TzB/T5h+fmnvzYSLSpJI/4/P+Le/vFqBbzbWz677Y+GbAx/4hebz9QG/ZojP8e/QZ/6hpOeBj/wz
r71DLw3u/4dO2Ade+yKLwfs35asp8JSOP/evDl3si3u/G8a33yOn8Nc/+u5U/l/a01z67unJv2uq
x3fP/lwOH/zs9S8rSGbfufpUvR969ZPP3V388O7i9L8pBg+9+HHw8P2rP1fcB1/9sbn3/+P/1I/x
1yf98oK+jM0PvfyuuX8s08c31wYTyPFz6LW3TXn39SpfHvqlNXfohVflXfP5P/5v+v4bfemAHnz9
+K5sqreP/txqP/jSj+lj+25VnocZh156WQafM2LX2+d+HiYfevHZd3aJ9TyKOvjKd9VjLH2CKfnm
wa3ngd+fc3nnBYLz/g50JQ69w//O88d0fIzjX06a+rGUzv3s/cZ8GeL+ebfCcPUntyJXPfhWd985
BV8wKj+/9Pdytd9RV+8zuK9oqu/9tdfp6fQb9/HjXfn3/wcAAP//</cx:binary>
              </cx:geoCache>
            </cx:geography>
          </cx:layoutPr>
        </cx:series>
      </cx:plotAreaRegion>
    </cx:plotArea>
    <cx:legend pos="r" align="min" overlay="0">
      <cx:spPr>
        <a:noFill/>
      </cx:spPr>
      <cx:txPr>
        <a:bodyPr spcFirstLastPara="1" vertOverflow="ellipsis" horzOverflow="overflow" wrap="square" lIns="0" tIns="0" rIns="0" bIns="0" anchor="ctr" anchorCtr="1"/>
        <a:lstStyle/>
        <a:p>
          <a:pPr algn="ctr" rtl="0">
            <a:defRPr/>
          </a:pPr>
          <a:endParaRPr lang="de-DE" sz="900" b="0" i="0" u="none" strike="noStrike" baseline="0">
            <a:solidFill>
              <a:sysClr val="window" lastClr="FFFFFF">
                <a:lumMod val="95000"/>
              </a:sysClr>
            </a:solidFill>
            <a:latin typeface="Calibri" panose="020F0502020204030204"/>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title pos="t" align="ctr" overlay="0">
      <cx:tx>
        <cx:txData>
          <cx:v>Todefälle</cx:v>
        </cx:txData>
      </cx:tx>
      <cx:txPr>
        <a:bodyPr spcFirstLastPara="1" vertOverflow="ellipsis" horzOverflow="overflow" wrap="square" lIns="0" tIns="0" rIns="0" bIns="0" anchor="ctr" anchorCtr="1"/>
        <a:lstStyle/>
        <a:p>
          <a:pPr algn="ctr" rtl="0">
            <a:defRPr/>
          </a:pPr>
          <a:r>
            <a:rPr lang="de-DE" sz="1400" b="0" i="0" u="none" strike="noStrike" baseline="0">
              <a:solidFill>
                <a:sysClr val="window" lastClr="FFFFFF">
                  <a:lumMod val="95000"/>
                </a:sysClr>
              </a:solidFill>
              <a:latin typeface="Calibri" panose="020F0502020204030204"/>
            </a:rPr>
            <a:t>Todefälle</a:t>
          </a:r>
        </a:p>
      </cx:txPr>
    </cx:title>
    <cx:plotArea>
      <cx:plotAreaRegion>
        <cx:series layoutId="regionMap" uniqueId="{538DAE7F-B7AB-41C6-827B-EE90E3A1AE0E}">
          <cx:tx>
            <cx:txData>
              <cx:f>_xlchart.v5.6</cx:f>
              <cx:v>death</cx:v>
            </cx:txData>
          </cx:tx>
          <cx:dataId val="0"/>
          <cx:layoutPr>
            <cx:geography cultureLanguage="de-DE" cultureRegion="CH" attribution="Unterstützt von Bing">
              <cx:geoCache provider="{E9337A44-BEBE-4D9F-B70C-5C5E7DAFC167}">
                <cx:binary>3HzZcty4su2vOPx8KQMgAII7du+IDQ41aLQkW7ZeGJrMeQJAcPic83Q/4rztH7tZtuW2qtXt9gmf
h6sIh20VC1VJLGTmypVJ/fNu+sdd9XCjXk111eh/3E2/vc6M6f7x5o2+yx7qG31Q53eq1e0nc3DX
1m/aT5/yu4c39+pmzJv0DUGYvrnLbpR5mF7/65/waelDe9Te3Zi8bd4OD2o+f9BDZfRfXHv20qu7
dmjMbnkKn/Tb64u7bHzIl9evbu7rvAlzbVR+Z/Bvr1fVjRr061cPjcnNfDl3D7+9fvKe16/e7H/D
H6x5VYHBZriHtZQf+AJj6nmcY+wSgV+/qtom/XrZP0CceYwg4lMsfMrcx68+ualh+Y/N+WzMzf29
etAa7ubzv7+ve2I6vHz0+k93Itdt8GWTgnZnebD+fKtvnoLwr3/uvQA3v/fKdzjt79SPLv2pcU/u
A2A6eRjusv/8l3moHvfr10DlM0YFgT8+Rpg/gYofeAIR5hHCkMs5wYDkl1PyBSow6aG5HVT6+PJz
Fj2P1ndLn9wo3Gf0QgD7941Kb4a/2pqf9CvvgCJfUI8wnxFMBX0CljjAjAuOXAb/Evb4vV+Q+rEt
z8P0uG4Po3+vXghGp7fjTXX/0Dzu1nMH+CdR4geCCSyowBRiG94h8V30EwcECeERz2cYUV+gPaD+
jkHPQ/X7yj2wTq9eCFjyRj9UzoW5uTe/EC/vgHEqfJ8CXAIhTzzByzvgmBEuiIuoC38TcLrvQ+Df
tOl5yJ4s3kNNXrwQ1P7ddQ/N8lBVrzZN86BUBqn2V/qbd+AigbDrY46+Rr7v/M2HmOm6jDOImIQi
4u7h9806529a9zySf/Ixe5j+e/PiMP33oPX/DqiUY0I8irnvE+w/cUr/wKXYR4ICc/EZwv5eEP0d
jb9r3o9Qffo5+7CevxBY5YNq3uz+engMcr8mHxLCdy6IuEuhJngCJcRXAjByBOmQMNdHcPlJfAVr
Hl95zpjngdvdw16h89trGb0QmHaV3AyF3C8r2DwoybCA3Aa0xBNsrwoQBx7jHP5Q7hG4yvYg+rE5
z4P0uG7Pmy6uXwhMX7L70U1zr6G+//RrOQtl2ENQkHk+hvhI9nwKLkGy8yn4k+A+3st5P2PY89D9
8RP2QJQvpeqOVX7b/qDC/ekCwUOCIY+5nqAAoLcHHvJ3ugkg6FPIfAL46PcBMVYP+f+s5P595R5Y
8UvJX6uH5j//1/7a5EUwcEfOqI9ABtlLXvwAu8hzASyoHKB+2CeXYM+nR/T+fvL6smoPo9VLSV4r
dTPc/ue/GygC3qxUvtMm87/ao592LshUCCQtBvXaF3HxSTXAiQAuQhGnoD7CP49f/VV7/N24xws/
gdv3i/fheykuth3UzV9tzU/CBcUbREIoqzn/XL2BFvwdXN5O0kI+iCiIeRQUE8hz38fCHxnzfPL6
smoPoO27F8I63t9UN7l+c3VTVfmvFfUJEApQQjxfCND095ECpwOP8jwCXN53PfYUqS9WPb72933q
cd0eWu9fijhyNCw/KHB+2qEQ93wXsHA/S8EQ4L5zKNCIMXIxyJOu8IVP2B65+LE5z7vU47o9mI5e
ilOd5Pf/CzqxD94Ecr0Qgnufed4TpCgC9RgqYtC1viog34e+v2XR82B9t3QPr5OXohRfmINXK4iA
v1ho3InAzKU+Jhhi3FOh2D8gHvbhHZxhAfyDg2T1PWAXN01p/oZRz2P2dPUebBcvpRsDisDNp0/Z
zaB/MXAeKIhQc3EfpOB94MRO/4dSzHPFTiomCDLbE+D+plF/AtyT1fvArV8I6bhoq9Zkw19LdT+d
yYjPfIiMCNgftGWeThGAbkh9D2ADdwSvBBFkD7W/Y9GfQPb70n28Tl8IXpeA1a/uTe+azxyqYY6E
C13qJ7wDZj6AbzAKohRwRPqHruffsOd5rL4t3EPq8qWExMv8Lm/ax7P9HHH+SbfiB8QHhk584SHg
7PSp+iQOxE6b4j5U0a5HEFz9PhZewsRN/j/Q4x/X7aO0eSH+9E79Wg3DAyoB2iBC0OfaFwgFdExA
1IWoR7jnuuBrTzH6gS3P+9HnRXvovHspmsX7m+H+cY9+iQcxGMAB5c8nEM3+ODMFfRIObRJoNX+p
wR6/+ovEdHXzg/GF5wH6umwPovfhC3Gg6yF93KZfgNBON/KguGLkS/sYZKMnpRUo7wTqKgZNL+HD
8MfjV39B6Ae2PI/P50V76Fy/lCR0/Z//hlnR7HGbfglCFEN/g4JU4SHoYu0jBJo7TEdBRxLqYw6D
OY9f/RWhH9vzJyg9LtxH6v9XIv4lOX8B5Mm878/P7MLsEyh8UODuYtqOTj9xGehG7VISg9E2UNfR
Xkdx18r9PFv85/Y8D8i3hU+M/25Y+X9nRPfPx3e/DTaHN+Ym+jwR/d0E719f/XyLML29t/Qrg3rW
a77s1+b+t9cenHKPou9w233ME/b1hyrrybqHG21+ey0O0E6BBSxhpO2zcvT61fiwuwJSuwvhzoex
GpBxPbYbdGtaZTKY2IYZOBhDd2EIA8a2dwLu61e6Hb5eQiDq+lBBAyvclc/fhtTP2mpO2+bbnnz9
+VUz1Gdt3hgNHwz3031522dbdwNaFOgnGLKT9D0X/L67uzmHQXh4N/4/c6ZaVjecSC+/rpZpORkL
mx9nzSAXVs8rpxSlXDpbHHX60C/JFMxFXwRFV9koo3aWJVF9WLU5WVWZjgvVfMiomldevriycdUs
PbdEciLJ7ZIlZ8O8oks3XKjaVoE70TpoWDtJU1Z8XeauG9iikjbBY7DknnQIbYMsTT9Ny7yeDCpD
1+Ko6vtGTrl79R1yz+wEgd3+4054MFkh0K614YHq8P1OlKISOm0xkU7S1lHHl2HdTOxyrHtHOp2d
QgVArZ1uamU6RinJGqmTmck0RUFW+rJP5xVrlvd6cJeYqmWTaVSFWZlTKayHJUHqfGRDeVgSP9Y6
VAm96IyVfUJ82N2ml399Q7tZ8P0bgjOFmdhNJ3uQfJ/eEC+5J4giRBZGN3Kxy6apcRNgQ856J9/i
tpQFx9ulHNvQm6dz7i7v/9qEz9R3zwaYfKACRqB96O3BgNhTG2bDmnF0cyJzu/BtoZNDGDvaVhe5
GjbG9c2pLtt3i9Of63EcV3jmW9the5JlISr7Ka5NqwKvcPJAwResM+oHWKlCjo3ScVr2p31L85VK
9AMoEyqytmArPArZaXw+5KYKCl7hCISSMu6cUkWYXHXL4sSluGz76v3k8Fh4RcBw/U6Liq1HoWyg
23xd2Pq2qK0vh8KSaG6L9yotok5lm3q23hplZSM7rH2Jq14yzwkaRKO+l85CA78lS1DrsQ1S693P
pmnhbJQkqPtqWFHHv45x7mdBX6EmsmzlFoN32o2iPVxoJVZmUR8V7ZZDJw0byAgxytESirlka20T
InvTqygpRRYMfEsHe0/bZncn+rwZ+5Muyd5NpduGtAG/KtNuCh3jDRFisnJ1PKi6DrokF5uldN/S
Mbn1C49L47ErZJPY5XBQhIPbTZPouB3qTZKP5HzKQpcWbjSr7Ix0Yyy0njc1RW+TurmYqt5ISop7
i9m6RyoYy5bIpiy64x6ZMkDTcjhaU0bLaC6bqlixCTtnes6yGLPpotLNp8zW7wblIVnRiYR26eWU
UnK8OOA12pRhPTdoZXp7tVRLJWtVrSAyLocUx9xye9ExFcKcVA5fVROZdg2KiSla6S/00ozIkbQV
aSjy8qofXS37wYtQ3qOAVvVDMrVlIMpkDFo2TbJpbss+bY4Hr1CBwFoSx8nlVOC48Imzon5/5iQD
Oc1cwYNUNDq2zUmh6lSWuU3C1k9k1oqzYahsOJDkjGdEnw7esnKXQXZTwyIq5kWqhm4wMjpOxiEP
SlGksncT2HqR1kGbQwxMSJXIxOudoFZ+sxpNj2ROnWKTp/N6nEsvmIljV1U/mYj1cO8t6fNo8r3+
yB/n8VDPY5haUQXU63NZ5KndVJUzxE5iVaRwL/NmbI86Ds8j2Slo+0KWY9Id1yM6Gyq+mp22jr0+
LMrShrppmcyLfgpR4rpbCqbKeqxUoOvknWsVlRm6nbt5DnuyjEFVD0y2s3Gk8kNsqLu2Pj5zWt6H
WqFqVaQAGZznQNNy2KJmk/cfdYlzmWctWZlCZQFLk1MI9SX4q8MPYdTjyCPVOulQGzZpZ2VBahT2
FtGY9vN10fH0iC0Vl4SUpcSWpgFvnSFI0/q+W/RbZeyHYVLpxivqkwzrNmrmkkqcXKpZ1DKB8Z+1
tWmoFxOhGQ54bQqx6s2ysuUcV9Zp15nQpyZVLFB6NoHq6ofZ0V5MO1fm7R0/h1PehKWXfBw4aVYl
JqeNl+aBPzlyzrNaOsLEQqVrapcUElyfh6IHN7GDlR5K8XHT3na82sDUXxW0aQexxDghE4kNs4RV
6xqycD8TJMsW4gzXfvG2JKMLQfIIUWJP0t7Z0GnickKUh7jNWzlOV/k89yFx6GXbChSo2XeD2nUz
ifoirCc6yNRTzkmOTBYI4+vIr7JSKuJe5dM4S1yMK2hYAoyN/TDDJm1459wCzekClp8UeVVuEc5t
OBcDpPq500HnMSObYV4vfXrteEaWtRtbV5x3YhLbvkxuMjTeN+5Qx2053LPcHnXGXYLU42Ok+kuH
tqNc8kmFqb9ErRjXuF+GcDH99ZJZK6fJDlG5NN2JdfN7rzccwrMhQVP3p17SPkze4dRxFaC0ttJm
ZRfYqnrrpjRsF3AR6DaUkk/DyZjmlWxLyMS1yc+8spedT2xIkZrkIICdMDDH9mmY9Gkr3WZewky7
t6M/3ZQlyoLUNTZCtmMxbZd8w2bTSrNMQ5jMTRG0c7LWXUuipTI3me/Hn3PqVwL8lah8oXB3bTfD
QE729VHDbz/+6yov8+7hPr/5/Njb76/vHlb8/afji/jyL9+wjs6j/Tfs7Pj2EWDGV7t21PfJD39g
4n/Ctb88K/knF58Q8ScFx2N5uSOphAAV+/bA4x9J+JdS59WbVxdDDrPvu//YfIE2/re5mG+f8oWS
Y3QALUNoCLowYuv6QNseKTk7AOJHGbR3QTlnMLIJV36n5KCS79Q9eIJyN5kLTPmRkrMDQaCXJUDf
+Dwx7f4MJQdJ5A+knINoD+MbYBo8kAm86SlrcnOd9jgH5rbYEoIhnFZh2ixkC/yvGoaTxbk1RhFp
RIK3lbCurGnGgyUhs7ToJKeXadouJ8AsJwj0Cgd4YkT6fDz2yHlhqlqypg4VTLRGPc0g9iNxL4rp
/eKVmaT5xWx5sp7au2zpUdRYd5CuIR+0XdqN6obVWLSFdKZZSd157apCSxGiamzAedJBEsX9FRXM
lbge1owOy/GQLpDsRRmyinorrJqVo+opsO3MgrpxWJRPZIqJQ/rA8jHoGuesyxO2XvCQStHP657n
5lD39Wqo8uM+xWVsnRIC5JwMkLxMH45Om0lM6neN1Xbb60JASKoWCElaOj2Q9yxLlTyEBGGCvDBD
vKT1LeH+6Zgm0yrlUxNOCz2fEvLQ9UkVZcPAopleDrwmgVtayTuEQjJxI3lVPFhq7+pyNNucfnTK
I8wNzqQGBkOM2FrO84sRCyfq7EhDmi6BZ0ZXZqROt0BDb4e+w2thxw8Tdzpgr/NGpK0jfa1OTV2A
bRXxA6aquB/0+6noP2apO0sOm677Od2OpQnnkWeB6fItyhAOW5KcTGWhIkTHJrBm2Uys1HFmpZsO
3hHzbnJi3cN5yS/SniThVPrH0DgyQIpyFHBdhCOumpg7wCYy1fHIFyMwMoiZtEt6iUZHy8WdJB9L
fQ6OFcAcixxbtpyWxK4H3h6mdT3L2ecimrNbquo5KjE971k1BX2WHNYFif3ajfIRxzVGWViljRtn
nVtJ6mbvEtzn66oeAfAcnxhjLpXOSdQENGZpOkfph54xJgdXb2xeC8ikCuqmpr0QeroWtV5CP7Ne
REm5daoW6rMZpUFSI33mWAjNFT5ExPEDp83Zyk50WvVeSqSu/UPgZGNUJfOJi7J1T5NcdqObxeVE
Ctkqka3csaGRHa+6AcgoSlgWGVx4ARNzv/U1ucBu15z0HTrRGY9xQVnU8m5XIVIraZlISJO1ROWY
h6RxkrhXFtKyWwU5dBlkRtMTzT54dLpYYM7h0LT+u7Kuprcs9e7qxZFmyIbVTEmQuTUOe0OYJG6j
gnRpytgd6HI4ee5b5GTXvfOWLGyOjEbvia2ToxyNF85sY90142G2GCBmip+MzWzWzNhawtZ1Af+A
4BH6wI5+GTSeWEI2OHMgrBHrcTMtYx5kNT7Ma50H2k5ZbIa2OYZnhNa4LmNQE2gkPNZGSZaukqab
39YNlEQZxTJhBJKmOnfg5GBdjLKefBxwlrgB6rlsHMFXbb58TJBbrJyu/wjl4SEttV1T0731Cv0w
1aaJ0n5yjzq2dDE2ZRoamolIOQClmo+wQ5szOGkG7jk9XIClHldCuiWU5N0yAf3mKagLbpjwgawS
vAIxJo1V49MQu/ddR0qAM2sPteZAOpycy76CGGJSMgKLEhAUd3SvH50yEnrYTF5y6/Iq9C01G1/w
dwVtT2rmzGuDlxOWFFlATbvRKKthzyLmAGVm4dSj6aYbnIiIPg08MiYRg5CVLiZfm1lLRZtIKdNL
0RkPqI/bxRQPV3XR3WawZJMlWrbpaebYHtzeFyvO6tMF5X6YYXPdprwNIfS4wayrIPMtBFiRsBBq
imxW50zvaH7pBn0+NdKxxRoN5H1fbuupGreOSHhYpCKJ/HnSMZ9mIQdgmBMvWITruZPuLjaMABso
BsXaG9x7D+cFxL8+rMUSecmYbeGEZbJqItK2LJxphUJvaq/okLxNS28MiKePcT9t8zqNgR3DDfu+
WuUCn+V53cRZO49SV1aF/gIF6uSdKYWzVeY/dAW8b8Ksl8RbbmAU3EaVr7aizmzkpBRoqp2ummSd
zaYO+y5ZwjkX28bz8lPLnTMPfv1DkHRVJRczbPmY57D5eR57VZlEFGqNzDF2xSA9JlUHkkQufTgM
0axpKguVGOnxJXLhZagKl6B1QOJycx/CeJFsK+fQNKhczc00SqcqHNkiS8LEoyrKkgQOd151Euhv
6HMQuZhSEatSL3BqxVZIz0NQQ0GepV0uSw/qg6Ln/kfe383OvJ1Te1z7jXOeNOO1cjwWdO4AlZFy
zUXZ6lQ2voBSx5c+XAtFobd0SZpVMq8EDEMFY5KacOqwCgptPgg2bSAsaijbIP/qyjm3eLzf+TuB
5LK2xgaJm2SrssxDJ0epnDC9rIWu4jnNjz2nHEM6+zQurM5k6rSbnOZWzhp7Mmnd923SgAvNuotT
PBYRX5oq1K7YFG1oZvfY1roKQRuAU1XTWZp2hmIegze3MwpIKUJSQMlAeW4/uGpZeSoYSu+KqAUF
U2EA4E4FvXLFyYxTyabdjWnkB3Qemo2zsBJOHbtZ1Bg3tFlW2YgeyqoOvJKHJhFj2JZV1CS4kzDt
R1YoBzK/YCtzMr6HCp1sZzKVEuSxB9Z743qsC5nk7FOhzFvmzWsLP/td04S7Cy0zSwgy7RKYya0D
UFSLwIckBdLk0IXw1tuioGvVLs6aKDc5AbXhEFVQZ2EXaoh0at5OuFAhjOiCXGTMqnOa4XKmZpEI
lK/Ym3dVOpzXYdqark6OCTAyeJa9jsox5avBr9fEGW0MsUZLjtmmbqHyH/PlYk6njxa2q9dl5M5U
ScjER/DNRVCNBMBLehZMI8IrkgEnKg2ThXczQuwJXWAHoyO9ytnWYlTRItA7bb0hMGO+zTQZIqdo
K8h73A14MWarusJnCztGTrFL7P1Rz7ANREeORS3O/DljEvuHrhZiNWp/hu9pEwhR1I3s7K2HJROS
7xJkbfwoh8hU1ONh7+c32FnaAO43AwFnzWp0W4lkCtQCebhSLTAE7wYk1VSOXVnv8v9JPqFpS8R8
xMk0rcXcgRQ39xt3rMGb88B6bkwISNV4zFRYpxMOltoJimaajrnTHvXOerEcyQTKRDktE3yyhXgP
AzLZStQgxvpoLEDRBY1hOoJvPgNfhBAL+rcEakVPFzOtdG3CMtcdKDA+l1Xd1rIi3oZ7Jj9XFbq0
1rkdEjpuzOIswVxXScAaUAmp1Wfd4voQ8Dhsfv8JdD9x7nWOiOclJWEz+/CerHoLHC+Xyp11rDJw
paw89sujDItsk7ctUHF3vM/y5azy8P3sLTqYJ3E1JFWzQs0Ql914ofNOb0gLAlJaXYGU2Fzljr2g
zcrNVnjnpVXmbJGdVzzhDuBp7jADXcyrt53PPvZCgAZfuGHtEijzmQi0cCCBc9dGZeNKqM3xEff6
aAZvACmmUSFP2m7l8W3bjlFD03dsbNpw5LDK5TaN8sZdd1WOpYJUSZNrDkNJISYaBCWOohktVVBO
fS77jBQgVw5uMFJ4zYKWWvK5PBS0HoC3sQ1KUx24HSA6gxgLj5ysgIzWq7ZprUwTcaPbrAtg4Lo5
9HFDohZ+IUTcMb+VHVTZRzRvQWuoR77miw0WT80h80UWLRBZz/uOneuuGg7rAXaIW4GiSbH02B2X
Q4Mq8dY5MazedD0rD+mMgTK1w2pi49sMz2FaeTvpwUCSrVGUuNCuKAv3DgFRtF7zQXDnwfeqFatV
B6GovcG277dKN6fQIZgPaTIf9Vlz6/V8WBXIP1OprtfL1N+IgdsYU2ZW0zBfGuaUYTsE2bigyAzD
su1zZ93UYrvUaXrW9z2JgJW8hcnL66W0kwR5AfLS2EMmLE66Cl/YCoRhL2NBkmKovEY2bxeg4KLA
euNPfJLdkKZryGi5R+935eKg2sOegvrcjG+pB6LbtAxQ0eDEWSM8Hzud0eCV7n3fONUJx8CBEnKG
zeIdFlXuhWNuTJiPI1Aigj/WcMyll7UoEtbxglqAmI19iMID3Gy1zpzOO0qRDr3UTaHAAdvHvIxF
BdLnMJZnqkXr1lcaFFbVBAmelrCrlncKjlFqEYfCF73PcFWFSZPKfITkNEDRLF1R+9HiBdBRs1ub
jkE59/26r5JrxRSJtAXJitlbEGJ47HQKapwGWltDtoSlC8q/ruBzbALHHnoP+TC6K2yXLExZxLS2
wdAUnzIDX1IcurY8sl7fAo8RRhrbWAkP70YFd1uZpVDW5SCoZvOsV0qN2wGY3Hb+kBZ1Bs2sScvK
m64GNG695S2pIOwpGqLJ9yW4aAd1c5jj1JNui9NY1+1pzT0Q511zyDwEVsCus2FI4oHkRkI7Tx1l
s/ceGgOw+3oET3L6oCvHXhYMzgVZko89TfsjM3AQDCBQDL0aQD6AKG66U3dC2WZKWAwPCZ0LlF3l
9QhFFPXiTg0ibCezRaIBeniRVhleMTE5QVUVWy5GT1pH3E0OciCTVItcGjgJXXXvpCDfCQadQ6PM
ZlZw0FUl1jBxdQiZ+13qAUOwkFGt0p2cNAjM4zhnQQmb04mcgjzJQIwGl43aFsJk76SQPFV5p1VW
xG2xmdkDdqAtScxpkwal04CAPk8rxkZoXThOCZFwmSDdFYeDoqdtz6Anl6MPqh4uVa7LAGcecKqB
f3IEhBK/4n1U8eyDk4Dg27Qo5mzajlV6NjeQpRE/5o2fhUM/BdRiBlQl9Ku5WHcjcuFIH1ZuBc3S
1rsu63PtPzRcZkqPG64HiHg5VBqdWYqoaZf7QlftpoKR2pBBX1gO8AtRoOi3mwG98617r4X7CX7H
2YosKpMKlZ9oOburwoX0nA11oIEaQTSYgk6NR6JDcTPaJfYVl8iZ4mTmfjAa/xK2e5HwhKsjseh1
aL3qmJJ8itqkMDKdXC/ES3EqvGnddun5OK0Kn5lj0tNtY537meKPriMuB7aAJqwwFP6g90g9J1vQ
LuOuNnczqm980gUKXKkwGDy7u64YPWtxka+g9dIzctZ2TthlTky0OpwHAQY5CMQp/xNU0rk0JuVB
k+S+XOY6okN3AX75yWgOYnVubbiTz5u6XUCx5nWQ5PWDRvwOfp1bETTlVaUAYTu7Jx6UGU1K+thR
O24Kydpli4nHJfmEk/lO18V1Pw6haPllw3QCFSjZlDzbAE/sYjtCt1oVwJYct4TeQYKj5UR3cK8l
tIwj6OmcZnO1rnIIwTnXwISdrFqTMTsqKQjNExS9Tf7OF3kDvXRnkm5dvbeZn0XTaO95ulThQpMB
eNC1q90xrEh/NNVDGc4pi5UeSgk6oRMVzlE/cH4EelgLkiNcxe+s018rKs5S0xz7TtEFhQtNS2I8
EhaJDnQDTlPBb6CKS3pXNaKLa3c4gnbsmW1Rezw3EBNSn6iYytJW9LQn99XcXU4OKeMyayNuZnoE
/ZtwaTUILakfcQgJn3vFeTZc6gjVy1ZVUBW5qRONKV3NM+gvtMognapiM46oCohQchH95VLVWkLX
qInrrjqruHcNafehUhP0ZDTVwcjS086QRbb/j73v6pEbSbP9Q8uLMCSDfLkPdOnLq9wLoVKVgj7o
Imh+/R62WmipzcydBQY7gzsv3ZBQlcpkkp85LjIqQrfXaeB0IPUOWT5hki2xclvWGWMXiXLlhFry
KhFmOMxSRTMJLTelYUGqR233WLL0+tlJp8DUnJ6BR+2soQx4K/ydcgw7Vr45LiRtj6VjVXEri5Nw
uvE4TrYVNGsdKzG+/pPUCnldHUWZ32WD9nazbQeVh/XgL1QB3ZzepFSnsTCAnTpHfeXo1rviravY
egTsp8aN6tFpVNKlCVin/LNEmWos/7pezdmv9ItY7DLJLYGaK+jObR4K8FdHH8VeNM2lLE7u2JRx
tjGdiJZ7XuemD6a5AtvUNyATp+nraInXtXHvMgJuk+n7BnhrBFyH5utTnWZB2ZZ5YHd1QkQL+mT0
7vy028HzO91s2FDQz9yJmDfvaE3MpWzQfCYyiMgydpjNWY95ecVDg8ethaYpnKvFj5q5i1HoehAw
VhXxSj5U1lCDeeXy2EzkPvM8oJaY0FMvT6M0VwWWzd4JrILR/WjZt/n0lPE2UmNbJYDATfiCrV+F
ngCTtN1XdCi7aCwHHiBPL5RVDSBgya5o5RbnphNAiYsJ3UUjlpAXuCnBwms/m69liWXbHm0nmLK2
CeqVqJgWTYudTpjIARUZVsKqg5XpZj8iOiA2G0DIbDBHoJeSuhyrQLfx0KZV0hInTUAFjoESeeik
w93aZg/Uz0+sGxtgNJYdUqnqqGjzSJbNDeVmQOGcsGcW/W6YSow6sn300u5LnblPK52SeZmcYMiw
oy+q3oNKuIgO4D3LbTzsxr6Av8177xnwDyiD7k6DXaaN8MOuaxdgf9mLC0AtYGa9y6GoCPQ27HjX
mFVyDHR2kk301aWAqtaGteCGu0is64zp2UDakPHnsrvFhntpVl4+CMcADMa4MxmOdim+zrPfhkx6
z5qm98sgeFRZcx6spA5U6iV9L+K2nUlkaSg1NElWfzg29CIHl12vc32WKse3Z2p5qgfnKgUo2o5U
7cdCfC0XGpEOBc31xhQ7mfW0StDoDk0DrKn5vu6f69V7tYfmc7uABDRdHxHLvHTaT5hfF8k8eWjH
tBuxHYrj3LgfanTAzffGwQSZTUmefxLtivlMX2FtV4A6siMQT8gmnKmCvmMsonUdjivthnhFPw5s
J6sTToBsT1NbhZWagNii8hjqzSHmpLaym1BmPgutqrob5sqcwMzflUr00aQxqkx2CmXUjPdmrwRf
Z3tPJTvSNnumozjzzp4DXx15c+qUwQ07eSdr4cszccfYVMV713vinghLBxpaG7C11l0pfTfCdwv4
q2Bga8fpDQCatqsYyrIorYrubOxMBqnVAwtoinInJvGYmw4vIdH7PAiwmvW1mPsc2NJ0LbuWhSXV
j1D4EHTaOUfjwCPPJdhWVQBRIpauIDMAI2Dax65qp93EssehqHF7i6G8c0r5aWj6t/kryUTSt5Xc
k/xT6/P63Ige9wZtJXZlTyULZFKUFmDtfTdLHNCsaF7jydf6qR95frSwDMZsLZLanaynJZ9Pch6h
q5DKThory0I+2NOl7VHZuGOi1JnqvZhXJy4NA/5iAUK3pZ6fa8cF1ZV/Vo21n+zqYx0YELAJPL9J
rWjNu9da0QjQVw1xFk1y0+5bUju7jqbjpbqi2D6jshsMRDCTiiuZWpdKjiFXuCRFmXphySc36AFj
BS14tL2p+GNvpmRxusuwpoesVh+lP6dYzHBfTX7qRXVPofKYBh6PvsmhVrhKxSjBX03uselHID15
GVdZlwKmr+zD0NRr2HwWZLahH8oBAX2eVTolrkffnIKjdBkrooVfgzbiOiy7koZ9PxOsJMPenYak
xIZlA61poT+NFF2+AruxgslRxxSreMgK4MKEdEsoKmDMOdVu4jILOgy3u2gz3lcZYD6BwYEv2RwC
L3+0Vf+lbBs70krxwCkAsECcsgbg/gfs+C30Sai5s1s+ptVyz03jHJwCEKM7oQblaSvA2ty2trkW
bfPQ43EM/FRhxVRNe+TQOF7bpFmSllGMYCP7VFb73kB3s9QrDZ1W4OuCYrDJeBb5bfpiLCDxlkmb
UJm6ix3wSQ0ephlTWg5tz0Ds93x7gnnBJ1S9JvK9Yo103VEU90Om03rXFfyB1Ysb1vP6xEXbhd3X
krd3mdNdNXWtUBodGdJSvE3te7EBf5ZBWc7LSJDmThgXeH9zRQqMNuzMVHXXzvWHcYekGRX4H52+
UGVTsEGgPnnuBcSdaLDw9kH71RTkqx5DsNhnbwR64kvzOLhO3Inm4r5gAWFk36feh6ZAFbAoL82d
6ZwvnaswrKcJ8eeD7y4H4Zb7MUshburtL7yOc+46wRjzFcPBYNefc20/45ZeFoUL2wNecq5GQnWc
G/U59fwx6pV3RdvY9q0Iz/uVHtc3umRRS4or1VAd1PX0FdJRB739BjKYmwHSSTR0lF/elAfPkvRq
EliXwc4MpckgqGnzfen01k26fcjR0ztuOWgdiJZDNWrXR5EeZ9NKEMjGAYQN1ntuyXKU5fhi2i5a
C1McxxTgGqDKi8Yb3ZG6OIBAPCy1yC62N7wQv6+OGVaMYVr8xHIzPxrBDWGzz1UyZSaS9tRDGSYH
yJNSjPGDA2gEV4kALzv1vdechlLagPxTFVq8dY/cqDYSw0Cxuojh6BauCqHd7qOh6yygX/eZVJ9h
9F+TjncPhchi4q72lbOQIbHtHOsnYDnoZcthB5EObvxUn1RpXzCuukFRcGu3xn6OgShzCKQ5Xnns
l/l6qaDTI5iNCWbxQ+frm8k1L6sXZqNbBE42uIB5ZkxAkKkkg7M3KyiVyqFYqRRUYZNIMdTYZcSc
CUS9vLLnFXJGa40zTsH0OdwkPQRAQV+rK2gY6VkVnQQCKvQRCidI0gZMW8AP9q0ibkgytPnBvVO0
KaORjjSG+jVgfjEeCz5+Ill6xDBFEmI10HfNnhWl/byvDQSSjqwYZsSsDM2iTxA+LChGeJ4WtIYT
hkEVzLphUUV4WEy4w8sW/GeapSIQBfukZ6jVVNkHGGBl5DMskN08R7nHyrNk0CGP5YzfBenaTSMY
G6+Ma+zV2GIUAX+9FqGRSl75GlV/ZlaivPo+J1Uf9C52/LanMqaul0a5Q95mp1Exb8CRgrYXe9wU
e15ZaHlWekktJo8WCgmm7L291DTZxAVizdqYqi4NBt09Vou4z/LxYbWEjhwne8ufunoEy8o9A7B2
HiJJsHNX5ZvNQA6JNq8DP2MvztAfVtSplECEwcKhPUIW4b5T6ytUX15k+nzBQ/6OMOIn8AUlOKD1
VQ+ejGEB1cHS7jItQelka5JRFTmlcW7tedxxSN8iCCIt3A1znOeye3ULjIO64hR05vS+1F9VV364
1fyJoqmvtimDMf3cYr5YS1CNbudiwdVFgnGz31VmuCMpLvRAi+IADuixdtvPzlrXRz7UH65rjko7
S8A0W6LM4is+Dz4N4epTygzg6wIobN49AZbBlsvlY0+ax9IRD1YpUEJK6gbpPB9EzzPMkEUWFECe
AkhV5IEUFhp670VjJevrho34ztC+UsrftCeOZel++PZqx+VoR1Y2eHsYXgD9DEAYbSuyN7h/wXVr
5gp62NYOsLVEfulATjzbZL86BGTrWiaFsrBaAuwcvRIQpWG4BVf3wSltHfJVFDGFJnSRMt8Dgort
bAYv0kF52lgDlrZipxbQ5Z0jAruR4P47aF+VSg8Ym709Lvqr4XhErWITYfqgRW2Q8NNQhF0NrQJn
7xMo/WNRt8E4L18tv3tTQGyDXmPyNZLQyzQ5VZDrj1qx1y7FbNlsmKtvNyAHISMt8g1/edNNegug
6GKlZb2DOA9YHYh/yIPDkmmI+3VY0CrfQ3wIgs5PE4klKcBdVe9St3ifagiHa5F/kaIi4GEbCWS5
gM6zqc6//AdzV3UeTF+GM7wpgJIggRW6H07FmH2wDPzN2rcFFiV7jsdcvzJHHigr+Dn3WcRy+oGg
tSohaeMEjsYP2lAIB9ZEy3M5gpUlE3B08GRjPK2ga9aSHdLXHMPyuasbUObpZ0wzweKZ9CSV85lA
gSi69D5TtkKbg6o4k1ctx/Oaz9HklI9QCaJ+LPqlc0WyGuBLZnnUotZh5U33DbOL2wFfOLafm7Gg
693UqqsUof2JXXVWUkHCaBuFnsM6FlQLqjEX8s1zHY3NuZfAX7ssWrupjLppNdGsQWLqRlw5UJWe
/Am/VAICUKWb3zAJdNo4UMT7EA/GuQfJQ9+VJ2aVT1AVFce5G3QM9wHIeYFlzF8haS1sAZyo99eI
9DyPsHfvjVPdjusKsNPl75N2gZjWUifjVCTgqAGwzxe16ADcPgpdV4V9LgyKPK4aNKe4DMsTRSsK
0rWUe3cJWc7npKMaRdl3nkpRo5nY5L7iBAw8ZqxDN8Cm4ZikcJolqsAnhTVzoWulPYPZQ+4/V01R
XPf1kzXfKuDFJiV9lNXLe0rgOagGUOnIdYt1V38pFuuqs7oL6TMdG5pVMYiZG9PkFErQBjs1OFe9
AN6h2gmzLL/GQ1699iUPBk+lSVuR2443Y9ByEte9ZQ7KwDmCexRPNJnsfarl5yLvrdBmd13N3cCx
8wHAtGnitbXTMK36vUsgJ3c2Kr8ULVg/STEFz+Vp6dpYLt0N1tOvncrynZ/baQCcGxBVbTHUh+zJ
G0aWTM16qmftQU2WjjGDWEsUu7FBTcP392i6hUQaIrsw0/NbzbE0TqJ6hQaO79NVfRrnq5ou/W3Z
6XynbUIwBTWf9bgQLJbL59Ubq3ORLjxsSRvkbdR2lj7mrBhAggMwDq1tradLtxdmegWlUiZ6bIDZ
+euFoacSNq+BaEGZZqnOgnSs90VrsyQfyaNevI+5H+0jApxZPEWi8PHZLGiyaqrBRNf2wemL7DKo
9cWuHcABqZiOZrLaPYLjrMiYB3tDkPPmbEE4Eqb9AnpqRAUpuwZUaRfKQaHQ9WDLUsAMAvh05Z8U
zfJXLGkAeJ3XQuYplBku9OhL0JEKep6suB587J6jcb4iOfpiVSNURn11XkWDHc0hJ5Nf2UXVYgbx
vMjvqqij4+3gG3y/1bLX6Qjt1kaj/xcMTd06+qCXxg6yHMv23xuQnVxP96B3oXNyn7LS21XKgOec
LBVyknSCPxR+c17lCvTc4GafNwK17F+sDnKL/4IhYC1WF3iQdKHimCuswdhncZvnocb4V0zA0i0i
XzQgHAd+BwyJ+dtAivvaq26YJ5YA0fObpqY+ikpCqIMNUYNVDwpPYOvJJADh+ZaRajyWzQsp5yr8
x3XDl+/nnvxe9fuj6Pf//pks+Kcf+DNh8f+ebvgn5+iPumEY+OD7hivqr7XDfzzC41cH37df/CYX
RhgvAqF8CH8FzkmxxZbB8M3B5/6fLaB3s/4zB95lZxMq/yYXRh4sQjbg00P+l7ulhn6XC+NAgs3S
h/yN70dDfNdH/yT/hnHx1z//6ODjDF7A33msEKHDkabOYQVlhG0+sJ8sfDPrkJcP9LIfxoBADxuV
o5VGHjRnd3L21pClIBiHydWhXvA0DjDgmCbT1w4MTiC3v7gSYJCYpyFuZ92erJlHDh35houQQHb+
rskNtEeZBnKpWX/nzvlphl9mP3DAnD0bvpSr2te6Oo6gJ8AJmQ94vmjQeM5yILyFecFqnJDN4Gvs
Vaqwa/KoxS6PafDR6acoI+8+vSOTd2wlmB7fAr5ZXLY/96UfC+Ls7cZEsGxdfB8ani5WPd0PZYkO
IyAxAR9rk2CQ1X4VkLLJ6Z6p8Sx9fXCbau+sNwinDCBSurj1eG4L79kvmyv4+CqnP6f4KaciJ5gx
Q6v1I+7ya82LYzX6kQWVRyn0Ab6oJGVD3GtnX9AhWZojfBRJoQm6oLjStU745n5CxZD58glC4BsG
NhZkwyGFhM130J1tEqZ2ubcYvxbdvHOL6jJr/H/GywPFtcBtkswcKg3fAOQ9XQ8ij4ZZa5LGU7A2
tQAvTMRTAJ2UYgySQetal4ZmEQXP5Zv+XJkuzKC/XPwSLJWM+hHvtjRBNd1P/Rfi6QgtPSReuXfm
/uwN3rGYHcBw9h6L9XkC15pld3pOMUCocCyGOPP8BELYfQYdSlmM5wb/oAWbqMgO21WBBD0Qsg2r
Zt5pZ4REc94xd4gLZ89FtcmKi2Ckbiz8dbddCkmyK08ud6ysLgWWWWjHDordNhjhF8cD+q8Plhpi
gIChhiBhzoY4B+HGJa6kDaUzJ3CEoh9B8MBEuYfUNDI5fmZwI1NY6lTm3eemgmixHDdmfgYwA7/X
sZxVXFvTfK8kUEehIQnNxhLGJ9Wf4XGJs6F2I4zXoP6tqYrMYr03Ss/7drGnkC78kJf0WrX+u1Qw
FMrJl0HNZ9TzrEQzLEAtzDQXV7y5IbIxoY/FAEvo9NR7pQDFJNugSadbAI/lA5v5qVUTP9U+e4ao
M1yW4+Cj49iLfJVjC0i8v2Q49iJwewjZJtCtoDay3dxb0EaXZkjqGbOfNZU0+A9o/r8JmveGNfAF
iBw5Bmg/v7pofirvP7psfmqvf7f/7j7UFrsw/M0u/u/TpH3i/80m/f3Io5+s+d9+6bvFfotBIHDM
YAATsBrD6fzdYi+22Bcka1IXBLgv0Lp/a9AuEklg1ITvC+Z3jvfwvUEjroS7MCzDtG9/CyX+Bxo0
ML8/NOjNqE9tCk8/cRBU+HOD9tq6Y2IusJ74kGQjDnmJU5gbgYNu2BkUTVToF2X757qEeMzvQmCb
MEaUrR2mDLaaWnjDni30blV1F1nIAAgclR+bnCwhxv7HdOWJ5cNR3/AqXjo7HEcXL1qWQ2wt1Scp
3ajMlp1fqGQsx+JSaPne+XV3mLba2nQSODLAtbBI6RUW+yWofGvEYlBDeTwX0Di4RoH+ap4bL7+q
4DzGOSH3qd1dq+V5ogBEoK+G7ibPIwDfNYS9kh5rNLxgtMK88SHsVCKCiA/DCRkIfHjZfV2MnxdT
vnaNC937RgL6jSER9Id7CLUd4DPunR7re2Ll/o2XQwpsLZEFkSQfRIyEkmdRGzvqAHH6kycv8/qY
ilTHvW+dK3gjwrSBLM9dr4ex/agnVoNCcJ7hdrdvuO3eIwI0T6Toro1mb//Ry/xHL/NXehk4z7zJ
7EUBUcwMJvgMD23i51e086QMbW7voZotIMvLdgaTMWwc7vWAHIxhgpRJNBTDcZOdJFY8YIyjE1aL
x6I2da7IRhHBoLZjXa8S1TUEGlUf+CeceiDCKLkY45+1LtjOGosc0QLVY2mm/Yi0kH3WjAft+U8S
dFUIIINAKiTqPewIOeMX21cf4G9ICMtSDDcTYD1Y3/nmgR82N7wHW7xWqCFqkQTxB4CikG8GrgA2
ese45p7TZN389RWM9niLFehD81S3kuzKuYiaDvYe3x8ZZrguyLqBQSiM0axqyk/OUn4FY3s/wPyM
B7qz0BCLHZnGh3lLAIBk8wSyoQzVlg4wbzkBPQIDhLL3k8zefQcVguXVPbR7t15RImOgNAmM5NcQ
xbKYemFdl+xuktWhcHrIUOC3gZ0T89U4wAE4Y2nv+Ay62JnPBURRyQj+KPKszI7JBEwdRFQFcKe9
67JxP+RbsgQ8dWHr0wvWFpPAlqfCYZCHGcgSmH7vgwn1YtSMQrYg5ECns7vPxHi1kgkj87Kc284O
JGswcTIXGEnF4nkEAGLb+Ccx0kVrk9X3lYcqla0DpIRMXvSsnXONbAZZ6WzX1OLNUdcSH1yLDMMj
G0+sgNDcqhAQYpUyWQF3IY0CLmjLznYgZ+qgNS74SstZ9xyjNKz49aeiVu8zBP3eVAAPJlAld5a3
b/sUalFeOKHqO8CuHF4WWNt9KIjSyzIC2YUKNaG8Sfxh3PxyN7JZ74XCBegfKie93v449PyLlc6v
A4VDIXN3bl3ezoI8zZTeNyt5gu0lyPI3q0kf2rXeEybhZsSb6EkiJnZGH7iCT+ko8/keGsSkEl3A
HXyDkIBzXkDsu58bduGQuy49zFopO/UWe7IzP0lbtl+q+T6l9hmOyGfN3ctUYs9tsrh0lupMKwbH
QpNeVZw99UofwJoXOwhtbuZ8MseZDhxAUXsa08WE1Sw7KIhYHdWMuztn6gnwUAN9hgPgMJvsPJrS
kT2C7IIIwU8gW113IMDUhOAPpAv0YQlJ5xm3jQyd+fmfMPb9+0x0nredWPTXsMsfT6v5abb79uvf
wRffBeThY6xDxj0igTE8fZ/tgHdAXoZgG48hl5vDkP3bbOfAfPg9rvEn8GVLXYJwUiD19NcDRP6B
2e6PTm2kcoKWZkAHGI4BpZgvf8ReeOEuMOFhByzxBOLRBANrK3OaLP3ub5Knpp1gZxm/jC7EpT9c
sj8Bftj22r+PbiLUcYD40C2XHJf8x3/btAObXAbqIxvlvWIGrhbrk9+Ld8HkfePUkWPNV8Rf4HzK
4yGDFNCC13W1d+v+T3WgsKvdGj6cK20fBTD7qTqANL1RhB1J7z3+vXf/J3lLSNV0Cez2nMMr+rup
uJxraNAdyERq2qaBXdQVIFLkn8BCBdoZXulArwtCXbaclA6BKbbBoz9yaH2KTVpf0h20quO1ZvK2
5p2BXNS7scEZl4ykkVVBPiDmK0ugD1CTCSQBOewa8p4bM6TWjrYs0SncjJ6CYL5GL6i23BfVvLVb
DoxH8hnQDpThBToq6Lp2a7AkYyTJtqZr0H2p3R8yNNN9hb7coz9LjUYNnpTtJvRuDNPksm7tvNsa
e7u1eL41e4TY7EjmFxGohSvodFikXChdlQTNyYl15NWClrumXjBikvAxUazwcUDelu86twXnj6mD
/TJ/pPnVinlk2QYTZMj4ccHsGkYs9UmCPiPQvjM4BFLNj9LJgS37j2PlPbF5BAY+XbW99yBLc1VY
7Y0Z7V1upTvHtp5p73/F47ObwXAMSt7Vhbpp7L2YQCTM9qkfbNgIdPM8iOrYKgOx8HjoRxnXNtTd
6qGryv0syce6zF+U515XBKo8Ah/DVEB3o2VcsfazjQSBRNC5AMwedimGETtLYdC23I8ZIvidK+FB
8hpxZBoyci0j3hW4BLRHOhFka7LG7UnHZd9k9uP/TPebI6msxPUtoQHfFQwhZmM9QArUWjqG5b5A
KBDCztRwsuAaOIsChkOyBaLlSEaTMDNd2qpZ4Rp/WZBENoN9CfoFdpERIWV/rv3tf4kFQz5Yi5ww
WfogErAKAVgGh4YoMcvE6RYt1iGtYr8iZSxSTb2ZQ/lDVQxwyFRFHXdbSli/5YV1I6S07RrxKRef
cspOYoAwf6xhwODIncnAM8DmYY4EwVBRCV1gAvkerMZwLYhc7BsG7SpJH+otB0duiTguonHAGsmD
5c7PFdG3E1PvOS9MyLY8nZRBUO+PrRtwWsBKJcirq4QNCRloUwTW4IEcHTjlENODsOmzI1sYP5TA
zJda15AiIO4KkAnMTzZ2SvuFNofRRvpPt+UAlQgEGnA37dItI0gjLIhsqUGdHyHSxsLTiTyhvAYY
N28ZQ5K8sS1zqEf4EEpUH/Itj2jdkolcGyIQKOmh5MQyCEAx6ua8TkYEGlUTuSELaS8TGK0McnS4
4b90vFbnATy8tJCKVG75SJBHmAPfMpMgTgVrihilmYnpNOqqP0u4I2N7S1sqt9wl6EjMzmxZTBlC
mTIb6Uxmy2mqtsQmJDFZ4f/vQwJwmr83JPx0uPCv5Azmgy1/9Jd4RcTOA+LxQcEAFv2Wj/19PHA2
PgSQDw5fwaF85KfxwKU45BKHPv8S18Lwar9BP8CPcKIOE56H4G3f/keiXMQfqRmMBx5yU7nNPIR4
/m488LKiWkHDcNC7I4T9wYLe0cImx9BwspzEZQFmAJw8XKawyH3kWApHzK5QkU5flm128DBETPar
z6BWQpAgNGD/An6MGZLMIYUvJn+DzS9Y1o+6Q13CLO3zNnDLF1dewRhIs9tOPhLEnOT3sALBK49w
LkA5yKeDNh8SQeiorEKHg5uHBbQvaFKQrjAEKK34Oy9qwLf/cAP9ycgk8MX+fmTCnCS2oZEAi/uF
SvuRKluxftQOTKxqgp6pVcPnzGSxrqf8k4Z6CzEO+xY9i6B34e4KlqqIMjnuFYeHbsBz3kHv80Ag
1uGLCiFjjbcVv4BaXQP0zzpIfRlS/+DKKieYFre/wyyzgDWeYSNa8LkNBI+LQbev4XDfPArrh414
nd7fV+DcXPS28h1pC5CzvSj9KpvHwbxmAjZl5wEOxcBxHin7f/DC1OiL8PUue39rlQI90+Q9+qcF
Tg7dlKKrCnRXZ2uz09ZwU3ResP0+wgHRjCcWultz/ifUr/95tNW/JgON5QBw8F9Xud9ORv6T466/
17tfXuNbvfNx/DnKCU5HZ2CdsROh5HwreDiDmUKzgSP2fKDaOMHop4KH6kgAg5Nf+GuCWfu3gscA
TePwAeoxlyLm/h8peM4fHjB3Q7gFPrXLEIpPfzfUT06RqWHBmCD4HQe6eszm7jAaJL4JvbgxamT2
CYDWBKMGlMN51t5Kd0o/eTUCNqAWrWw6xojrS0YY6uAO75C5VCAiwCOQssthUPueQtwPuRkiHB1v
56/TEYmANuAwOw9bGC+jBl7NJC87TBLZI+xxFVJjSJhPeL7sJhsCn9ZHEJoIIyz0GW6OA/UB+9g5
bGRdyyxgHsy/aORHGOtK1vN73lp83zT02eWQ9Tkr6Y5SpPQ0cbG3ZO1fCgnz6ppVIGT7qk5+uBn+
pGKxbYn7acnDBUVbQyAZ2AiBLvLzktfx3sOiBM+KXuCQYC50P2wFw+90GaRuM42QLiOQi5Jfw0oK
WTkUd2E/g3StewSt9PQGJpbr3BHTzoaHy4yTd0aqw6VD0iBMO8irnJfsgUPtGBa6vrZoDrp6QRaN
NRX3f/uj0D8sfNtHseHp5WjHOODnd/cGNLlLPxWlgAgTSRPoHDs45eG9tfWmmWwu8KoWkSeguYTV
C9fygFyQEyA2clqXZdfI9H203TZAMsx452JAJtxuDv+EEvXvg8PgOFt8CX9dfH53POuv5ebbb30r
Ny6KCsKhMV85kL74AGG+l5u/FZWH33IdnC9DvyXlbYfFfy832wmtQIcINBsODrDGeZ//CPzyx/kK
gc2M4WRlqGw2vOfnpyNdbQ/xR4gey8iygBcn7/BGxqxlyCurvFeKER6SqhIbG1zXOrvzIIefFuec
d7CytPB4CETxiKFY4Bm3VMAa/1R7PP7hmv7JM4xzKH7/EDsCUcu2wBXEEad4BH5+m4avnkBUDfIV
2H+cK//qzhXbcpF93mApXIIZqXO0hQtSLXuvtsDOhjkUOBjr90unEsGxL0v4dlOCnBG+q3w44Zbx
gEOydrmLWRJKpaIeDpkN95G+S3uoS7yoQCSKk6fIT+9ihFLvWq9CQOlmsBnDtWwTnGm3Q4ZHAqIl
zJVJ5NAilU7G0rIvoxoODj9mkNKalp3KFnnBGuMb8lIbSIYaDy/pgmJqkJSHkKPUxE1JzgjcOhcw
a8m+QXTqAp8/iW0YO5b+AFlToDePB5AzhJAAPUMz4y9SDWiuePcEObmZD5a1i4c0YPOCSAEvhGcj
6f0rH7kUlIQL0qUZxUuDE+PYcsSQxbaisbGOEwKafA3qmexnrDKUw52a7welkAEyIsb73og7W/lh
DYgs4364ApRHp7bWNEbODsIu5X+zdyZbchtpln6XWid0AMO8qEU5fHaPeSK5wWGQFObZAAPwbL3r
F+vPqJMliqrK7FzkooYNMyUxIjzcAdg/3PvdSAb9bnhYWyQvpTzNMomqzHisY1gQt9gf9gAigAS0
2958Lyg8ijFk/PEqlk8zFJVgsOC4CPy41n5G1qbChiHft9587fiNDNg8YuRvdMZuFPIwmCLKRLZb
+QirlplICHKn2yn1WBfjxl2A/63pru67fdjEUcLFMSD71K/dUjKSRlJuCigSmKJX86XypxANXvXl
f5Q3759wHv83k8PodcIPB8yfeLe/dwz/NoK7ZWbXEN39k/D1t2/y7y0DdSFHOE5BHa7jcPz8tWWw
QpJFQsfWSXCB6fxBHuPoRpnEP4b0WuT6+xnu/8LwRHcaPmIWNLH/2Bmu+5I/lbiOb7vMOkVI9/Cz
fjV3u66aK/DdZYgAfYRQE4/edqbATnWl7ema29fVd27ZH7KSYTQMqq+OcI3bcaeGJIbHkib3Di5U
tOB4+Wu/OEnK+0zX+XPVnJMFd4sXd/Z2ht2Ufe8K0tdUdwmV7hca3TlI3UNUupsIaCtW3V/g22Hq
SsuBza05mq2Foa2EthYU4wvUE2Pf96he3GrA+GKVT+044xUKgX1NXXO3Lr0ZSSd/VnUKUgl4KJr8
4GbUNTjcvU2qq3JFee71672dcRLUQGfhEFHB61rep6hf83o7deWdqOPwXJrdbVin66Eurecazqml
K2CfUrjQNfGoq2OOpG82wPlG183Q9C5iWMtTuPV1Xa0kA6aaUhvy0a33UnUYnrq83Sxms2dSmt5J
E/FlYBfdAUadjzl/xqkPJ6v0smNQBzZmb4ya7oHciYqFy0O1MEdmOWdtY2kBZmrkM97vOlIfxhR7
u4ZhNhxZh0xmy2bM8l+hwHWb2AQWicWEMt8csTBPDttsxK0m8+boOzJ/8Itym1QpZjgpFDMZXNRd
Hdb3c451WJXG3lIjCvzKOoZieZzCHlkwPwSgJdLkaQ7vE3OF7F6pYlOByYX2E1+cnCIQ8gIk8LR8
qgquJXiF2ylVhzouP1Ux0HPPsD/JpIQvHDBBXwjNiOYZRVSLhjU0Z5BshsHG2rJvraFKb6vcBXA1
VPw6qqiRTPkIpUBKHAz4g5s5xmjdAnHp0ym5WUPz0bfLc4UwgIJw2fXqzUuYeLulgoDsAG+tOwQP
64ou+p/wGP2v09YEvvc3ZyqbHxK8/zpC+f4lvz0Pg1+Q6Pnk7rj01Tp68d+fhwjzabNZNoffn4bf
98a/r5SRAvJVFhNd0rqJ3fmhp2FDzfPQwiegk6P/oRGK+BP8GxUjqkSXfp+8OlJy/9gsFCoICkTB
YmPq+zre8yguLn8bEdP2kHzG7qVeWKfIHoBrngkUhDxtz5ixX13U9lB6/s5sQg/d//jgdolW1r4H
/YYAqfqp+1r8fnDNxhGsLcf1AGXqIEvuwY4gg6Z5D3SugSLgINRJB75RIg+sZms/eKz+fOxR2BEG
L5G/XesoZP9jP4Slj4s/TEzY7uOvEB4NFxFJ3k/HSdx0Q2b7+OXlIMKdUyaMV9OrnLXaaDJHToA5
Mq8SMEQkWH0uftj+nZdARtefXgOTNtYSqP4D5Kh6wfDjaj5hpls7rMYAZiX5ZiomK2pIqtmY4WRc
xyqvN+x9N66fzgA0V8hw/a/Bun7OJms649aakE0+TO0l88M6WlOrIFSjQZrerymrgmS58AbgbgID
tWM32JKv4mOMDtItIxRnDwTJ2joyye/qdj44SL6yxHmzkgDzbAuCT5gZKByJfL2BJ2MCEkvi5oVD
41OoyecKRebiWW9jN+8qKe0olgFrRUp+fJhFeqmNA1XDwvlsXxJqjkgvazXfwN63sd7brXizqqAO
ty0nWSfmBpRP9uD5w7jvk+m2XeLXel0AsPhYO4cB49c4RkGP8dfuzMeyjy/E42COnagG0gWT4pTQ
NljkUl1xGUMDaeS9spJXZwFlrqzuufaGNzhfCAIq4zOfy1FWlXljNaRfmPqnLuPnDuD+C4xUuO/1
50UW7m2b5f2rZ5unWvT2KfDlcxbWwXl0EosACZPgDTAS8D8JA1rcy9h1QJGW2YnWPF2ObepC+w7y
4wrcdmOOU3ech+maOvEBg2S5r1s3PocxO/ys9/NNbswgMRIKAMdeWPBjt0gNvBWcaOdAJefC7Fug
0Jbcl/EY38UZlApgR8UpyfvjlJzDJFtvLWCIBYkb5yx8g9sMjXBY/aNHxIZZADHuRQp2eJ17vB/s
g2eMF67/EsJZv8fdjcNiSO6SdH2t8pngqpb7Qwe1HHoplpObgcKB1MnfYtMx1BnkbBQGe5m5kVdm
F0OGgKHVvlX5fV7g52zndL1vIE7h/ekjjzSGiIFidwWuAylaAACZ5K7NTRDgdgx9Y0jxJR7QG2pw
bX6ls4VUHhqgpTHyN11YgrkNHwdkM9dsuptKAOxVtrVm8DGjxDu6KIlOQD/TvCYVZw9hFxSS5txM
1hYkAz5UqCsiW7uTM3bgcbLhNg+L4DIrHb0yRClHytuaZyZ8DrfaqGHg9zISvmX761y5MrLL6rYZ
A+M8gtsrij49xLGTbpRXqMgxaiip6QoHBSAjqD/0eeSQ1U7eP8O+8I5hJW22+Mk+dUwCzzoZHyQ2
ZzVIsD1hv0ZqIJAkq4pbU/J2MEwWWxtmCIRp1AROM2qS/LRbFDZVVOlfG4lFZzAqIE7USJk3Xpym
a9mL1cu5gRFnGUZw6ucM4s/o+g/2cFljI72N57Pnzx54gurey29lJ0i3mih3vLJ9zbiUNDUaSBvb
oCa1143jgIlN+m+LDegcBUQQKX6/CL0bqjc43ZvC3S/WghvZxDqbScq1yvkCRaZkSa+425qKQIV1
kxXxUS+bTuYqoCtsbQfrVFzHEjwGazIovNtRjss+Ng2khyBiTehu0RxKD0QwpIDEwCPz3VJThemH
ZtaKUDHv+vm1Trz4JuwCYKGgVINluIH5zlNkypvHrp6B2CfWeEBM+ijwYBKf1/F9+JFE7oARzasv
aV6zrB+sdaPawDo4qflJ1N16E2tP7VA6uznIWMS5GFZFIOYzaGMQ8LmW6nhhDrGsT8BxzNf+u640
Y4LnGCMyQq067QVgMLMJiVmw32Ido+WSp1Xn1oPFI/REUgXu36XfB9YmGRkzBlaOGd0uZr0IbODf
Gs++1dxC2Xh0dYSXS5bXxKeno71Awvc7qeO+BhE4iCrHdcsNXu9zaLwQfS8jKWF1H/uHclwbJKOj
f8fNTKpazWKEcLHIJmes1IFjbUL02KxDyFQVfy11LFmgA8qYnUYtW9vZBl5kRCZNS2PhHjN5ZOBx
J+Ss6dNTh/hxJv1M6hg0u6HMBj34HoTJMRkxOwUGqWyhLF7MAlaZ4+5bdFBl8NzpkDUh3jodutaa
OqxAGLi1w6aMOrLZBBltasrdQ6Bj2wby27J2zg5gg+9gAEAd0iFvCcRVA3sGaxawaSMNUmRO+bwv
gygPu+l2Ttzz0IKaWsiP68mRG3SgXEqyXPFUFuu5toMLh5HHAzPcY6z9LHUqD8fPsRJ9Ho06scfT
2T2kyWWnwMrcfWqT7FN+z/hR5mfag3dHp/9UJJ7QbRARNfnwDIKRYEjN19WpQV7RbczSye4bu7wQ
1VJCSFe33MYFMQRIRRzih/yyfui7Bu/yiFIG1HwfgXQ2oI/72XAnoRNEdUl6ky/LrzCh2ttlJukI
O+C0MQk/Eh0pSC1xSCljPjvoiTsDGrUxwiflmWoH5GeNrAELn+y/+g3ktzKUX7vZ/2wZTQBQFoqr
Ye19lG4mwUzUaUerDoHRgYXgOENAaOkcp0InOnnZLfSMNgJL/b7qzKeB8CfadgMq63xIdS6UnXlv
aQWVIOhzuUOwnjISFMatiP1xE1TEtZlgOweU8mDNOUzjyn/ubLvbJsZbOpbkspUkDzQD533icfaV
qbotxmtRCnvbOU3xEEjP2S0VxcGIuxSSd0U2CBbJDpGZU04OBkN+EsrvALB59mI7/Xg3GVJyC/df
jKXIrjU4YuRaNp+VGrKLD5sUNqV3cqn+gX1X/X4FPhCNBYbN1uFSm7izg1G9BOyjqmbCdi/W15IM
CyarKBW8uLrt2KHeccOGd0x6863FMIF5RJtFoqtWkHAjD5k1JA3BLPhMasWclhfMzl3Ve7yywBeK
QuxkvFNdvneq4s5R1gYI2VM19S8s4t5Vmr6whQCPpRVgsDRu+ooCCkiB3OIpAEifdTzoa8QGHVW2
qd7Mgvmr00umHp3xzV9PeWHvh9DekEZxdYJD0ONLsBiLHCU1biuwAQFRvrbEBQBbsI9oW6tjKjhp
mQIdi3L+PGOTOeL+Xx666QhPxXka3AaJAKyzJq3hfLnuQ7nm3kG0VbY3mxF63RAcihZOdKmtiYs2
KSptV0yqhPEJqSWZTySF9NcAocSNSgowG7gdgVlwVixnia6LYIQPoSL/pKrcC/CB8rk3lgc8BPjl
c2CBqMTeCC0kL2EintFf7mUl/dt8dtDdtnHB6pgOHTwRxMYMAl+NVzPFs5lm7qnMQr6/tnOO+Dpd
bfDstNUz0aZPlzCJuTA6hF3FF08bQx0Vco64xfxUqHqnqv4sqDQjOCUAw5dwRddRf+5T0VwkjoZN
THZeac0Kook4zpWNQKcJOFnksgtcpXaMuzt4JDBwvBQBYTVN9vX7H11G/GGK5HGTuXn94M3pLZfD
dO1JZgTXC/FEwSFuneEKcJCcHDXA2qvVVppoWxtRB2jx4upS++utseZFtAr3sTBhT3d1f2d8NZbw
pmhIn+hc3CnlwAsLlwMl+nMSOo9FWBy4x6zTaAANLFHfxSsGCrPGMJvYfDc4BpTb9dcyZ7SuZvsN
awgMXse9eh4s76wkE8gK1aNlNc9T4j6G9iS3XbjsVClehMvR5XswO6Fay40bLsG+VNnJSP02ihno
pF5+8B36W8ew0ejflXHREUDgkZ9HOEzi3C21pKaGV7MZ3HaKvIIACEopxIaF98AK+KMog5BZFjrU
OmmOrZFXm8rMeTnrB0TCu5pEj6nfSxXv/Tp5Dmb2y7UgnClcT1jKiw2ZPwBzRUtazGwDsu3dV1Xf
1U57NZIPnmFduRSmKKerpTx290SIXhnMhLeKhkJ21cIdMvWc9hSILZFkGwgR626A9mpjgd6Id3QL
PACR7Wx5Y6Ak6vhVq0s5CLFFl0n4GcsJyTcWutE8h02Gxa/xWE6ME9ea7UIgYmtCjJy9ITyUaE/3
neP30U/sxzKTwW4MzC/IuivoFMT62dV5rYH+zHNzwmlIx40Fhg90QXGxPkkFYXvBBtONeUlaVe/t
a08O27RkYdEruzslQ//iG+P4EUrTfSauI0JTAn0JGaLLg/Zd5bsSt5AmB3RRLcVZmu6D8DoJ0omL
a82VTxpGeEf9xEInDHaEkKCD8qZe/+0eAiunZgs8P8wgBHVsl7JgCwqUznUzeqxVsiSuedZMt6Pi
0x4L1rUlpQruc+BiQeT0fbdRwRLsKlg03orYKs699VLYdDVBUeORdJNi09SkZgLgQ36LimuX1nz7
Ktw3g/fQV9XJtitWPT0ZmUMiSQQNCVIo+kLt/xJbpTPKorM2nOm/AuJju5XDFGz1pccSeyOQWZeT
/xzWobX/y++puj5xucEyP9YNtC2jt88ut3hLsK4pxT3hOPiDk+VkN1SJ/4Rp3n83HRUjOQY5/7mU
Yd9n783YJz/tQX77st/mfjg/fBSdrEBsGB5oP3+Y+2kVAXO/gGmWYyJQ+dFKonU3fFXosMIXf9Qy
MJ+zTQoJBk0h+S3/kJbh+2Dvp8EVGxiPRtkJ0KZ+Hwz+IE4sejIL5mwwN7WAvhnGLhVmZR38kYdK
VZBmVdXutzhfa9j0j2lqthg7YPXFULgADuAeqFrqAtRX3WEuXZoPRx1IdGIN2yNADMjaK/3mKsYZ
3GtIvlM/gNCg4UumAUgbnJ2dUMvNqjTLk1M5nwAcmphyPTjfaeVOEfA/a2t0CYiJZTomKL32yg1f
ZxMYEzeHF1m2uvYiPM62dwq5hVf+N3OtqzHnB8TTYJTtiyfanTYe6hUyMWaP18y17zrPusZG8tGH
C+I1N1As7qxCfcIB/C01+R6pcRy8FpanucfsvE2W4FqLZzbQLhj1je8WD+Pk361pT2Yf9C/x4LnF
SnfIm9KRML5hIoAwVV3MTpyaIbhpWo5e9rnkeExjeG2gdRcV/VqRgoWDaXkJ4Xju4sn9phyKR+Ky
oXjnl8EjMlR9mh3ecawBimS1rOvuCK0TF0rUC3w8uK+I9zdVooCsAfX4O6PF7wK6ny4SAj8YTwue
PWiofhJROXEYdnkMdNFQzBTCBfia2UwfioZ5WoesvYMzu/FgVe0tE7NIsbjtM62878J9rdkG/p3X
Y/950sn8lxvE9cms5Fj/aQYMjdGpOyKXMTDAw81nZLt2/5iNJgXlCBLJ6hs2+gGKZjwcTXkKhqw+
NAJGZh2gwUcGa/UjZDozADaW3s+T+VQwFQbDYljbHhRuM3oepMh4OKBcuBAw1Dcl/7cdr3aYbrKF
8SWSM7Rwo2w3gCp7ENQmhEj8hT88T+5/e49/BO3wK/1pqouoUQsvNWeAXar441TXack2W6gCN73V
NTeyUAgWjfB1Iq1hWdtqD/h8Z/lVuCmC+ZRY+GIcZpDH2AMrSmqAQ+R7CVqWBVLrcCTnvTZ4FOq1
7hbYKsJ4qltxYtyQbjxnbZ6rOp6i2kExZDkIGxLtMnOwPcpClGCAw6/MTVN2VBSCKmkfCp9RT1WD
EfcMIgmce6I4wAqY8sW2DM55feJX+uxflsXbd8lAPaArg5ESIaBUEO267EHSgEOjjFgoJ4g2zKIe
EwlxMZGlKw5icb4UugbxKEYGihJFccJw4TXpUKfbaoYdU+4JlkmiprVtTKsronBcS3sUyW8dZU9F
+dPpOmjukl3fcjg6ukYKuPu3lq6baLl1FSUpp3pdV0FIY3Wray1+HqByXX85JMZl4B5uARNfB0q0
Qtdqk67aFmFf1/FDPvbXZrlTwie4HfJdpas9a1zbDWklHNMEoHcGZFDUkYeAInG2jX0IqLVfLmqx
d4JSchQl9RY8ur5vj7OuNm1dd7Jl/VhSiJoACHgXCYzrdZW66noVgAwZC7FLmAYDGKNmAt51O8lq
enbPga55DV39Gt0uyaiGkZ2fYNsR+VGSHVT3K3lJunp2gvUlY9AwK4SeigJbUGgLCu5cV96+rsHR
npCLSFXelNZbpet0QcHuM6NPVoJQgopKMh5r1tuU93h+GSQ4hF0E8B1V4j8utAJ0gZXuDDqH5wQ0
ddg2a3iTsFvrMW3RS5g0FbkDTKEX1m071TVvTU972njx1tHdSKb7ksSUKJWGq6k7ls4WjM4W75TE
/XQlsPxmATH8UOaeRlN6yb5yS1og/YeXMNlvdG+ESa3jCW2A+BPNrmXlzwgBLlwJ+nJSA6MR49XQ
+EkvD0awo89dzOK6a1cv8hXc2Kk/fv+H1Tf2QcdG2IiP1iSIRdD884x1P7Njr3t0Z+fc5xick+Ih
aYDSZ+JcDdabJOCg9anzc3ob2KBZtjyBD7yzw/Vqq/BOjuFd74obd7RvLCUuFslEU+Cc50Kc9X8n
7vXBfhho3cTou/ehxekQp0ptEmnVe6a6XymX37UJi+xEZMbLUmHu9mpK5QHPeuGpF5eihd4HM4GR
GrMO3ChZbLdfbWP6NuRMVTlUwG0y1XQAeTidysCaksfS+XSoRmgeTH6hzTC/DaY+ncsWnKicmFpD
YsaFVWAjzK2dKYhgtbuUmh8hW1ywUAk9QgOmxToVpF0RYGING9Uza0it9hFUeApcmJOyaepD4s9P
eVxITeSmSZiXHfctWI95/oQEuY6W2CiOq1HbUAKwcxbW0zS7H2s+ky7gA+FknLfOCCa1sb2Ac2ls
b/B3AjHEVlF2ivzEzr9MK8+CMbSL7TA/cmFCqfYjCT29r8QNi7Y8cmVTRyxPvlQLOxGvf2AWW2y9
JH6ein45DenyNM6KYTk7hw3OnFc1LJ9zbomYr94ZtiCjs2gC8koOIERpMf2Cpxm9VE2KrBjGF5DM
xMzoTOG5HUUkBxd9GAGaUd2kvEDaSDNhUpgwlUl68RUZtnwAu7Ad4OBHAxyqjcMQnhDUAFAsWVEg
AuGbub3aiIQxRZCKJydMLk7NA6AZyXeWFDitzxldFbAHPInugCUE4+vGYW57VR3Eazi+RB/WpTik
FfzQucFmN1nqWNSRx5vP/CpOjul4DhIGUHXPlWabyAxCieE39EgES89TfMcsARmFO9f7QbCwWNGn
QViYToLPwSuEOI7kpNBv3xBdw0al5Rmm5eYjKsa4acp9WKTQvoPuvUs7ANK4dksbmoIrronx6k/B
7RS7xbmt72PA/wySA3hyQb+fRHxdVt59Ei22Beq+xGuJ9kuLXT5m2c7Ps62/gKkIS3s6GQWInFqx
pGHNkt4bwYKzdBM7Y8pzNH/NGDZHTqkvtbrtbzkI9mzL3iVIzh0jKUL9SvFM/NLHdZLYb1uxTcP+
BupnfZjjXodXkrPTFU+OHI3NX37fFa96C2yzDm5HElKG23JYInzkINP03rhLr7beI8+5Cv+OOPg/
kAbrRT+FEzY1ENM/bYp/7z5dMk32swifbfpNrZ7mDRijcGrZAKVLwFNw+vV/+8il/fav//K3iJDY
AbFY/Od95KH83I/Dz13k9y/6q5pOaJ4UEb+OhZUM4/pf1XTBL4Qdo0G3wAeZthDasP+7esRCAs5a
3kScQBtJ6Tg0o0z/9V8c7xfshqQ9o4mnveRb/CNdJNr3n4tUTDdmaMGitHAdOuZPF1QWtNk6rEiq
gmTWmeLxRxy/X1k5NxyMzEs9ad0M1hSfZUOAuoOHLeu5/6uhfQC73jC3xRMfeiyJ+EPRhuwnb95a
C2PgxSOqfeQnMxAV6uIbHBaNGRPxQOyWy8R4XdiWW2tXPI+J+pVZ7DGJh93glAxF1Iqlug1IZjRO
PBo8GlwfjTNh4JTucf7g9yMUkOmBGTBRUfayFzMhtfGYg3b2fUKGe+2bTqh4yaxiRNa2u34I8KS3
GeOsRH7CGXRhP84u3/AvxbSSIYgrAJjO+GtTyRF0QAnxd3rTIZEbz0XzPMbJZSQw/KGwrFunG1Dj
NSwWfYhWgwHatkmpHuyYDEYbLkulAYojUpoqhtlsDqyQukU8jykW7iWnuw0DuOBj7pQXslgTiBDq
JKnrigSDIRkZRHDIdThxxJ5mNgZBWyJNrK+pEGdVfY4r2JDBcAmK5NHsy21vu2cXp//SO5fKOBpm
+aAU4rBZnHkMn/uR6IsGHvQ07YMhOSQWLzKeSEDzosnifXfyLZmXG0G+JSEjO2N4FiXycpayDZk0
8Pa3IFS2VggRvs2+LeOU3MOV3Nlp/JCl/nCEavEsPAhCoRD5pRhnBqSYCscuJ6JpZ5CKtGulnd8Z
k73rlqr+YGT5Zc7g3PqxUx48VhvWu9NWX6zcPc+g1yMtrSvBN2yIJ2V/UBCkLDlV23A+tF7p76hH
HuKWueWCtZsJJm4Jnfi2drSHHdmHRUN2QFaOy7afY2tjDDDJ2ZRzGJIa1N+PCO03cTh9TlMh0W0s
Xy27uGtJm0ETMV8NNyXwKnFbllUG5XPS7Yt3z25RVC49IRs5yvmhu5EExThTW58J3RwigCRsDwLj
iwfdOsrsMSfwjFAknyMeGfinAAdnMWYPshmGA9pWJxKrIi4T1C/rAtDszERT0heRdrJ+Z4M943Ba
m5VOYR2DS1O1T+4s2Hqpc5EEzsGvgemU5QCtmlRUMGwQivGrFVdnmXaBV3yBfQQEoPjyvwfB/8dB
oFVZf+Mg6D+P7//3/9R/1laTkcRX/nYaWOYv2tMD3w9Ugx0CZ/j9NEAYzTnBsIaz3WHe+ONpYHqM
IL+PTL4/8X84DCyNkQk9LajjwLD+kcOAcvZPh4HNPJFThXkFYj3tBvtRh2bNod8hfAARkzKUR61R
SIDlckQGVb0LL7xTSTwfEm+uSXZ1HudYfGs7LQJDWMIo7Xn0KgHmctp4rYkVc/a4csv8G6D6L2xk
JQuFj0ZxtThTaM8pjYUMzhP90JOyAmPXTtwMTrJG5GjwEkC6nFujeIezZR2DCV840aaHPl4ARjX6
qOrvZEVO6grsKSKhfN+Nwyssjo9pYlOgkoM3dEtyVoUkHdZLI3S9ZzPV0UUivp2LHICuw9R9kutp
dhERpATQoLy4uv7nTEw2QXIklnZoxuYivDF9W26DTEfcD8DZrbLeewZQh7RvvV0YqJex18v7lobb
VBx0qz0zhSiGRy6GSLjIFxrCrgoxHQndviRVtcDd9YLdkr47fbXolGwq45KBXBpfKkq7kN4rIySs
4sTblsiyWOtRXTt2+hJbXcaKG8Qrk8RbksWf+yFjjxU5ezdJll3yoXOpB0cbU09WBXsUALTadfMU
DPOnoKJxCcl53zmiOHOaYaRfTLr/yhzuDWz1srQuJk1iZDSZe5hmZz50foKypAovLauwXRkvgEzS
Y+cQ2wAwLkV9hQW96QnFtlXt7Cb1BkvOAhjiUoVbSHEI7ey0aOnJYkZ027Xm7UC6t5U77q7xWl6B
IiDEKeINmgI6gUJlW1Eb8R4IyFu22GWEspH4Iye5HdwPPiPblQv4Ikl6K6pyfnAT/0uFIUmO6UiY
msDQwyK5k5y0wmYzxdwYRcnorBeyMh5MI/3UGQ9iRUEtB/NVTFV8zUz1ZCzTfmgZ0qarVAwbvVtV
L8waJdEuvHVt5H0wS8LLJhUWeAaClVwtg1CcSQZHdZpXBUilsi5ZhfVgICxkT05gfUMY3JFnMhpW
29lRzjWsNIlJrNvloYJJzG9FEijSAbRvjwZXjjXkTL7n0Io8l7bb7LxNbQQe4aMrS0CbcVDbfZxW
7+IU1BWObB/8fPg2V7LeJd1sM+ZZW9jKRbKVDjsxBOjg8perhRTqnitN8jsnl3WomxsClog4gjW0
orgSLAxqVtqxNwpCHA+2TZXW1yHJ2/bXtmX4YsZpcxkGTzGoRhnflaQly4TF7WwGTI4TVGGdMjA7
DONp9uN32yvJi3HkierthaDp28o1lqMk05uNG9HP4PgGrfgndMs1QLa427kz589MB3YCFHnkCxUT
hzXy8cnsKJdh0ztkeaB1gpsoUaZldrtn3Mk8q31P+ZJTSnZLk9xBSu647cPg4LnV3YrACeGY/ARW
DuKMJJpsGVCKhhNU/QCtwcjHtvSPLo1kRv4hIj8Uj8aUH81RvHbFuZpLdTYCRCjIKOMdERkww+eF
HBSGV7OHetqqWI/Y+tmg+NgsgAxwo+2vvgUwyisZqgUrnj+VnrnCqExZnDQ4GhZo6VtGxG/OGD8k
BaWD8Icbq5vPGbm0hc8v0yOrO+DGu8+yqt6nDWSpoWSYGa60e7N/3/dWekjDby0m58NsuYRv+Otn
tMaoksL+HFQoFoyEUJt+mt/q+Jgustp2bbxulyw4176f3U2ece/35CAQhMn8S45nDzwrb36W7f2y
iHeOBZbCkNPBJWglRjnq8i/QJKWEXTPNzPtYMmNEaMS/blyQgY3RIbHIQh7jRIvozIzaLA5LDW/S
KHMD5cVEqKDv9Ls0jrm4M3Sohi+38MTYZpNw5JaJHxmoPA7msIxRhRguxZG7KXw6lLzzwo9e92Ux
lvOSTDcVsaaPqFw+9YZPMpM9AgzqbflUNCRy1mFwdddQCxndbZAPZwdBDBGFB3guVsQQRDK1sQjg
G+SHwJ3JDvOHLePrdT+UxiMTk6/6fhccLsdJkpWEDQe1Z7Y1MiQPs+U8V8FQ7pcku/ENFEfOgpw6
15OkxGhOsIuALg2WTyak/doQfbQBYd6SSKrynbeSd4qd5JQ3W7nYN1MFeaDsJFdVBR9ANovF6JK7
uVnMSBQBXAPUV46XTR+wuR/8ns23/4ZhB2VkTlVLbmDU9XZwS8bzxp31LzaYzICWsT4ZK5vmsnY/
4yne1069HgjR/laUVeRDDZdxoMAXlLuaWOONGwQau5SwK7TQoAr1mjYBzlAxsz1HgOZ2vjoqFvlx
5v6a9/LB9ZfjxD+HbV1v9X9oXLluLcdfIznbVYQhAKkfhxTUo7Hd8lff89zRzYhxREkd3wIavZjs
cnAndck2mesHhuz9lvUp8YtSHsC+jM+LI0nwJpZ87y94vnyu13E+y7aKb0TKONpyql2hEg9dcHUU
Bp0Pzxr2AJZ7qhqwSypbn5Zk/jjxdlEQ75B2sxvwmis/OQddJ/jw4s6NZmUS6JxOZ2Z97ib3Pyue
PVub6kAZ5IEb5ypQPeoT82WYgBIAeDqngyBfO29Kzj0PdTu5ogeCOu5XYp6MXB/s3bVzLcSPrUC9
H9yHC/lMVnixB7ZTRCgu/Jwm5hHl2Ltp8Y/jmgJ01wdkJUO67Uc3r9SlCzP0ebAt+H3TrS+gJJvv
ZRDP8AI5h8u+oUIgB75Gsa/agiyX0b7NZnM+i2C5eoL0hWBpYdIt3clWFXdzFk2+jeqyHS6I5npG
/7MVrZUR5fU833hGc+2M4zqhLkI7zaRM52Gpiec90Ib0EFQgxchHAcnm++fBIvbUL8KjyHms5lmG
zyxsiXuTDfs5vzr0a53dgbMFyDUSClNy6BM/5u8Xyr/9XKSPg6bvKZtsbRt+aktyp2+xPagG0gIq
hQ6LuIaeYTDC0dgoxytDknbDyI+H5DzcjKMkkrecC31JSw4oaLuhkZ2UQW4sd+zHMRujlpHa0Q8a
62YZj27eysv3P4Q7++fcuUM7Rvp7X3rbtqeeSbMwP9bLnV/KEf5faZ0S88NoYOXOlnk/lmxM/E4+
TOtw4/8/9s50N24kzdq3MhcwLDCC+99kZjI37bJl6w9hyxb3fefVzxPyV11qu6Yb1ZgBZj5MA90N
FCrLqhQZ8S7nPCdZ0zs2yfHGKoW+z3JqvpC5hacGGEJNMsh/P00YkxuIQbLoX60yTB9JH00OlRqE
tNy1sxqNuKoAUMOSUY1NEsZ6u5jU5U3LOzoBJYMUzD/77X8wihAYVvESlXeNpSLtIiDhJHpuXcQr
p9xMxZUFSqqecrI28uhb7Dmfs3jUWORnLzOdIcP8F4tOMVQtY6Gaxyac80OGcBAIGmWJ7oivxoDC
IJnNlPI8/LQ6RsApMvigIduC8y3Non5HUsPiEzQK0Df6glibcYTJQGHgikVRDhpN/7RWMXyUqKTT
trKt1tsGmPDhLnKKiD6aMOGuzs6D3rLQaP06KQ3aiaVBRdROfoaGYYMMGEWDnu4rGglWSVq3q5Lx
Wq9QQC597e0KA79M5F0WK4YP0uWcF0vo8v7UJNlpDtNs4R4cQ9tI60Yf7Ls8dz5rEZn3hqFRwxjV
vhjpCT4gFL0epMlunzjRxjRg/HLtFskSHQ3nUvNOc+PWLplKap2x1h47RAI7iHvDSjOiv/K69Gw0
mrlNUsveRtYUXUs9OjQJWtYlccR1Ul3PsTOQzEjqVtKkKkDpOuuG7naZ2HqgKbpm6020ljZl2zWH
nBUvEfd76QaRht7ItuABM2XrfMu6XRlxBaUZ3VrmsiPzggzZXn7p82ygdMz9KcmTXZuzzZzLiwq3
9VdSvc7F0qTBULEPIE9xCRYD46O0cHTMDBaQ2CG+1AfrRBnZs0JZs13XUZ3HqZU+6v2MsN+Q+9RI
nwwUEGjf0Y0DQmbsz+nnu+oYzKb4qel5c9Qyzk5739HNl0QvzwKBxG2LuhNEqX3lgDktU+ZXcrS0
40AG7qYisF7G8beGp3u3DASEcPfwzdVM4Oj0ljPFcuWzNwfBqW+56cjHnefxGjXvFjTg53DqrGMr
UvLbyNPCTiROXb8GLGeAjFkxX69VHk1RPNLYEmjYd1UQ1RRfpl78KxlK/7qw6p+GPPzPJFg5bzPk
/3xQchraLz/Py98+8rvqCi2TMp9jMZeE5yiC0Q/3OW5LQGysNvE44tkzDGYnf8zLf4hKELgIPugx
PPl9Xk44g4Xu6m/EKvlXRiSGCm/6yS5oWcxcDBJHbdKcLH6I9yOSqKgrdnGp2MxaYwdOntt3CBK3
poFa2mkhsXaF9VCPB6LElrtJ6aN1Y/0SkxotdNKzvV4jXC0k142qOHC5ni5COFtrhI1e2/Gha0aw
3cx2kWT3SLMzJNqle/TS5NVQyu2sCPNtFj71StO9KHW3i8xbj8aUYikbtqUH0KnsRXcFu/WQuam3
mRGK1wjGBxJXZeg+oLrdWAjKZ4TliEfHqpE7r6Tao/khwVCp0Avk6FluT7tFKdSXN7G6ULr10ejh
Zumj4eeWm27HdWWfLRC5JxYJiA1JkXESrkFupSTHxWzGyNXO1vnDgGC+Usr5XmnoF6Wmt5Wuntwr
nVxGtPYlaUTWKJIz0VoYCZUiP1TafIFIP5WiBygrh5uhzj5YZeoFRoEWeYlQIQzKQ1rOSwDDHUep
coiOWEVHm+T3MNtDRxN7i/H+xmujQ5uMqCeYMcwVkhMH9GkuJD2QxMXVxs8Q59mk3ifWV1OX+G4K
Zz/OzK9wC/iDanDJX7wpRq06TNmybzlWyj51A3r0jjaSyD3FUZ0UUXVWbFUykxD0y7OpqKurwq+m
zkOjnLU2O8x1+Ggpx22mfGqDcuGiFsK6iTG3waDL/Krqja2eDeE2E0sJhb3yLhFFV6l5N8U6IlgY
PjsLrrpEcxh8w+C1y8e06dcTUc3SKQnFTc92X2a7mBhc39KNT+tMCN1ERQHivXRIo5xee815XksU
gjpLFjk8lF1TbBlQCGQOBdiBrM4SdqDFXsdFwo/k3pMnCbLEm27VkIPyy7C20p0D5EzjVVbS10x6
52y10fQJfW+5Hlf6IDs+1phffVYJHr+uZueNBrpfT8sBr0YsCTqEWcKIMH/qD0T2MX6j1Awx4kNh
h/4bCQQH7Dxxa2rmXTI9xQYpxn2d783YHv3PtK84lRwm7FaDC6TL0F5nSKB0A/NqXtDRLvG1yO30
UjZkimO694kepmg0UiyFbnUevHi+idipb8weAiMbC5JUVr3aIW0nW9JwRkL4ah1RJAyDVQ7lodel
3I1q0iVNyqEpSuDGYEEZaqoZdE21Tqw2eHmsMxiSrLC7hybwKLzkLBsAwEmpmb6IEGClhABGWXkr
jLEL2HrTMKVt0E3Zuq2j+qMb4ruNMSSKiZyziY1ITLO5VMUB9eqV0yDJkIkJKWc0sQDuk9b9xKuc
b/LmfoAnKUrH85umRkzQEbDIZGgjx/U+ES0tUEbp5d7YJJnSL5j7eBLPtmDmspayJqy84TFdZz8q
ABsQSPspa+5o1a7K1cgeHWtkqglbe+I44Gl6nWePqztyPw0ifFg6B8mMBsQH8famCl3YF+RL1NTj
oHIRwiPNVLlUWatX5xFTyKrcIUL5RP4bthX/nzFhHETG/2hZcRnWX5kHPz704xZ2f0NcgIqZ1YJh
0j2b/ON+3MIOt7BiHgDRBxkpkIC+v4VZWknlpucvs7pm1f37LczWWtFh+JDOOhzd8l+5hQEp/HIL
O8h+oMBAZXXhUf5k2sfBNk3RPHORde64i+wR/ko7wPprnN0qIFqtyjmL7ex6srHQTZXnki5KUPDS
PhBoT+T5iqF+8XS8bW5qX6YwPncLQO/obH1ql9T0eXKN03OiYyonvGS/xo0NZooFshb3z11YLw89
vK24q4go7l/SkWxgyDE9vBccp0W9tmpWxsHQnSbMYRs7zjQ/G/gxnM2Mnoq1SpJ/0vHRkSgN7yoZ
gjlZk3MjiYvojXuvbD/MdWjclvpwGWeJbmUamAZjLqxkelX1tOVaZaGJQalcIO5E5/SUr/ZwGkoS
J4q+pZGoDXdXE5ACCVY5biwtPutQ7FAOrvusHhq6/e6mC91DGb1odORej5sLzDbmqkNv4N2MsF3Y
6Tav4c12M533CiCPUwmb0DZG44Tk6RSbJIlLAg/bYidIjs/JJWHcgQolRP8pNxGW6JTvDV/eDoxM
la27iCPTje2t2jQvmBaJMt21A18NIz9NWNt0tvcT8Tdd1xOaaO/7uttXprZbGy6SGBlfJzcjY34j
ftSY97lJMC79yeKsm3A+OrS2TofTkhSUdgl3MxHLSYRZM6yCxev3nmYjALVw/UKzHEu/8UYU2+l2
7gfYLBiXPGaR5aPIDb+nw+1X4qbTfFfxtI2T5ZfYQJk4B5NZH2VOdg/yNSHY09Lxap/dcNrH0RFo
+2ESJoc5D19v+wpeEUXFNRHUtG8m0bjrTn0TeDa3NUpoN1lu9OnD1CEFzPNr9QvQm2+ZS9tmeY+6
3Z3yOD6zw/ncLcyb6ySoy+JrEg33lcFkzsnaR8bXmvfYJ8Zh7LTdm3+fVuprPA+Mi4bqgm6wPIVT
QoylEx/nvGEY7hjzQS+yR4J2kQPi/YaygaDDxviymeekJW5ZBtkEsw3ytLEF9Z6qPJNcJZvYKuME
zly64y7LVPrJ6u2jiTSUWeWiJCohhcQFk8URpGdb5aeUFPyB9papotJVBpWzwsaMUOXFYCJNBktI
GEuoUlk4V440mU/kkl9jzFTNbK3CfcntWdZNEZpXUShPZt0e0hJJLr+mCFclcQGiJgRnFEG3JkFM
B+nFl07xCQhy7xwS6ptorxnTXquzgL++Q7eBC5CmcjX3S0bpWszuVTExVBAq/qbyMsnkiYu6UeE4
iYrJMfX5zjVKIgVK7Fdu860wqw8s03L8uOw3jEI1sRFCYF1F8GQ8hboK5ene4nmqFqt7bt7UaXfu
VYQPwcWbPLx2ZvPrVJS08qq3V6E/Hek/SHMsBAUEAukqGigyNH9iBENJkjc+zJJdLgkSiiWRQk0D
FSklZGhRaUOkDvUqfmhYGlxWKpIo7IrPqWN9Z/+iIw8NDwPzCJ95FgUxiUauijZiuwSdQbSHaSzv
o5j4I3elwmM5bewGFY6UqZgkDqNoxzI4Rb6IkF9XHnhgwfOpUb74STnkGb+YOw/T/FBE65WBjX5U
fvpUOeu9CJWMNqQv+PT5MgZqsF458UVDLDLWfDzAQ5BkA+pxwyjvnTwe9jjkrnJl6X/z9iuXfzN/
tJXr3zQZEk3a05unUwuxgOYqIBTptk2cEtwAAUAAdwbBtYopUCTM0XCt+p7iDax55W2Fj7IFxWyX
L8fEcPle1k0jSFgHIRgkKZNHKDQvDYyCRnENFkneOqqTamUmOrnUghMCMF8oHsJs0CJMzjcstESV
DuvKCUr8Z9w4m8TQWC+5BbpHZPedYi1Y6XUIesFSDAZvBr4Ik0HyVChGA0EEA88P3IYSgAMILjAg
iukQA3coFeXBVLyHEvADEjKinNC8v6sH/sS9gCHp5yvWFsJ+a7bhrqJWUMKxv7MXaZZFK0PWUa5/
GOX3KY9TxJNVuBNZVfhaX9wvg0CGWojung4c0q5e3kzMlDZW75F2y+EIG6GqD2jfUozp+Yu7DieW
HYHTGMHgIAQww3uDDrJNsTnHnNzicxJvU/sc2fdFVLCxh24ZtkcDWGuIMjgs54OtKe46PkZxY+u9
j8OCHZx9dF3FpQSbg6pWuAuWi0KdL7SIaowfH3WtCXQt9Du78Gs8/E5rAkauzx5gs0b6LOeCFM1o
XndBmKM7l2i7M+GDUfM12ClOOO8pX1mGH8xFAw1rbHvPOq4Daitbv5iDcwztaOfi10CysLVltaFN
xMowH+jH+IGfEfIG8WlAqmCPhKcgax3QXXlYOjJtYL8NdYf/NkjruOCMGgIFJzVJh6QskvzdoHxK
SS2HmLmSA0LM1aHE11hdrFdE81jBj+NUy+C/oXL+34MBs0njfvcS/AJKvE6+TV/yX/U7Pz73t7rY
UWxEBJvCpo5UNKkfdbH7m2RBg5oTTjFjKrCJ7+tiJLsOEhGDkRGcAT70vi42EXi9oQwlEoC/Uhe/
sar+3u3FWEqoP8Vjyes5PzmODKeJie1eiBiWciMiC+VGv69Nzmw1U2ntoMsFy+eP8IGQcYSbfsE7
NDub/nHtaxh+3b5G6U1UbQtTFqMQYcfKzErdNITYhvPtKp4cyzrQ017pxJKqGo+D8BpvhXJbbzFd
tQ4wWnR+dXODCYFbSu/WvaDqbFX5yeh+fM3D5MEmaHxXqip1VPWqhev6FHvZk/IpJZS0oapt1xU9
x1q6mg+5D4lgVTzGkt2erbPxWuNpvDim9yyQonrsTd797v/kAJQm3cpPkz7kWapbcTjATeaOf38A
upllEhrUgrvgbTMykWyTBG1E1JgPtmyvKvp5NhDPs6zrY53pV2FHEZl5LAqTGkJH2CYP8G9PSdnB
5kJVQoioTx/sHF0LtctQ4XaHOKZmFbADIlfv6OKfWd0ARlQwQQI8yG0lHGJTmMq6kq53hud+iS2L
w9Qa8BKb4z7NJ06iJS7O0UCVD8Gh9Kktv1QOOQ7NzIKtdJgRtlJ2PlkTMyQQ7yuPMNGBA6ch6vno
gCWbG5tmf0DYBPd+Y0f5x9IqNUD8RQ/H2OwosfNr4Y6fucUvGOoUh2Hea5aJ0N2BAFzEHflLcX1K
rOimBSvpwuVPCv0DSpnLuJhUjk9gULY4Uh+tFKak1M7kZvk8LY9G4zxWmvaSRMZdJT6Cyjw1bvyF
Je5ZGuO9u6bcoMnTHJm+22XPyezsh1ZsTH260XGV9Dwn4JTTMjvBqjlmiX1Zsuq2XvMvhElej27x
3BgWK5b+hFT/pqRyl3I+T1l1ZPwTeBz0hdueypEsdoI2huY2jgO+cFbYFpqIJjDmGc8B+uOGIHdy
w9ZK2xW5u5/jkr0OeeFj+t2s+w9a8Zk3BpELU6SZrk/MYGsoLNuvJZ2SldSHDr9ZZSEYwoM647g0
hfZgTvPTAuvKNpIvGWrR+SWx850EXUmt7C+VSe6JSx5i6or7wghPqcOI2dOv+sU81Gt9JFB8b3cD
egprqy/ptT4yFcKEQRdlNtjjY4uc9yqY3Dro2Hu4er5LneVsFa+d9TKlMCRrcCG45QqsHB1qHOUE
XrIUAgdKL6aODd1JR/2rI7y2+pu6AuCJVCelfcPRC6WKjkhoJ8dyb3U3vM2mh3WSjMPlQXL+UFkd
QT/skmz0mWRu10jssyT+mPXxsUqiZCcnUCGzwdg3ZiFW9c1+TYOVP3zLa03w2JJ5dGENKr8ukkGb
1nfpMMybXLciGv0bHcDLwQmrlTiCGqzDiO7WNHNwXREk6sWJ+WkLFFRF5R47kriy6nmdIJmQI3PV
FMa9mY7fOtOOH3RPg5gGECy0KYEZ4v84Tv5rg7r/F92l4Cbfnae/3KU3X//8Kn372N+u0rekAAsb
A1cVN+AfV6nOFct/bOFahs6t+MdVav/mAdXUmdoy+eGTfOjdVYpilasZkiLJJUyf/kpUgPMrV9Nh
E4UoF8u+6bpq2/S+/g2NUqvB6NAXp16xMZpWP/NIOk+O6H18nhujRJJNYEh3XSUoKHh+YI3ED8Ag
vrU8WbZ6xHSetZhnDkUfQd3HMBrQzYWsHxz1eHK/IGNZMAZk6uF11WPMcnsE4Xdr1Vq0y9SjrqXt
nSFLGQzqNWCB7aKkQZuvq5dET4NZvTQeb49JL34OR3vLC5Dsct6wnDdtqOaD4q5raFBNO8U1RpIv
Cl0UNecUFn2BSH1mPK1cAO42t2h+wnDHvkIEWK4IWb0xMph35zIEskLP5MDxyV6METGXXShS7b6M
vuSoMjqxBHo17RfEa0JlV4GpF5wQDo0lk3ZWJwBu2nhH3UJDBlk3rn0NtE7VDH4Wmtu6b+9QLD/r
b/e6uuFRH/FP59J3WxxyWkP3i3CgDyJArWB6u/RKrFtNjcUcDWMXv4sL3kzj1tLox5mh1czSEP4k
5zrkUzXSBS6X7TLq2ac8LwHrIVoU7hGyX+hPMd2aLFsUsQQEq/EdmD9QkGqkl6nhnl22L70soCHp
INU8YmaZA4ZqIMjuHDZQKdAfW7l/7RiWPJUu0s3+44RUmbn7yHQRjaR9mdXAMVOjx6ZkSsCv/aEY
JrCBOmZQRf4bFQOwAwYIMCUMIhNDSggoELGNsUHxax8KRREEQW/FDlTBPA059Y0F4TGqyVHRB9n/
xagyIBIiiUFelEdnCaxwUtTCGnwhfKiIP6bz373ef1Iu/fq62IJLRRi8y7wtb/Pn968LCRkuVhzg
YL2xFL5ht9/HFrnZiIbYix3tQFv/WVjTY5Zl/bH2YoZpBuRsk4cYwn8yV+csHR3MMtWxiOzJJy+h
4kvvTtIsvVep3ZaG6TtD9zooPWDqOHT6bLN21cTqYp5x0ZQSXrenqiJBeZSoOoni7ouRzHehNth+
ny/R5s3+mKj6ylSVVjgRmkV9I1UN5q42N6cL96xrWYeak+4cTYq24U0TTBknKOc8yrpY1XepqvQ8
VfNVFH+TqgJLysGSstCiPDQz+QAvS7IiRs1MxQUBj0xlhiInm/BiS3Epa7X5myf+YW+/jP/ay+Zf
Fyb8z9QdsOtihPGf6w4e+t/+LfiS599/Zt//+OCPS4m4LIg9jD1c/HBSZ/X+x6XEg83fSnCw7hJa
xQbjvfoA3QG9n3yLHFaShT8uJZdNBZZN3SYYh6XKX7mUHPEnbj2L/YuJOMb1cJL8dCnx3HYG6jQS
K2XMJBoqn1mD+6WirXyjHq7MhKHLmEeALZdxuNRKLgefnEXfDIZTrsMclMvI+s0GPFQ0WDDayDp2
Elxskd43DfYnryodiFIdqnzGqYWS7HVv4j0l44vR87lK2JcpiZ+hxH4uqr9eyf8WdIBRxLZlvqBC
ROilMWGuESZgszBv1n4OiOgAG9jVrIQ9m/OMWjKXztF2euANuf44jtrXITTxwQGC8JeCuA3ouA3I
h46CnoVEl7MY0JrXdHDce6fW3P2yRhJEvcffE+d3+D2STWssgBli1RZlV/QfsXBjcjkgOBnG9C1O
1tvcEd8WZ+38ZXafBjY2gc7SJqunB7xm3VEiUQij/AlwZvmUaOODWQYGZDyl2M1j7aSPS2CHNnZ5
0b8IC7aAU5xqz/rcuOTjjamxZXJ9nRII4Hcu2rLCNsZdRoogMQTiYjvNbkEZu0m5brZ2WNWBY58q
xpSouD5YMC23CMNwZAPY3SGEO5AeK5hnrddm+GybcEqE7FTYmb7D9IW8YmZY38QyBXEbfUIofduH
zk2RSUjFcrvEOXJMnGW5dkBSzs5aqbwT1GRD+rVMQhRx0XE04ytaKSziIFTMbVZb1542PiN8R/M1
Pc8ZB/TKz1+O9tFxecLC4QDHAennalyhD9zPbTAtZNqs8XElld0YjQ/j6Pg6iJyOGakvars+elp/
u8YrhncNSMMMZWPRj8BWAzee77WmP7S6d0zSYTu47ROGxB4hN/LOdfYOXgbZYpBcr1GPvd2DStGh
CYd4buDz3ItS/7pk7teqkq8u4PAd6AwjKFovImsmDH3TbW7c8TKlJBJ08TRfkpBIAKA5AKmLk2sv
XzRzPFlEsxIiDP1ANkkA/f/VJun2UKTrsWvaC9YG7+RM4rvTMuzTI36dlaVtE/cuIVEWCd56U/Yh
WJGuAbdicv2XVFt9HmPtS24shIzEzrAJHGiT8PZfPJUCo/z+pXPIrcdk4d+uDgn4JE/7Wo7i4yj7
ryw7UOYDtD6ZRffBiTX7yqsAnbX6vh3XaatBrd0M7gWYUOK6WFhN1jdDNaANMuM9y1h7N9Q0rct0
TProk1wqNggzgLT1aVlcNmyxQOSTGDHq35CvxHExvkO6bESxM4JyWhPM9QNb/QJctpE9iIGoe/h0
znYul2obV818sGz70sT1sIfr/RICX0QwVNnsAMIJj5B+XffuvDNYQbgRtVM/Ecor8jDe1gZDAw1D
J54neeyrCVZ3BLHJ5oLfupF3b+nJjZbzFUVKqCjN6rKaOghSrFSbogGQYCygFAZ6Nt6SRot9PW0h
51BziqHb9XGrIUto3YDV5SNYuWAG9LIWqA1SBN4aECrYVAnukg484yILgJk9Qhab5xLm/G0xztm2
zYKRwmOjSfvUwlXc9F0BCS7OlpMtXxHwPiL0GIPO9l7XSpqXcZybg0CuCS4B5KrdM1uuhPY5Az57
E8ZfzD4JnI4RujGx0as1FKPQLcgkSXbl8GwJF9jLGNRCO4wMLcYJK0zpHJGT+8kQHljX7ka0UhM6
GqwAyMtkwFblKo21c5n3t6TH8uQpBt68hVFRfFky7Tpso6M+tiijugAN1SWcXyT2ptmEGDTuk96m
vzecx5AiWOw1Qqv6wTiHJpsFYVzhLwhMlipROgTR0gZI0Q8CpY4EWl5r5m4d2vth4EiJShuE5Hdy
jyjkzb14aDSHhbLlvYraOGsty12LrWNyoVu5t4z4q/r/kWGYCSJ2NYnCZhdsmN7BMB2/xe60rPF+
RZrJCaNHcR/kOo1MHuFMWhozELK1L5lGcpWWBMIZ2R93Zb2b8/0w5Y8qzjRVFmRXmZGFjS1Zs6rH
WBmVpXIs41wOPT26jZWXecyv6k4DIGae7F3RkRXVtfdFER/DImQTlrPSIl0G/Lb6EYsBIhP2PH0G
DxtJ5GXxZ88Iz9p5GJp7RDNotbvyu1GPgeydQyqWB/TIH+wp+jg15SmXVgDr/7vTLM9ta17FrbnD
j7MNR77rOb1Lc+1G8q/VMtYrVZqsstqkBNZX3xv8ERBQ28MCF9hYH2LB7slblwcMPlvHRlunpX2w
1vplqNHte6SF04jYHXhmg/FVH4tNameHNNIvMgwPrSKOZ/Z1ldc3E27LyX3EGoDXILypM+e1iFnF
L9PI3hAVceUsd1byFCbR7Sqa+8RN7+xcP0e6cYJ1fDe58eea3+est6/AziLWPtTjrvK3N7p6aZTn
nVD6R9x1KWcJM5tu1Fk2h/02ZRG6slnbV1oIyFr56GvlqB+x1hsNHvtuMsjtmgmPmZOzpXz4YGrr
DYOfpw6Lfqm8+jGmffj9OCmUj9/B0K+jnTs2WPwjrP4Se9S2Ue7/BAwAuOZsr2mQYzLFCIDZEG88
xQ3Q1k9sagUNIbrl1LsR5BdAtWZ5JZUrQCp/QGLeCOUXMJV94O1/5uFgK09BpdwFPTaDFLvBqHwH
hnIg/PsfGadNS96nrpI/M5UBGsWkgaJ73lYhx5adALnSVZYL+H0Gu7DQd7ZKenEiMl+05MmZ5bIb
pOa7Rn7SCYfpVEoMbihkoOTGRDULaLSDExcQ6dCuypdJO5JmSpU5gzkxVqqC607l0VhJ2+1zHd23
yqrhNwlyXrVEg0qySWb7GewQb+VQPbfNTKnjuttisT5lRfmgqzwc08vtjWtoZ8BKkKTKNdtMBgfo
QJBOohJ1YpWtM6iUHZe4nbQcBGMQlIsT127eF6xuq+pW5OBl0NZMBw3vwK5ThAMEA/1NVzgY520S
fiq4FEVJWoCrdp5FPlhbSyUC9UQDxX3Cd7igmOsYWcoy6rbRF/w7pQ/MrX+UiQSuABSuVJlDaXXH
lVNuSRqxAE07Kpsos3Ff1KQVgfvdhSq/yFFJRp1OptGk0o1mYo7MlNNvQKkoH23UKzHi02BYwfAY
XhQsthxYlZQbTMmPcFeXwEIGy+XpnSZCmHTCmLxZOqd1gYqoAliHLqeOMfWc8jxHR6Eefq3z4u2s
Mw/W3fYDaR7ZbkCvwUwIe2CdQ8PHALWngSQhgS3yltgO00nDD0tU3oXejOhJOvAltIqk3LKzd3GM
BpA28+iIXJ609v7/est/av7nmaCn+we95Uv85fU1/jJ0f9Jdqo/+PvLEoY9LHzG4YeqG8W7iaQqD
7hIyCZt2dovvJp4I7nSaTo/rVrKFfz/xdH6z4CgKR/xFCgy0l593XSy6OOgQ0sEkkPINI/lu2U/0
RAwbo7Y2/YRxZi2dc1rn37QIcZZrNfSQba9A0wCOUZXDTzzjIPwQOZxiI9Lose1qgO8GYanTEvtZ
AejYTdjX9FazTVeQ/VVFi9ZoEaacNnvpWqQEVXqUU0eDRjwEQoxtWC3AnSbztTeSIB1HnG4Vq+7c
toIuNtpAn3MdqD765TFkJqPUIhM9gqZHnwf0s9Y0KqBe8rXT04fCzW+lC1yEabFy5hYnJwf1a7FK
z9rBh7HfH13sI5thym5hnB8qr+3II2tLfFszqtt8/dDSZFGO2ptR1z+ihckR7kSbBOjqhskaYz+3
8HbgxjAjjKcxwqa0NM2hycPn1mrxM/HjlNb4lRh2G7VRiwKqHAElxCvcasqdDm7xMIZ0EahHkmEi
w3NcY+xCO6vrWNyU6oTjD8FLNLJDcwDs5bPbb/oRxa10iWxCtLuJKcz2idNs42XpAgZupwHP82n5
FKX8EmaQ2qi95qdBn+D638kcgyDDJ53cjg0NbE2W2DYRwFKMiiljV1Q3he0Ux9DAGufo/BShvLWG
IdwPMiG4srTbS7w4H4mf2CZTR8j9qjV+jUx4k1oEHMg1/NyYUXPpB5sngzZ6aPi615BWp69v6AEo
AUMLPA4RA3r8lBTUBrnp7GvUf6yB+pMObMYAu5DHImAnrPl5np5sdyJQSHNfZk3X/sncUqE4/n7L
C5SZ2YwHkhfNuimVDObdk29Ec9Nzf1ubtWgaeH72VZoa2cZK85sQjaXdZkRylALpaBt9GHkKsj4r
jlGxXUp/mHX7CqF3GfXktFnAhVpMketaIuFyqyu9il/tfLzDAXhlTdXZS1pr++6Y+ZOx6xuR4+82
/vz4TIfR3bKigB7yE0/VlWWCIonreOQVMp2YnWUk0IxN1nJa0YC7Kfwgb7ah4yAeOWC/Thzzm2dP
VwMM/gb4zFJOd6ZTYKVCzbI1RagddLFcaXWPosYwvjVYMa5tgWGfh0H0K0dDnqDDS3pseBOGsliC
6WQOs3HiSienVXPYqDLhXls6u9q7+YRqAs4k6/FtP4MeTCa+KNxi+6HQah79fPQRgA5bmdFs2z0E
pLzfcRbe/t/F9c8vLs7id0/UL3u6h5d4Wtaf7FjW24d+H4iq2aXJPJ+VrdqrvRO8ALMW3EsGdxrL
aIUW/sOOxR3CbSYN4/8l3L0fiLK+Q/DiCG47iGN/ZSD6q0ZNBYNzc/GDIDz/eRxa9xqTGQuJF3ur
oNDME8AuRoIsozr3kjEX0RlqlGy43n1Hf/LWMer9+cxABQQihxQA1xFvU9p3Z0Zorbrt1onFAV9s
Mf5vegc1FkblkPYG/8b5H/9xCO5/+QMJh9Nxnko2nMJzqSjeH1Iya3t7cYHFskVKjzA/tM0gEud6
KeJ7uUrsOKX2Patrl92c2/kF4aJ+UqvQmiX5liFI9WW+gA9IFkWqchgrBpVoxh2xU6PvKKrV91gh
rmbFumpwcUQ2+CtdgbBkbgVZLq5CCFmJQmWVRfaC8LDZGPLWQ8la6jpinJobT2G2mmldtqPJMMZr
C7/kAwfZIWntSVK3YQVtpLYQ7QS0JTHIWm7SEsqDgB05G/Wxh/RVKOSX6kEEacvMqeGchNXL0Jtf
EU4oVJhbINCM0vS8FHr5yVss2GfJcEMRPO8Ab3NtFDupxgNalAVMtURQqNEBmYfxvljTfe30iKKJ
rTAzDQiy/ZWgkNkLqbURoiSJdqcYackaflTUtax/7mV+kFyIfR5ecrcJJsmIOXc+zpY4DXFyUu7g
ODQPa2QeEKwfV9ypCXjOZsgvNFWHUI9PolUa8UNGNpA+GzAxssNAbynm7tj01lXNIKgK79fIIL1r
3A2tcRKZhto5O3BQBuF4szC95+zdxor+ln5tkanzM1/mcdhXhX2ohuwAkfcg+whmzrQnLyRYpbZ3
Uh14NuA5Jz3V4Qed1aBGh4nqJkUYRo49LJ5p1wweRj9GyrwsGkNBUhEOJVvZCA7fNByEvT5p3pIj
BOXfkClJNiNJZReNudGPAMm9aWxq+yGPy0sJcan3ssOUpqCgi60l8VNJBo18ewZKJK0dgMsWFycO
d/nU3PDNXMyJ8WYIP6C6XQT8lEG7r7HyZVN9s+A8oBjzEGgyzNU8WMwYsXhABBTTuBvJtaE8XLNv
45KDclpYyTVOZm5gGfp6i9JN6FcdymXwb5oTYFZutjXO4VHQYS5EcASJKIZ9XQo/pdU9awbm45Z0
xMoy2Uuu0zd9pQlOD/GcpFdfsQl+E0oUI0N9PnTyGzxelVTn3qeVtQs14MgJhBaQOst4yv+DvfPa
sRxLr/QTsbDpydtDHu/CuxsiLD256c2zzd282HzMRqmrqlvSNDC6GEECqtGdqsyMOEHz73+t9a2G
qit2ncU0YFCKDnnzbCaWX9g9wOvcH+naWVrdW8cAY5Dscnb1drIzcP5Ldk7Aj9cdyWwEAKJ4/ECh
5Xfo0QUWHESXkt2eyE6G1m+yOjpoXbg1jWYvQSYbHf4W/vvyT0pmIyJ3uFCARydcF+VS8M6QW1A5
CL9Wh5Oh8qeWwm9aPjXCb40SrUtqApKcoitWBEvWwCA1UZvWwSRrw84EfzqiRnFE7/IcC59+eVmW
wVLAEmQ9Iw56m5A5f2+Uydc6k9ojHFVusBvrO8kmKuFzKowOCfu6fN1x5p5ZNbAPpiwHZwVzjBWZ
ezerFspuWRwwVl6smesS79aHlcfhFd1jn5vFei7vYjqBs6fSShPimvImT6Lt8lVLUE4Zd9sEkhe7
8kG5sh686Rb9PgyetLFnQdRd09I8OFm0ldwElqOsTIxZLPVXE+Ia6wPqEbwuxBMGOGzimFJWQBPL
Zg8A2+sSakKndysv9iM7mU5niSSwK+6GkTVd5WjpZkgjQn54oguF/0KjvHZHIJFUnYZHKkhyz13M
1Fkr4g2JdjoLiwdCzyC3smBPZvYcjPPG6uJzz5asXLIquLCsmsdD5pDnVZ47fqBKt9w6wzo1oEMW
6icpmQel7Y4hHAeuzUNbuw9jH27bEI5Oz4Y1nV/MFjYngJqAdMr8SWOfT2CDsO1IlNY82O55gdnm
C8ajjNZ1ke+Wf2JYTHkEH+O1VEkQpZtZsVeaFOdwsE8JCRBCg/T2KGuRQX/p9d1gvQ29spEhFKmJ
FZ9R3nB8MqNsE7X62RX9JWjHS5NUGwtzs+Q6WvXDfprbfVpOp5pyIL31uDk93u9bCkc9jpJGrzNl
Bpz6WpsMoV6WhIdtnoH0dfO4iXgXZJXW7GC7leyn8Jqa87maRiyOXbrioYyVX0cGZLXEX0YIylY5
rMhiAVg33LiWTnF4mbzJyOFciqxWOKwjhyJ71Or43EEu8abeoKPagO6mkHXzAWLuiIJaix46+6N2
bOLqa8ZRABsEJEcR0hA52cZeDNXT/4yz//k4y/jzh9npH8bZh4hKl/fur/Psr9/1+zwLWhEbEYRD
JlNNX3KSvxu4LX5pEfFNFQSjLf40z2IJ4BchNqK6M9r+XeCnJcbBiiY0U2iGsSQR/xXX2T87jS4g
R8NizGPE/Iu+HwRE2rVSA+Jh70uRbjphXvEBv6t9VR0MtqSACfx61E4sig5jbSw3/8VZoC2yXyfg
9v7w6f2TQddw/sliCBSlQciS86Wh/ppM/zDqQpTr9EhnfV/ZGkKbIdg5ok0vMA49NRuqJkoy6biO
2QWR7RnSq0iVu6oPez/UYeGY9UwvOlyfOe5cwtZIfmIR/7pFBmxEjJCFMgj3CgVn0QoX0XBe5ENl
ERLDsfyUi7Tojs5JDbmTIfKVfrMIkFFtuht7uFcXaTJfRMp8kSuTfZ7aJBEBkzdhSR9fGm5pHI7Y
m+JoxeFAHDx6CVPymR3TboQqOg57Lcx6X13k0hHdtF0EVGamHCc2omqWHlvnZAd5zsDPXKBUYuOg
wlqLHKujy+aVZGIL9Marq+FDRbtN0XDLRcwlK5DRyfdYC2c3JnjMoFrp4alfRGB8BARDF2FY79Jr
18nIk9QW5GjHwyIiJ4WODmGP18ruKQp2bqNFcNbqFIs214eFFj04rXugouqUo6VbUsBjdtOffKIy
bRGy3ba0Vww2BxuNGy/Ygd7RY7SI306bj6f+lyCen8qQSWtIFC9vosjTF/G8kUiSRJh+RnR1gb6u
/RLaK5NO0ok1Fmogxaa5w3cnWXX5OpISqalmxQjFpqjsnuvq1gR11+iU4xXpTopsV9rKOrP1A8UN
G3ry9nM23hdG+uFozdbAEgz7rPCLzuDhusC1mp5yPsf5GaLmJgxiKoGMg+PMb/akvMRuczfGKqUd
7Yp2ZX9Gm6Mnk4c8Wd2wWdeOfkiwvnVYLPq3FmdYrWFrrPeCrWAo+Rf4GsLGq/J2LUS7NYti353N
bjyloYULzXhzYmJ3seQ/ivDVlWmzfDCTj4B8D7Tkp4k6j5uVvBcbGm/5emcZI3UAcWLvkuL8qF9p
MgfokV7mUC6BX1KrFhw9NXEejYQ/1xpNcnfJrQukOq/Mu14n21/17l3P6ytyaQVtv2mt3eIkw8b3
4qTtde7EZy2jw3I0QJ0DcA0AwwieprGj1KW8SUBC23I48lHc2gF+zgWllib6pyA919vFi2Mp366d
bUGo7VxIgg2nrYHBwgagMSk0viBgucnsV3F86Cm8EFWFz5+iaHsp0wzv7Li+8rw5CQiEPeCzBSw9
1+lrzplgdKtdaCh+g4G0sdpzBFw6zUK/tOxjL1QMINnzrIePuZleB6M9Mx7Oi3VOASw+8NDIndYv
WuWxp67DqDVOMOIUOvPelrTqCnno3ZtIcW5lNfqTah/VINkGET5uNeU0ax0DvqVRYxbtw32WRjdD
wLc49eesb1bTTaING0l9t1kQP6DFxaToc0ZvTiwqvQmHOhxQB0wzfXqYisZn3QqaiqioBn9Q2zvo
4vbgHNt4KdhS9zm5WJ11r25VO0tSY8OfblrUstqwnVo6fPi6wBwcG9iMHLZCPgz+l63Jg5m3r3ha
r0axBBC4Q5U725JfWhPeDWlG3ZWNjhalW1UoN3Wig7AcNrNZHyxT8zLgtWOPCElFBIdqv5G/inPo
FwmGirBCckG+vDdYnWWs0CjuY4G8LNWW7Vqy7Nn6ZeMGCbvaqMsWjv3lFmam4tcmbLfTVNvX+tfW
TnX5QLrdzIslUqR9CkVDrFrHXzLwlw00ixO5Z1KbwKJgTqBIz7Y9sKY+i7xbje7cQ1q8inTEr8P6
nh6paNuXx1ml8iUyiA0PpFX3mDW8qgcB4S6INAowiGt36uNUhvZW4GXduTTQuENvnRcIZzSq+zKc
qaEBXrLMVoHTkP4YVcA5yH0116YZlu6eU8CiqIKS7RHRxkiWm1nl6YIZp03mg814vo0F3wUqMI9R
8jcG6Z4uzA8QSOpNTvjF05p1HLw7BgxklQzMCvBG7sMbf2iS8jVz9GR1WzWmPIza8KiGI5ppJCo8
r86Xrk6Xuk+D7dw713TkJdDbpNFH98vsNTzO4HuYDEnBZjoNy02SwS5E6yCO7ao+dm/P0mS1aSZi
4Q28uJuoe21IEeXPBBPxbzMee9EcT2c44Rv2QXiDanKYLdHzSZWvJqDlPeWEn0Fo+5UyYvvrc0QO
G5K6atzwC4AAYtPwR1P6VSDg85h88uGCkuOxBgCFZXUYbGJrW0RgG1MNlOV/PFH8UpL+srBmiYiF
cVHAWAL+ZZUVDDXyqKoQuG25XnSMSxU8NKFHyErKzjCT2ywUz2kLsUxz9GuZQA9xcI6JxUL2PyP0
/80IzdD570uZD/FnXJT/OEHzm36foJmDSDMKFAfiHGx5/z5B63RVUKvjENwAHyKYXn/fCFu/gfIi
Grk0TfySOP8+QZu/4ZolsKFivWWNjHv2X5igrUVd/ctyVofQRaUFFHMiIr9a2f4wsRahdAe3I/+Y
E7BjeoL7Ko9Js49VIFNAE4Is+coTyEB5l68Dimk4I1wWm6HuFbV+O+sRKWsECGU58MISaMu3kGpD
TCzhvYtuiKPlxqq8JNJO6kin6IC1DB/5fCFxcY9tf5PXuLqtWHlADjulqbETWoydhZx90XWsBtz7
qTEPLu3A8By8SIRnOek4hbpjBdx0FZrzpQgOeb20KZUUIQgn/eENdezM8kxi8ZAUOWzn6FRaELn3
8tWI7DvLdm+NenT8KuzvmfqI5HUsgtsmWis4bs8DLrIK1//KlgF16Xm8G4cgwbubnEK3vJQKv5XO
Gfy0TnaClKRvhZy+OppQzSD7COz4E4iAvdYgP5UtRR9zAAAS34ifjSpyT2yfnK5g2JPAIisb9WfZ
VvNMj06qGS7FSpa1ksPcADEku1crrI+HmRxIkQRHKjgskYFyFPZxUHmQdl1Un103hkFaPYp4Oes8
9waLDGIBLFbatRLh/hM5m6hc4SeTTHTTm7h7pszYl67CSzwy1qGq+WWiQ0vSs/xk0b2McMwWYHgd
04yWuWCyKZoF9Jih1+JOqh8hI0JsiU3I2uxk3FrNtvbs0qiW/jhGklANMoWbQS8+6kwpdq5LQV7m
UigF3qKhxXA1tFG0dmpoS3aUfTgpQ2ejR6Unb7SEKiMq5wm9BShxwdIDH7cPJkY+Vnv9IQQpvtKb
4a6uGwipxbSlS4hjgcPawuanySJdANLqzXSnJQPZA5sdc8tuC3qGumUz3cIJoak4HWwbYiQ/flfx
RhHgOCGIAmLGuCZtTEBpKrdF+hC7dCQGTnSM2wIRTzE0HEn6bZCx97KC7mQukCkcwCwmu5Vmpajm
8QiFfvoCOAzdJesetGkiiRcyVRvSV7nUunh5w7f0OS5dIjWHk1VRV6gEc/BYgIPjowoWzFmT7cda
PwniR7lRZRfRGWt7AtECmQYCnEKiqQ8STGARhoGMVaGDXewoc7VEUqcXJdB0EAize5Ni6tpOOXdg
NEcX6PvaNsmDr0QYyCS9KtdtbzWrxVlZZtm8n6czWO0EDzilNL3qsG4ibVWVKpzm/jYxlQtdh0Ar
EmUEVTNXvCiNnabNQKGDdWqVVLBFHABdAlJTaj1lbsWxMvzM9PLRZZiBapJ6cmaIZKlIoTWsIanS
PBg3VIKGOPRrl+NSkx7xBEQ7kWav1hjfupgkVBV6KB7utYw0Ca1aWY2d8t1HKf4I6EKpRnaq5LQ3
p+MqSqt8Zyn6d9DQoViTRI3xIrYNH0acYMU74EBeUehY66lHy8GqELu0r3jMFflzu0wyNmPCqqp0
kOcO3cppjcPPMTnELBk304gPNkATXFjlTY6K3NC0s89GXFCWPrNzczkfuOYuKeF5Fl2zewx0cWxH
5SeR8ye12m8hxocyCj8ywUKVJdvAgyCbfyohPnJb1BuVds5V47brkQzrGmdtsVPC8VFRlNc8p+DT
MqGMUgxrmLSswZs111abv+eaxbmZwM9UiEcodOFKnzIIEJrCr5S4PjV95zTuhgQZGJkqeqyd5Hl0
HE6DTPOZqWCAlfW6iftmbebAzRVDgN2Zs21danBk7HhbMGtJdLVNCA2bx1hxHWf3m47ocDMZcFby
fIav1jX3dTI6KzPEtFtHPwYkknWl2SgTBhE/dlOvVccFy+OoKsAHdUO4crCfrYX62AOsWjV58DK5
yxbbuILX2QcA8H2FMNNeWO1uigz7WNZG79eiRU5z3CNnxcrXR0SUjk0y68tmJWvKZLq8tVa/Vh6C
Qx5xdG8epxM9dw9lcBlk+OymuKWdYC1d90HXs1fCU5XBWBcD6Z+7K0oaBWpN895WD9B3uBnwjddL
c3oWh+fC5tsYRnevBdnWQtBz5fDRJtxqKgv7MumuXbWdObkKJKnS1s96NiAPLX1RdAN6AS3t0Jpv
1aA4xdmwyXXOlh31vTBpZ625Wkn84lME77mi26jsi22emx06iDJbB/iAviask9mXBIx5tVph/ras
8mUNnnaQwcmUD7J1l4YeNjD8I3gOExUkAg79R/DujTL8uWZ/YJ11Z7wYcPlz3Alp/o3P45vX2Jc9
jF7ErqIZmisMlFM9hluZA9vEgtlkJMKwXXcqoqNzN9gj2Y/hl7IbV7dg2s9k6cGk5/ephI3juHxU
tojOZptfNT150zv7oQniW6XhE1bTaKsRKp4q5+RUNJywAqdF6tXkewqL4p2j5W7CSNKL0K+Iqoia
MgKtYc1g5+/SdL5csTzypgz4PS0N3myar3OkPlhJTRHq/JFr2rVqcrnJNB7zIMsqDtlfiTrchTVS
ILkdbI4Zgs+Io91X1XqDDazG6sLHonAVjMXdqPX3Tkq2BrJ85TaG1y5yXdy3b6nRRAdn6C70ivL2
IofoG3l6YIjxcTEd22YSeMEbL6qKD2kXZ9sJJ2+ynE0aJeoa2vTBbuJypyjmTzkbYLW0lZApWVH6
IG371OVgKRTaJ60vS+FRRPAjFgTxLXXVFvW+qigIMT+qJNwEwPRrJb/BbHDih8yQ0G9HCPgJufcp
kjdURm0jdECjpBy0nimw0m/juNqZXXnfZe42anQCkuRiwE0VQN6Hxr5IlgPloD+GhsEG0tok7ovk
WFab+qXtwIxZ1Gqm3TMrkbMjBrGyx2492lRfMM3QFA6irNybfHc5uoWu2+CAzEsv4w+YyjyeHHIy
MpvArAJUTWy/Uw3kRmNbj9U2CvN7SADP6UwjZHPM1PE/sQswcP/jCEw8esm1kVcTZKj/bBfA/yyH
kWuDAA2gZcLX0NtJLYMDu9ErBzJUWuIkRrNJ7JcsMeCD0e+9nuPwwiHf0xzuobjUHZILxqfKOc2v
c/OpWexQiXDuUit6M50CB58hr0Gars2KSz0yiNea9/WggJcMw6d01k4p/LZgpFGO9dWmrqb7jut7
Zbl8ELF1cDoNim7D2pHKG7I6k18BsvOsDmCpIHVGfooobuWYPozqFy1JlG0+HRpFGzxhM/sJ0ECr
zmJZLlrzRbe4CIn7j7yrV7mqkOF0Xu2o/tD7gKm7Cz/gEZy4IU4MjofMvegZtQlBZp5Gu73rzeyt
hZNQ0sPCVesVjf0QKpAnTBq4gjQ7AaYEJZafOiwK4SjvlfiF3DofnH7JYueysOX4Tm7isr7tjYce
eH/Tk0JLLrMC+m7GixxhHQgvxV1ZxHs7hV1a7iuwQYtFm+Fu36OZYdU7Wm6+7txgjQhAFC+9JOPD
PIQ3hEswuGi7emo3RUGAxMlPaTEe7Sa6tETIUqJWEZS62jCpBXrmLXI7SpsvgMYMgC28mqj+vQkV
+WIl5Q3iuDCuVlndVxZPM83hK6+ggHRI51OlbWrVuYm5u+ZKvWUqPunx4A2qgdFtOC+v6LIGFZLG
jzFKpDXu29rB81+QYe8q/UYY08sct4LLJwLChAWiZ6AECYI9W7FfZjFxxZQcyfQ12ESgXj3vhTaU
0ZJeAmo0QPGV1Z1eyrOs+YtLkiOYAgMa4bSaEtUan7uw2OJZjfBcKm5aRX0oVZLp+kdnh2+DAbDU
TCCvZe+ICJ/VlKyKtnlkHXlh88DH0w9U5SjzylZNe0WFlP23Jcf/2/ztfzPkKCZKwqr//l7h7X//
rzr+jP66WPj1u353R6PK4WQEIQo+ydVMTva/S3O6CTr0T/+f3xcL9m88L4jqqZgfrb/5037P3i7k
b55/KHq/5DxWUf/CYsH8Z05RrAbsrkCiGjoC4p+fqh2NKDU8RICG8B5iiQZewQBbxyS7nCYcES9M
04fjHOOUXo2OGXC8jDZ1Mz+CCxCMLvEHK3k2jMsjVrnJTWg0LPA0/kRzAvdWAJJUSqg3wrrQ/Xu3
YGmcJv5emrwtEd4psx+n03FTqfIlrsfr2BSs85r0o2Goy43gpt7JsHkRgyTOU6SUVubp2QLc3Cpu
scKKzZYvQ9RO0iuRjfugUJ5ingVVVbwyeLIfAVQ8td0a+yoIGDrGYO6zB8gGgGtSu00dsbWoZHO1
9sDA/t4s/4aigmmzqkcd12Yrec8nPzmNNXQJWH6MB6sUwyY2m3MsMhoO+jP7+TfCPucQc9rK4YBM
IRgzo3VJzZb9Pu/OgPjszJlxlMWuU+htJCkSGMVpkj1WN/oq6BDPxxuZ/LANzVZmx1dvpYy9UJCb
gtb1iXua/pDP+2BmDa32z4iI97GRYWrLlc9psGHmBN964u6gpwPwCCbPnNUna9aflvqtZEwvZmbh
aAluMtbRmTnckZ4BMVBuSIvuG1KBduPyL6pWsZJlR16u+TCN9M1QDE5bw3lpWouD8VZSCtWFiFky
D29rEAjqOD5wxfhlV500vvZw1B/ttt1kznAnQvuCeWbnjoBIldt4ppcNa+y7Bd58ZRM8MgAYkV++
RjUcvSg8Zg0dJjp96kF/rt1gP40PbOW2Zfem5JQYdQ0HhJY992mEdufO5ngDpud1intkhJqmpaSa
lnQylHmi5HQlhN+86Xtkw+SBnzLucBuiwkSG0U7Nw7BkINO43HLWAQMKJfvS1QFJ77DDkmbmBHIi
56CYA1aMEuDkErAUJC0hx7+gbGxzEpg496m76SJgqwNUeG2kAUSDd9q7ot6Bv5o5MGcksgXW/Lqo
+CmNePWKAXwEPrPGEh0mroGvx9A5i6tUTrvAXbty6kCNm9bKVBMIe5X6jvXU3g7SkSAasBAmlvWZ
BeGwx3ty7Xgze61SKLBj56dintSN+OrDjkaMQbJIMDhAihEKbsHNFEWbiFuc8aS+qopt+C5hg1XW
Nhlh2+K8YKaI9ywihLun5tpPdHdL/PInnYHLm/TobQPMHxeSkNSaEOEM8uQyTfWzkx5NCOjezLjv
ORFStNV88OfkSoqaqoRii5S0DwZmEUUijM/BLgy1eq26OZpMYJNN5l5WCLaOfbmp9KmkvIL2u4Ir
P5FVtacw8TFGFCH0DxR20UnqRTBpI/pAQHBoGlsPy9631tjeZu135/BYYTpqdwAwbiceTBt1qkzm
HA4rYq2bXJPF6JT+rJgXI52P3cA11ecoSEYKbJ2TYuslU516ijiEFWQbRQxvcxU7QF5+OuQg32X3
hz/qkuYUnw1hWHnE9l7Jut8P8LXAU836YaS8d6W6yyVBEMzTDe1NTelGAKhBbZcXm+33bKkvTT72
XhJjJbVjcKbYdFneSZ4kmnqH/5PIb0mG2BzpMauflHGivw8G55iPrFoilatX7Z9Mld0w5S9oZt0b
9/BGi5yQMviu4mzEKSaF1VItJZOG2ayTzHmpIjgfSdhAGHbNF+xFw9pOp5dc46RrUjpjK8YJVOjX
WLHetEu/s3niyyCa1qrGhaVq2XMJRGEbjdHtPJo3vTbG68Fq9M0CzeJpaO1aSajlRXFEfyhV7PYC
hBruyZGk73UkuGK7pe6Xs2uv3cZ+5wzNBRMynUox3ihWdi51RnK1b79UY/ooKFYuOhmypu6e4W+e
tVxRVkVBsiQKl4uHXvRVL8uL0TxnYinPQQ0Egbq3UORWAQ5nDuPGpxsvaR4aNs+YasSKtetPEcDu
NPi0sg6xzcEiF0f0wKjJl2pb47adKE6ILEgCtCDuUjWj4NDUnuAfx9yhCO4wn70KjGXD0H4cRPQO
Lm4kKQSNKIBBGI/d1qAL2AeLkvgEVuh0KyyY2UH1IfB1rdRJsIsPSeKwLvNMm9XaOEdrMyyopaHD
CzQ/tGg5ds92RLCuj+Pr4vaEofqSWEulu7hXy2VRtp1K+pL0xX7Cmw+cn7S8TBp3LAR+UtW6rzTD
uukMWo8rtfJ7JXpp2YnvTLJGShvW16Ch91R112E5X4UoTiMZRSpAACnnLajSXNuxA30wRPq1PFFW
VW2zyxXNo5Orqyya+m1WtQIy4ng2myzf9pHE0pJepA4bwCy6F1i8ZwuS4CkEqeClT9BhVYCKJDTk
U6bCA42QG3rp+nYi+yPNQ7PHKdulCmfTuEBYq5i7LIP26xGc5RvFQANt9Mrk9Vj1yr52Mn09u9GH
gIyBm0PsVcPJPNoni/V/gcz2/w/6zCRm8x8Nuo91/Nch99fv+LchF3K+7lLAqmM3c6w/qmeEkBhX
oYdyNy2omD+oZ0vlu267ms1VRz3w39Uz6zdSCLaFkMpg+gs7+i8MuZbxj9EGmixczG+CsCHD+V+G
3KGsppjuGaCXRfzT0sJZ2QG1ZWpKCVgVrkcO3bjlDS+e0luVLXa5rLNhBx65yGp/cFIghnb33UZi
pxOaokaR8N+yFg+WBbnDplwi6kxq/DlmqEFs0p0FObas1pNlyd7ieVPscZ/05o7yXao+l4V8SdMN
hGaJfMOiPmJhL8Sg7sH0J0nYE7/NrDUWYIAkESjI2FcZtlejnH7KaNrFpbjNqugjBkjAyaMmIQVa
ysB3uxJ2GK0De42tbz+05gblge1T0tw1TvlklsVtGlKa6cyrvdGV+3LqCR1IGjwZyVdGkusbxQqu
WWQdeoWaYIZuLyuT27Bb0vqa37IOTODolJ3gCxdi8ofA7lbB0rrVQMon78E61yyOQ9A+T1XKQVZE
m1h1d6Op3cyBeMi04WsccMOlYDlTgcdi2So14myTtSAxTUSvx39XOcAwNNz1Y+4ykC3NfNC/Lxlw
793Ec2Fieus1ax04LJIT0/VGTtTq3P40qrh3B/U5x4g+mmBNVPTGHGgQXI5yk4pyG83dpo2KPQct
MMRnozUPQII65FLtfqosJEre7jM2G5xA/V22sL9cmELAu6Oeo0bElDnJ6IVf+ZqCi1q8iELZ9oQN
6iB5CcPoYFTptzRbKM59dEhnQuwTzuzAGvysTd46NYKnz251pVfpsTExvtCp9xO29oMO6oh1fv0I
R4TXcoUT3NWAkjb86N2c7phQxfyOfX1dmdP9EKMnxdW7Pug/Nj5Bv5MZwf2rU5ItTLBaekbnPkHj
OCeW+c2at2WXMWDjAusyM7mCYQDGLx2ccbFxRjY5prH9aRXaBuhMv0rZAvf9IPeBU27I6GyTMdmH
7oD7HnZ9qBovPe7jsDRATGuixjndQsG4ppLVTTUFj9lEa9PgPEcRa5C+cDnPRblHbACDZUXGyNyW
dQPG0g2enFzbj0583+MfPXCaoduUH8ccTH6eYnvRU15yMmd73sfRoi6lr61eX0mBfNTk7Qfq93YK
WFAfkitgzZm7IUhx5QXxOpZh4hVL81KeDzGWNG1rxe+WxvkLZ3/0I7ObuSI9km7oLbTlN6Ygbv60
P5Yoe3if5/g8BSAtPKX6pC0nNL5GXOpYicr2fiI7OPqR8QqzwOEDmPk0O4IY9VOX3gnj5BZrvUDi
XuflLQWEKEc3bXaftLB4Dg7TrGSzuy0sqAVnTVwoshzkWre3lboubX5kNwGhhxw3JV4vo2Z4osSq
T9KVEV3V8qzHT2nPJGOdYXPbo/QGDsRWcy/Cbar6GjeFXV9UeVNBxhHBrapQSnqez4GarOSI2T2j
husazneaxfL/cY7uJ/VuVC5afpvo56Z+CJ1tat85+ZWVmN3YXKvvFb8XuXLF34vSxCDHYk1nPv12
rJuIRr75YyofSo2P7ZXl5ahTYqh/luFFGbHLnfnP2n2ukrve/Ym5TKsXNZ+9rnmGx88JFclHe4nM
V8W9r3O/bzdT/BGadxMHTnwGa6DLzBh0P6kzQ3IoIUqExNQ4VxOcpurTj5ubAKmP4ts4fG4CRG8z
8d3mecl/jOoEzEESLxIHgF46OZvW/rYB/c+UNIR874PlWy0/ZPoWjfhJ4dDRBcl6pDgUfGLXn62h
8TIj9px68KWL0hhl6w68FG6gVUz7a//dAtUrkANq7T0kS5seVYLh4V2HX01CpdVfnPg4JedUe7DD
YxK9W9UlbgFxYp+ggGCllq81cjulw36LsKNMFyc+aIv5k5hTxA44bFwKjPoNLdKrGlIjpc3V84BX
czk1RN0lQPupEcT6O/pxkSz43vCxFi7KafY15fcWsgTVbytDISoTH4rpu6u/pvAeHXMVQqJSq4eS
46WDwWyaCAFQKjATZXYzCpSqyMv0xyIkHFg+qwoaFwWSSJvUpIAQrr2+NzjRVJuALLfZcudhEtbi
jCkuISCvwKhFfYID5dEjUa/MBjCGlqYrkiHhau6x6VGIuoG0/+X01ocRQnK2+/wQy+Fbascuhyrz
pc0MoZa+vBPb8EOgM1d2cadyStup83mULEmKOgHxW3CI5tXuUZgNDA7VvsT0B+sYyHxSbJSeg8vQ
8bEWzlLXrd1KLh7c03TVCEjOntauy77jjMEbfxXZxJ7SJN1WWp6v5VC9mmUPStd5GCm90bgnbUF0
nmOyVkAJbRVeu6JdWuTdCx5hnhzVKyvBh3oKt8J0LnIsQYVSN2UCFqF4EjE5xV0xBw1HzQKzNxbw
3EFeCa41WZM+N27Lur5GuTOSCdG5hvGYzbNcCnZWue5G3iBYjOH/I4tM4Cy1HOGFAyknR0mvvTM9
m8uAoIzyG05agdDzranR6FdRcksHBc/L+Ul0zpMiOezbwcEg9QHKA+k0shSWYqikOq15c83juh/d
gitCBa9lPcyzdjW77JG/gg1BCD+6pH+2uU5Vdxq0Gn87fy1OPulQ4lBEndwMiXnPrOdpHWEVLrnW
triPywqf5ZS9FFV5zuP0rNPU7o2pvMQB3eZa+5Lwf5vOlq9q5b43QgfRMhaHWcxAzyDllSHc9nh6
sCqSKjhJOTmqOKCb+9Tps8Mkn+Ka279K7PjwXzD//7ejUWJC+49OCU/v3dc/HBOW3/K3Y4L9m2aw
B+cVjsENA5rFYeBvu3DrN8jGusChQxLl18b7z8cEC6vtkkMR1rLA/n0Vbv0GI0T8W5mX/i+lVKx/
sNiZFjgSdzmN2KZKA9efN+FxjyIrApMjQS+yPbslbDXwGbe409ZSHb9DF7NVYxW075p1w8Zlad7S
WKLWpCz90rGLTbfsVIkCE8Sa1W9l5nBQ9qnmVRTde5ORT0fdUOqV0wtY9kDf6qz6KKDhcsLXOfrj
gUpjkhpmfGVkP6hsa/cpgY2LGfS8JEzXWMLE3FdU8x7BaYqHcDJ7PwslOBCYvpDbOaTHw5TsBtGu
VCkNv5QxOQDisanbsdTKOeWUICZ5ykh95wCmcMCmGYuOajAUW5aw107wLHQaAqzCRsETxXcw0zSo
cZ5Wss3cATHHiI9GTTVt/3/YO6/luLFsTb9KRV83amA3gInpjphEembSiqZ4g6Bo4L3H48xzzN15
sflAStUiKam7OivO4YmYmzIiBSB3bqy9zG86ihlVah8tNWdn/D5I+Q5Lx1besXQM2OHUbKDDNVRc
3mIeayNPC9YXlEwllFMUOJilu2oBEMg9H7zYBCyB4ptVT5qhg7eLDWXH5LMiMYuf5MQFt+1Vn/IW
ZI3uoz+Nnt4uG9t9oX2SEVfbWCGMAdFElyi9ORrwcYcWMLZgJdr7Sn9aSBlohD6zLhJO5z5p9F3t
1dJMK0E1hWOJ0rKcbvJKnKX2MkhDBDN9I1wMmDVuxFRwSMR6PRzg20EV2NtYjyPsBJkWH+35ZIhm
Va63arxM4FdU4+vY5XQAoxZW6GRtnaLs2bKPlHQhB9bcagA2+TpQL3PET4e5Z63CxhYcRl1Kr9UD
z+VmgtO3lE7gdpkcbaLa0MqZuTjMH9EWqeyyPGIglTiRzSGL9dU6zgd3VgYRqMvmqQwHTMn9WCHI
D1edlaLr7yHFHJmmsU4SK1pi69OGD2ZbSBfm2O2aiJQXQQ1lYVsA46typOZAbYPysQfHAZGga7x6
U9Ud+iiBPcuxBqtsE+9JI2aaoRfrMWCiglq9djzN9UsLv7WUU8EooouxUiL+BHA6sKwQcSFHzoG3
t7W8H1S2c8F5D9Cp2apYgdLO4/DsLL1fyVZl7NXMutfy9NYNcn9xPaY1VIu+9k/HimMXr/SCEbnG
DhgYNVhU1lETUCj4WIqKXFvG2NjgeDYvSpzuzdrb1369lM2gpkcJe6oeTksMqLeitY4l9yo31J1h
lOD0qeIa14au7N8VkTacS1q0op2mRNro6CQlI+pgIrTW7kjaTszYjkL1kRxt7Xk9GZTYtetEXncF
RQOCqILyss98p0jiW5f22YyxAjJsYLQUexDLBJIn0BLcNNzeAbSZro1OXNOnRGomM7xNmiAnboAx
IO/oMWoIsE+JUyYo4gQBujk+RjkdTwy3wDkQeiSBnXiYLywEdgrfVqcYBy4E4+4+g99VuZPjfA5V
1I5GwcHO/qlzsLLoFKCxdJYFxgMm8CE+SNsEtRk3ScNdE3q7vJPQQ1D7ft5AuQNM1tckqS6eT3I/
zoIzHBd4Tzv/3gYwlLmkoSWK8Zuwxhy9FsHK6uxrvbEodzN0X2Lds+YdUjvaUw3NLYnNbBUjArHw
h/BTp6+kBoRkplPph329CTvpJKpGDfmGwQSgkd9EuU+elHqXkPU/B2V22+XsciTxU+Bogb03Asr7
nAxcqZHC6V1xygQHZfQaABPnExy6UX7SYnvdqtJx2DxInb6xDRdNRxfxg6Ihs6ZVeQtk1pzHQWah
/GdWk5Ft65ReGp50anM0liVTT6SaSX4meK2lKBtvlOWNyQ/VFH2mYCQvTD24SHIR4o5ehf4cpbve
iXRMB0FtO4ZmTTIdzU4eRLhU4zRZ9BL3rHJkl7RoralkuUg3RshyhsbczPKdEkYWpZIkz9WWpU5E
DhojH1d6kRaEM/cmN3yEcszkUlZABvm+8CkFakhrqrGM8eZxGvoDqCjUJ+Almlks5aiSRiXwxkE7
ilUV5WX0nhxZvarj9FZJEvQzRpZGRjXYKj3awypUwKCI6VoDjHY4Q1usGvWAPlXpIEjUwqHelb58
Ecsgb+oa/hgalCBrwiPwgvD2G/tS8suTRmVOk2OMRzK8xPC9xCLYt7V1atefvcG+8itpO/QgfyY2
visuwwmzVoqeHsxAvz4p100nLvCeZzidFicySllUXfNa9s5CtUJVFJK9bl1FOWLOhbRs8QD04/64
lrylD7DaH/ojjIZg8phludXB16DNbF9hrEjLnSFb5yZEsQc5jNcQvE+z1L+BEY99C3koDtnU1HD+
Nxp8LlQJhjmYu7npSvjqRWKm+sltUrQY2YOdBZioF8ZW5P6IzAZscvGgS3k5S/NhxwwXBJSPYqL0
CQb8brqLBLx5lPR86pPwein3WiBd1FrqiLhf9B1KhQUTV6+yKP9kVFRKiWqHSTWdDMsYNnoAcMl2
65temGKVN/7TGKGKC2HUgQqJH2IZoLsg0fxlEppBgbXHfVh7yiI1b4oIIBEnkOSF/haE+Rnuwjd4
FCRHTAODE7bAGv2p36IiFSe4G5XNSdVhk1f5tNk6idmqHpnMVWoLmwaV2YtR59tJsArJspDRBy1X
kclHOJ+hxqV5qmOLY0P2H2JsE88HGsvzOsmv2HH2UaajRBHkFN+S581zX9NXMhtn8kr1kQdQgJ8b
UOMwdJ7XBjfImCkx/VK9kwm1bATRvGp1cZwI9xqhUCRjkS07sbrJyBHFGOihmyi3PyFAA8tIxL/l
odWftZkGh7Hnlav0hxpqwE3kwx8AxOvOY725rkioetdULyi+Y2NpuI1xZSsMmuuug/ts1ZNTFIN6
twhBafdqfGr7QUi979L6dbOzvoE4YJyqxQiTqFyrNug00LUuRTMpmIyNJ1IubrxgjqhBc/RSx2Me
sh7zPFm5prRvrSxbSnoNmLQy0B5viKZ0WOJQWZq8ETS5pTOvK/21NiZIozMpU4L0OBdDNddEc5HX
TLdbPN8k15I2qoRQzRCCzuyCQV+2ylVoctIg20ajs0MoRBeuvhGteoeQUroeRHtVeAR9kO/+PDWQ
vyjdaksJCQjCR+S0gFF1FOFiuMpBgMS9vey6EKbj7WCPx4kXP9ELX5EpCSfAdwBWXHbS+osB4CNU
D9RSMgVxcq060SPvsgA/l6b9Z8h0Tzpd51mk5nT2tKeikHdJsAewybzWbRP8rfujqkfhN4fP67mf
THyqY3clbG/LvNnA1YdrRyX6w83CjLNTjtS1h0oNctKXqVpvNIRd/MS/cBvtvgwvs9ICGRDuCg0V
F6lOzmqMK2xQ7bQ7oOFlOx2yp5u6O99N9uGmGwCuFbgXAZ2mrs6yHb5g6PfyxHG56UWLhjCqr0p0
opF9INF9lpQ+Irb9USlZl7bqXpMi3mYdWaamPnhZeZEil6MoyTzJc6DapXw/eBQt5rjpAL0/h568
Q+MYRgpQFFCb4FAgx3E/UDT04IXroD30W8O3CmDmEssXoLmkuXKs7RoccCmml51SnHQd3SboCJBh
LiJdrDGOP6pT86GQ0rmrrIH2BrW+BqDwGwDcRRXHEFFR/EmruwRlvFnIINvNqn3IdLhHE6dBotRL
64XpZbtamVfNkpcbTLOu7TsicUkDnsMZvd1UHk+tTJy4BR+5oveMm+G1hQA5vMulSJKbwlhOmGxm
gXOvYytFw/HI3DZPGr4qnLbqAYXxdC4nDSgeqTueFEQYccKwh9SrKdiAqzTrkjxEO52ORC27FyDT
nx9lJVMKtS3Sr4Yq2mletAbQuS1kxeeAi3eaIV3T8jpHGWcW2wDm+TqIkg81qti8nIjCd+I+irzr
rI9oWWWnkSsQS+yoLkHc017RYb1U/Q7/Tm/e9AR4WZxVioLbk7xAEuA2H8yLEANaki20y+0r5Mn2
SkMoBDyzjxp/A+5/Aa8q5WTglhhBc9x5W3I38oBqHjDFEJ5+r8cu754d3Siq5gy+sa5MOFvIO/mm
e4Vl6LnohiMTsHsFKnkO8xRRbpRWTT+cGcj3DPDA825vFYozhOkGrP9er+T7tggxNrMvyII4u/t5
jWhfJIe3kGB2lsnshP2bKvtAi5tZENd3QW6fq9pDa/UnE9u7HuxrLbU+WZ5+TloyT8rwFm3nU3+a
SxRxNU0K2maRNAGjcTAcpGJKsHDx5G00l0Zv341nWigz5pqlUuFvpaTd+mma7hhjAffV+wEX9mjf
RBCIs9jddyKQ590INUouCzgDUneNyjFZtzlXdY9Q1VBs1Ka9USr7AW+0sziyYKAqrfNXd9StWtE4
mpHZpa1vH8lxiCccelOIMiTFkpQF+ZwKI82kPvfCBG4YaJGZNaYnZWOOs9R+UArMkGxRDOu/MnkK
JBtDr1mqIH9kp6R7ahOZa08zTkiplVlj6y3cfqpItYElok1mLzL8ulQf7q2sf/xrW9FRaDua2E2U
0gFoQt9J0K5f1UV/22qDeVQzdVPRR1t5eUNHukFBLgZQWwEJx/Ce1M4N5tmQ7QGw2FCVJLDwBT1e
QVu6MBnSJ2USQepFyFkGWo7ODcOROs7HZZFHD7G3hotUOK1GHM2SXALdmy7sVjYW/7/V9s8Zreil
fNMweScKc3UX3wXVL//jl2vcX4LqXddt+ttfh/M6FbpgQ8E1tBCC+UfTzTRpu9kWDTkb/Lv6jTYM
zFZjGpkruo2AjDrJxnztusFsNZBHtHTNNP4I9tScHuk1qdWwVVAB9HcABjCk5sm+FQBs7XCoApfA
mw34f8k5w+lOOYpzAOU6Q+TEhrLumijpovGUxB5cJP6Dq53Ear2yMqSJ3DbcFAiFuDIFwqgPj0op
6wtdAMkRWUdE9DOuU5X4t59H9UAVh7jgrMphffbS0kCSwOmiAXfeaNx1MYFT9qTkmKYP0O30lEZ1
3HbeUa9G7aKzlg1DFSeqwbLnxgU8pEsf2Asxm0OJJj+NsG4gtUD8G8jNTsa/A2OP8CiuqdRdfeUL
lJy0gbCDQ8CyKwn5uvHkBlq/zMz6M1MGWEwN1Euz0udk/3dhWsjok+J10pufg4H5oS8qRj2hQcym
FgtDRg6o6/bkp47CeGQuyQJJ+qRfQ6Xs6WmBEEpQVNAjI18UnnuuR/RQAhprizJkcoOx4NpMcoBS
MYimULZ3GFBcFoxCnCTHQUGI3/RRU/F0HsG+m8OSsN3MeqE0jm6WGsJr56Uh0YaAwAUhbFzgvm3R
smpIbRsBrlKxsD9B5A/YJpjOGJBR2BdYwvT4Iar30AskJ5Ld2CkDppxo9qeLMjf05VMRmApcZfMU
2V8D3ikwzTg2F5D2bjyofDRA1z2G0fQU4ss+bECsohRS+hTtCUoA9I/ky5JeDOe+jHItXRMlZrYr
e0xnbXfp1UzKPHJ0xhAeMsUqpJdiAngmeT9PYAV7ZiyveuWZefXIdGjAIaU3HA30iKNKYTGLLdEu
TXd0FBoeC7P1xAZFi13T0jQt2MqR2irYh9LGsY1MRvo/mUclApRhZTlpHkAmQhhznhJ9MelzNxle
zjNfhXuiotSXVBBMx6RChBnvNE6CjKSWCsRqUTIpYyoPzwBjrJm5zDszQTRG9IYaejOadY4FOQMi
rRnmeUrjsxqg8epKsNcbspg+o7L3SJ9QO7uCyzypFplO7+n7aOhxLUqRDmNrFFQVHRmr40XxnV8V
PWUhA6pC90PGXcGnEZITAd+49bHZWJlBRxOpN3c99GTb5H8yZTxFCS5ZUlwutUIC/qeeuPGdNyDX
IpnWUk2w7TMaGqKFER/nPqJpVY/C0SYhXYTP7CLFU55jUFttFAOHnpFXQC8BAVB+l64pz+UCIqUk
VEQ2GPjEkL+qyniMW/uqaZVsI3nZIlfzdZnViJR5qIFWqUp4UI5dt+3oeKmTVu9wnkFtXtFxcCQ3
PYL9TG0NrBGZyFo6VTrNRprEAyLRLP2yWcU8xIh2olQgj12NwVLVhjWENF7aXK/mEEtlv92UYeGe
mJUyGyNwCUypDKeUGT/6FLK5ARkllOj7JZAcs6K+KBsmxDmfIULekMJ8b6Z+ShUdQDq36iXTx1NU
BnAzLvnq81o6KfEKt9IqXxl+V88HWz7VA/dzDlzUgWF55csIxxgRb6SWICdZ44CYCjoCTQ1LVoIu
i5VhsqAFmUOj5Q2OnJTBvDTL5zEo8y2u7xk98hIucaKEF5FoHgCfIJMXoXWqh1srZLCMYeMOhf+Q
j8pQLYCWCS3+Mp7GbT5zt0JZJtMYLhEDEEutfbDhpuICaWN8nkUX0hDBUvTxStWScqWZ2Y2I7cox
DJITm+V2SnMra+msNR8wLEmcgk2wcqUHvi78eiztVBrHiCuhzRW1xqfGXA8FwFovNVhRgEKzxJxU
DrwzJccrusvPhEd7QjTZuuuPvDi+CCx7Yh7DoXTJcvIryQr1o2wMtgIjxkpWrbkhYVViqgylDSQ9
vVJJd1WOtNPQTOqdJj35/Bgl1GfPSm0Q2MUodCtcGkKS3CzaUKXqttWz3ouKhVS4dEuxWKgVHXBj
B4cWhXUFJc3rCu76VkV0xsW3+rjztn5YrqUgi2BdA69P3MY98UelXkYlvW3LkzZDaqdbksalHkf1
Lkv6rZoQ71vyQHrVaGz5gWnNAi1M5jJkfjLPGJiWCxSI6ejV2LTFOqr8x0GndkgT/YLGUTizU/NS
knuU6iHHMShxt3WnZssSgzCs3MUi9SwkXWoT2UJ7vKbk2EAOHcDKwDTC1nDcDsux4AhDUUFbdvd5
axTHJugsJRjkSWcJTyXMbao+uTCqHcUfn6dzETgsZdpBiG5JIO5xfy83eixfNfo4eVGiKasicREY
BQoAinfl2xlSKYDpOtG4e6XzFqVg+FbkmEuZeoKd0nAfqtuENMhppeBeD+0nAGYlziNo8Bp+cqem
7kpmCIS0gic7YeedAULNtoqkcdIF9rygZYC+jo7CY6FqSwPTJ4c9pU2uOEf9AMgNsnomJ9FcljrF
KazxKTTQ9LSNmvmfaD774MSoNDtHmvSJvNI77nRpGVU2LxdyDrO4Cj3m2jiJKX7jFENyBbySsGXv
gybxjv0Row8KeHx0NPe8bOvLQE+1I/j/oROUk29aICk4nEbqCX5BCqC+ENQVr5V8E7XVPs1skxVX
oyPN1BZ6YZ2EhXnsAR9G3KLDBwooS+WZ4K0KcDLMWZepiu4FDnmb1PUufRIReiWJvJOiLU433ad8
Gn4BwbZcH+SNCeuHmVOB2SQKzGlwacF8WVn12IKs/qQjipX0iJYVOODUMjQLAzIzgkXe3JODJ1co
jM8CeQc9kCGdSRN4ZJ2C3BQ7WuTnQu+B/+pRQxOvVU6t0lg2YKlAWjfQBcb6pJQmNk5qb/QQzGIW
2vegLJh6VMVeyLByaFhNJGpNC7S70p1TpeERMNV5xlTxIcV00VECFmOLvlfTzIQP5dimL7qyq+DU
RRd6Q3tKp4gMp2rSDZBpcIW7rKdKM5xqThpmTF+mOrR8rkgt+6aD4pzTBW/HCser6iYz4M0jQzWr
MnupTe8vwrT+XG7A/CeezsnrjrNIUh79pLhtbIa2kV9mUAPHVV5jTWZK6dS1Q5rZY8eido2E6qhd
9GGhOaMCdz3XEadNVLgHbncpRe5vUe2eJIhfW7Q3SnJOYiJweqkZrhqtbBkDRp8kzbDJhcH0yESJ
1PM3Po0dRomO4rKS3iQlVSHYVAgDMg0CwCajxOX0juH+Sv+LSHJLkJ8OfYBc7YDsRdv6jEyluall
IwUnc+fe9fJd2itbCPfrRu6Bsud35QTET7DWWJXSeMzUTczS0cwduDyXWks714tQ0oAww6HeWp/R
Gh1XjB3gcQM4Km31uiox/DJF0i7UNqBxLcTNOLKh0ABUiEZPCoaBnRbCiIiFU0G2rnWUkGXJvuoQ
dV4FOtoKdpLv3CHaQoxJloWLkEgq8SLXCeyYEvasYkkQtSyx1AZqb10PHty2ALQPhHSmD6mxiFEZ
ULHJAnNLilkyQ3PI3E/lgi8+pS0CXecuczUkFvUaxLzRbsa+pDRwCcnQy+I8qxZqovUOOEj0PAZz
aWSAKHsZZKcaSZ/pSx9pFaYbA1x/rcMrxytH4lyJ3Ig87v2AZlb/0EhTu7YbEZ2dpmg0TAQdQadv
lJUnm5jORZ9rK8IOMGrxFuwf9I7dqpgjrdVhN7rk4npmBGg/V8iUyZ8irR4Wsl5iTxLaiGFjswww
iS67ZdwUtRmi1Y3PUooNwh8v4vfBfZlV2VP9v16ZrT5Du+8zxGgCPM/+vl6cL376C/+NUPXypCP1
O+rhXRF/23hvC/fnv/G1cEePSsdVANqoqqAfBkD+d+ooOBkxOWNgJo5VANj9f1BH1QlMT8XPH1Nc
g7H5Wrmbv8qWbCmTt8Af9NahTH9buwtFEZpiTaxWy1CNN2x8TrFIsjNmx76uPPggA3c6Ps2FQkws
KU2xOV10BmBKSntYaFj7iRE1PYQLjsDMg1MN7Gsv1PUVzs1IpnQoH9UJrOgkOOoLgLl122Dm5mK8
TKpmZA3E+EDQN20HRMYjfVFKk1vokIF2aSOGcUs9ScJZ5sW6A62Wwxt/SyvwwfTZ/udqYoXg07P1
Eu9KfeGLELPgj/hgfag+p6NtYpe4E8+E0OJ1ZDAobLVH5sRF4UHOcxJYA5KKOrFVvODYuujsRKMD
KVU7fSK1QG4pJpZLAN2lg/YiJv4L2nP7fEzkZTJxY2wyPwuyTDmxZiSX1fHcDdoNpyYPszAMtPuQ
rWuQttuHeNNgMxbQ/NPSmywv1yWiSHOlyWxq7+gxULS9HWcZuW6+lgamTS3BOJIYTTFZ0YRUgdeF
RGZGYuNZyQwY0DZkUEiFtWgZzGHcw0iXqRulpoTtOSRHqEx0FLASK25A64PmBl/fU8Sklukgq4dd
KciRoZtbZgHMfnD8zJ556HGMS6+3T7rpuM9Q52iYAwAd7bLGgaA4T6QWZCj5Ic3Jym7PJu3JJsRt
rdaZf61iJNJHOVnXPm1H7axHpLu11wk4VsbwawQEIUjADSDZA4Lk+oBE/A5NcPlehLSGHLXNFg2e
Q1FoLFKM2bwFUxNEVZS5ZhEf+xbfTzJWanO7sEgzx6UxRNCAmfer8ZK28t7oburGcmwTUVrOAqn0
VsR3Z0BtyiBOD9RI+tjPDQHPKaoWMdCFwrqVlTMRXbRKgcNDc5Z09mrKwFS8sBsXYSL52upuwSa0
JRqotFyNsVomNoJt2dJk8tKjCVYmUGSzaB1F6WI6HkiQlQRKZ+7kDDUjNI5iTo4iQ86Lir+fGvtZ
jgcmyl/ZGYKoi8JFMJwnLJTrJueFGKt9gxypMVwCTJlK3/lomYtJ76IqkF10Eav/DItsHkX0IbL7
lD0jMhVl3WSlecOsLCOkfJHYapoFRAPHNAfHHf2ZEZ3C1Jm5CNzbSwy14FLljgZmxpKUVRHjgQT4
dQR97rfJMqublZ3r2wr7LFnjc5OoVrq1NHvhmJmJCFaoP1lYXCzHsn7oMG7644fMPz0+/ktAmV9U
FqYTYJHWQT2cNY/lcP5YwXSuvnKbpp+eZkFaf8r+vV/6+YV+eXy+86d/3nt+bwz3/FjPz/yzq8R3
fLTm4fFvf9HNX01VgT5C4xl5/+cLxlnqffmx9SvHEx1uE8WByTJu6i9zTH6zSj9ah59/xJcF/fnv
vPoA91mT1tMX4QXZKwv15274q5P7B0vw5grfLIHA405WgTDqBlhMkKV/+eXVEqh4+9BGN4zpSDZk
Tvf/kiW4e0iCFHYEAI77+k06IoT11mnpB8vw5iqvlgG9HsTqOXf5wPLEAPxmGcSvpiWrhqkiNa8J
QZ7zAZcBHOrBy2D+OqVy6PRDKlNhnfJ1f7MMFqoewhKIx/LvaUTz4baCZRsvO/S+/5/eY/Z7rPpj
QUEjA4XSCdLgy+f8Zg1sVohYIQzWR9Whan7ENwK26sFbgT1PYETFlQioK0zZXm0FsnRw8ADQiQ+T
LcPki/XxdgNSuM+PddBu0A3FlHnl0Z8Bdw/++5vdwAHCCvDOYGAoW0jsfsTdwEvBU/8rx8SP4yNe
G7pAzcfUIeG/2HB8sww2P53OUc4QbsYp8iFjg6W8PNZBu4GUwKKk1TExmSbVb3aDQGMZVOyksc0/
1Q+5G0xxcIgkaVDVySMF6SlNN6fy/ZvdgC6Uyk4QskF4gLM/iVF/uNhAUHsJWQfsBvGrqnAQCAPC
ELnBm2WA+KPJpkaMZKuwYT7mSWHaB4dI8SuUJAX8xnQgaOqUjH2zG2xYU6ARVShVqH7a+tSE+XC7
wcBn5/AQqdoGAhJseplz880y8FLoNhQhS9NtwsNzov3hlgG068EhcgLl8OobOsUCrr7T1/1qN6AU
R+SAJAeHbuLKfcDdwGY4eBk4MNkEnAECOhpp5OtlmPTx6H9qClvF1G2ARR9xGeQ/YxlkgXwKrD/t
uW54fVJQUCiwoiwFjysQXuCPPuAyTGKuf0Js4KU3ePfRwuJ7f5032L+qpmKTNQjj9075h4sNgih+
6DJwUpAeUT8+y+88Fw3fxAaL0srQFDIGSq8vSebHWwZkgg5fBsCJeGRYCmkkMYBg82oZcHuw4PcS
FmTs8r68hP/5bac31cBLY27z8Le/wCJ7Marm2zkgfaKGZJZKlsxHncCVb2MD0yGOEiZEz5pMxkc8
KaaW0aG7waTNaE2cZSLkM2T11W4gfSI0GuiskjSY+gfdDe8p9/9GB86g6UTKbKsTK/zNbiCrwKhk
QuBOCrDTUfK87B/spSDpOXQ3UFPYZAYqqmMyaZT+uu1i0a2lKYMlJhkFlKWXiPzBVuG9Stu/sRng
0tOIVNBke998sigwabaQRzPy1TRg3h9xM5Dr/wmbgdYSR6bJfJ3C6m0SyQYhiSZrn4bpE9L9A1ZW
79EFf3g3TNkyIAEm+C/dp9c9OMY0vArkDAanCTSBLxH5g70U1DuH7gaa8wpFtD7JEcr0I98uA60I
8gXOU6Kj4Ij+13fDv7BWv8//HD+IH54nf8Fj9b0B4Y9+4Wuu8P7nX4ZdU2oxTbRe/eI0CHy59z8G
g39/lZk8D+S++eHXAd3zfb789S8f8P2tX93r66f6+ofr4LG8K++Rin2eSX55zOO7hNnhbfNjTfUf
TzB/T5h+fmnvzYSLSpJI/4/P+Le/vFqBbzbWz677Y+GbAx/4hebz9QG/ZojP8e/QZ/6hpOeBj/wz
r71DLw3u/4dO2Ade+yKLwfs35asp8JSOP/evDl3si3u/G8a33yOn8Nc/+u5U/l/a01z67unJv2uq
x3fP/lwOH/zs9S8rSGbfufpUvR969ZPP3V388O7i9L8pBg+9+HHw8P2rP1fcB1/9sbn3/+P/1I/x
1yf98oK+jM0PvfyuuX8s08c31wYTyPFz6LW3TXn39SpfHvqlNXfohVflXfP5P/5v+v4bfemAHnz9
+K5sqreP/txqP/jSj+lj+25VnocZh156WQafM2LX2+d+HiYfevHZd3aJ9TyKOvjKd9VjLH2CKfnm
wa3ngd+fc3nnBYLz/g50JQ69w//O88d0fIzjX06a+rGUzv3s/cZ8GeL+ebfCcPUntyJXPfhWd985
BV8wKj+/9Pdytd9RV+8zuK9oqu/9tdfp6fQb9/HjXfn3/wcAAP//</cx:binary>
              </cx:geoCache>
            </cx:geography>
          </cx:layoutPr>
        </cx:series>
      </cx:plotAreaRegion>
    </cx:plotArea>
    <cx:legend pos="r" align="min" overlay="0">
      <cx:spPr>
        <a:noFill/>
      </cx:spPr>
      <cx:txPr>
        <a:bodyPr spcFirstLastPara="1" vertOverflow="ellipsis" horzOverflow="overflow" wrap="square" lIns="0" tIns="0" rIns="0" bIns="0" anchor="ctr" anchorCtr="1"/>
        <a:lstStyle/>
        <a:p>
          <a:pPr algn="ctr" rtl="0">
            <a:defRPr/>
          </a:pPr>
          <a:endParaRPr lang="de-DE" sz="900" b="0" i="0" u="none" strike="noStrike" baseline="0">
            <a:solidFill>
              <a:sysClr val="window" lastClr="FFFFFF">
                <a:lumMod val="95000"/>
              </a:sysClr>
            </a:solidFill>
            <a:latin typeface="Calibri" panose="020F0502020204030204"/>
          </a:endParaRPr>
        </a:p>
      </cx:tx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microsoft.com/office/2014/relationships/chartEx" Target="../charts/chartEx2.xml"/></Relationships>
</file>

<file path=xl/drawings/drawing1.xml><?xml version="1.0" encoding="utf-8"?>
<xdr:wsDr xmlns:xdr="http://schemas.openxmlformats.org/drawingml/2006/spreadsheetDrawing" xmlns:a="http://schemas.openxmlformats.org/drawingml/2006/main">
  <xdr:twoCellAnchor>
    <xdr:from>
      <xdr:col>0</xdr:col>
      <xdr:colOff>0</xdr:colOff>
      <xdr:row>4</xdr:row>
      <xdr:rowOff>17640</xdr:rowOff>
    </xdr:from>
    <xdr:to>
      <xdr:col>3</xdr:col>
      <xdr:colOff>0</xdr:colOff>
      <xdr:row>31</xdr:row>
      <xdr:rowOff>0</xdr:rowOff>
    </xdr:to>
    <xdr:graphicFrame macro="">
      <xdr:nvGraphicFramePr>
        <xdr:cNvPr id="2" name="Diagramm 1">
          <a:extLst>
            <a:ext uri="{FF2B5EF4-FFF2-40B4-BE49-F238E27FC236}">
              <a16:creationId xmlns:a16="http://schemas.microsoft.com/office/drawing/2014/main" id="{02FA9ED4-6DA4-498A-9F68-2A7CE6BEB0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2829983</xdr:colOff>
      <xdr:row>4</xdr:row>
      <xdr:rowOff>0</xdr:rowOff>
    </xdr:from>
    <xdr:to>
      <xdr:col>6</xdr:col>
      <xdr:colOff>0</xdr:colOff>
      <xdr:row>30</xdr:row>
      <xdr:rowOff>171449</xdr:rowOff>
    </xdr:to>
    <xdr:graphicFrame macro="">
      <xdr:nvGraphicFramePr>
        <xdr:cNvPr id="3" name="Diagramm 2">
          <a:extLst>
            <a:ext uri="{FF2B5EF4-FFF2-40B4-BE49-F238E27FC236}">
              <a16:creationId xmlns:a16="http://schemas.microsoft.com/office/drawing/2014/main" id="{9A928724-2CDB-4F0A-8A03-9BE64DA113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3</xdr:col>
      <xdr:colOff>12700</xdr:colOff>
      <xdr:row>64</xdr:row>
      <xdr:rowOff>15874</xdr:rowOff>
    </xdr:to>
    <xdr:graphicFrame macro="">
      <xdr:nvGraphicFramePr>
        <xdr:cNvPr id="4" name="Diagramm 3">
          <a:extLst>
            <a:ext uri="{FF2B5EF4-FFF2-40B4-BE49-F238E27FC236}">
              <a16:creationId xmlns:a16="http://schemas.microsoft.com/office/drawing/2014/main" id="{6FD32B1D-6784-4EF3-BB07-816FC517E6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0</xdr:colOff>
      <xdr:row>31</xdr:row>
      <xdr:rowOff>0</xdr:rowOff>
    </xdr:from>
    <xdr:to>
      <xdr:col>6</xdr:col>
      <xdr:colOff>0</xdr:colOff>
      <xdr:row>64</xdr:row>
      <xdr:rowOff>0</xdr:rowOff>
    </xdr:to>
    <xdr:graphicFrame macro="">
      <xdr:nvGraphicFramePr>
        <xdr:cNvPr id="6" name="Diagramm 5">
          <a:extLst>
            <a:ext uri="{FF2B5EF4-FFF2-40B4-BE49-F238E27FC236}">
              <a16:creationId xmlns:a16="http://schemas.microsoft.com/office/drawing/2014/main" id="{7FF892E8-8EBE-43DB-B5FD-F887CB6F79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0</xdr:colOff>
      <xdr:row>64</xdr:row>
      <xdr:rowOff>50799</xdr:rowOff>
    </xdr:from>
    <xdr:to>
      <xdr:col>6</xdr:col>
      <xdr:colOff>0</xdr:colOff>
      <xdr:row>92</xdr:row>
      <xdr:rowOff>0</xdr:rowOff>
    </xdr:to>
    <xdr:graphicFrame macro="">
      <xdr:nvGraphicFramePr>
        <xdr:cNvPr id="9" name="Diagramm 8">
          <a:extLst>
            <a:ext uri="{FF2B5EF4-FFF2-40B4-BE49-F238E27FC236}">
              <a16:creationId xmlns:a16="http://schemas.microsoft.com/office/drawing/2014/main" id="{E2219C3F-1071-40E2-A393-283D519623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64</xdr:row>
      <xdr:rowOff>0</xdr:rowOff>
    </xdr:from>
    <xdr:to>
      <xdr:col>3</xdr:col>
      <xdr:colOff>0</xdr:colOff>
      <xdr:row>92</xdr:row>
      <xdr:rowOff>0</xdr:rowOff>
    </xdr:to>
    <mc:AlternateContent xmlns:mc="http://schemas.openxmlformats.org/markup-compatibility/2006">
      <mc:Choice xmlns:cx4="http://schemas.microsoft.com/office/drawing/2016/5/10/chartex" Requires="cx4">
        <xdr:graphicFrame macro="">
          <xdr:nvGraphicFramePr>
            <xdr:cNvPr id="8" name="Diagramm 7">
              <a:extLst>
                <a:ext uri="{FF2B5EF4-FFF2-40B4-BE49-F238E27FC236}">
                  <a16:creationId xmlns:a16="http://schemas.microsoft.com/office/drawing/2014/main" id="{82049080-7EF3-4D1A-9A45-BA9C78026BD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0" y="12465050"/>
              <a:ext cx="8515350" cy="5156200"/>
            </a:xfrm>
            <a:prstGeom prst="rect">
              <a:avLst/>
            </a:prstGeom>
            <a:solidFill>
              <a:prstClr val="white"/>
            </a:solidFill>
            <a:ln w="1">
              <a:solidFill>
                <a:prstClr val="green"/>
              </a:solidFill>
            </a:ln>
          </xdr:spPr>
          <xdr:txBody>
            <a:bodyPr vertOverflow="clip" horzOverflow="clip"/>
            <a:lstStyle/>
            <a:p>
              <a:r>
                <a:rPr lang="de-CH"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4</xdr:col>
      <xdr:colOff>257174</xdr:colOff>
      <xdr:row>33</xdr:row>
      <xdr:rowOff>171450</xdr:rowOff>
    </xdr:from>
    <xdr:to>
      <xdr:col>20</xdr:col>
      <xdr:colOff>736599</xdr:colOff>
      <xdr:row>80</xdr:row>
      <xdr:rowOff>88900</xdr:rowOff>
    </xdr:to>
    <mc:AlternateContent xmlns:mc="http://schemas.openxmlformats.org/markup-compatibility/2006">
      <mc:Choice xmlns:cx4="http://schemas.microsoft.com/office/drawing/2016/5/10/chartex" Requires="cx4">
        <xdr:graphicFrame macro="">
          <xdr:nvGraphicFramePr>
            <xdr:cNvPr id="2" name="Diagramm 1">
              <a:extLst>
                <a:ext uri="{FF2B5EF4-FFF2-40B4-BE49-F238E27FC236}">
                  <a16:creationId xmlns:a16="http://schemas.microsoft.com/office/drawing/2014/main" id="{9E89ACDE-3CA2-478D-8903-C57ABA1AA07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565524" y="6248400"/>
              <a:ext cx="12671425" cy="8572500"/>
            </a:xfrm>
            <a:prstGeom prst="rect">
              <a:avLst/>
            </a:prstGeom>
            <a:solidFill>
              <a:prstClr val="white"/>
            </a:solidFill>
            <a:ln w="1">
              <a:solidFill>
                <a:prstClr val="green"/>
              </a:solidFill>
            </a:ln>
          </xdr:spPr>
          <xdr:txBody>
            <a:bodyPr vertOverflow="clip" horzOverflow="clip"/>
            <a:lstStyle/>
            <a:p>
              <a:r>
                <a:rPr lang="de-CH"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49.532898032405" createdVersion="6" refreshedVersion="6" minRefreshableVersion="3" recordCount="1336" xr:uid="{9B1C80C3-763C-406E-94B3-86FA4AD270BA}">
  <cacheSource type="worksheet">
    <worksheetSource ref="A1:K1048576" sheet="Fallzahlen_CH"/>
  </cacheSource>
  <cacheFields count="12">
    <cacheField name="date" numFmtId="0">
      <sharedItems containsNonDate="0" containsDate="1" containsString="0" containsBlank="1" minDate="2020-02-25T00:00:00" maxDate="2020-04-29T00:00:00" count="65">
        <d v="2020-02-25T00:00:00"/>
        <d v="2020-02-26T00:00:00"/>
        <d v="2020-02-27T00:00:00"/>
        <d v="2020-02-28T00:00:00"/>
        <d v="2020-02-29T00:00:00"/>
        <d v="2020-03-01T00:00:00"/>
        <d v="2020-03-02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19T00:00:00"/>
        <d v="2020-03-20T00:00:00"/>
        <d v="2020-03-21T00:00:00"/>
        <d v="2020-03-22T00:00:00"/>
        <d v="2020-03-23T00:00:00"/>
        <d v="2020-03-24T00:00:00"/>
        <d v="2020-03-25T00:00:00"/>
        <d v="2020-03-26T00:00:00"/>
        <d v="2020-03-27T00:00:00"/>
        <d v="2020-03-28T00:00:00"/>
        <d v="2020-03-29T00:00:00"/>
        <d v="2020-03-30T00:00:00"/>
        <d v="2020-03-31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4-17T00:00:00"/>
        <d v="2020-04-18T00:00:00"/>
        <d v="2020-04-19T00:00:00"/>
        <d v="2020-04-20T00:00:00"/>
        <d v="2020-04-21T00:00:00"/>
        <d v="2020-04-22T00:00:00"/>
        <d v="2020-04-23T00:00:00"/>
        <d v="2020-04-24T00:00:00"/>
        <d v="2020-04-25T00:00:00"/>
        <d v="2020-04-26T00:00:00"/>
        <d v="2020-04-27T00:00:00"/>
        <d v="2020-04-28T00:00:00"/>
        <m/>
      </sharedItems>
    </cacheField>
    <cacheField name="time" numFmtId="0">
      <sharedItems containsNonDate="0" containsDate="1" containsString="0" containsBlank="1" minDate="1899-12-30T00:00:00" maxDate="1899-12-30T19:17:00" count="42">
        <m/>
        <d v="1899-12-30T14:30:00"/>
        <d v="1899-12-30T19:17:00"/>
        <d v="1899-12-30T10:15:00"/>
        <d v="1899-12-30T15:00:00"/>
        <d v="1899-12-30T08:00:00"/>
        <d v="1899-12-30T15:23:00"/>
        <d v="1899-12-30T17:29:00"/>
        <d v="1899-12-30T17:15:00"/>
        <d v="1899-12-30T18:00:00"/>
        <d v="1899-12-30T17:30:00"/>
        <d v="1899-12-30T06:35:00"/>
        <d v="1899-12-30T17:20:00"/>
        <d v="1899-12-30T12:00:00"/>
        <d v="1899-12-30T14:00:00"/>
        <d v="1899-12-30T15:38:00"/>
        <d v="1899-12-30T12:30:00"/>
        <d v="1899-12-30T13:00:00"/>
        <d v="1899-12-30T03:03:00"/>
        <d v="1899-12-30T11:27:00"/>
        <d v="1899-12-30T16:00:00"/>
        <d v="1899-12-30T11:15:00"/>
        <d v="1899-12-30T11:00:00"/>
        <d v="1899-12-30T09:40:00"/>
        <d v="1899-12-30T10:00:00"/>
        <d v="1899-12-30T17:37:00"/>
        <d v="1899-12-30T10:30:00"/>
        <d v="1899-12-30T00:00:00"/>
        <d v="1899-12-30T09:00:00"/>
        <d v="1899-12-30T17:00:00"/>
        <d v="1899-12-30T07:00:00"/>
        <d v="1899-12-30T08:30:00"/>
        <d v="1899-12-30T09:45:00"/>
        <d v="1899-12-30T09:30:00"/>
        <d v="1899-12-30T14:45:00"/>
        <d v="1899-12-30T15:45:00"/>
        <d v="1899-12-30T15:25:00"/>
        <d v="1899-12-30T15:30:00"/>
        <d v="1899-12-30T09:15:00"/>
        <d v="1899-12-30T11:30:00"/>
        <d v="1899-12-30T13:30:00"/>
        <d v="1899-12-30T00:01:00"/>
      </sharedItems>
      <fieldGroup par="11" base="1">
        <rangePr groupBy="minutes" startDate="1899-12-30T00:00:00" endDate="1899-12-30T19:17:00"/>
        <groupItems count="62">
          <s v="(Leer)"/>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01.1900"/>
        </groupItems>
      </fieldGroup>
    </cacheField>
    <cacheField name="abbreviation_canton_and_fl" numFmtId="0">
      <sharedItems containsBlank="1" count="28">
        <s v="GE"/>
        <s v="TI"/>
        <s v="FL"/>
        <s v="JU"/>
        <s v="ZH"/>
        <s v="BS"/>
        <s v="BE"/>
        <s v="BL"/>
        <s v="VD"/>
        <s v="VS"/>
        <s v="AG"/>
        <s v="ZG"/>
        <s v="FR"/>
        <s v="NE"/>
        <s v="SG"/>
        <s v="SZ"/>
        <s v="LU"/>
        <s v="AR"/>
        <s v="SO"/>
        <s v="GL"/>
        <s v="NW"/>
        <s v="SH"/>
        <s v="UR"/>
        <s v="OW"/>
        <s v="AI"/>
        <s v="TG"/>
        <s v="GR"/>
        <m/>
      </sharedItems>
    </cacheField>
    <cacheField name="ncumul_tested" numFmtId="0">
      <sharedItems containsString="0" containsBlank="1" containsNumber="1" containsInteger="1" minValue="1" maxValue="24255"/>
    </cacheField>
    <cacheField name="ncumul_conf" numFmtId="0">
      <sharedItems containsString="0" containsBlank="1" containsNumber="1" containsInteger="1" minValue="0" maxValue="5212"/>
    </cacheField>
    <cacheField name="ncumul_hosp" numFmtId="0">
      <sharedItems containsString="0" containsBlank="1" containsNumber="1" containsInteger="1" minValue="0" maxValue="424"/>
    </cacheField>
    <cacheField name="ncumul_ICU" numFmtId="0">
      <sharedItems containsString="0" containsBlank="1" containsNumber="1" containsInteger="1" minValue="0" maxValue="76"/>
    </cacheField>
    <cacheField name="ncumul_vent" numFmtId="0">
      <sharedItems containsString="0" containsBlank="1" containsNumber="1" containsInteger="1" minValue="0" maxValue="73"/>
    </cacheField>
    <cacheField name="ncumul_released" numFmtId="0">
      <sharedItems containsString="0" containsBlank="1" containsNumber="1" containsInteger="1" minValue="0" maxValue="830"/>
    </cacheField>
    <cacheField name="ncumul_deceased" numFmtId="0">
      <sharedItems containsString="0" containsBlank="1" containsNumber="1" containsInteger="1" minValue="0" maxValue="355"/>
    </cacheField>
    <cacheField name="source" numFmtId="0">
      <sharedItems containsBlank="1" longText="1"/>
    </cacheField>
    <cacheField name="Stunden" numFmtId="0" databaseField="0">
      <fieldGroup base="1">
        <rangePr groupBy="hours" startDate="1899-12-30T00:00:00" endDate="1899-12-30T19:17:00"/>
        <groupItems count="26">
          <s v="&lt;00.01.1900"/>
          <s v="00"/>
          <s v="01"/>
          <s v="02"/>
          <s v="03"/>
          <s v="04"/>
          <s v="05"/>
          <s v="06"/>
          <s v="07"/>
          <s v="08"/>
          <s v="09"/>
          <s v="10"/>
          <s v="11"/>
          <s v="12"/>
          <s v="13"/>
          <s v="14"/>
          <s v="15"/>
          <s v="16"/>
          <s v="17"/>
          <s v="18"/>
          <s v="19"/>
          <s v="20"/>
          <s v="21"/>
          <s v="22"/>
          <s v="23"/>
          <s v="&gt;00.01.1900"/>
        </groupItems>
      </fieldGroup>
    </cacheField>
  </cacheFields>
  <extLst>
    <ext xmlns:x14="http://schemas.microsoft.com/office/spreadsheetml/2009/9/main" uri="{725AE2AE-9491-48be-B2B4-4EB974FC3084}">
      <x14:pivotCacheDefinition pivotCacheId="25041552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36">
  <r>
    <x v="0"/>
    <x v="0"/>
    <x v="0"/>
    <n v="72"/>
    <n v="0"/>
    <n v="0"/>
    <n v="0"/>
    <n v="0"/>
    <m/>
    <n v="0"/>
    <s v="https://www.ge.ch/document/covid-19-situation-epidemiologique-geneve/telecharger"/>
  </r>
  <r>
    <x v="0"/>
    <x v="0"/>
    <x v="1"/>
    <m/>
    <n v="1"/>
    <m/>
    <m/>
    <m/>
    <m/>
    <m/>
    <s v="https://www.srf.ch/news/schweiz/tessiner-patient-erster-coronavirus-fall-in-der-schweiz"/>
  </r>
  <r>
    <x v="1"/>
    <x v="0"/>
    <x v="0"/>
    <n v="177"/>
    <n v="1"/>
    <n v="1"/>
    <n v="0"/>
    <n v="0"/>
    <m/>
    <n v="0"/>
    <s v="https://www.ge.ch/document/covid-19-situation-epidemiologique-geneve/telecharger"/>
  </r>
  <r>
    <x v="1"/>
    <x v="0"/>
    <x v="1"/>
    <m/>
    <m/>
    <m/>
    <m/>
    <m/>
    <m/>
    <m/>
    <s v=""/>
  </r>
  <r>
    <x v="2"/>
    <x v="0"/>
    <x v="2"/>
    <n v="3"/>
    <m/>
    <m/>
    <m/>
    <m/>
    <m/>
    <m/>
    <s v="https://www.regierung.li/media/attachments/83-verdachtsfaelle-negativ-getestet.pdf?t=637202562374055719"/>
  </r>
  <r>
    <x v="2"/>
    <x v="0"/>
    <x v="0"/>
    <n v="325"/>
    <n v="1"/>
    <n v="1"/>
    <n v="0"/>
    <n v="0"/>
    <m/>
    <n v="0"/>
    <s v="https://www.ge.ch/document/covid-19-situation-epidemiologique-geneve/telecharger"/>
  </r>
  <r>
    <x v="2"/>
    <x v="0"/>
    <x v="3"/>
    <m/>
    <n v="1"/>
    <n v="1"/>
    <n v="0"/>
    <m/>
    <m/>
    <n v="0"/>
    <s v="https://www.jura.ch/Htdocs/Files/v/34263.xlsx/Departements/CHA/SIC/Carrousel/Coronavirus/Cornavirus/Chiffres/donnees_27_04.xlsx?download=1"/>
  </r>
  <r>
    <x v="2"/>
    <x v="0"/>
    <x v="1"/>
    <m/>
    <m/>
    <m/>
    <m/>
    <m/>
    <m/>
    <m/>
    <s v=""/>
  </r>
  <r>
    <x v="2"/>
    <x v="1"/>
    <x v="4"/>
    <m/>
    <n v="2"/>
    <m/>
    <m/>
    <m/>
    <m/>
    <m/>
    <s v="https://gd.zh.ch/internet/gesundheitsdirektion/de/themen/coronavirus.html"/>
  </r>
  <r>
    <x v="2"/>
    <x v="2"/>
    <x v="5"/>
    <m/>
    <n v="1"/>
    <m/>
    <m/>
    <m/>
    <m/>
    <m/>
    <s v="https://www.coronavirus.bs.ch/nm/2020-coronavirus-erster-positiver-fall-in-basel-stadt-zweiter-positiv-getesteter-ausserkantonaler-fall-gd.html"/>
  </r>
  <r>
    <x v="3"/>
    <x v="0"/>
    <x v="6"/>
    <m/>
    <n v="1"/>
    <m/>
    <m/>
    <m/>
    <m/>
    <m/>
    <s v="https://www.be.ch/portal/de/index/mediencenter/medienmitteilungen/suche.archiv.meldungNeu.html/portal/de/meldungen/mm/2020/02/20200229_0936_corona.html"/>
  </r>
  <r>
    <x v="3"/>
    <x v="0"/>
    <x v="7"/>
    <m/>
    <n v="1"/>
    <m/>
    <m/>
    <m/>
    <m/>
    <m/>
    <s v="https://www.baselland.ch/politik-und-behorden/direktionen/volkswirtschafts-und-gesundheitsdirektion/medienmitteilungen/neuer-coronavirus-covid-19-erster-bestaetigter-fall-aus-dem-kanton-basel-landschaft"/>
  </r>
  <r>
    <x v="3"/>
    <x v="0"/>
    <x v="0"/>
    <n v="532"/>
    <n v="4"/>
    <n v="2"/>
    <n v="0"/>
    <n v="0"/>
    <m/>
    <n v="0"/>
    <s v="https://www.ge.ch/document/covid-19-situation-epidemiologique-geneve/telecharger"/>
  </r>
  <r>
    <x v="3"/>
    <x v="0"/>
    <x v="3"/>
    <m/>
    <n v="1"/>
    <n v="1"/>
    <n v="0"/>
    <m/>
    <m/>
    <n v="0"/>
    <s v="https://www.jura.ch/Htdocs/Files/v/34263.xlsx/Departements/CHA/SIC/Carrousel/Coronavirus/Cornavirus/Chiffres/donnees_27_04.xlsx?download=1"/>
  </r>
  <r>
    <x v="3"/>
    <x v="0"/>
    <x v="1"/>
    <m/>
    <m/>
    <m/>
    <m/>
    <m/>
    <m/>
    <m/>
    <s v=""/>
  </r>
  <r>
    <x v="3"/>
    <x v="0"/>
    <x v="8"/>
    <m/>
    <m/>
    <n v="4"/>
    <m/>
    <m/>
    <m/>
    <m/>
    <s v="https://www.vd.ch/toutes-les-actualites/hotline-et-informations-sur-le-coronavirus/"/>
  </r>
  <r>
    <x v="3"/>
    <x v="0"/>
    <x v="9"/>
    <m/>
    <n v="1"/>
    <n v="5"/>
    <n v="0"/>
    <n v="0"/>
    <m/>
    <n v="0"/>
    <s v="https://www.vs.ch/documents/6756452/7008787/2020%2004%2027%20Sit%20Epid%20-%20%C3%89tat%20Stand"/>
  </r>
  <r>
    <x v="3"/>
    <x v="3"/>
    <x v="5"/>
    <m/>
    <n v="1"/>
    <m/>
    <m/>
    <m/>
    <m/>
    <m/>
    <s v="https://twitter.com/BR_Sprecher/status/1233316679863631873?s=20"/>
  </r>
  <r>
    <x v="3"/>
    <x v="1"/>
    <x v="4"/>
    <m/>
    <n v="2"/>
    <m/>
    <m/>
    <m/>
    <m/>
    <m/>
    <s v="https://gd.zh.ch/internet/gesundheitsdirektion/de/themen/coronavirus.html"/>
  </r>
  <r>
    <x v="3"/>
    <x v="4"/>
    <x v="10"/>
    <m/>
    <n v="1"/>
    <m/>
    <m/>
    <m/>
    <m/>
    <m/>
    <s v="https://www.ag.ch/media/kanton_aargau/themen_1/coronavirus_1/20200228_KFS_20200106_Coronavirus_Lagebulletin_AG_Unterschrieben.pdf"/>
  </r>
  <r>
    <x v="4"/>
    <x v="0"/>
    <x v="7"/>
    <m/>
    <n v="2"/>
    <n v="1"/>
    <m/>
    <m/>
    <m/>
    <m/>
    <s v="https://www.baselland.ch/politik-und-behorden/direktionen/volkswirtschafts-und-gesundheitsdirektion/medienmitteilungen/weiterer-bestaetigter-fall-aus-dem-kanton-basel-landschaft"/>
  </r>
  <r>
    <x v="4"/>
    <x v="0"/>
    <x v="0"/>
    <n v="672"/>
    <n v="6"/>
    <n v="3"/>
    <n v="0"/>
    <n v="0"/>
    <m/>
    <n v="0"/>
    <s v="https://www.ge.ch/document/covid-19-situation-epidemiologique-geneve/telecharger"/>
  </r>
  <r>
    <x v="4"/>
    <x v="0"/>
    <x v="3"/>
    <m/>
    <n v="1"/>
    <n v="1"/>
    <n v="0"/>
    <m/>
    <m/>
    <n v="0"/>
    <s v="https://www.jura.ch/Htdocs/Files/v/34263.xlsx/Departements/CHA/SIC/Carrousel/Coronavirus/Cornavirus/Chiffres/donnees_27_04.xlsx?download=1"/>
  </r>
  <r>
    <x v="4"/>
    <x v="0"/>
    <x v="1"/>
    <m/>
    <m/>
    <m/>
    <m/>
    <m/>
    <m/>
    <m/>
    <s v=""/>
  </r>
  <r>
    <x v="4"/>
    <x v="0"/>
    <x v="8"/>
    <m/>
    <m/>
    <n v="4"/>
    <m/>
    <m/>
    <m/>
    <m/>
    <s v="https://www.vd.ch/toutes-les-actualites/hotline-et-informations-sur-le-coronavirus/"/>
  </r>
  <r>
    <x v="4"/>
    <x v="0"/>
    <x v="9"/>
    <m/>
    <n v="1"/>
    <n v="5"/>
    <n v="0"/>
    <n v="0"/>
    <m/>
    <n v="0"/>
    <s v="https://www.vs.ch/documents/6756452/7008787/2020%2004%2027%20Sit%20Epid%20-%20%C3%89tat%20Stand"/>
  </r>
  <r>
    <x v="4"/>
    <x v="5"/>
    <x v="11"/>
    <m/>
    <n v="0"/>
    <n v="0"/>
    <n v="0"/>
    <m/>
    <m/>
    <n v="0"/>
    <s v="https://www.zg.ch/behoerden/gesundheitsdirektion/statistikfachstelle/themen/gesundheit/corona"/>
  </r>
  <r>
    <x v="4"/>
    <x v="1"/>
    <x v="4"/>
    <m/>
    <n v="6"/>
    <m/>
    <m/>
    <m/>
    <m/>
    <m/>
    <s v="https://gd.zh.ch/internet/gesundheitsdirektion/de/themen/coronavirus.html"/>
  </r>
  <r>
    <x v="4"/>
    <x v="6"/>
    <x v="5"/>
    <m/>
    <n v="1"/>
    <m/>
    <m/>
    <m/>
    <m/>
    <m/>
    <s v="https://twitter.com/BAG_OFSP_UFSP/status/1233759578241863681?s=20"/>
  </r>
  <r>
    <x v="5"/>
    <x v="0"/>
    <x v="6"/>
    <m/>
    <n v="2"/>
    <m/>
    <m/>
    <m/>
    <m/>
    <m/>
    <s v="https://www.be.ch/portal/de/index/mediencenter/medienmitteilungen/suche.meldungNeu.html/portal/de/meldungen/mm/2020/03/20200302_1522_zweiter_bestaetigtercorona-fallinbiel"/>
  </r>
  <r>
    <x v="5"/>
    <x v="0"/>
    <x v="7"/>
    <m/>
    <n v="2"/>
    <n v="1"/>
    <m/>
    <m/>
    <m/>
    <m/>
    <s v=""/>
  </r>
  <r>
    <x v="5"/>
    <x v="0"/>
    <x v="12"/>
    <n v="30"/>
    <n v="1"/>
    <m/>
    <m/>
    <m/>
    <m/>
    <m/>
    <s v="https://www.fr.ch/sites/default/files/2020-03/200301_commd_dsas_covid_cas_fr.pdf"/>
  </r>
  <r>
    <x v="5"/>
    <x v="0"/>
    <x v="0"/>
    <n v="778"/>
    <n v="8"/>
    <n v="3"/>
    <n v="0"/>
    <n v="0"/>
    <m/>
    <n v="0"/>
    <s v="https://www.ge.ch/document/covid-19-situation-epidemiologique-geneve/telecharger"/>
  </r>
  <r>
    <x v="5"/>
    <x v="0"/>
    <x v="3"/>
    <m/>
    <n v="1"/>
    <n v="1"/>
    <n v="0"/>
    <m/>
    <m/>
    <n v="0"/>
    <s v="https://www.jura.ch/Htdocs/Files/v/34263.xlsx/Departements/CHA/SIC/Carrousel/Coronavirus/Cornavirus/Chiffres/donnees_27_04.xlsx?download=1"/>
  </r>
  <r>
    <x v="5"/>
    <x v="0"/>
    <x v="13"/>
    <m/>
    <n v="1"/>
    <m/>
    <m/>
    <m/>
    <m/>
    <m/>
    <s v="https://www.ne.ch/autorites/DFS/SCSP/medecin-cantonal/maladies-vaccinations/Documents/Covid-19-Statistiques/COVID19_PublicationInternet.xlsx"/>
  </r>
  <r>
    <x v="5"/>
    <x v="0"/>
    <x v="1"/>
    <m/>
    <m/>
    <m/>
    <m/>
    <m/>
    <m/>
    <m/>
    <s v=""/>
  </r>
  <r>
    <x v="5"/>
    <x v="0"/>
    <x v="8"/>
    <m/>
    <m/>
    <n v="4"/>
    <m/>
    <m/>
    <m/>
    <m/>
    <s v="https://www.vd.ch/toutes-les-actualites/hotline-et-informations-sur-le-coronavirus/"/>
  </r>
  <r>
    <x v="5"/>
    <x v="0"/>
    <x v="9"/>
    <m/>
    <n v="2"/>
    <n v="6"/>
    <n v="0"/>
    <n v="0"/>
    <m/>
    <n v="0"/>
    <s v="https://www.vs.ch/documents/6756452/7008787/2020%2004%2027%20Sit%20Epid%20-%20%C3%89tat%20Stand"/>
  </r>
  <r>
    <x v="5"/>
    <x v="5"/>
    <x v="11"/>
    <m/>
    <n v="0"/>
    <n v="0"/>
    <n v="0"/>
    <m/>
    <n v="0"/>
    <n v="0"/>
    <s v="https://www.zg.ch/behoerden/gesundheitsdirektion/statistikfachstelle/themen/gesundheit/corona"/>
  </r>
  <r>
    <x v="5"/>
    <x v="1"/>
    <x v="4"/>
    <m/>
    <n v="7"/>
    <m/>
    <m/>
    <m/>
    <m/>
    <m/>
    <s v="https://gd.zh.ch/internet/gesundheitsdirektion/de/themen/coronavirus.html"/>
  </r>
  <r>
    <x v="5"/>
    <x v="7"/>
    <x v="5"/>
    <m/>
    <n v="1"/>
    <m/>
    <m/>
    <m/>
    <m/>
    <m/>
    <s v="https://www.coronavirus.bs.ch/nm/2020-coronavirus-anzahl-der-getesteten-faelle-und-zwischenstand-kita-riehen-gd.html"/>
  </r>
  <r>
    <x v="6"/>
    <x v="0"/>
    <x v="6"/>
    <m/>
    <n v="4"/>
    <m/>
    <m/>
    <m/>
    <m/>
    <m/>
    <s v="https://www.be.ch/portal/de/index/mediencenter/medienmitteilungen/suche.meldungNeu.html/portal/de/meldungen/mm/2020/03/20200303_1333_mann_in_spital_interlakenpositivgetestet"/>
  </r>
  <r>
    <x v="6"/>
    <x v="0"/>
    <x v="7"/>
    <m/>
    <n v="2"/>
    <n v="1"/>
    <m/>
    <m/>
    <m/>
    <m/>
    <s v=""/>
  </r>
  <r>
    <x v="6"/>
    <x v="0"/>
    <x v="12"/>
    <m/>
    <n v="2"/>
    <m/>
    <m/>
    <m/>
    <m/>
    <m/>
    <s v="https://www.fr.ch/sites/default/files/2020-03/200302_CommD_DSAS_covid_cas%20FR.pdf"/>
  </r>
  <r>
    <x v="6"/>
    <x v="0"/>
    <x v="0"/>
    <n v="865"/>
    <n v="8"/>
    <n v="3"/>
    <n v="0"/>
    <n v="0"/>
    <m/>
    <n v="0"/>
    <s v="https://www.ge.ch/document/covid-19-situation-epidemiologique-geneve/telecharger"/>
  </r>
  <r>
    <x v="6"/>
    <x v="0"/>
    <x v="3"/>
    <m/>
    <n v="1"/>
    <n v="1"/>
    <n v="0"/>
    <m/>
    <m/>
    <n v="0"/>
    <s v="https://www.jura.ch/Htdocs/Files/v/34263.xlsx/Departements/CHA/SIC/Carrousel/Coronavirus/Cornavirus/Chiffres/donnees_27_04.xlsx?download=1"/>
  </r>
  <r>
    <x v="6"/>
    <x v="0"/>
    <x v="13"/>
    <m/>
    <n v="1"/>
    <n v="1"/>
    <m/>
    <m/>
    <m/>
    <m/>
    <s v="https://www.ne.ch/autorites/DFS/SCSP/medecin-cantonal/maladies-vaccinations/Documents/Covid-19-Statistiques/COVID19_PublicationInternet.xlsx"/>
  </r>
  <r>
    <x v="6"/>
    <x v="0"/>
    <x v="14"/>
    <m/>
    <n v="0"/>
    <m/>
    <m/>
    <m/>
    <m/>
    <m/>
    <s v="https://www.sg.ch/news/sgch_allgemein/2020/03/zwei-personen-in-quarantaene---kein-bestaetigter-fall.html"/>
  </r>
  <r>
    <x v="6"/>
    <x v="0"/>
    <x v="1"/>
    <m/>
    <n v="2"/>
    <m/>
    <m/>
    <m/>
    <m/>
    <m/>
    <s v="https://www4.ti.ch/area-media/comunicati/dettaglio-comunicato/?NEWS_ID=187352&amp;tx_tichareamedia_comunicazioni%5Baction%5D=show&amp;tx_tichareamedia_comunicazioni%5Bcontroller%5D=Comunicazioni&amp;cHash=ea65dbcabb28d4711459f3b613bbc1b7"/>
  </r>
  <r>
    <x v="6"/>
    <x v="0"/>
    <x v="8"/>
    <m/>
    <m/>
    <n v="6"/>
    <m/>
    <m/>
    <m/>
    <m/>
    <s v="https://www.vd.ch/toutes-les-actualites/hotline-et-informations-sur-le-coronavirus/"/>
  </r>
  <r>
    <x v="6"/>
    <x v="0"/>
    <x v="9"/>
    <m/>
    <n v="3"/>
    <n v="9"/>
    <n v="0"/>
    <n v="0"/>
    <m/>
    <n v="0"/>
    <s v="https://www.vs.ch/documents/6756452/7008787/2020%2004%2027%20Sit%20Epid%20-%20%C3%89tat%20Stand"/>
  </r>
  <r>
    <x v="6"/>
    <x v="5"/>
    <x v="11"/>
    <m/>
    <n v="0"/>
    <n v="0"/>
    <n v="0"/>
    <m/>
    <n v="0"/>
    <n v="0"/>
    <s v="https://www.zg.ch/behoerden/gesundheitsdirektion/statistikfachstelle/themen/gesundheit/corona"/>
  </r>
  <r>
    <x v="6"/>
    <x v="1"/>
    <x v="4"/>
    <m/>
    <n v="11"/>
    <m/>
    <m/>
    <m/>
    <m/>
    <m/>
    <s v="https://gd.zh.ch/internet/gesundheitsdirektion/de/themen/coronavirus.html"/>
  </r>
  <r>
    <x v="6"/>
    <x v="8"/>
    <x v="5"/>
    <n v="235"/>
    <n v="1"/>
    <m/>
    <m/>
    <m/>
    <m/>
    <m/>
    <s v="https://www.coronavirus.bs.ch/nm/2020-coronavirus-zwei-neue-positive-faelle-in-basel-stadt-gd.html"/>
  </r>
  <r>
    <x v="6"/>
    <x v="9"/>
    <x v="10"/>
    <m/>
    <n v="2"/>
    <m/>
    <m/>
    <m/>
    <m/>
    <m/>
    <s v="https://www.ag.ch/media/kanton_aargau/themen_1/coronavirus_1/200302_KFS_Coronavirus_Lagebulletin_2.pdf"/>
  </r>
  <r>
    <x v="7"/>
    <x v="0"/>
    <x v="7"/>
    <m/>
    <n v="2"/>
    <n v="1"/>
    <m/>
    <m/>
    <m/>
    <m/>
    <s v=""/>
  </r>
  <r>
    <x v="7"/>
    <x v="0"/>
    <x v="2"/>
    <n v="14"/>
    <m/>
    <m/>
    <m/>
    <m/>
    <m/>
    <m/>
    <s v="https://www.regierung.li/media/attachments/90-coronavirus.pdf?t=637202562374055719"/>
  </r>
  <r>
    <x v="7"/>
    <x v="0"/>
    <x v="0"/>
    <n v="974"/>
    <n v="11"/>
    <n v="4"/>
    <n v="0"/>
    <n v="0"/>
    <m/>
    <n v="0"/>
    <s v="https://www.ge.ch/document/covid-19-situation-epidemiologique-geneve/telecharger"/>
  </r>
  <r>
    <x v="7"/>
    <x v="0"/>
    <x v="3"/>
    <m/>
    <n v="2"/>
    <n v="1"/>
    <n v="0"/>
    <m/>
    <m/>
    <n v="0"/>
    <s v="https://www.jura.ch/Htdocs/Files/v/34263.xlsx/Departements/CHA/SIC/Carrousel/Coronavirus/Cornavirus/Chiffres/donnees_27_04.xlsx?download=1"/>
  </r>
  <r>
    <x v="7"/>
    <x v="0"/>
    <x v="13"/>
    <m/>
    <n v="1"/>
    <n v="1"/>
    <m/>
    <m/>
    <m/>
    <m/>
    <s v="https://www.ne.ch/autorites/DFS/SCSP/medecin-cantonal/maladies-vaccinations/Documents/Covid-19-Statistiques/COVID19_PublicationInternet.xlsx"/>
  </r>
  <r>
    <x v="7"/>
    <x v="0"/>
    <x v="15"/>
    <n v="1"/>
    <n v="1"/>
    <m/>
    <m/>
    <m/>
    <m/>
    <m/>
    <s v="https://www.sz.ch/public/upload/assets/45351/MM_Coronavirus_4_3_2020.pdf"/>
  </r>
  <r>
    <x v="7"/>
    <x v="0"/>
    <x v="1"/>
    <m/>
    <n v="4"/>
    <m/>
    <m/>
    <m/>
    <m/>
    <m/>
    <s v="https://www4.ti.ch/area-media/comunicati/dettaglio-comunicato/?NEWS_ID=187363&amp;tx_tichareamedia_comunicazioni%5Baction%5D=show&amp;tx_tichareamedia_comunicazioni%5Bcontroller%5D=Comunicazioni&amp;cHash=b34e82602a39cad67a7f8d54150dcf70   https://www4.ti.ch/area-media/comunicati/dettaglio-comunicato/?NEWS_ID=187369&amp;tx_tichareamedia_comunicazioni%5Baction%5D=show&amp;tx_tichareamedia_comunicazioni%5Bcontroller%5D=Comunicazioni&amp;cHash=3154d18e72821fc23d7b3c5cdfe9f9a3"/>
  </r>
  <r>
    <x v="7"/>
    <x v="0"/>
    <x v="8"/>
    <m/>
    <m/>
    <n v="8"/>
    <m/>
    <m/>
    <m/>
    <m/>
    <s v="https://www.vd.ch/toutes-les-actualites/hotline-et-informations-sur-le-coronavirus/"/>
  </r>
  <r>
    <x v="7"/>
    <x v="0"/>
    <x v="9"/>
    <m/>
    <n v="3"/>
    <n v="11"/>
    <n v="0"/>
    <n v="0"/>
    <m/>
    <n v="0"/>
    <s v="https://www.vs.ch/documents/6756452/7008787/2020%2004%2027%20Sit%20Epid%20-%20%C3%89tat%20Stand"/>
  </r>
  <r>
    <x v="7"/>
    <x v="5"/>
    <x v="11"/>
    <m/>
    <n v="1"/>
    <n v="0"/>
    <n v="0"/>
    <m/>
    <n v="0"/>
    <n v="0"/>
    <s v="https://www.zg.ch/behoerden/gesundheitsdirektion/statistikfachstelle/themen/gesundheit/corona"/>
  </r>
  <r>
    <x v="7"/>
    <x v="1"/>
    <x v="4"/>
    <m/>
    <n v="14"/>
    <m/>
    <m/>
    <m/>
    <m/>
    <m/>
    <s v="https://gd.zh.ch/internet/gesundheitsdirektion/de/themen/coronavirus.html"/>
  </r>
  <r>
    <x v="7"/>
    <x v="4"/>
    <x v="10"/>
    <m/>
    <n v="6"/>
    <m/>
    <m/>
    <m/>
    <m/>
    <m/>
    <s v="https://www.ag.ch/media/kanton_aargau/themen_1/coronavirus_1/lagebulletins/200303_KFS_Coronavirus_Lagebulletin_3.pdf"/>
  </r>
  <r>
    <x v="7"/>
    <x v="10"/>
    <x v="5"/>
    <m/>
    <n v="3"/>
    <m/>
    <m/>
    <m/>
    <m/>
    <m/>
    <s v="https://twitter.com/BAG_OFSP_UFSP/status/1234880556095213569?s=20"/>
  </r>
  <r>
    <x v="8"/>
    <x v="0"/>
    <x v="6"/>
    <m/>
    <n v="6"/>
    <m/>
    <m/>
    <m/>
    <m/>
    <m/>
    <s v="https://www.be.ch/portal/de/index/mediencenter/medienmitteilungen/suche.meldungNeu.html/portal/de/meldungen/mm/2020/03/20200304_1443_corona-4-3-2020"/>
  </r>
  <r>
    <x v="8"/>
    <x v="0"/>
    <x v="7"/>
    <m/>
    <n v="2"/>
    <n v="1"/>
    <m/>
    <m/>
    <m/>
    <m/>
    <s v=""/>
  </r>
  <r>
    <x v="8"/>
    <x v="0"/>
    <x v="2"/>
    <n v="16"/>
    <n v="1"/>
    <m/>
    <m/>
    <m/>
    <m/>
    <m/>
    <s v="https://www.regierung.li/media/attachments/97-coronavirus.pdf?t=637202562374055719"/>
  </r>
  <r>
    <x v="8"/>
    <x v="0"/>
    <x v="12"/>
    <m/>
    <n v="4"/>
    <m/>
    <m/>
    <m/>
    <m/>
    <m/>
    <s v="https://www.fr.ch/sites/default/files/2020-03/200304_CommD_DSAS_covid_cas%20FR.pdf"/>
  </r>
  <r>
    <x v="8"/>
    <x v="0"/>
    <x v="0"/>
    <n v="1081"/>
    <n v="11"/>
    <n v="4"/>
    <n v="0"/>
    <n v="0"/>
    <m/>
    <n v="0"/>
    <s v="https://www.ge.ch/document/covid-19-situation-epidemiologique-geneve/telecharger"/>
  </r>
  <r>
    <x v="8"/>
    <x v="0"/>
    <x v="3"/>
    <m/>
    <n v="2"/>
    <n v="1"/>
    <n v="0"/>
    <m/>
    <m/>
    <n v="0"/>
    <s v="https://www.jura.ch/Htdocs/Files/v/34263.xlsx/Departements/CHA/SIC/Carrousel/Coronavirus/Cornavirus/Chiffres/donnees_27_04.xlsx?download=1"/>
  </r>
  <r>
    <x v="8"/>
    <x v="0"/>
    <x v="13"/>
    <m/>
    <n v="8"/>
    <n v="4"/>
    <m/>
    <m/>
    <m/>
    <m/>
    <s v="https://www.ne.ch/autorites/DFS/SCSP/medecin-cantonal/maladies-vaccinations/Documents/Covid-19-Statistiques/COVID19_PublicationInternet.xlsx"/>
  </r>
  <r>
    <x v="8"/>
    <x v="0"/>
    <x v="15"/>
    <n v="3"/>
    <n v="3"/>
    <n v="1"/>
    <m/>
    <m/>
    <m/>
    <m/>
    <s v="https://www.sz.ch/public/upload/assets/45351/MM_Coronavirus_4_3_2020.pdf"/>
  </r>
  <r>
    <x v="8"/>
    <x v="0"/>
    <x v="1"/>
    <m/>
    <n v="5"/>
    <m/>
    <m/>
    <m/>
    <m/>
    <m/>
    <s v="https://www4.ti.ch/area-media/comunicati/dettaglio-comunicato/?NEWS_ID=187371&amp;tx_tichareamedia_comunicazioni%5Baction%5D=show&amp;tx_tichareamedia_comunicazioni%5Bcontroller%5D=Comunicazioni&amp;cHash=174f2d754f3b657af79f343c92fc5c89"/>
  </r>
  <r>
    <x v="8"/>
    <x v="0"/>
    <x v="8"/>
    <m/>
    <m/>
    <n v="11"/>
    <n v="1"/>
    <m/>
    <m/>
    <m/>
    <s v="https://www.vd.ch/toutes-les-actualites/hotline-et-informations-sur-le-coronavirus/"/>
  </r>
  <r>
    <x v="8"/>
    <x v="0"/>
    <x v="9"/>
    <m/>
    <n v="4"/>
    <n v="12"/>
    <n v="0"/>
    <n v="0"/>
    <m/>
    <n v="0"/>
    <s v="https://www.vs.ch/documents/6756452/7008787/2020%2004%2027%20Sit%20Epid%20-%20%C3%89tat%20Stand"/>
  </r>
  <r>
    <x v="8"/>
    <x v="11"/>
    <x v="14"/>
    <m/>
    <n v="1"/>
    <m/>
    <m/>
    <m/>
    <m/>
    <m/>
    <s v="https://www.sg.ch/news/sgch_allgemein/2020/03/erster-bestaetigter-corona-fall-im-kanton-.html"/>
  </r>
  <r>
    <x v="8"/>
    <x v="5"/>
    <x v="11"/>
    <m/>
    <n v="1"/>
    <n v="0"/>
    <n v="0"/>
    <m/>
    <n v="0"/>
    <n v="0"/>
    <s v="https://www.zg.ch/behoerden/gesundheitsdirektion/statistikfachstelle/themen/gesundheit/corona"/>
  </r>
  <r>
    <x v="8"/>
    <x v="1"/>
    <x v="4"/>
    <m/>
    <n v="16"/>
    <m/>
    <m/>
    <m/>
    <m/>
    <m/>
    <s v="https://gd.zh.ch/internet/gesundheitsdirektion/de/themen/coronavirus.html"/>
  </r>
  <r>
    <x v="8"/>
    <x v="4"/>
    <x v="10"/>
    <m/>
    <n v="7"/>
    <m/>
    <m/>
    <m/>
    <m/>
    <m/>
    <s v="https://www.ag.ch/media/kanton_aargau/themen_1/coronavirus_1/lagebulletins/200304_KFS_Coronavirus_Lagebulletin_4.pdf"/>
  </r>
  <r>
    <x v="8"/>
    <x v="12"/>
    <x v="5"/>
    <m/>
    <n v="3"/>
    <m/>
    <m/>
    <m/>
    <m/>
    <m/>
    <s v="https://twitter.com/BAG_OFSP_UFSP/status/1235240377134862336?s=20"/>
  </r>
  <r>
    <x v="8"/>
    <x v="9"/>
    <x v="16"/>
    <m/>
    <n v="0"/>
    <m/>
    <m/>
    <m/>
    <m/>
    <m/>
    <s v="https://web.archive.org/web/20200304173939/https://gesundheit.lu.ch/themen/Humanmedizin/Infektionskrankheiten/Coronavirus"/>
  </r>
  <r>
    <x v="9"/>
    <x v="0"/>
    <x v="17"/>
    <m/>
    <n v="1"/>
    <m/>
    <m/>
    <m/>
    <m/>
    <m/>
    <s v="https://www.ar.ch/verwaltung/departement-gesundheit-und-soziales/news-aus-dem-departement/detail/news/coronavirusersterfallinappenzellausserrhoden/?tx_news_pi1[controller]=News&amp;tx_news_pi1[action]=detail&amp;cHash=fb1a9cf08108cdc7b82780b9239b009d"/>
  </r>
  <r>
    <x v="9"/>
    <x v="0"/>
    <x v="7"/>
    <m/>
    <n v="6"/>
    <n v="1"/>
    <m/>
    <m/>
    <m/>
    <m/>
    <s v="https://www.baselland.ch/politik-und-behorden/direktionen/volkswirtschafts-und-gesundheitsdirektion/medienmitteilungen/neuer-coronavirus-covid-19-sechs-bestaetigte-faelle-im-kanton-basel-landschaft"/>
  </r>
  <r>
    <x v="9"/>
    <x v="0"/>
    <x v="2"/>
    <n v="18"/>
    <n v="1"/>
    <m/>
    <m/>
    <m/>
    <m/>
    <m/>
    <s v="https://www.regierung.li/media/attachments/100-coronavirus-18-verdachtsfaelle-0305.pdf?t=637202562374055719"/>
  </r>
  <r>
    <x v="9"/>
    <x v="0"/>
    <x v="12"/>
    <m/>
    <n v="6"/>
    <m/>
    <m/>
    <m/>
    <m/>
    <m/>
    <s v="https://www.fr.ch/de/covid19/gesundheit/covid-19/coronavirus-entwicklungen-der-situation"/>
  </r>
  <r>
    <x v="9"/>
    <x v="0"/>
    <x v="0"/>
    <n v="1146"/>
    <n v="15"/>
    <n v="5"/>
    <n v="0"/>
    <n v="0"/>
    <m/>
    <n v="0"/>
    <s v="https://www.ge.ch/document/covid-19-situation-epidemiologique-geneve/telecharger"/>
  </r>
  <r>
    <x v="9"/>
    <x v="0"/>
    <x v="3"/>
    <m/>
    <n v="4"/>
    <n v="2"/>
    <n v="0"/>
    <m/>
    <m/>
    <n v="0"/>
    <s v="https://www.jura.ch/Htdocs/Files/v/34263.xlsx/Departements/CHA/SIC/Carrousel/Coronavirus/Cornavirus/Chiffres/donnees_27_04.xlsx?download=1"/>
  </r>
  <r>
    <x v="9"/>
    <x v="0"/>
    <x v="13"/>
    <m/>
    <n v="9"/>
    <n v="4"/>
    <m/>
    <m/>
    <m/>
    <m/>
    <s v="https://www.ne.ch/autorites/DFS/SCSP/medecin-cantonal/maladies-vaccinations/Documents/Covid-19-Statistiques/COVID19_PublicationInternet.xlsx"/>
  </r>
  <r>
    <x v="9"/>
    <x v="0"/>
    <x v="1"/>
    <m/>
    <n v="18"/>
    <m/>
    <m/>
    <m/>
    <m/>
    <m/>
    <s v="https://www4.ti.ch/area-media/comunicati/dettaglio-comunicato/?NEWS_ID=187385&amp;tx_tichareamedia_comunicazioni%5Baction%5D=show&amp;tx_tichareamedia_comunicazioni%5Bcontroller%5D=Comunicazioni&amp;cHash=a9ddddfae2c7446e5b856451e178a61a"/>
  </r>
  <r>
    <x v="9"/>
    <x v="0"/>
    <x v="8"/>
    <m/>
    <m/>
    <n v="14"/>
    <n v="1"/>
    <m/>
    <m/>
    <m/>
    <s v="https://www.vd.ch/toutes-les-actualites/hotline-et-informations-sur-le-coronavirus/"/>
  </r>
  <r>
    <x v="9"/>
    <x v="0"/>
    <x v="9"/>
    <m/>
    <n v="5"/>
    <n v="10"/>
    <n v="0"/>
    <n v="0"/>
    <m/>
    <n v="0"/>
    <s v="https://www.vs.ch/documents/6756452/7008787/2020%2004%2027%20Sit%20Epid%20-%20%C3%89tat%20Stand"/>
  </r>
  <r>
    <x v="9"/>
    <x v="5"/>
    <x v="11"/>
    <m/>
    <n v="2"/>
    <n v="0"/>
    <n v="0"/>
    <m/>
    <n v="0"/>
    <n v="0"/>
    <s v="https://www.zg.ch/behoerden/gesundheitsdirektion/statistikfachstelle/themen/gesundheit/corona"/>
  </r>
  <r>
    <x v="9"/>
    <x v="1"/>
    <x v="4"/>
    <m/>
    <n v="24"/>
    <m/>
    <m/>
    <m/>
    <m/>
    <m/>
    <s v="https://gd.zh.ch/internet/gesundheitsdirektion/de/themen/coronavirus.html"/>
  </r>
  <r>
    <x v="9"/>
    <x v="4"/>
    <x v="10"/>
    <m/>
    <n v="9"/>
    <m/>
    <m/>
    <m/>
    <m/>
    <m/>
    <s v="https://www.ag.ch/media/kanton_aargau/themen_1/coronavirus_1/lagebulletins/200305_KFS_Coronavirus_Lagebulletin_5.pdf"/>
  </r>
  <r>
    <x v="9"/>
    <x v="8"/>
    <x v="5"/>
    <m/>
    <n v="8"/>
    <n v="1"/>
    <m/>
    <m/>
    <m/>
    <m/>
    <s v="https://www.coronavirus.bs.ch/nm/2020-coronavirus-fuenf-neue-positive-faelle-in-basel-stadt-gd.html"/>
  </r>
  <r>
    <x v="10"/>
    <x v="0"/>
    <x v="6"/>
    <m/>
    <n v="17"/>
    <m/>
    <m/>
    <m/>
    <m/>
    <m/>
    <s v="https://www.be.ch/portal/de/index/mediencenter/medienmitteilungen/suche.meldungNeu.html/portal/de/meldungen/mm/2020/03/20200306_1343_corona6-3"/>
  </r>
  <r>
    <x v="10"/>
    <x v="0"/>
    <x v="7"/>
    <m/>
    <n v="6"/>
    <n v="4"/>
    <n v="2"/>
    <m/>
    <m/>
    <m/>
    <s v=""/>
  </r>
  <r>
    <x v="10"/>
    <x v="0"/>
    <x v="2"/>
    <n v="22"/>
    <n v="1"/>
    <m/>
    <m/>
    <m/>
    <m/>
    <m/>
    <s v="https://www.regierung.li/media/attachments/104-coronavirus-vorsicht.pdf?t=637202562374055719"/>
  </r>
  <r>
    <x v="10"/>
    <x v="0"/>
    <x v="0"/>
    <n v="1241"/>
    <n v="19"/>
    <n v="7"/>
    <n v="0"/>
    <n v="0"/>
    <m/>
    <n v="0"/>
    <s v="https://www.ge.ch/document/covid-19-situation-epidemiologique-geneve/telecharger"/>
  </r>
  <r>
    <x v="10"/>
    <x v="0"/>
    <x v="3"/>
    <m/>
    <n v="4"/>
    <n v="5"/>
    <n v="0"/>
    <m/>
    <m/>
    <n v="0"/>
    <s v="https://www.jura.ch/Htdocs/Files/v/34263.xlsx/Departements/CHA/SIC/Carrousel/Coronavirus/Cornavirus/Chiffres/donnees_27_04.xlsx?download=1"/>
  </r>
  <r>
    <x v="10"/>
    <x v="0"/>
    <x v="13"/>
    <m/>
    <n v="13"/>
    <n v="2"/>
    <m/>
    <m/>
    <m/>
    <m/>
    <s v="https://www.ne.ch/autorites/DFS/SCSP/medecin-cantonal/maladies-vaccinations/Documents/Covid-19-Statistiques/COVID19_PublicationInternet.xlsx"/>
  </r>
  <r>
    <x v="10"/>
    <x v="0"/>
    <x v="15"/>
    <n v="6"/>
    <n v="6"/>
    <m/>
    <m/>
    <m/>
    <m/>
    <m/>
    <s v="https://www.sz.ch/public/upload/assets/45417/MM_Coronavirus_6_3_2020.pdf"/>
  </r>
  <r>
    <x v="10"/>
    <x v="0"/>
    <x v="1"/>
    <m/>
    <m/>
    <m/>
    <m/>
    <m/>
    <m/>
    <m/>
    <s v=""/>
  </r>
  <r>
    <x v="10"/>
    <x v="0"/>
    <x v="8"/>
    <m/>
    <n v="23"/>
    <n v="15"/>
    <n v="2"/>
    <m/>
    <m/>
    <n v="1"/>
    <s v="https://www.vd.ch/toutes-les-actualites/hotline-et-informations-sur-le-coronavirus/"/>
  </r>
  <r>
    <x v="10"/>
    <x v="0"/>
    <x v="9"/>
    <m/>
    <n v="6"/>
    <n v="11"/>
    <n v="0"/>
    <n v="0"/>
    <m/>
    <n v="0"/>
    <s v="https://www.vs.ch/documents/6756452/7008787/2020%2004%2027%20Sit%20Epid%20-%20%C3%89tat%20Stand"/>
  </r>
  <r>
    <x v="10"/>
    <x v="5"/>
    <x v="11"/>
    <m/>
    <n v="3"/>
    <n v="0"/>
    <n v="0"/>
    <m/>
    <n v="0"/>
    <n v="0"/>
    <s v="https://www.zg.ch/behoerden/gesundheitsdirektion/statistikfachstelle/themen/gesundheit/corona"/>
  </r>
  <r>
    <x v="10"/>
    <x v="13"/>
    <x v="18"/>
    <m/>
    <n v="1"/>
    <m/>
    <m/>
    <m/>
    <m/>
    <m/>
    <s v="https://so.ch/startseite/aktuell/news/erster-laborbestaetigter-covid-19-fall-im-kanton-solothurn/?tx_news_pi1%5Bcontroller%5D=News&amp;tx_news_pi1%5Baction%5D=detail&amp;cHash=3074bbdc8f0fcdcb9f1e11a21fc05e73"/>
  </r>
  <r>
    <x v="10"/>
    <x v="14"/>
    <x v="5"/>
    <m/>
    <n v="15"/>
    <n v="1"/>
    <m/>
    <m/>
    <m/>
    <m/>
    <s v="https://twitter.com/BAG_OFSP_UFSP/status/1235934884167852035?s=20"/>
  </r>
  <r>
    <x v="10"/>
    <x v="1"/>
    <x v="4"/>
    <m/>
    <n v="30"/>
    <m/>
    <m/>
    <m/>
    <m/>
    <m/>
    <s v="https://gd.zh.ch/internet/gesundheitsdirektion/de/themen/coronavirus.html"/>
  </r>
  <r>
    <x v="10"/>
    <x v="4"/>
    <x v="10"/>
    <m/>
    <n v="12"/>
    <m/>
    <m/>
    <m/>
    <n v="1"/>
    <m/>
    <s v="https://www.ag.ch/media/kanton_aargau/themen_1/coronavirus_1/lagebulletins/200305_KFS_Coronavirus_Lagebulletin_6.pdf"/>
  </r>
  <r>
    <x v="10"/>
    <x v="15"/>
    <x v="14"/>
    <m/>
    <n v="2"/>
    <m/>
    <m/>
    <m/>
    <m/>
    <m/>
    <s v="https://www.sg.ch/news/sgch_allgemein/2020/03/zweiter-bestaetigter-fall-einer-corona-patientin.html"/>
  </r>
  <r>
    <x v="11"/>
    <x v="0"/>
    <x v="7"/>
    <m/>
    <n v="15"/>
    <n v="4"/>
    <n v="2"/>
    <m/>
    <m/>
    <m/>
    <s v="https://www.baselland.ch/politik-und-behorden/direktionen/volkswirtschafts-und-gesundheitsdirektion/medienmitteilungen/update-15-bestaetigte-faelle-in-basel-landschaft"/>
  </r>
  <r>
    <x v="11"/>
    <x v="0"/>
    <x v="0"/>
    <n v="1316"/>
    <n v="30"/>
    <n v="7"/>
    <n v="0"/>
    <n v="0"/>
    <m/>
    <n v="0"/>
    <s v="https://www.ge.ch/document/covid-19-situation-epidemiologique-geneve/telecharger"/>
  </r>
  <r>
    <x v="11"/>
    <x v="0"/>
    <x v="3"/>
    <m/>
    <n v="5"/>
    <n v="5"/>
    <n v="0"/>
    <m/>
    <m/>
    <n v="0"/>
    <s v="https://www.jura.ch/Htdocs/Files/v/34263.xlsx/Departements/CHA/SIC/Carrousel/Coronavirus/Cornavirus/Chiffres/donnees_27_04.xlsx?download=1"/>
  </r>
  <r>
    <x v="11"/>
    <x v="0"/>
    <x v="13"/>
    <m/>
    <n v="18"/>
    <n v="2"/>
    <m/>
    <m/>
    <m/>
    <m/>
    <s v="https://www.ne.ch/autorites/DFS/SCSP/medecin-cantonal/maladies-vaccinations/Documents/Covid-19-Statistiques/COVID19_PublicationInternet.xlsx"/>
  </r>
  <r>
    <x v="11"/>
    <x v="0"/>
    <x v="1"/>
    <m/>
    <n v="45"/>
    <m/>
    <m/>
    <m/>
    <m/>
    <m/>
    <s v="https://www4.ti.ch/area-media/comunicati/dettaglio-comunicato/?NEWS_ID=187406&amp;tx_tichareamedia_comunicazioni%5Baction%5D=show&amp;tx_tichareamedia_comunicazioni%5Bcontroller%5D=Comunicazioni&amp;cHash=e553d0b42db2ead87a7d05e499fac4db"/>
  </r>
  <r>
    <x v="11"/>
    <x v="0"/>
    <x v="8"/>
    <m/>
    <n v="30"/>
    <n v="16"/>
    <n v="4"/>
    <m/>
    <m/>
    <n v="1"/>
    <s v="https://www.vd.ch/toutes-les-actualites/hotline-et-informations-sur-le-coronavirus/"/>
  </r>
  <r>
    <x v="11"/>
    <x v="0"/>
    <x v="9"/>
    <m/>
    <n v="7"/>
    <n v="11"/>
    <n v="0"/>
    <n v="0"/>
    <m/>
    <n v="0"/>
    <s v="https://www.vs.ch/documents/6756452/7008787/2020%2004%2027%20Sit%20Epid%20-%20%C3%89tat%20Stand"/>
  </r>
  <r>
    <x v="11"/>
    <x v="5"/>
    <x v="11"/>
    <m/>
    <n v="3"/>
    <n v="0"/>
    <n v="0"/>
    <m/>
    <n v="0"/>
    <n v="0"/>
    <s v="https://www.zg.ch/behoerden/gesundheitsdirektion/statistikfachstelle/themen/gesundheit/corona"/>
  </r>
  <r>
    <x v="11"/>
    <x v="13"/>
    <x v="5"/>
    <m/>
    <n v="21"/>
    <n v="1"/>
    <m/>
    <m/>
    <m/>
    <m/>
    <s v="https://twitter.com/BAG_OFSP_UFSP/status/1236249864473894914?s=20"/>
  </r>
  <r>
    <x v="11"/>
    <x v="1"/>
    <x v="4"/>
    <m/>
    <n v="35"/>
    <m/>
    <m/>
    <m/>
    <m/>
    <m/>
    <s v="https://gd.zh.ch/internet/gesundheitsdirektion/de/themen/coronavirus.html"/>
  </r>
  <r>
    <x v="12"/>
    <x v="0"/>
    <x v="7"/>
    <m/>
    <n v="19"/>
    <n v="4"/>
    <n v="2"/>
    <m/>
    <m/>
    <n v="1"/>
    <s v="https://www.baselland.ch/politik-und-behorden/direktionen/volkswirtschafts-und-gesundheitsdirektion/medienmitteilungen/patient-im-kantonsspital-baselland-stirbt-an-den-folgen-einer-coronavirus-infektion"/>
  </r>
  <r>
    <x v="12"/>
    <x v="0"/>
    <x v="12"/>
    <m/>
    <n v="8"/>
    <m/>
    <m/>
    <m/>
    <m/>
    <m/>
    <s v="https://www.fr.ch/de/covid19/gesundheit/covid-19/coronavirus-entwicklungen-der-situation"/>
  </r>
  <r>
    <x v="12"/>
    <x v="0"/>
    <x v="0"/>
    <n v="1383"/>
    <n v="38"/>
    <n v="9"/>
    <n v="0"/>
    <n v="0"/>
    <m/>
    <n v="0"/>
    <s v="https://www.ge.ch/document/covid-19-situation-epidemiologique-geneve/telecharger"/>
  </r>
  <r>
    <x v="12"/>
    <x v="0"/>
    <x v="3"/>
    <m/>
    <n v="5"/>
    <n v="5"/>
    <n v="0"/>
    <m/>
    <m/>
    <n v="0"/>
    <s v="https://www.jura.ch/Htdocs/Files/v/34263.xlsx/Departements/CHA/SIC/Carrousel/Coronavirus/Cornavirus/Chiffres/donnees_27_04.xlsx?download=1"/>
  </r>
  <r>
    <x v="12"/>
    <x v="0"/>
    <x v="13"/>
    <m/>
    <n v="24"/>
    <n v="3"/>
    <m/>
    <m/>
    <m/>
    <m/>
    <s v="https://www.ne.ch/autorites/DFS/SCSP/medecin-cantonal/maladies-vaccinations/Documents/Covid-19-Statistiques/COVID19_PublicationInternet.xlsx"/>
  </r>
  <r>
    <x v="12"/>
    <x v="0"/>
    <x v="1"/>
    <m/>
    <n v="58"/>
    <m/>
    <m/>
    <m/>
    <m/>
    <m/>
    <s v="https://www4.ti.ch/area-media/comunicati/dettaglio-comunicato/?NEWS_ID=187407&amp;tx_tichareamedia_comunicazioni%5Baction%5D=show&amp;tx_tichareamedia_comunicazioni%5Bcontroller%5D=Comunicazioni&amp;cHash=8d1ff4bf2a674892913340827de952ea"/>
  </r>
  <r>
    <x v="12"/>
    <x v="0"/>
    <x v="8"/>
    <m/>
    <n v="40"/>
    <n v="22"/>
    <n v="3"/>
    <m/>
    <m/>
    <n v="1"/>
    <s v="https://www.vd.ch/toutes-les-actualites/hotline-et-informations-sur-le-coronavirus/"/>
  </r>
  <r>
    <x v="12"/>
    <x v="0"/>
    <x v="9"/>
    <m/>
    <n v="12"/>
    <n v="15"/>
    <n v="1"/>
    <n v="1"/>
    <m/>
    <n v="0"/>
    <s v="https://www.vs.ch/documents/6756452/7008787/2020%2004%2027%20Sit%20Epid%20-%20%C3%89tat%20Stand"/>
  </r>
  <r>
    <x v="12"/>
    <x v="5"/>
    <x v="11"/>
    <m/>
    <n v="3"/>
    <n v="0"/>
    <n v="0"/>
    <m/>
    <n v="0"/>
    <n v="0"/>
    <s v="https://www.zg.ch/behoerden/gesundheitsdirektion/statistikfachstelle/themen/gesundheit/corona"/>
  </r>
  <r>
    <x v="12"/>
    <x v="13"/>
    <x v="5"/>
    <m/>
    <n v="24"/>
    <n v="1"/>
    <m/>
    <m/>
    <m/>
    <m/>
    <s v="https://twitter.com/BAG_OFSP_UFSP/status/1236609191831384064?s=20"/>
  </r>
  <r>
    <x v="12"/>
    <x v="1"/>
    <x v="4"/>
    <m/>
    <n v="41"/>
    <m/>
    <m/>
    <m/>
    <m/>
    <m/>
    <s v="https://gd.zh.ch/internet/gesundheitsdirektion/de/themen/coronavirus.html"/>
  </r>
  <r>
    <x v="13"/>
    <x v="0"/>
    <x v="17"/>
    <m/>
    <n v="2"/>
    <m/>
    <m/>
    <m/>
    <m/>
    <m/>
    <s v="https://www.ar.ch/schnellzugriff/medienmitteilungen-der-kantonalen-verwaltung/detail/news/zweiter-coronafall-in-appenzell-ausserrhoden/?tx_news_pi1[controller]=News&amp;tx_news_pi1[action]=detail&amp;cHash=de7ec38198b5e60b6dce8fccc7735501"/>
  </r>
  <r>
    <x v="13"/>
    <x v="0"/>
    <x v="6"/>
    <m/>
    <n v="34"/>
    <m/>
    <m/>
    <m/>
    <m/>
    <m/>
    <s v="https://www.be.ch/portal/de/index/mediencenter/medienmitteilungen/suche.meldungNeu.html/portal/de/meldungen/mm/2020/03/20200309_1545_corona-9-3"/>
  </r>
  <r>
    <x v="13"/>
    <x v="0"/>
    <x v="7"/>
    <m/>
    <n v="20"/>
    <n v="4"/>
    <n v="4"/>
    <m/>
    <n v="1"/>
    <n v="1"/>
    <s v="https://www.baselland.ch/politik-und-behorden/direktionen/volkswirtschafts-und-gesundheitsdirektion/medienmitteilungen/update-xx-bestaetigte-faelle-in-basel-landschaft"/>
  </r>
  <r>
    <x v="13"/>
    <x v="0"/>
    <x v="2"/>
    <n v="24"/>
    <n v="1"/>
    <m/>
    <m/>
    <m/>
    <m/>
    <m/>
    <s v="https://www.regierung.li/media/attachments/106-coronavirus-anpassung-massnahmen.pdf?t=637202562374055719"/>
  </r>
  <r>
    <x v="13"/>
    <x v="0"/>
    <x v="12"/>
    <m/>
    <n v="11"/>
    <m/>
    <m/>
    <m/>
    <m/>
    <m/>
    <s v="https://www.fr.ch/de/covid19/gesundheit/covid-19/coronavirus-entwicklungen-der-situation"/>
  </r>
  <r>
    <x v="13"/>
    <x v="0"/>
    <x v="0"/>
    <n v="1488"/>
    <n v="47"/>
    <n v="13"/>
    <n v="3"/>
    <n v="1"/>
    <m/>
    <n v="0"/>
    <s v="https://www.ge.ch/document/covid-19-situation-epidemiologique-geneve/telecharger"/>
  </r>
  <r>
    <x v="13"/>
    <x v="0"/>
    <x v="3"/>
    <m/>
    <n v="7"/>
    <n v="5"/>
    <n v="0"/>
    <m/>
    <m/>
    <n v="0"/>
    <s v="https://www.jura.ch/Htdocs/Files/v/34263.xlsx/Departements/CHA/SIC/Carrousel/Coronavirus/Cornavirus/Chiffres/donnees_27_04.xlsx?download=1"/>
  </r>
  <r>
    <x v="13"/>
    <x v="0"/>
    <x v="13"/>
    <m/>
    <n v="27"/>
    <n v="4"/>
    <m/>
    <m/>
    <m/>
    <m/>
    <s v="https://www.ne.ch/autorites/DFS/SCSP/medecin-cantonal/maladies-vaccinations/Documents/Covid-19-Statistiques/COVID19_PublicationInternet.xlsx"/>
  </r>
  <r>
    <x v="13"/>
    <x v="0"/>
    <x v="1"/>
    <m/>
    <n v="68"/>
    <m/>
    <m/>
    <m/>
    <m/>
    <m/>
    <s v="https://www4.ti.ch/area-media/comunicati/dettaglio-comunicato/?NEWS_ID=187417&amp;tx_tichareamedia_comunicazioni%5Baction%5D=show&amp;tx_tichareamedia_comunicazioni%5Bcontroller%5D=Comunicazioni&amp;cHash=20e9b76118246e98781581881b459523"/>
  </r>
  <r>
    <x v="13"/>
    <x v="0"/>
    <x v="8"/>
    <m/>
    <n v="51"/>
    <n v="29"/>
    <n v="5"/>
    <m/>
    <m/>
    <n v="1"/>
    <s v="https://www.vd.ch/toutes-les-actualites/hotline-et-informations-sur-le-coronavirus/"/>
  </r>
  <r>
    <x v="13"/>
    <x v="0"/>
    <x v="9"/>
    <m/>
    <n v="17"/>
    <n v="16"/>
    <n v="1"/>
    <n v="1"/>
    <m/>
    <n v="0"/>
    <s v="https://www.vs.ch/documents/6756452/7008787/2020%2004%2027%20Sit%20Epid%20-%20%C3%89tat%20Stand"/>
  </r>
  <r>
    <x v="13"/>
    <x v="5"/>
    <x v="11"/>
    <m/>
    <n v="10"/>
    <n v="0"/>
    <n v="0"/>
    <m/>
    <n v="0"/>
    <n v="0"/>
    <s v="https://www.zg.ch/behoerden/gesundheitsdirektion/statistikfachstelle/themen/gesundheit/corona"/>
  </r>
  <r>
    <x v="13"/>
    <x v="13"/>
    <x v="5"/>
    <m/>
    <n v="28"/>
    <n v="1"/>
    <m/>
    <m/>
    <m/>
    <m/>
    <s v="https://twitter.com/BAG_OFSP_UFSP/status/1236973685602426881?s=20"/>
  </r>
  <r>
    <x v="13"/>
    <x v="1"/>
    <x v="4"/>
    <m/>
    <n v="50"/>
    <m/>
    <m/>
    <m/>
    <m/>
    <m/>
    <s v="https://gd.zh.ch/internet/gesundheitsdirektion/de/themen/coronavirus.html"/>
  </r>
  <r>
    <x v="13"/>
    <x v="4"/>
    <x v="10"/>
    <m/>
    <n v="14"/>
    <m/>
    <m/>
    <m/>
    <n v="2"/>
    <m/>
    <s v="https://www.ag.ch/media/kanton_aargau/themen_1/coronavirus_1/lagebulletins/200309_KFS_Coronavirus_Lagebulletin_7.pdf"/>
  </r>
  <r>
    <x v="14"/>
    <x v="0"/>
    <x v="7"/>
    <m/>
    <n v="22"/>
    <n v="5"/>
    <n v="1"/>
    <m/>
    <n v="2"/>
    <n v="1"/>
    <s v="https://www.baselland.ch/politik-und-behorden/direktionen/volkswirtschafts-und-gesundheitsdirektion/medienmitteilungen/update"/>
  </r>
  <r>
    <x v="14"/>
    <x v="0"/>
    <x v="2"/>
    <n v="37"/>
    <n v="1"/>
    <m/>
    <m/>
    <m/>
    <m/>
    <m/>
    <s v="https://www.regierung.li/media/attachments/110-corona-0310.pdf?t=637202562374055719"/>
  </r>
  <r>
    <x v="14"/>
    <x v="0"/>
    <x v="0"/>
    <n v="1688"/>
    <n v="73"/>
    <n v="18"/>
    <n v="4"/>
    <n v="1"/>
    <m/>
    <n v="1"/>
    <s v="https://www.ge.ch/document/covid-19-situation-epidemiologique-geneve/telecharger"/>
  </r>
  <r>
    <x v="14"/>
    <x v="0"/>
    <x v="19"/>
    <m/>
    <n v="1"/>
    <n v="0"/>
    <m/>
    <m/>
    <m/>
    <n v="0"/>
    <s v="https://www.gl.ch/public/upload/assets/27574/COVID-19_Fallzahlen_Kanton_Glarus.xlsx"/>
  </r>
  <r>
    <x v="14"/>
    <x v="0"/>
    <x v="3"/>
    <m/>
    <n v="7"/>
    <n v="5"/>
    <n v="0"/>
    <m/>
    <m/>
    <n v="0"/>
    <s v="https://www.jura.ch/Htdocs/Files/v/34263.xlsx/Departements/CHA/SIC/Carrousel/Coronavirus/Cornavirus/Chiffres/donnees_27_04.xlsx?download=1"/>
  </r>
  <r>
    <x v="14"/>
    <x v="0"/>
    <x v="13"/>
    <m/>
    <n v="31"/>
    <n v="4"/>
    <m/>
    <m/>
    <m/>
    <m/>
    <s v="https://www.ne.ch/autorites/DFS/SCSP/medecin-cantonal/maladies-vaccinations/Documents/Covid-19-Statistiques/COVID19_PublicationInternet.xlsx"/>
  </r>
  <r>
    <x v="14"/>
    <x v="0"/>
    <x v="1"/>
    <m/>
    <m/>
    <m/>
    <m/>
    <m/>
    <m/>
    <n v="1"/>
    <s v="https://www4.ti.ch/area-media/comunicati/dettaglio-comunicato/?NEWS_ID=187422&amp;tx_tichareamedia_comunicazioni%5Baction%5D=show&amp;tx_tichareamedia_comunicazioni%5Bcontroller%5D=Comunicazioni&amp;cHash=24aa247e65de88fdd1551a61fcc407d9"/>
  </r>
  <r>
    <x v="14"/>
    <x v="0"/>
    <x v="8"/>
    <m/>
    <n v="129"/>
    <n v="48"/>
    <n v="8"/>
    <m/>
    <m/>
    <n v="1"/>
    <s v="https://www.vd.ch/toutes-les-actualites/hotline-et-informations-sur-le-coronavirus/point-de-situation-statistique-dans-le-canton-de-vaud/"/>
  </r>
  <r>
    <x v="14"/>
    <x v="0"/>
    <x v="9"/>
    <m/>
    <n v="22"/>
    <n v="19"/>
    <n v="1"/>
    <n v="1"/>
    <n v="3"/>
    <n v="0"/>
    <s v="https://www.vs.ch/documents/6756452/7008787/2020%2004%2027%20Sit%20Epid%20-%20%C3%89tat%20Stand"/>
  </r>
  <r>
    <x v="14"/>
    <x v="5"/>
    <x v="11"/>
    <m/>
    <n v="10"/>
    <n v="0"/>
    <n v="0"/>
    <m/>
    <n v="0"/>
    <n v="0"/>
    <s v="https://www.zg.ch/behoerden/gesundheitsdirektion/statistikfachstelle/themen/gesundheit/corona"/>
  </r>
  <r>
    <x v="14"/>
    <x v="13"/>
    <x v="5"/>
    <m/>
    <n v="33"/>
    <n v="1"/>
    <m/>
    <m/>
    <m/>
    <m/>
    <s v="https://twitter.com/BAG_OFSP_UFSP/status/1237336196772175873?s=20"/>
  </r>
  <r>
    <x v="14"/>
    <x v="1"/>
    <x v="4"/>
    <m/>
    <n v="63"/>
    <m/>
    <m/>
    <m/>
    <m/>
    <m/>
    <s v="https://gd.zh.ch/internet/gesundheitsdirektion/de/themen/coronavirus.html"/>
  </r>
  <r>
    <x v="14"/>
    <x v="4"/>
    <x v="10"/>
    <m/>
    <n v="17"/>
    <m/>
    <m/>
    <m/>
    <n v="2"/>
    <m/>
    <s v="https://www.ag.ch/media/kanton_aargau/themen_1/coronavirus_1/lagebulletins/200310_KFS_Coronavirus_Lagebulletin_8.pdf"/>
  </r>
  <r>
    <x v="15"/>
    <x v="0"/>
    <x v="7"/>
    <m/>
    <n v="26"/>
    <n v="3"/>
    <n v="1"/>
    <m/>
    <n v="2"/>
    <n v="2"/>
    <s v="https://www.baselland.ch/politik-und-behorden/direktionen/volkswirtschafts-und-gesundheitsdirektion/medienmitteilungen/update-26-bestaetigte-faelle-in-basel-landschaft-1"/>
  </r>
  <r>
    <x v="15"/>
    <x v="0"/>
    <x v="2"/>
    <n v="50"/>
    <n v="3"/>
    <m/>
    <m/>
    <m/>
    <n v="1"/>
    <m/>
    <s v="https://www.regierung.li/media/attachments/112-drei-personen-infiziert.pdf?t=637202562374055719"/>
  </r>
  <r>
    <x v="15"/>
    <x v="0"/>
    <x v="12"/>
    <m/>
    <n v="16"/>
    <m/>
    <m/>
    <m/>
    <m/>
    <n v="0"/>
    <s v="https://www.fr.ch/sites/default/files/2020-04/statistiques_situation_FR_2804.xlsx"/>
  </r>
  <r>
    <x v="15"/>
    <x v="0"/>
    <x v="0"/>
    <n v="1926"/>
    <n v="84"/>
    <n v="20"/>
    <n v="6"/>
    <n v="4"/>
    <m/>
    <n v="1"/>
    <s v="https://www.ge.ch/document/covid-19-situation-epidemiologique-geneve/telecharger"/>
  </r>
  <r>
    <x v="15"/>
    <x v="0"/>
    <x v="19"/>
    <m/>
    <n v="1"/>
    <n v="0"/>
    <m/>
    <m/>
    <m/>
    <n v="0"/>
    <s v="https://www.gl.ch/public/upload/assets/27574/COVID-19_Fallzahlen_Kanton_Glarus.xlsx"/>
  </r>
  <r>
    <x v="15"/>
    <x v="0"/>
    <x v="3"/>
    <m/>
    <n v="7"/>
    <n v="6"/>
    <n v="0"/>
    <m/>
    <m/>
    <n v="0"/>
    <s v="https://www.jura.ch/Htdocs/Files/v/34263.xlsx/Departements/CHA/SIC/Carrousel/Coronavirus/Cornavirus/Chiffres/donnees_27_04.xlsx?download=1"/>
  </r>
  <r>
    <x v="15"/>
    <x v="0"/>
    <x v="13"/>
    <m/>
    <n v="37"/>
    <n v="6"/>
    <m/>
    <m/>
    <m/>
    <m/>
    <s v="https://www.ne.ch/autorites/DFS/SCSP/medecin-cantonal/maladies-vaccinations/Documents/Covid-19-Statistiques/COVID19_PublicationInternet.xlsx"/>
  </r>
  <r>
    <x v="15"/>
    <x v="0"/>
    <x v="20"/>
    <m/>
    <n v="4"/>
    <n v="2"/>
    <m/>
    <m/>
    <m/>
    <m/>
    <s v="http://www.nw.ch/coronastatistik"/>
  </r>
  <r>
    <x v="15"/>
    <x v="0"/>
    <x v="21"/>
    <m/>
    <n v="1"/>
    <m/>
    <m/>
    <m/>
    <m/>
    <n v="0"/>
    <s v="https://sh.ch/CMS/get/file/0779d9a8-e066-4335-95a4-8d2793d317c6"/>
  </r>
  <r>
    <x v="15"/>
    <x v="0"/>
    <x v="1"/>
    <m/>
    <m/>
    <m/>
    <m/>
    <m/>
    <m/>
    <m/>
    <s v=""/>
  </r>
  <r>
    <x v="15"/>
    <x v="0"/>
    <x v="8"/>
    <m/>
    <n v="202"/>
    <n v="51"/>
    <n v="7"/>
    <m/>
    <m/>
    <n v="1"/>
    <s v="https://www.vd.ch/toutes-les-actualites/hotline-et-informations-sur-le-coronavirus/point-de-situation-statistique-dans-le-canton-de-vaud/"/>
  </r>
  <r>
    <x v="15"/>
    <x v="0"/>
    <x v="9"/>
    <m/>
    <n v="30"/>
    <n v="20"/>
    <n v="1"/>
    <n v="1"/>
    <m/>
    <n v="0"/>
    <s v="https://www.vs.ch/documents/6756452/7008787/2020%2004%2027%20Sit%20Epid%20-%20%C3%89tat%20Stand"/>
  </r>
  <r>
    <x v="15"/>
    <x v="5"/>
    <x v="11"/>
    <m/>
    <n v="11"/>
    <n v="0"/>
    <n v="0"/>
    <m/>
    <n v="0"/>
    <n v="0"/>
    <s v="https://www.zg.ch/behoerden/gesundheitsdirektion/statistikfachstelle/themen/gesundheit/corona"/>
  </r>
  <r>
    <x v="15"/>
    <x v="13"/>
    <x v="5"/>
    <m/>
    <n v="49"/>
    <n v="13"/>
    <n v="2"/>
    <m/>
    <n v="4"/>
    <m/>
    <s v="https://www.coronavirus.bs.ch/nm/2020-coronavirus-ende-der-quarantaenemassnahmen-im-fall-kita-riehen-gd.html"/>
  </r>
  <r>
    <x v="15"/>
    <x v="1"/>
    <x v="4"/>
    <m/>
    <n v="102"/>
    <m/>
    <m/>
    <m/>
    <m/>
    <m/>
    <s v="https://gd.zh.ch/internet/gesundheitsdirektion/de/themen/coronavirus.html"/>
  </r>
  <r>
    <x v="15"/>
    <x v="4"/>
    <x v="10"/>
    <m/>
    <n v="18"/>
    <m/>
    <m/>
    <m/>
    <n v="2"/>
    <m/>
    <s v="https://www.ag.ch/media/kanton_aargau/themen_1/coronavirus_1/lagebulletins/200311_KFS_Coronavirus_Lagebulletin_9.pdf"/>
  </r>
  <r>
    <x v="16"/>
    <x v="0"/>
    <x v="17"/>
    <m/>
    <n v="5"/>
    <m/>
    <m/>
    <m/>
    <m/>
    <m/>
    <s v="https://www.ar.ch/schnellzugriff/medienmitteilungen-der-kantonalen-verwaltung/detail/news/coronavirus-drei-neue-faelle-in-appenzell-ausserrhoden/?tx_news_pi1[controller]=News&amp;tx_news_pi1[action]=detail&amp;cHash=272411484066c8fb971dcc838aa96ef9"/>
  </r>
  <r>
    <x v="16"/>
    <x v="0"/>
    <x v="7"/>
    <m/>
    <n v="26"/>
    <n v="9"/>
    <n v="3"/>
    <m/>
    <n v="2"/>
    <n v="2"/>
    <s v=""/>
  </r>
  <r>
    <x v="16"/>
    <x v="0"/>
    <x v="2"/>
    <n v="57"/>
    <n v="3"/>
    <m/>
    <m/>
    <m/>
    <n v="1"/>
    <m/>
    <s v="https://www.regierung.li/media/attachments/114-hallenbaeder-geschlossen-0312.pdf?t=637202562374055719"/>
  </r>
  <r>
    <x v="16"/>
    <x v="0"/>
    <x v="12"/>
    <m/>
    <n v="22"/>
    <m/>
    <m/>
    <m/>
    <m/>
    <n v="0"/>
    <s v="https://www.fr.ch/sites/default/files/2020-04/statistiques_situation_FR_2804.xlsx"/>
  </r>
  <r>
    <x v="16"/>
    <x v="0"/>
    <x v="0"/>
    <n v="2277"/>
    <n v="114"/>
    <n v="23"/>
    <n v="6"/>
    <n v="4"/>
    <m/>
    <n v="2"/>
    <s v="https://www.ge.ch/document/covid-19-situation-epidemiologique-geneve/telecharger"/>
  </r>
  <r>
    <x v="16"/>
    <x v="0"/>
    <x v="19"/>
    <m/>
    <n v="3"/>
    <n v="0"/>
    <m/>
    <m/>
    <m/>
    <n v="0"/>
    <s v="https://www.gl.ch/public/upload/assets/27574/COVID-19_Fallzahlen_Kanton_Glarus.xlsx"/>
  </r>
  <r>
    <x v="16"/>
    <x v="0"/>
    <x v="3"/>
    <m/>
    <n v="12"/>
    <n v="6"/>
    <n v="0"/>
    <m/>
    <m/>
    <n v="0"/>
    <s v="https://www.jura.ch/Htdocs/Files/v/34263.xlsx/Departements/CHA/SIC/Carrousel/Coronavirus/Cornavirus/Chiffres/donnees_27_04.xlsx?download=1"/>
  </r>
  <r>
    <x v="16"/>
    <x v="0"/>
    <x v="13"/>
    <m/>
    <n v="46"/>
    <n v="6"/>
    <m/>
    <m/>
    <m/>
    <m/>
    <s v="https://www.ne.ch/autorites/DFS/SCSP/medecin-cantonal/maladies-vaccinations/Documents/Covid-19-Statistiques/COVID19_PublicationInternet.xlsx"/>
  </r>
  <r>
    <x v="16"/>
    <x v="0"/>
    <x v="20"/>
    <m/>
    <n v="5"/>
    <n v="5"/>
    <m/>
    <m/>
    <m/>
    <m/>
    <s v="http://www.nw.ch/coronastatistik"/>
  </r>
  <r>
    <x v="16"/>
    <x v="0"/>
    <x v="14"/>
    <m/>
    <n v="15"/>
    <m/>
    <m/>
    <m/>
    <m/>
    <m/>
    <s v="https://www.sg.ch/tools/informationen-coronavirus.html"/>
  </r>
  <r>
    <x v="16"/>
    <x v="0"/>
    <x v="21"/>
    <m/>
    <n v="1"/>
    <m/>
    <m/>
    <m/>
    <m/>
    <n v="0"/>
    <s v="https://sh.ch/CMS/get/file/0779d9a8-e066-4335-95a4-8d2793d317c6"/>
  </r>
  <r>
    <x v="16"/>
    <x v="0"/>
    <x v="1"/>
    <m/>
    <n v="180"/>
    <m/>
    <m/>
    <m/>
    <m/>
    <m/>
    <s v="https://www4.ti.ch/area-media/comunicati/dettaglio-comunicato/?NEWS_ID=187437&amp;tx_tichareamedia_comunicazioni%5Baction%5D=show&amp;tx_tichareamedia_comunicazioni%5Bcontroller%5D=Comunicazioni&amp;cHash=59cf6112c82abed490acd8901f5a0bb2"/>
  </r>
  <r>
    <x v="16"/>
    <x v="0"/>
    <x v="22"/>
    <m/>
    <n v="2"/>
    <m/>
    <m/>
    <m/>
    <m/>
    <m/>
    <s v=""/>
  </r>
  <r>
    <x v="16"/>
    <x v="0"/>
    <x v="8"/>
    <m/>
    <n v="276"/>
    <n v="55"/>
    <n v="6"/>
    <m/>
    <m/>
    <n v="3"/>
    <s v="https://www.vd.ch/toutes-les-actualites/hotline-et-informations-sur-le-coronavirus/point-de-situation-statistique-dans-le-canton-de-vaud/"/>
  </r>
  <r>
    <x v="16"/>
    <x v="0"/>
    <x v="9"/>
    <m/>
    <n v="53"/>
    <n v="27"/>
    <n v="1"/>
    <n v="1"/>
    <m/>
    <n v="0"/>
    <s v="https://www.vs.ch/documents/6756452/7008787/2020%2004%2027%20Sit%20Epid%20-%20%C3%89tat%20Stand"/>
  </r>
  <r>
    <x v="16"/>
    <x v="5"/>
    <x v="11"/>
    <m/>
    <n v="11"/>
    <n v="0"/>
    <n v="0"/>
    <m/>
    <n v="0"/>
    <n v="0"/>
    <s v="https://www.zg.ch/behoerden/gesundheitsdirektion/statistikfachstelle/themen/gesundheit/corona"/>
  </r>
  <r>
    <x v="16"/>
    <x v="13"/>
    <x v="5"/>
    <m/>
    <n v="73"/>
    <n v="13"/>
    <m/>
    <m/>
    <n v="4"/>
    <n v="1"/>
    <s v="https://twitter.com/BAG_OFSP_UFSP/status/1238073089902235648?s=20 https://www.coronavirus.bs.ch/nm/2020-coronavirus-erster-todesfall-im-kanton-basel-stadt-gd.html"/>
  </r>
  <r>
    <x v="16"/>
    <x v="1"/>
    <x v="4"/>
    <m/>
    <n v="141"/>
    <m/>
    <m/>
    <m/>
    <m/>
    <m/>
    <s v="https://gd.zh.ch/internet/gesundheitsdirektion/de/themen/coronavirus.html"/>
  </r>
  <r>
    <x v="16"/>
    <x v="4"/>
    <x v="10"/>
    <m/>
    <n v="27"/>
    <n v="1"/>
    <m/>
    <m/>
    <n v="3"/>
    <m/>
    <s v="https://www.ag.ch/media/kanton_aargau/themen_1/coronavirus_1/lagebulletins/200312_KFS_Coronavirus_Lagebulletin_10.pdf"/>
  </r>
  <r>
    <x v="17"/>
    <x v="0"/>
    <x v="7"/>
    <m/>
    <n v="42"/>
    <n v="12"/>
    <n v="3"/>
    <m/>
    <n v="2"/>
    <n v="2"/>
    <s v="https://www.baselland.ch/politik-und-behorden/direktionen/volkswirtschafts-und-gesundheitsdirektion/medienmitteilungen/update-26-bestaetigte-faelle-in-basel-landschaft-2"/>
  </r>
  <r>
    <x v="17"/>
    <x v="0"/>
    <x v="12"/>
    <m/>
    <n v="29"/>
    <m/>
    <m/>
    <m/>
    <m/>
    <n v="0"/>
    <s v="https://www.fr.ch/sites/default/files/2020-04/statistiques_situation_FR_2804.xlsx"/>
  </r>
  <r>
    <x v="17"/>
    <x v="0"/>
    <x v="0"/>
    <n v="2712"/>
    <n v="178"/>
    <n v="33"/>
    <n v="7"/>
    <n v="5"/>
    <m/>
    <n v="2"/>
    <s v="https://www.ge.ch/document/covid-19-situation-epidemiologique-geneve/telecharger"/>
  </r>
  <r>
    <x v="17"/>
    <x v="0"/>
    <x v="19"/>
    <m/>
    <n v="6"/>
    <n v="0"/>
    <m/>
    <m/>
    <m/>
    <n v="0"/>
    <s v="https://www.gl.ch/public/upload/assets/27574/COVID-19_Fallzahlen_Kanton_Glarus.xlsx"/>
  </r>
  <r>
    <x v="17"/>
    <x v="0"/>
    <x v="3"/>
    <m/>
    <n v="17"/>
    <n v="8"/>
    <n v="0"/>
    <m/>
    <m/>
    <n v="0"/>
    <s v="https://www.jura.ch/Htdocs/Files/v/34263.xlsx/Departements/CHA/SIC/Carrousel/Coronavirus/Cornavirus/Chiffres/donnees_27_04.xlsx?download=1"/>
  </r>
  <r>
    <x v="17"/>
    <x v="0"/>
    <x v="13"/>
    <m/>
    <n v="59"/>
    <n v="9"/>
    <m/>
    <m/>
    <m/>
    <m/>
    <s v="https://www.ne.ch/autorites/DFS/SCSP/medecin-cantonal/maladies-vaccinations/Documents/Covid-19-Statistiques/COVID19_PublicationInternet.xlsx"/>
  </r>
  <r>
    <x v="17"/>
    <x v="0"/>
    <x v="20"/>
    <m/>
    <n v="5"/>
    <n v="6"/>
    <m/>
    <m/>
    <m/>
    <m/>
    <s v="http://www.nw.ch/coronastatistik"/>
  </r>
  <r>
    <x v="17"/>
    <x v="0"/>
    <x v="21"/>
    <m/>
    <n v="1"/>
    <m/>
    <m/>
    <m/>
    <m/>
    <n v="0"/>
    <s v="https://sh.ch/CMS/get/file/0779d9a8-e066-4335-95a4-8d2793d317c6"/>
  </r>
  <r>
    <x v="17"/>
    <x v="0"/>
    <x v="1"/>
    <m/>
    <n v="258"/>
    <n v="65"/>
    <n v="13"/>
    <m/>
    <m/>
    <m/>
    <s v="https://www.youtube.com/watch?v=_x_yQ6uwGAQ"/>
  </r>
  <r>
    <x v="17"/>
    <x v="0"/>
    <x v="8"/>
    <m/>
    <n v="368"/>
    <n v="61"/>
    <n v="7"/>
    <m/>
    <m/>
    <n v="3"/>
    <s v="https://www.vd.ch/toutes-les-actualites/hotline-et-informations-sur-le-coronavirus/point-de-situation-statistique-dans-le-canton-de-vaud/"/>
  </r>
  <r>
    <x v="17"/>
    <x v="0"/>
    <x v="9"/>
    <m/>
    <n v="76"/>
    <n v="29"/>
    <n v="1"/>
    <n v="1"/>
    <m/>
    <n v="1"/>
    <s v="https://www.vs.ch/documents/6756452/7008787/2020%2004%2027%20Sit%20Epid%20-%20%C3%89tat%20Stand"/>
  </r>
  <r>
    <x v="17"/>
    <x v="5"/>
    <x v="11"/>
    <m/>
    <n v="11"/>
    <n v="0"/>
    <n v="0"/>
    <m/>
    <n v="0"/>
    <n v="0"/>
    <s v="https://www.zg.ch/behoerden/gesundheitsdirektion/statistikfachstelle/themen/gesundheit/corona"/>
  </r>
  <r>
    <x v="17"/>
    <x v="13"/>
    <x v="23"/>
    <n v="6"/>
    <n v="1"/>
    <m/>
    <m/>
    <m/>
    <m/>
    <m/>
    <s v="https://www.ow.ch/de/aktuelles/aktuellesinformationen/amtsmitteilungen/welcome.php?action=showinfo&amp;info_id=63566&amp;ls=0&amp;sq=&amp;kategorie_id=&amp;date_from=&amp;date_to="/>
  </r>
  <r>
    <x v="17"/>
    <x v="13"/>
    <x v="15"/>
    <n v="10"/>
    <n v="9"/>
    <m/>
    <m/>
    <m/>
    <m/>
    <m/>
    <s v="https://www.sz.ch/public/upload/assets/45585/MM_Coronavirus_13_03_2020.pdf"/>
  </r>
  <r>
    <x v="17"/>
    <x v="16"/>
    <x v="5"/>
    <m/>
    <n v="92"/>
    <n v="13"/>
    <m/>
    <m/>
    <n v="4"/>
    <n v="1"/>
    <s v="https://twitter.com/BAG_OFSP_UFSP/status/1238430659762364417?s=20"/>
  </r>
  <r>
    <x v="17"/>
    <x v="17"/>
    <x v="10"/>
    <m/>
    <n v="32"/>
    <m/>
    <m/>
    <m/>
    <n v="3"/>
    <m/>
    <s v="https://www.ag.ch/media/kanton_aargau/themen_1/coronavirus_1/lagebulletins/200313_KFS_Coronavirus_Lagebulletin_11.pdf"/>
  </r>
  <r>
    <x v="17"/>
    <x v="1"/>
    <x v="4"/>
    <m/>
    <n v="164"/>
    <m/>
    <m/>
    <m/>
    <m/>
    <m/>
    <s v="https://gd.zh.ch/internet/gesundheitsdirektion/de/themen/coronavirus.html"/>
  </r>
  <r>
    <x v="18"/>
    <x v="0"/>
    <x v="24"/>
    <m/>
    <n v="2"/>
    <m/>
    <m/>
    <m/>
    <m/>
    <m/>
    <s v="https://www.ai.ch/themen/gesundheit-alter-und-soziales/gesundheitsfoerderung-und-praevention/aktuelles/erste-bestaetigte-coronavirus-faelle-auch-in-innerrhoden"/>
  </r>
  <r>
    <x v="18"/>
    <x v="0"/>
    <x v="7"/>
    <m/>
    <n v="47"/>
    <n v="8"/>
    <n v="2"/>
    <m/>
    <n v="2"/>
    <n v="2"/>
    <s v="https://www.baselland.ch/politik-und-behorden/direktionen/volkswirtschafts-und-gesundheitsdirektion/medienmitteilungen/update-47-bestaetigte-faelle-in-basel-landschaft"/>
  </r>
  <r>
    <x v="18"/>
    <x v="0"/>
    <x v="2"/>
    <n v="99"/>
    <n v="3"/>
    <m/>
    <m/>
    <m/>
    <n v="1"/>
    <m/>
    <s v="https://www.regierung.li/media/attachments/118-corona-rueckkehrer-skiferien-0314.pdf?t=637202562374055719"/>
  </r>
  <r>
    <x v="18"/>
    <x v="0"/>
    <x v="12"/>
    <m/>
    <n v="36"/>
    <m/>
    <m/>
    <m/>
    <m/>
    <n v="0"/>
    <s v="https://www.fr.ch/sites/default/files/2020-04/statistiques_situation_FR_2804.xlsx"/>
  </r>
  <r>
    <x v="18"/>
    <x v="0"/>
    <x v="0"/>
    <n v="3295"/>
    <n v="281"/>
    <n v="43"/>
    <n v="8"/>
    <n v="5"/>
    <m/>
    <n v="2"/>
    <s v="https://www.ge.ch/document/covid-19-situation-epidemiologique-geneve/telecharger"/>
  </r>
  <r>
    <x v="18"/>
    <x v="0"/>
    <x v="19"/>
    <m/>
    <n v="8"/>
    <n v="0"/>
    <m/>
    <m/>
    <m/>
    <n v="0"/>
    <s v="https://www.gl.ch/public/upload/assets/27574/COVID-19_Fallzahlen_Kanton_Glarus.xlsx"/>
  </r>
  <r>
    <x v="18"/>
    <x v="0"/>
    <x v="3"/>
    <m/>
    <n v="18"/>
    <n v="8"/>
    <n v="0"/>
    <m/>
    <m/>
    <n v="0"/>
    <s v="https://www.jura.ch/Htdocs/Files/v/34263.xlsx/Departements/CHA/SIC/Carrousel/Coronavirus/Cornavirus/Chiffres/donnees_27_04.xlsx?download=1"/>
  </r>
  <r>
    <x v="18"/>
    <x v="0"/>
    <x v="13"/>
    <m/>
    <n v="68"/>
    <n v="10"/>
    <m/>
    <m/>
    <m/>
    <m/>
    <s v="https://www.ne.ch/autorites/DFS/SCSP/medecin-cantonal/maladies-vaccinations/Documents/Covid-19-Statistiques/COVID19_PublicationInternet.xlsx"/>
  </r>
  <r>
    <x v="18"/>
    <x v="0"/>
    <x v="20"/>
    <m/>
    <n v="5"/>
    <n v="6"/>
    <m/>
    <m/>
    <m/>
    <m/>
    <s v="http://www.nw.ch/coronastatistik"/>
  </r>
  <r>
    <x v="18"/>
    <x v="0"/>
    <x v="21"/>
    <m/>
    <n v="1"/>
    <m/>
    <m/>
    <m/>
    <m/>
    <n v="0"/>
    <s v="https://sh.ch/CMS/get/file/0779d9a8-e066-4335-95a4-8d2793d317c6"/>
  </r>
  <r>
    <x v="18"/>
    <x v="0"/>
    <x v="1"/>
    <m/>
    <n v="265"/>
    <m/>
    <m/>
    <m/>
    <m/>
    <n v="3"/>
    <s v="https://www4.ti.ch/area-media/comunicati/dettaglio-comunicato/?NEWS_ID=187466&amp;tx_tichareamedia_comunicazioni%5Baction%5D=show&amp;tx_tichareamedia_comunicazioni%5Bcontroller%5D=Comunicazioni&amp;cHash=1b10e6e8117296766155edcf9c317a4c"/>
  </r>
  <r>
    <x v="18"/>
    <x v="0"/>
    <x v="8"/>
    <m/>
    <n v="477"/>
    <n v="75"/>
    <n v="10"/>
    <m/>
    <m/>
    <n v="4"/>
    <s v="https://www.vd.ch/toutes-les-actualites/hotline-et-informations-sur-le-coronavirus/point-de-situation-statistique-dans-le-canton-de-vaud/"/>
  </r>
  <r>
    <x v="18"/>
    <x v="0"/>
    <x v="9"/>
    <m/>
    <n v="98"/>
    <n v="33"/>
    <n v="1"/>
    <n v="1"/>
    <m/>
    <n v="1"/>
    <s v="https://www.vs.ch/documents/6756452/7008787/2020%2004%2027%20Sit%20Epid%20-%20%C3%89tat%20Stand"/>
  </r>
  <r>
    <x v="18"/>
    <x v="18"/>
    <x v="15"/>
    <n v="10"/>
    <n v="12"/>
    <m/>
    <m/>
    <m/>
    <m/>
    <m/>
    <s v="https://www.bote.ch/nachrichten/schwyz/schwyz_bdu/coronavirus-einsatz-fuer-spitalbataillon-5"/>
  </r>
  <r>
    <x v="18"/>
    <x v="5"/>
    <x v="11"/>
    <m/>
    <n v="13"/>
    <n v="0"/>
    <n v="0"/>
    <m/>
    <n v="0"/>
    <n v="0"/>
    <s v="https://www.zg.ch/behoerden/gesundheitsdirektion/statistikfachstelle/themen/gesundheit/corona"/>
  </r>
  <r>
    <x v="18"/>
    <x v="19"/>
    <x v="5"/>
    <m/>
    <n v="100"/>
    <n v="13"/>
    <m/>
    <m/>
    <n v="4"/>
    <n v="1"/>
    <s v="https://twitter.com/BAG_OFSP_UFSP/status/1238773726423941127?s=20"/>
  </r>
  <r>
    <x v="18"/>
    <x v="1"/>
    <x v="4"/>
    <m/>
    <n v="219"/>
    <m/>
    <m/>
    <m/>
    <m/>
    <m/>
    <s v="https://gd.zh.ch/internet/gesundheitsdirektion/de/themen/coronavirus.html"/>
  </r>
  <r>
    <x v="19"/>
    <x v="0"/>
    <x v="7"/>
    <m/>
    <n v="54"/>
    <n v="12"/>
    <n v="2"/>
    <m/>
    <n v="5"/>
    <n v="2"/>
    <s v="https://www.baselland.ch/politik-und-behorden/direktionen/volkswirtschafts-und-gesundheitsdirektion/medienmitteilungen/update-54-bestaetigte-faelle-in-basel-landschaft"/>
  </r>
  <r>
    <x v="19"/>
    <x v="0"/>
    <x v="2"/>
    <m/>
    <n v="7"/>
    <m/>
    <m/>
    <m/>
    <n v="1"/>
    <m/>
    <s v="https://www.regierung.li/media/attachments/119-corona-massnahmen-verschaerft-0315.pdf?t=637202562374055719"/>
  </r>
  <r>
    <x v="19"/>
    <x v="0"/>
    <x v="12"/>
    <m/>
    <n v="40"/>
    <m/>
    <m/>
    <m/>
    <m/>
    <n v="0"/>
    <s v="https://www.fr.ch/sites/default/files/2020-04/statistiques_situation_FR_2804.xlsx"/>
  </r>
  <r>
    <x v="19"/>
    <x v="0"/>
    <x v="0"/>
    <n v="3698"/>
    <n v="374"/>
    <n v="46"/>
    <n v="12"/>
    <n v="8"/>
    <m/>
    <n v="4"/>
    <s v="https://www.ge.ch/document/covid-19-situation-epidemiologique-geneve/telecharger"/>
  </r>
  <r>
    <x v="19"/>
    <x v="0"/>
    <x v="19"/>
    <m/>
    <n v="10"/>
    <n v="0"/>
    <m/>
    <m/>
    <m/>
    <n v="0"/>
    <s v="https://www.gl.ch/public/upload/assets/27574/COVID-19_Fallzahlen_Kanton_Glarus.xlsx"/>
  </r>
  <r>
    <x v="19"/>
    <x v="0"/>
    <x v="3"/>
    <m/>
    <n v="19"/>
    <n v="9"/>
    <n v="0"/>
    <m/>
    <m/>
    <n v="0"/>
    <s v="https://www.jura.ch/Htdocs/Files/v/34263.xlsx/Departements/CHA/SIC/Carrousel/Coronavirus/Cornavirus/Chiffres/donnees_27_04.xlsx?download=1"/>
  </r>
  <r>
    <x v="19"/>
    <x v="0"/>
    <x v="13"/>
    <m/>
    <n v="74"/>
    <n v="9"/>
    <m/>
    <m/>
    <m/>
    <m/>
    <s v="https://www.ne.ch/autorites/DFS/SCSP/medecin-cantonal/maladies-vaccinations/Documents/Covid-19-Statistiques/COVID19_PublicationInternet.xlsx"/>
  </r>
  <r>
    <x v="19"/>
    <x v="0"/>
    <x v="20"/>
    <m/>
    <n v="8"/>
    <n v="6"/>
    <m/>
    <m/>
    <m/>
    <m/>
    <s v="http://www.nw.ch/coronastatistik"/>
  </r>
  <r>
    <x v="19"/>
    <x v="0"/>
    <x v="21"/>
    <m/>
    <n v="1"/>
    <m/>
    <m/>
    <m/>
    <m/>
    <n v="0"/>
    <s v="https://sh.ch/CMS/get/file/0779d9a8-e066-4335-95a4-8d2793d317c6"/>
  </r>
  <r>
    <x v="19"/>
    <x v="0"/>
    <x v="15"/>
    <m/>
    <n v="13"/>
    <m/>
    <m/>
    <m/>
    <m/>
    <m/>
    <s v="https://www.sz.ch/public/upload/assets/45590/MM_Coronavirus_15_3_2020.pdf"/>
  </r>
  <r>
    <x v="19"/>
    <x v="0"/>
    <x v="1"/>
    <m/>
    <n v="291"/>
    <m/>
    <m/>
    <m/>
    <m/>
    <n v="6"/>
    <s v="https://www4.ti.ch/area-media/comunicati/dettaglio-comunicato/?NEWS_ID=187467&amp;tx_tichareamedia_comunicazioni%5Baction%5D=show&amp;tx_tichareamedia_comunicazioni%5Bcontroller%5D=Comunicazioni&amp;cHash=af5473066754ef4d1272e156056acc07"/>
  </r>
  <r>
    <x v="19"/>
    <x v="0"/>
    <x v="8"/>
    <m/>
    <n v="560"/>
    <n v="90"/>
    <n v="10"/>
    <m/>
    <m/>
    <n v="5"/>
    <s v="https://www.vd.ch/toutes-les-actualites/hotline-et-informations-sur-le-coronavirus/point-de-situation-statistique-dans-le-canton-de-vaud/"/>
  </r>
  <r>
    <x v="19"/>
    <x v="0"/>
    <x v="9"/>
    <m/>
    <n v="115"/>
    <n v="35"/>
    <n v="1"/>
    <n v="1"/>
    <m/>
    <n v="2"/>
    <s v="https://www.vs.ch/documents/6756452/7008787/2020%2004%2027%20Sit%20Epid%20-%20%C3%89tat%20Stand"/>
  </r>
  <r>
    <x v="19"/>
    <x v="5"/>
    <x v="11"/>
    <m/>
    <n v="13"/>
    <n v="0"/>
    <n v="0"/>
    <m/>
    <n v="0"/>
    <n v="0"/>
    <s v="https://www.zg.ch/behoerden/gesundheitsdirektion/statistikfachstelle/themen/gesundheit/corona"/>
  </r>
  <r>
    <x v="19"/>
    <x v="1"/>
    <x v="4"/>
    <m/>
    <n v="251"/>
    <m/>
    <m/>
    <m/>
    <m/>
    <n v="1"/>
    <s v="https://gd.zh.ch/internet/gesundheitsdirektion/de/themen/coronavirus.html"/>
  </r>
  <r>
    <x v="20"/>
    <x v="0"/>
    <x v="24"/>
    <m/>
    <n v="4"/>
    <m/>
    <m/>
    <m/>
    <m/>
    <m/>
    <s v="Kantonaler Führungsstab Appenzell Innerrhoden"/>
  </r>
  <r>
    <x v="20"/>
    <x v="0"/>
    <x v="6"/>
    <m/>
    <n v="123"/>
    <m/>
    <m/>
    <m/>
    <m/>
    <n v="1"/>
    <s v="https://www.besondere-lage.sites.be.ch/besondere-lage_sites/de/index/corona/index.html"/>
  </r>
  <r>
    <x v="20"/>
    <x v="0"/>
    <x v="7"/>
    <m/>
    <n v="76"/>
    <n v="17"/>
    <n v="4"/>
    <m/>
    <n v="5"/>
    <n v="2"/>
    <s v="https://www.baselland.ch/politik-und-behorden/direktionen/volkswirtschafts-und-gesundheitsdirektion/medienmitteilungen/update-67-bestaetigte-faelle-in-basel-landschaft"/>
  </r>
  <r>
    <x v="20"/>
    <x v="0"/>
    <x v="12"/>
    <m/>
    <n v="45"/>
    <m/>
    <m/>
    <m/>
    <m/>
    <n v="0"/>
    <s v="https://www.fr.ch/sites/default/files/2020-04/statistiques_situation_FR_2804.xlsx"/>
  </r>
  <r>
    <x v="20"/>
    <x v="0"/>
    <x v="0"/>
    <n v="4147"/>
    <n v="460"/>
    <n v="66"/>
    <n v="10"/>
    <n v="9"/>
    <m/>
    <n v="4"/>
    <s v="https://www.ge.ch/document/covid-19-situation-epidemiologique-geneve/telecharger"/>
  </r>
  <r>
    <x v="20"/>
    <x v="0"/>
    <x v="19"/>
    <m/>
    <n v="10"/>
    <n v="0"/>
    <m/>
    <m/>
    <m/>
    <n v="0"/>
    <s v="https://www.gl.ch/public/upload/assets/27574/COVID-19_Fallzahlen_Kanton_Glarus.xlsx"/>
  </r>
  <r>
    <x v="20"/>
    <x v="0"/>
    <x v="3"/>
    <m/>
    <n v="25"/>
    <n v="9"/>
    <n v="0"/>
    <m/>
    <m/>
    <n v="0"/>
    <s v="https://www.jura.ch/Htdocs/Files/v/34263.xlsx/Departements/CHA/SIC/Carrousel/Coronavirus/Cornavirus/Chiffres/donnees_27_04.xlsx?download=1"/>
  </r>
  <r>
    <x v="20"/>
    <x v="0"/>
    <x v="13"/>
    <m/>
    <n v="93"/>
    <n v="13"/>
    <m/>
    <m/>
    <m/>
    <m/>
    <s v="https://www.ne.ch/autorites/DFS/SCSP/medecin-cantonal/maladies-vaccinations/Documents/Covid-19-Statistiques/COVID19_PublicationInternet.xlsx"/>
  </r>
  <r>
    <x v="20"/>
    <x v="0"/>
    <x v="20"/>
    <m/>
    <n v="10"/>
    <n v="7"/>
    <m/>
    <m/>
    <m/>
    <m/>
    <s v="http://www.nw.ch/coronastatistik"/>
  </r>
  <r>
    <x v="20"/>
    <x v="0"/>
    <x v="21"/>
    <m/>
    <n v="2"/>
    <m/>
    <m/>
    <m/>
    <m/>
    <n v="0"/>
    <s v="https://sh.ch/CMS/get/file/0779d9a8-e066-4335-95a4-8d2793d317c6"/>
  </r>
  <r>
    <x v="20"/>
    <x v="0"/>
    <x v="25"/>
    <n v="246"/>
    <n v="17"/>
    <m/>
    <m/>
    <m/>
    <m/>
    <m/>
    <s v=""/>
  </r>
  <r>
    <x v="20"/>
    <x v="0"/>
    <x v="1"/>
    <m/>
    <n v="330"/>
    <m/>
    <m/>
    <m/>
    <m/>
    <n v="8"/>
    <s v="https://www4.ti.ch/area-media/comunicati/dettaglio-comunicato/?NEWS_ID=187475&amp;tx_tichareamedia_comunicazioni%5Baction%5D=show&amp;tx_tichareamedia_comunicazioni%5Bcontroller%5D=Comunicazioni&amp;cHash=dee4a529abd4e9300e116c7ff4db5774"/>
  </r>
  <r>
    <x v="20"/>
    <x v="0"/>
    <x v="8"/>
    <m/>
    <n v="797"/>
    <n v="126"/>
    <n v="20"/>
    <m/>
    <m/>
    <n v="7"/>
    <s v="https://www.vd.ch/toutes-les-actualites/hotline-et-informations-sur-le-coronavirus/point-de-situation-statistique-dans-le-canton-de-vaud/"/>
  </r>
  <r>
    <x v="20"/>
    <x v="0"/>
    <x v="9"/>
    <m/>
    <n v="172"/>
    <n v="41"/>
    <n v="2"/>
    <n v="1"/>
    <m/>
    <n v="3"/>
    <s v="https://www.vs.ch/documents/6756452/7008787/2020%2004%2027%20Sit%20Epid%20-%20%C3%89tat%20Stand"/>
  </r>
  <r>
    <x v="20"/>
    <x v="5"/>
    <x v="11"/>
    <m/>
    <n v="20"/>
    <n v="0"/>
    <n v="0"/>
    <m/>
    <n v="0"/>
    <n v="0"/>
    <s v="https://www.zg.ch/behoerden/gesundheitsdirektion/statistikfachstelle/themen/gesundheit/corona"/>
  </r>
  <r>
    <x v="20"/>
    <x v="13"/>
    <x v="5"/>
    <m/>
    <n v="143"/>
    <n v="13"/>
    <m/>
    <m/>
    <n v="4"/>
    <n v="4"/>
    <s v="https://www.coronavirus.bs.ch/nm/2020-tagesbulletin-coronavirus-144-bestaetigte-faelle-im-kanton-basel-stadt-gd.html"/>
  </r>
  <r>
    <x v="20"/>
    <x v="1"/>
    <x v="4"/>
    <m/>
    <n v="327"/>
    <m/>
    <m/>
    <m/>
    <m/>
    <n v="1"/>
    <s v="https://gd.zh.ch/internet/gesundheitsdirektion/de/themen/coronavirus.html"/>
  </r>
  <r>
    <x v="20"/>
    <x v="4"/>
    <x v="10"/>
    <m/>
    <n v="52"/>
    <n v="2"/>
    <m/>
    <m/>
    <n v="4"/>
    <m/>
    <s v="https://www.ag.ch/media/kanton_aargau/themen_1/coronavirus_1/lagebulletins/200316_KFS_Coronavirus_Lagebulletin_12.pdf"/>
  </r>
  <r>
    <x v="21"/>
    <x v="0"/>
    <x v="24"/>
    <m/>
    <n v="5"/>
    <m/>
    <m/>
    <m/>
    <m/>
    <m/>
    <s v="Kantonaler Führungsstab Appenzell Innerrhoden"/>
  </r>
  <r>
    <x v="21"/>
    <x v="0"/>
    <x v="7"/>
    <m/>
    <n v="89"/>
    <n v="26"/>
    <n v="5"/>
    <m/>
    <n v="13"/>
    <n v="2"/>
    <s v="https://www.baselland.ch/politik-und-behorden/direktionen/volkswirtschafts-und-gesundheitsdirektion/medienmitteilungen/update-89-bestaetigte-faelle-in-basel-landschaft"/>
  </r>
  <r>
    <x v="21"/>
    <x v="0"/>
    <x v="2"/>
    <m/>
    <n v="19"/>
    <m/>
    <m/>
    <m/>
    <n v="1"/>
    <m/>
    <s v="https://www.regierung.li/media/attachments/126-corona-generelles-veranstaltungsverbot-weitere-schliessungen.pdf?t=637202562374055719"/>
  </r>
  <r>
    <x v="21"/>
    <x v="0"/>
    <x v="12"/>
    <m/>
    <n v="59"/>
    <m/>
    <m/>
    <m/>
    <m/>
    <n v="0"/>
    <s v="https://www.fr.ch/sites/default/files/2020-04/statistiques_situation_FR_2804.xlsx"/>
  </r>
  <r>
    <x v="21"/>
    <x v="0"/>
    <x v="0"/>
    <n v="4750"/>
    <n v="587"/>
    <n v="75"/>
    <n v="19"/>
    <n v="17"/>
    <m/>
    <n v="5"/>
    <s v="https://www.ge.ch/document/covid-19-situation-epidemiologique-geneve/telecharger"/>
  </r>
  <r>
    <x v="21"/>
    <x v="0"/>
    <x v="19"/>
    <m/>
    <n v="12"/>
    <n v="0"/>
    <m/>
    <m/>
    <m/>
    <n v="0"/>
    <s v="https://www.gl.ch/public/upload/assets/27574/COVID-19_Fallzahlen_Kanton_Glarus.xlsx"/>
  </r>
  <r>
    <x v="21"/>
    <x v="0"/>
    <x v="26"/>
    <m/>
    <n v="101"/>
    <n v="9"/>
    <m/>
    <m/>
    <m/>
    <n v="1"/>
    <s v="https://www.gr.ch/DE/institutionen/verwaltung/djsg/ga/coronavirus/info/Seiten/Start.aspx"/>
  </r>
  <r>
    <x v="21"/>
    <x v="0"/>
    <x v="3"/>
    <m/>
    <n v="29"/>
    <n v="11"/>
    <n v="0"/>
    <m/>
    <m/>
    <n v="0"/>
    <s v="https://www.jura.ch/Htdocs/Files/v/34263.xlsx/Departements/CHA/SIC/Carrousel/Coronavirus/Cornavirus/Chiffres/donnees_27_04.xlsx?download=1"/>
  </r>
  <r>
    <x v="21"/>
    <x v="0"/>
    <x v="13"/>
    <m/>
    <n v="114"/>
    <n v="16"/>
    <m/>
    <m/>
    <m/>
    <n v="1"/>
    <s v="https://www.ne.ch/autorites/DFS/SCSP/medecin-cantonal/maladies-vaccinations/Documents/Covid-19-Statistiques/COVID19_PublicationInternet.xlsx"/>
  </r>
  <r>
    <x v="21"/>
    <x v="0"/>
    <x v="20"/>
    <m/>
    <n v="12"/>
    <n v="6"/>
    <m/>
    <m/>
    <m/>
    <m/>
    <s v="http://www.nw.ch/coronastatistik"/>
  </r>
  <r>
    <x v="21"/>
    <x v="0"/>
    <x v="14"/>
    <m/>
    <n v="47"/>
    <m/>
    <m/>
    <m/>
    <m/>
    <m/>
    <s v="https://www.sg.ch/tools/informationen-coronavirus.html"/>
  </r>
  <r>
    <x v="21"/>
    <x v="0"/>
    <x v="21"/>
    <m/>
    <n v="2"/>
    <m/>
    <m/>
    <m/>
    <m/>
    <n v="0"/>
    <s v="https://sh.ch/CMS/get/file/0779d9a8-e066-4335-95a4-8d2793d317c6"/>
  </r>
  <r>
    <x v="21"/>
    <x v="0"/>
    <x v="25"/>
    <n v="276"/>
    <n v="23"/>
    <m/>
    <m/>
    <m/>
    <m/>
    <m/>
    <s v=""/>
  </r>
  <r>
    <x v="21"/>
    <x v="0"/>
    <x v="1"/>
    <m/>
    <n v="422"/>
    <m/>
    <m/>
    <m/>
    <m/>
    <n v="10"/>
    <s v="https://www4.ti.ch/area-media/comunicati/dettaglio-comunicato/?NEWS_ID=187486&amp;tx_tichareamedia_comunicazioni%5Baction%5D=show&amp;tx_tichareamedia_comunicazioni%5Bcontroller%5D=Comunicazioni&amp;cHash=d106aab74491da09b294ff13ffadd02f"/>
  </r>
  <r>
    <x v="21"/>
    <x v="0"/>
    <x v="8"/>
    <m/>
    <n v="1040"/>
    <n v="140"/>
    <n v="24"/>
    <m/>
    <m/>
    <n v="9"/>
    <s v="https://www.vd.ch/toutes-les-actualites/hotline-et-informations-sur-le-coronavirus/point-de-situation-statistique-dans-le-canton-de-vaud/"/>
  </r>
  <r>
    <x v="21"/>
    <x v="0"/>
    <x v="9"/>
    <m/>
    <n v="225"/>
    <n v="46"/>
    <n v="2"/>
    <n v="2"/>
    <m/>
    <n v="3"/>
    <s v="https://www.vs.ch/documents/6756452/7008787/2020%2004%2027%20Sit%20Epid%20-%20%C3%89tat%20Stand"/>
  </r>
  <r>
    <x v="21"/>
    <x v="5"/>
    <x v="11"/>
    <m/>
    <n v="29"/>
    <n v="0"/>
    <n v="0"/>
    <m/>
    <n v="1"/>
    <n v="0"/>
    <s v="https://www.zg.ch/behoerden/gesundheitsdirektion/statistikfachstelle/themen/gesundheit/corona"/>
  </r>
  <r>
    <x v="21"/>
    <x v="13"/>
    <x v="5"/>
    <m/>
    <n v="164"/>
    <n v="30"/>
    <m/>
    <m/>
    <n v="25"/>
    <n v="4"/>
    <s v="https://www.coronavirus.bs.ch/nm/2020-tagesbulletin-coronavirus-165-bestaetigte-faelle-im-kanton-basel-stadt-gd.html"/>
  </r>
  <r>
    <x v="21"/>
    <x v="1"/>
    <x v="4"/>
    <m/>
    <n v="430"/>
    <m/>
    <m/>
    <m/>
    <m/>
    <n v="1"/>
    <s v="https://gd.zh.ch/internet/gesundheitsdirektion/de/themen/coronavirus.html"/>
  </r>
  <r>
    <x v="21"/>
    <x v="20"/>
    <x v="10"/>
    <m/>
    <n v="67"/>
    <n v="2"/>
    <m/>
    <m/>
    <n v="4"/>
    <m/>
    <s v="https://www.ag.ch/media/kanton_aargau/themen_1/coronavirus_1/lagebulletins/200317_KFS_Coronavirus_Lagebulletin_13.pdf"/>
  </r>
  <r>
    <x v="22"/>
    <x v="0"/>
    <x v="17"/>
    <m/>
    <n v="11"/>
    <n v="3"/>
    <m/>
    <m/>
    <m/>
    <m/>
    <s v="https://www.ar.ch/schnellzugriff/medienmitteilungen-der-kantonalen-verwaltung/detail/news/coronavirus-bevoelkerung-und-alle-spitaeler-machen-bei-der-gesundheitsversorgung-mit/?tx_news_pi1%5Bcontroller%5D=News&amp;tx_news_pi1%5Baction%5D=detail&amp;cHash=3d2a0733446b5fc7cdad0f48f61c28fd"/>
  </r>
  <r>
    <x v="22"/>
    <x v="0"/>
    <x v="6"/>
    <m/>
    <n v="193"/>
    <m/>
    <m/>
    <m/>
    <m/>
    <n v="1"/>
    <s v="https://www.besondere-lage.sites.be.ch/besondere-lage_sites/de/index/corona/index.html"/>
  </r>
  <r>
    <x v="22"/>
    <x v="0"/>
    <x v="7"/>
    <m/>
    <n v="116"/>
    <n v="27"/>
    <n v="2"/>
    <m/>
    <n v="16"/>
    <n v="2"/>
    <s v="https://www.baselland.ch/politik-und-behorden/direktionen/volkswirtschafts-und-gesundheitsdirektion/medienmitteilungen/update-116-bestaetigte-faelle-in-basel-landschaft"/>
  </r>
  <r>
    <x v="22"/>
    <x v="0"/>
    <x v="2"/>
    <m/>
    <n v="28"/>
    <m/>
    <m/>
    <m/>
    <n v="1"/>
    <m/>
    <s v="https://www.regierung.li/media/attachments/131-corona-hotline-0318.pdf?t=637202562374055719"/>
  </r>
  <r>
    <x v="22"/>
    <x v="0"/>
    <x v="12"/>
    <m/>
    <n v="86"/>
    <n v="11"/>
    <n v="5"/>
    <m/>
    <m/>
    <n v="0"/>
    <s v="https://www.fr.ch/sites/default/files/2020-04/statistiques_situation_FR_2804.xlsx"/>
  </r>
  <r>
    <x v="22"/>
    <x v="0"/>
    <x v="0"/>
    <n v="5573"/>
    <n v="775"/>
    <n v="78"/>
    <n v="20"/>
    <n v="17"/>
    <m/>
    <n v="6"/>
    <s v="https://www.ge.ch/document/covid-19-situation-epidemiologique-geneve/telecharger"/>
  </r>
  <r>
    <x v="22"/>
    <x v="0"/>
    <x v="19"/>
    <m/>
    <n v="14"/>
    <n v="0"/>
    <m/>
    <m/>
    <m/>
    <n v="0"/>
    <s v="https://www.gl.ch/public/upload/assets/27574/COVID-19_Fallzahlen_Kanton_Glarus.xlsx"/>
  </r>
  <r>
    <x v="22"/>
    <x v="0"/>
    <x v="26"/>
    <m/>
    <n v="128"/>
    <n v="13"/>
    <m/>
    <m/>
    <m/>
    <n v="1"/>
    <s v="https://www.gr.ch/DE/institutionen/verwaltung/djsg/ga/coronavirus/info/Seiten/Start.aspx"/>
  </r>
  <r>
    <x v="22"/>
    <x v="0"/>
    <x v="3"/>
    <m/>
    <n v="32"/>
    <n v="11"/>
    <n v="0"/>
    <m/>
    <m/>
    <n v="0"/>
    <s v="https://www.jura.ch/Htdocs/Files/v/34263.xlsx/Departements/CHA/SIC/Carrousel/Coronavirus/Cornavirus/Chiffres/donnees_27_04.xlsx?download=1"/>
  </r>
  <r>
    <x v="22"/>
    <x v="0"/>
    <x v="13"/>
    <m/>
    <n v="146"/>
    <n v="18"/>
    <m/>
    <m/>
    <m/>
    <n v="2"/>
    <s v="https://www.ne.ch/autorites/DFS/SCSP/medecin-cantonal/maladies-vaccinations/Documents/Covid-19-Statistiques/COVID19_PublicationInternet.xlsx"/>
  </r>
  <r>
    <x v="22"/>
    <x v="0"/>
    <x v="20"/>
    <m/>
    <n v="18"/>
    <n v="6"/>
    <m/>
    <m/>
    <m/>
    <m/>
    <s v="http://www.nw.ch/coronastatistik"/>
  </r>
  <r>
    <x v="22"/>
    <x v="0"/>
    <x v="14"/>
    <m/>
    <n v="61"/>
    <m/>
    <m/>
    <m/>
    <m/>
    <m/>
    <s v="https://www.sg.ch/tools/informationen-coronavirus.html"/>
  </r>
  <r>
    <x v="22"/>
    <x v="0"/>
    <x v="21"/>
    <m/>
    <n v="8"/>
    <m/>
    <m/>
    <m/>
    <m/>
    <n v="0"/>
    <s v="https://sh.ch/CMS/get/file/0779d9a8-e066-4335-95a4-8d2793d317c6"/>
  </r>
  <r>
    <x v="22"/>
    <x v="0"/>
    <x v="18"/>
    <m/>
    <n v="43"/>
    <m/>
    <m/>
    <m/>
    <m/>
    <m/>
    <s v="https://www.oltnertagblatt.ch/solothurn/kanton-solothurn/zivilschuetzer-kontrollieren-wer-in-die-solothurner-spitaeler-rein-will-137174885"/>
  </r>
  <r>
    <x v="22"/>
    <x v="0"/>
    <x v="25"/>
    <m/>
    <n v="32"/>
    <m/>
    <m/>
    <m/>
    <m/>
    <m/>
    <s v="https://www.tg.ch/news/fachdossier-coronavirus.html/10552"/>
  </r>
  <r>
    <x v="22"/>
    <x v="0"/>
    <x v="1"/>
    <m/>
    <n v="511"/>
    <m/>
    <m/>
    <m/>
    <m/>
    <n v="14"/>
    <s v="https://www4.ti.ch/area-media/comunicati/dettaglio-comunicato/?NEWS_ID=187493&amp;tx_tichareamedia_comunicazioni%5Baction%5D=show&amp;tx_tichareamedia_comunicazioni%5Bcontroller%5D=Comunicazioni&amp;cHash=7803bbc03dd49ef2e421dfd6b12dd239"/>
  </r>
  <r>
    <x v="22"/>
    <x v="0"/>
    <x v="22"/>
    <n v="85"/>
    <n v="5"/>
    <m/>
    <m/>
    <m/>
    <m/>
    <m/>
    <s v="https://www.ur.ch/mmdirektionen/63802"/>
  </r>
  <r>
    <x v="22"/>
    <x v="0"/>
    <x v="8"/>
    <m/>
    <n v="1305"/>
    <n v="153"/>
    <n v="24"/>
    <m/>
    <m/>
    <n v="12"/>
    <s v="https://www.vd.ch/toutes-les-actualites/hotline-et-informations-sur-le-coronavirus/point-de-situation-statistique-dans-le-canton-de-vaud/"/>
  </r>
  <r>
    <x v="22"/>
    <x v="0"/>
    <x v="9"/>
    <m/>
    <n v="312"/>
    <n v="58"/>
    <n v="2"/>
    <n v="2"/>
    <m/>
    <n v="4"/>
    <s v="https://www.vs.ch/documents/6756452/7008787/2020%2004%2027%20Sit%20Epid%20-%20%C3%89tat%20Stand"/>
  </r>
  <r>
    <x v="22"/>
    <x v="5"/>
    <x v="11"/>
    <m/>
    <n v="33"/>
    <n v="0"/>
    <n v="0"/>
    <m/>
    <n v="5"/>
    <n v="0"/>
    <s v="https://www.zg.ch/behoerden/gesundheitsdirektion/statistikfachstelle/themen/gesundheit/corona"/>
  </r>
  <r>
    <x v="22"/>
    <x v="21"/>
    <x v="5"/>
    <m/>
    <n v="181"/>
    <n v="40"/>
    <m/>
    <m/>
    <n v="36"/>
    <n v="4"/>
    <s v="https://www.coronavirus.bs.ch/nm/2020-tagesbulletin-coronavirus-182-bestaetigte-faelle-im-kanton-basel-stadt-treffen-mit-allen-spitaelern-gd.html"/>
  </r>
  <r>
    <x v="22"/>
    <x v="1"/>
    <x v="4"/>
    <m/>
    <n v="569"/>
    <m/>
    <m/>
    <m/>
    <m/>
    <n v="2"/>
    <s v="https://gd.zh.ch/internet/gesundheitsdirektion/de/themen/coronavirus.html"/>
  </r>
  <r>
    <x v="22"/>
    <x v="20"/>
    <x v="10"/>
    <m/>
    <n v="101"/>
    <n v="6"/>
    <m/>
    <m/>
    <n v="4"/>
    <m/>
    <s v="https://www.ag.ch/media/kanton_aargau/themen_1/coronavirus_1/lagebulletins/200318_KFS_Coronavirus_Lagebulletin_14.pdf"/>
  </r>
  <r>
    <x v="22"/>
    <x v="20"/>
    <x v="16"/>
    <m/>
    <n v="65"/>
    <m/>
    <m/>
    <m/>
    <m/>
    <m/>
    <s v="https://web.archive.org/web/20200318191404/https://gesundheit.lu.ch/themen/Humanmedizin/Infektionskrankheiten/Coronavirus"/>
  </r>
  <r>
    <x v="23"/>
    <x v="0"/>
    <x v="24"/>
    <m/>
    <n v="6"/>
    <n v="1"/>
    <m/>
    <m/>
    <m/>
    <m/>
    <s v="Kantonaler Führungsstab Appenzell Innerrhoden"/>
  </r>
  <r>
    <x v="23"/>
    <x v="0"/>
    <x v="6"/>
    <m/>
    <n v="282"/>
    <m/>
    <m/>
    <m/>
    <m/>
    <n v="1"/>
    <s v="https://www.besondere-lage.sites.be.ch/besondere-lage_sites/de/index/corona/index.html"/>
  </r>
  <r>
    <x v="23"/>
    <x v="0"/>
    <x v="7"/>
    <m/>
    <n v="134"/>
    <n v="19"/>
    <n v="2"/>
    <m/>
    <n v="16"/>
    <n v="2"/>
    <s v="https://www.baselland.ch/politik-und-behorden/direktionen/volkswirtschafts-und-gesundheitsdirektion/medienmitteilungen/update-131-bestaetigte-faelle-in-basel-landschaft"/>
  </r>
  <r>
    <x v="23"/>
    <x v="0"/>
    <x v="12"/>
    <m/>
    <n v="111"/>
    <n v="12"/>
    <n v="5"/>
    <m/>
    <m/>
    <n v="1"/>
    <s v="https://www.fr.ch/sites/default/files/2020-04/statistiques_situation_FR_2804.xlsx"/>
  </r>
  <r>
    <x v="23"/>
    <x v="0"/>
    <x v="0"/>
    <n v="6233"/>
    <n v="994"/>
    <n v="92"/>
    <n v="19"/>
    <n v="18"/>
    <m/>
    <n v="7"/>
    <s v="https://www.ge.ch/document/covid-19-situation-epidemiologique-geneve/telecharger"/>
  </r>
  <r>
    <x v="23"/>
    <x v="0"/>
    <x v="19"/>
    <m/>
    <n v="16"/>
    <n v="0"/>
    <m/>
    <m/>
    <m/>
    <n v="0"/>
    <s v="https://www.gl.ch/public/upload/assets/27574/COVID-19_Fallzahlen_Kanton_Glarus.xlsx"/>
  </r>
  <r>
    <x v="23"/>
    <x v="0"/>
    <x v="26"/>
    <m/>
    <n v="182"/>
    <n v="18"/>
    <m/>
    <m/>
    <m/>
    <n v="2"/>
    <s v="https://www.gr.ch/DE/institutionen/verwaltung/djsg/ga/coronavirus/info/Seiten/Start.aspx"/>
  </r>
  <r>
    <x v="23"/>
    <x v="0"/>
    <x v="3"/>
    <m/>
    <n v="36"/>
    <n v="12"/>
    <n v="0"/>
    <m/>
    <m/>
    <n v="0"/>
    <s v="https://www.jura.ch/Htdocs/Files/v/34263.xlsx/Departements/CHA/SIC/Carrousel/Coronavirus/Cornavirus/Chiffres/donnees_27_04.xlsx?download=1"/>
  </r>
  <r>
    <x v="23"/>
    <x v="0"/>
    <x v="13"/>
    <m/>
    <n v="175"/>
    <n v="19"/>
    <m/>
    <m/>
    <m/>
    <n v="3"/>
    <s v="https://www.ne.ch/autorites/DFS/SCSP/medecin-cantonal/maladies-vaccinations/Documents/Covid-19-Statistiques/COVID19_PublicationInternet.xlsx"/>
  </r>
  <r>
    <x v="23"/>
    <x v="0"/>
    <x v="20"/>
    <m/>
    <n v="25"/>
    <n v="5"/>
    <m/>
    <m/>
    <m/>
    <m/>
    <s v="http://www.nw.ch/coronastatistik"/>
  </r>
  <r>
    <x v="23"/>
    <x v="0"/>
    <x v="14"/>
    <m/>
    <n v="85"/>
    <m/>
    <m/>
    <m/>
    <m/>
    <m/>
    <s v="https://www.sg.ch/tools/informationen-coronavirus.html"/>
  </r>
  <r>
    <x v="23"/>
    <x v="0"/>
    <x v="21"/>
    <m/>
    <n v="12"/>
    <m/>
    <m/>
    <m/>
    <m/>
    <n v="0"/>
    <s v="https://sh.ch/CMS/get/file/0779d9a8-e066-4335-95a4-8d2793d317c6"/>
  </r>
  <r>
    <x v="23"/>
    <x v="0"/>
    <x v="25"/>
    <m/>
    <n v="36"/>
    <m/>
    <m/>
    <m/>
    <m/>
    <m/>
    <s v="https://www.tg.ch/news/fachdossier-coronavirus.html/10552"/>
  </r>
  <r>
    <x v="23"/>
    <x v="0"/>
    <x v="1"/>
    <m/>
    <n v="638"/>
    <n v="155"/>
    <n v="33"/>
    <m/>
    <m/>
    <n v="15"/>
    <s v="https://www4.ti.ch/area-media/comunicati/dettaglio-comunicato/?NEWS_ID=187499&amp;tx_tichareamedia_comunicazioni%5Baction%5D=show&amp;tx_tichareamedia_comunicazioni%5Bcontroller%5D=Comunicazioni&amp;cHash=634a783514bdcbb426c005f1ea916268 https://www.youtube.com/watch?v=34RQ7OOWYoI"/>
  </r>
  <r>
    <x v="23"/>
    <x v="0"/>
    <x v="22"/>
    <m/>
    <n v="7"/>
    <m/>
    <m/>
    <m/>
    <m/>
    <m/>
    <s v="https://www.ur.ch/mmdirektionen/63841"/>
  </r>
  <r>
    <x v="23"/>
    <x v="0"/>
    <x v="8"/>
    <m/>
    <n v="1514"/>
    <n v="170"/>
    <n v="23"/>
    <m/>
    <m/>
    <n v="13"/>
    <s v="https://www.vd.ch/toutes-les-actualites/hotline-et-informations-sur-le-coronavirus/point-de-situation-statistique-dans-le-canton-de-vaud/"/>
  </r>
  <r>
    <x v="23"/>
    <x v="0"/>
    <x v="9"/>
    <m/>
    <n v="349"/>
    <n v="64"/>
    <n v="5"/>
    <n v="5"/>
    <m/>
    <n v="6"/>
    <s v="https://www.vs.ch/documents/6756452/7008787/2020%2004%2027%20Sit%20Epid%20-%20%C3%89tat%20Stand"/>
  </r>
  <r>
    <x v="23"/>
    <x v="5"/>
    <x v="11"/>
    <m/>
    <n v="37"/>
    <n v="1"/>
    <n v="0"/>
    <m/>
    <n v="5"/>
    <n v="0"/>
    <s v="https://www.zg.ch/behoerden/gesundheitsdirektion/statistikfachstelle/themen/gesundheit/corona"/>
  </r>
  <r>
    <x v="23"/>
    <x v="22"/>
    <x v="5"/>
    <m/>
    <n v="220"/>
    <n v="40"/>
    <m/>
    <m/>
    <n v="44"/>
    <n v="4"/>
    <s v="https://www.coronavirus.bs.ch/nm/2020-tagesbulletin-coronavirus-222-bestaetigte-faelle-basel-stadt-trifft-gemeinsam-mit-den-spitaelern-vorkehrungen-fuer-intensiv--und-beatmungskapazitaeten-gd.html"/>
  </r>
  <r>
    <x v="23"/>
    <x v="1"/>
    <x v="4"/>
    <m/>
    <n v="680"/>
    <n v="60"/>
    <m/>
    <n v="12"/>
    <m/>
    <n v="3"/>
    <s v="https://gd.zh.ch/internet/gesundheitsdirektion/de/themen/coronavirus.html"/>
  </r>
  <r>
    <x v="23"/>
    <x v="4"/>
    <x v="10"/>
    <m/>
    <n v="118"/>
    <n v="17"/>
    <n v="6"/>
    <n v="3"/>
    <m/>
    <m/>
    <s v="https://www.ag.ch/media/kanton_aargau/themen_1/coronavirus_1/lagebulletins/200319_KFS_Coronavirus_Lagebulletin_15.pdf"/>
  </r>
  <r>
    <x v="24"/>
    <x v="0"/>
    <x v="6"/>
    <m/>
    <n v="377"/>
    <m/>
    <m/>
    <m/>
    <m/>
    <n v="2"/>
    <s v="https://www.besondere-lage.sites.be.ch/besondere-lage_sites/de/index/corona/index.html"/>
  </r>
  <r>
    <x v="24"/>
    <x v="0"/>
    <x v="7"/>
    <m/>
    <n v="184"/>
    <n v="27"/>
    <n v="2"/>
    <m/>
    <n v="18"/>
    <n v="3"/>
    <s v="https://www.baselland.ch/politik-und-behorden/direktionen/volkswirtschafts-und-gesundheitsdirektion/medienmitteilungen/update-170-bestaetigte-faelle-in-basel-landschaft"/>
  </r>
  <r>
    <x v="24"/>
    <x v="0"/>
    <x v="2"/>
    <m/>
    <n v="37"/>
    <m/>
    <m/>
    <m/>
    <n v="1"/>
    <m/>
    <s v="https://www.regierung.li/media/attachments/136-soziale-kontakte-reduktion-corona.pdf?t=637203388043363286"/>
  </r>
  <r>
    <x v="24"/>
    <x v="0"/>
    <x v="12"/>
    <m/>
    <n v="145"/>
    <n v="20"/>
    <n v="6"/>
    <m/>
    <m/>
    <n v="1"/>
    <s v="https://www.fr.ch/sites/default/files/2020-04/statistiques_situation_FR_2804.xlsx"/>
  </r>
  <r>
    <x v="24"/>
    <x v="0"/>
    <x v="0"/>
    <n v="6647"/>
    <n v="1119"/>
    <n v="109"/>
    <n v="22"/>
    <n v="21"/>
    <m/>
    <n v="9"/>
    <s v="https://www.ge.ch/document/covid-19-situation-epidemiologique-geneve/telecharger"/>
  </r>
  <r>
    <x v="24"/>
    <x v="0"/>
    <x v="19"/>
    <m/>
    <n v="20"/>
    <n v="0"/>
    <m/>
    <m/>
    <m/>
    <n v="0"/>
    <s v="https://www.gl.ch/public/upload/assets/27574/COVID-19_Fallzahlen_Kanton_Glarus.xlsx"/>
  </r>
  <r>
    <x v="24"/>
    <x v="0"/>
    <x v="26"/>
    <m/>
    <n v="226"/>
    <n v="24"/>
    <m/>
    <m/>
    <m/>
    <n v="3"/>
    <s v="https://www.gr.ch/DE/institutionen/verwaltung/djsg/ga/coronavirus/info/Seiten/Start.aspx"/>
  </r>
  <r>
    <x v="24"/>
    <x v="0"/>
    <x v="3"/>
    <m/>
    <n v="44"/>
    <n v="14"/>
    <n v="1"/>
    <m/>
    <m/>
    <n v="0"/>
    <s v="https://www.jura.ch/Htdocs/Files/v/34263.xlsx/Departements/CHA/SIC/Carrousel/Coronavirus/Cornavirus/Chiffres/donnees_27_04.xlsx?download=1"/>
  </r>
  <r>
    <x v="24"/>
    <x v="0"/>
    <x v="13"/>
    <m/>
    <n v="189"/>
    <n v="21"/>
    <m/>
    <m/>
    <m/>
    <n v="3"/>
    <s v="https://www.ne.ch/autorites/DFS/SCSP/medecin-cantonal/maladies-vaccinations/Documents/Covid-19-Statistiques/COVID19_PublicationInternet.xlsx"/>
  </r>
  <r>
    <x v="24"/>
    <x v="0"/>
    <x v="20"/>
    <m/>
    <n v="28"/>
    <n v="5"/>
    <m/>
    <m/>
    <m/>
    <m/>
    <s v="http://www.nw.ch/coronastatistik"/>
  </r>
  <r>
    <x v="24"/>
    <x v="0"/>
    <x v="14"/>
    <m/>
    <n v="98"/>
    <m/>
    <m/>
    <m/>
    <m/>
    <m/>
    <s v="https://www.sg.ch/tools/informationen-coronavirus.html"/>
  </r>
  <r>
    <x v="24"/>
    <x v="0"/>
    <x v="21"/>
    <m/>
    <n v="17"/>
    <m/>
    <m/>
    <m/>
    <m/>
    <n v="0"/>
    <s v="https://sh.ch/CMS/get/file/0779d9a8-e066-4335-95a4-8d2793d317c6"/>
  </r>
  <r>
    <x v="24"/>
    <x v="0"/>
    <x v="25"/>
    <m/>
    <n v="49"/>
    <m/>
    <m/>
    <m/>
    <m/>
    <m/>
    <s v="https://www.tg.ch/news/fachdossier-coronavirus.html/10552"/>
  </r>
  <r>
    <x v="24"/>
    <x v="0"/>
    <x v="8"/>
    <m/>
    <n v="1756"/>
    <n v="182"/>
    <n v="23"/>
    <m/>
    <m/>
    <n v="19"/>
    <s v="https://www.vd.ch/toutes-les-actualites/hotline-et-informations-sur-le-coronavirus/point-de-situation-statistique-dans-le-canton-de-vaud/"/>
  </r>
  <r>
    <x v="24"/>
    <x v="0"/>
    <x v="9"/>
    <m/>
    <n v="436"/>
    <n v="73"/>
    <n v="6"/>
    <n v="5"/>
    <m/>
    <n v="7"/>
    <s v="https://www.vs.ch/documents/6756452/7008787/2020%2004%2027%20Sit%20Epid%20-%20%C3%89tat%20Stand"/>
  </r>
  <r>
    <x v="24"/>
    <x v="5"/>
    <x v="1"/>
    <m/>
    <n v="834"/>
    <n v="168"/>
    <n v="35"/>
    <m/>
    <m/>
    <n v="22"/>
    <s v="https://www4.ti.ch/dss/dsp/covid19/home/ https://www.youtube.com/watch?v=34RQ7OOWYoI"/>
  </r>
  <r>
    <x v="24"/>
    <x v="5"/>
    <x v="11"/>
    <m/>
    <n v="48"/>
    <n v="1"/>
    <n v="0"/>
    <m/>
    <n v="5"/>
    <n v="0"/>
    <s v="https://www.zg.ch/behoerden/gesundheitsdirektion/statistikfachstelle/themen/gesundheit/corona"/>
  </r>
  <r>
    <x v="24"/>
    <x v="23"/>
    <x v="16"/>
    <m/>
    <n v="92"/>
    <m/>
    <m/>
    <m/>
    <m/>
    <m/>
    <s v="https://gesundheit.lu.ch/themen/Humanmedizin/Infektionskrankheiten/Coronavirus"/>
  </r>
  <r>
    <x v="24"/>
    <x v="24"/>
    <x v="5"/>
    <m/>
    <n v="270"/>
    <n v="45"/>
    <m/>
    <m/>
    <n v="46"/>
    <n v="4"/>
    <s v="https://www.coronavirus.bs.ch/nm/2020-tagesbulletin-coronavirus-272-bestaetigte-faelle-im-kanton-basel-stadt-gd.html"/>
  </r>
  <r>
    <x v="24"/>
    <x v="13"/>
    <x v="22"/>
    <m/>
    <n v="7"/>
    <m/>
    <m/>
    <m/>
    <m/>
    <m/>
    <s v="https://www.ur.ch/themen/2920"/>
  </r>
  <r>
    <x v="24"/>
    <x v="1"/>
    <x v="4"/>
    <m/>
    <n v="712"/>
    <n v="78"/>
    <m/>
    <n v="15"/>
    <m/>
    <n v="4"/>
    <s v="https://gd.zh.ch/internet/gesundheitsdirektion/de/themen/coronavirus.html"/>
  </r>
  <r>
    <x v="24"/>
    <x v="4"/>
    <x v="10"/>
    <m/>
    <n v="168"/>
    <n v="25"/>
    <n v="4"/>
    <n v="2"/>
    <m/>
    <n v="1"/>
    <s v="https://www.ag.ch/media/kanton_aargau/themen_1/coronavirus_1/lagebulletins/200320_KFS_Coronavirus_Lagebulletin_16.pdf"/>
  </r>
  <r>
    <x v="24"/>
    <x v="25"/>
    <x v="18"/>
    <m/>
    <n v="66"/>
    <m/>
    <m/>
    <m/>
    <m/>
    <m/>
    <s v="https://twitter.com/KantonSolothurn/status/1241041303024041989?p=p"/>
  </r>
  <r>
    <x v="25"/>
    <x v="0"/>
    <x v="17"/>
    <m/>
    <m/>
    <m/>
    <m/>
    <m/>
    <m/>
    <n v="1"/>
    <s v="https://www.ar.ch/schnellzugriff/medienmitteilungen-der-kantonalen-verwaltung/detail/news/coronavirus-erster-todesfall-in-appenzell-ausserrhoden/?tx_news_pi1%5Bcontroller%5D=News&amp;tx_news_pi1%5Baction%5D=detail&amp;cHash=a88f209df29c38474f9c5f9e1c5dd53f"/>
  </r>
  <r>
    <x v="25"/>
    <x v="0"/>
    <x v="6"/>
    <m/>
    <n v="418"/>
    <m/>
    <m/>
    <m/>
    <m/>
    <n v="3"/>
    <s v="https://www.besondere-lage.sites.be.ch/besondere-lage_sites/de/index/corona/index.html"/>
  </r>
  <r>
    <x v="25"/>
    <x v="0"/>
    <x v="7"/>
    <m/>
    <n v="282"/>
    <n v="30"/>
    <n v="4"/>
    <m/>
    <n v="21"/>
    <n v="3"/>
    <s v="https://www.baselland.ch/politik-und-behorden/direktionen/volkswirtschafts-und-gesundheitsdirektion/medienmitteilungen/update-282-bestaetigte-faelle-in-basel-landschaft"/>
  </r>
  <r>
    <x v="25"/>
    <x v="0"/>
    <x v="2"/>
    <m/>
    <n v="44"/>
    <m/>
    <m/>
    <m/>
    <m/>
    <m/>
    <s v="https://www.regierung.li/media/attachments/138-corona-starke-zunahme-0321.pdf?t=637204593432337675"/>
  </r>
  <r>
    <x v="25"/>
    <x v="0"/>
    <x v="12"/>
    <m/>
    <n v="167"/>
    <n v="28"/>
    <n v="6"/>
    <m/>
    <m/>
    <n v="2"/>
    <s v="https://www.fr.ch/sites/default/files/2020-04/statistiques_situation_FR_2804.xlsx"/>
  </r>
  <r>
    <x v="25"/>
    <x v="0"/>
    <x v="0"/>
    <n v="7009"/>
    <n v="1248"/>
    <n v="145"/>
    <n v="25"/>
    <n v="24"/>
    <m/>
    <n v="9"/>
    <s v="https://www.ge.ch/document/covid-19-situation-epidemiologique-geneve/telecharger"/>
  </r>
  <r>
    <x v="25"/>
    <x v="0"/>
    <x v="19"/>
    <m/>
    <n v="25"/>
    <n v="0"/>
    <m/>
    <m/>
    <m/>
    <n v="0"/>
    <s v="https://www.gl.ch/public/upload/assets/27574/COVID-19_Fallzahlen_Kanton_Glarus.xlsx"/>
  </r>
  <r>
    <x v="25"/>
    <x v="0"/>
    <x v="26"/>
    <m/>
    <n v="258"/>
    <n v="24"/>
    <m/>
    <m/>
    <m/>
    <n v="4"/>
    <s v="https://www.gr.ch/DE/institutionen/verwaltung/djsg/ga/coronavirus/info/Seiten/Start.aspx"/>
  </r>
  <r>
    <x v="25"/>
    <x v="0"/>
    <x v="3"/>
    <m/>
    <n v="54"/>
    <n v="13"/>
    <n v="1"/>
    <m/>
    <m/>
    <n v="0"/>
    <s v="https://www.jura.ch/Htdocs/Files/v/34263.xlsx/Departements/CHA/SIC/Carrousel/Coronavirus/Cornavirus/Chiffres/donnees_27_04.xlsx?download=1"/>
  </r>
  <r>
    <x v="25"/>
    <x v="0"/>
    <x v="13"/>
    <m/>
    <n v="200"/>
    <n v="20"/>
    <m/>
    <m/>
    <m/>
    <n v="4"/>
    <s v="https://www.ne.ch/autorites/DFS/SCSP/medecin-cantonal/maladies-vaccinations/Documents/Covid-19-Statistiques/COVID19_PublicationInternet.xlsx"/>
  </r>
  <r>
    <x v="25"/>
    <x v="0"/>
    <x v="20"/>
    <m/>
    <n v="33"/>
    <n v="5"/>
    <m/>
    <m/>
    <m/>
    <m/>
    <s v="http://www.nw.ch/coronastatistik"/>
  </r>
  <r>
    <x v="25"/>
    <x v="0"/>
    <x v="21"/>
    <m/>
    <n v="28"/>
    <m/>
    <m/>
    <m/>
    <m/>
    <n v="0"/>
    <s v="https://sh.ch/CMS/get/file/0779d9a8-e066-4335-95a4-8d2793d317c6"/>
  </r>
  <r>
    <x v="25"/>
    <x v="0"/>
    <x v="25"/>
    <m/>
    <n v="56"/>
    <m/>
    <m/>
    <m/>
    <m/>
    <m/>
    <s v="https://www.tg.ch/news/fachdossier-coronavirus.html/10552"/>
  </r>
  <r>
    <x v="25"/>
    <x v="0"/>
    <x v="8"/>
    <m/>
    <n v="1875"/>
    <n v="210"/>
    <n v="24"/>
    <m/>
    <m/>
    <n v="22"/>
    <s v="https://www.vd.ch/toutes-les-actualites/hotline-et-informations-sur-le-coronavirus/point-de-situation-statistique-dans-le-canton-de-vaud/"/>
  </r>
  <r>
    <x v="25"/>
    <x v="0"/>
    <x v="9"/>
    <m/>
    <n v="498"/>
    <n v="83"/>
    <n v="8"/>
    <n v="6"/>
    <m/>
    <n v="10"/>
    <s v="https://www.vs.ch/documents/6756452/7008787/2020%2004%2027%20Sit%20Epid%20-%20%C3%89tat%20Stand"/>
  </r>
  <r>
    <x v="25"/>
    <x v="5"/>
    <x v="1"/>
    <m/>
    <n v="918"/>
    <n v="184"/>
    <n v="40"/>
    <n v="37"/>
    <m/>
    <n v="28"/>
    <s v="https://www4.ti.ch/dss/dsp/covid19/home/ https://www.youtube.com/watch?v=7g2sALU9bQM"/>
  </r>
  <r>
    <x v="25"/>
    <x v="5"/>
    <x v="22"/>
    <m/>
    <n v="12"/>
    <m/>
    <m/>
    <m/>
    <m/>
    <m/>
    <s v="https://www.ur.ch/themen/2920"/>
  </r>
  <r>
    <x v="25"/>
    <x v="5"/>
    <x v="11"/>
    <m/>
    <n v="53"/>
    <n v="3"/>
    <n v="0"/>
    <m/>
    <n v="5"/>
    <n v="0"/>
    <s v="https://www.zg.ch/behoerden/gesundheitsdirektion/statistikfachstelle/themen/gesundheit/corona"/>
  </r>
  <r>
    <x v="25"/>
    <x v="24"/>
    <x v="5"/>
    <m/>
    <n v="297"/>
    <n v="46"/>
    <m/>
    <m/>
    <n v="57"/>
    <n v="5"/>
    <s v="https://www.coronavirus.bs.ch/nm/2020-tagesbulletin-coronavirus-299-bestaetigte-faelle-im-kanton-basel-stadt-gd.html"/>
  </r>
  <r>
    <x v="25"/>
    <x v="22"/>
    <x v="16"/>
    <m/>
    <n v="109"/>
    <m/>
    <m/>
    <m/>
    <m/>
    <n v="1"/>
    <s v="https://gesundheit.lu.ch/themen/Humanmedizin/Infektionskrankheiten/Coronavirus;https://newsletter.lu.ch/inxmail/html_mail.jsp?params=7UGt4J1Fx6OIONHlV9upAAuOzkQ6ZmQA%2FxRrLjJkeDWZdweUdKfwhAE94i2Apium%2F6rIvcF2Z5MaTtV52A77W2jrwVmrkZ8UhFPVmHC4iuI%3D"/>
  </r>
  <r>
    <x v="25"/>
    <x v="1"/>
    <x v="4"/>
    <m/>
    <n v="712"/>
    <n v="83"/>
    <m/>
    <n v="23"/>
    <m/>
    <n v="5"/>
    <s v="https://gd.zh.ch/internet/gesundheitsdirektion/de/themen/coronavirus.html"/>
  </r>
  <r>
    <x v="26"/>
    <x v="0"/>
    <x v="7"/>
    <m/>
    <n v="289"/>
    <n v="40"/>
    <n v="7"/>
    <m/>
    <n v="21"/>
    <n v="3"/>
    <s v="https://www.baselland.ch/politik-und-behorden/direktionen/volkswirtschafts-und-gesundheitsdirektion/medienmitteilungen/update-289-bestaetigte-faelle-in-basel-landschaft"/>
  </r>
  <r>
    <x v="26"/>
    <x v="0"/>
    <x v="2"/>
    <m/>
    <n v="46"/>
    <m/>
    <m/>
    <m/>
    <m/>
    <m/>
    <s v="https://www.regierung.li/media/attachments/139-46-faelle-0322.pdf?t=637204971345932209"/>
  </r>
  <r>
    <x v="26"/>
    <x v="0"/>
    <x v="12"/>
    <m/>
    <n v="202"/>
    <n v="32"/>
    <n v="8"/>
    <m/>
    <m/>
    <n v="3"/>
    <s v="https://www.fr.ch/sites/default/files/2020-04/statistiques_situation_FR_2804.xlsx"/>
  </r>
  <r>
    <x v="26"/>
    <x v="0"/>
    <x v="0"/>
    <n v="7244"/>
    <n v="1391"/>
    <n v="179"/>
    <n v="36"/>
    <n v="36"/>
    <m/>
    <n v="10"/>
    <s v="https://www.ge.ch/document/covid-19-situation-epidemiologique-geneve/telecharger"/>
  </r>
  <r>
    <x v="26"/>
    <x v="0"/>
    <x v="19"/>
    <m/>
    <n v="29"/>
    <n v="0"/>
    <m/>
    <m/>
    <m/>
    <n v="0"/>
    <s v="https://www.gl.ch/public/upload/assets/27574/COVID-19_Fallzahlen_Kanton_Glarus.xlsx"/>
  </r>
  <r>
    <x v="26"/>
    <x v="0"/>
    <x v="26"/>
    <m/>
    <n v="284"/>
    <n v="27"/>
    <m/>
    <m/>
    <m/>
    <n v="4"/>
    <s v="https://www.gr.ch/DE/institutionen/verwaltung/djsg/ga/coronavirus/info/Seiten/Start.aspx"/>
  </r>
  <r>
    <x v="26"/>
    <x v="0"/>
    <x v="3"/>
    <m/>
    <n v="61"/>
    <n v="18"/>
    <n v="2"/>
    <m/>
    <m/>
    <n v="0"/>
    <s v="https://www.jura.ch/Htdocs/Files/v/34263.xlsx/Departements/CHA/SIC/Carrousel/Coronavirus/Cornavirus/Chiffres/donnees_27_04.xlsx?download=1"/>
  </r>
  <r>
    <x v="26"/>
    <x v="0"/>
    <x v="13"/>
    <m/>
    <n v="216"/>
    <n v="28"/>
    <m/>
    <m/>
    <m/>
    <n v="4"/>
    <s v="https://www.ne.ch/autorites/DFS/SCSP/medecin-cantonal/maladies-vaccinations/Documents/Covid-19-Statistiques/COVID19_PublicationInternet.xlsx"/>
  </r>
  <r>
    <x v="26"/>
    <x v="0"/>
    <x v="20"/>
    <m/>
    <n v="36"/>
    <n v="5"/>
    <m/>
    <m/>
    <m/>
    <m/>
    <s v="http://www.nw.ch/coronastatistik"/>
  </r>
  <r>
    <x v="26"/>
    <x v="0"/>
    <x v="21"/>
    <m/>
    <n v="30"/>
    <m/>
    <m/>
    <m/>
    <m/>
    <n v="0"/>
    <s v="https://sh.ch/CMS/get/file/0779d9a8-e066-4335-95a4-8d2793d317c6"/>
  </r>
  <r>
    <x v="26"/>
    <x v="0"/>
    <x v="25"/>
    <m/>
    <n v="75"/>
    <m/>
    <m/>
    <m/>
    <m/>
    <m/>
    <s v="https://www.tg.ch/news/fachdossier-coronavirus.html/10552"/>
  </r>
  <r>
    <x v="26"/>
    <x v="0"/>
    <x v="8"/>
    <m/>
    <n v="1977"/>
    <n v="230"/>
    <n v="30"/>
    <m/>
    <m/>
    <n v="24"/>
    <s v="https://www.vd.ch/toutes-les-actualites/hotline-et-informations-sur-le-coronavirus/point-de-situation-statistique-dans-le-canton-de-vaud/"/>
  </r>
  <r>
    <x v="26"/>
    <x v="0"/>
    <x v="9"/>
    <m/>
    <n v="535"/>
    <n v="92"/>
    <n v="11"/>
    <n v="7"/>
    <m/>
    <n v="11"/>
    <s v="https://www.vs.ch/documents/6756452/7008787/2020%2004%2027%20Sit%20Epid%20-%20%C3%89tat%20Stand"/>
  </r>
  <r>
    <x v="26"/>
    <x v="5"/>
    <x v="1"/>
    <m/>
    <n v="939"/>
    <n v="246"/>
    <n v="46"/>
    <n v="43"/>
    <m/>
    <n v="37"/>
    <s v="https://web.archive.org/web/20200322153528/https://www4.ti.ch/dss/dsp/covid19/home/"/>
  </r>
  <r>
    <x v="26"/>
    <x v="5"/>
    <x v="11"/>
    <m/>
    <n v="53"/>
    <n v="3"/>
    <n v="0"/>
    <m/>
    <n v="5"/>
    <n v="0"/>
    <s v="https://www.zg.ch/behoerden/gesundheitsdirektion/statistikfachstelle/themen/gesundheit/corona"/>
  </r>
  <r>
    <x v="26"/>
    <x v="26"/>
    <x v="5"/>
    <m/>
    <n v="356"/>
    <n v="50"/>
    <m/>
    <m/>
    <n v="73"/>
    <n v="5"/>
    <s v="https://www.coronavirus.bs.ch/nm/2020-tagesbulletin-coronavirus-358-bestaetigte-faelle-im-kanton-basel-stadt-gd.html"/>
  </r>
  <r>
    <x v="26"/>
    <x v="22"/>
    <x v="16"/>
    <m/>
    <n v="131"/>
    <m/>
    <m/>
    <m/>
    <m/>
    <n v="1"/>
    <s v="https://gesundheit.lu.ch/themen/Humanmedizin/Infektionskrankheiten/Coronavirus"/>
  </r>
  <r>
    <x v="26"/>
    <x v="13"/>
    <x v="10"/>
    <m/>
    <n v="232"/>
    <m/>
    <m/>
    <m/>
    <m/>
    <n v="1"/>
    <s v="https://www.ag.ch/de/aktuelles/medienportal/medienmitteilung/medienmitteilungen/mediendetails_139237.jsp"/>
  </r>
  <r>
    <x v="26"/>
    <x v="1"/>
    <x v="4"/>
    <m/>
    <n v="712"/>
    <n v="110"/>
    <m/>
    <n v="22"/>
    <m/>
    <n v="6"/>
    <s v="https://gd.zh.ch/internet/gesundheitsdirektion/de/themen/coronavirus.html"/>
  </r>
  <r>
    <x v="27"/>
    <x v="0"/>
    <x v="6"/>
    <m/>
    <n v="470"/>
    <m/>
    <m/>
    <m/>
    <m/>
    <n v="5"/>
    <s v="https://www.besondere-lage.sites.be.ch/besondere-lage_sites/de/index/corona/index.html"/>
  </r>
  <r>
    <x v="27"/>
    <x v="0"/>
    <x v="7"/>
    <m/>
    <n v="302"/>
    <n v="51"/>
    <n v="10"/>
    <m/>
    <n v="35"/>
    <n v="3"/>
    <s v="https://www.baselland.ch/politik-und-behorden/direktionen/volkswirtschafts-und-gesundheitsdirektion/medienmitteilungen/update-289-bestaetigte-faelle-in-basel-landschaft-1"/>
  </r>
  <r>
    <x v="27"/>
    <x v="0"/>
    <x v="12"/>
    <m/>
    <n v="226"/>
    <n v="35"/>
    <n v="7"/>
    <m/>
    <m/>
    <n v="4"/>
    <s v="https://www.fr.ch/sites/default/files/2020-04/statistiques_situation_FR_2804.xlsx"/>
  </r>
  <r>
    <x v="27"/>
    <x v="0"/>
    <x v="0"/>
    <n v="7622"/>
    <n v="1536"/>
    <n v="214"/>
    <n v="43"/>
    <n v="41"/>
    <m/>
    <n v="16"/>
    <s v="https://www.ge.ch/document/covid-19-situation-epidemiologique-geneve/telecharger"/>
  </r>
  <r>
    <x v="27"/>
    <x v="0"/>
    <x v="19"/>
    <m/>
    <n v="31"/>
    <n v="3"/>
    <m/>
    <m/>
    <m/>
    <n v="0"/>
    <s v="https://www.gl.ch/public/upload/assets/27574/COVID-19_Fallzahlen_Kanton_Glarus.xlsx"/>
  </r>
  <r>
    <x v="27"/>
    <x v="0"/>
    <x v="26"/>
    <m/>
    <n v="300"/>
    <n v="29"/>
    <m/>
    <m/>
    <m/>
    <n v="5"/>
    <s v="https://www.gr.ch/DE/institutionen/verwaltung/djsg/ga/coronavirus/info/Seiten/Start.aspx"/>
  </r>
  <r>
    <x v="27"/>
    <x v="0"/>
    <x v="3"/>
    <m/>
    <n v="69"/>
    <n v="18"/>
    <n v="3"/>
    <m/>
    <m/>
    <n v="0"/>
    <s v="https://www.jura.ch/Htdocs/Files/v/34263.xlsx/Departements/CHA/SIC/Carrousel/Coronavirus/Cornavirus/Chiffres/donnees_27_04.xlsx?download=1"/>
  </r>
  <r>
    <x v="27"/>
    <x v="0"/>
    <x v="13"/>
    <m/>
    <n v="247"/>
    <n v="33"/>
    <n v="11"/>
    <n v="6"/>
    <m/>
    <n v="5"/>
    <s v="https://www.ne.ch/autorites/DFS/SCSP/medecin-cantonal/maladies-vaccinations/Documents/Covid-19-Statistiques/COVID19_PublicationInternet.xlsx"/>
  </r>
  <r>
    <x v="27"/>
    <x v="0"/>
    <x v="20"/>
    <m/>
    <n v="39"/>
    <n v="5"/>
    <m/>
    <m/>
    <m/>
    <m/>
    <s v="http://www.nw.ch/coronastatistik"/>
  </r>
  <r>
    <x v="27"/>
    <x v="0"/>
    <x v="23"/>
    <m/>
    <n v="25"/>
    <m/>
    <m/>
    <m/>
    <m/>
    <m/>
    <s v="https://www.ow.ch/de/verwaltung/dienstleistungen/?dienst_id=5962"/>
  </r>
  <r>
    <x v="27"/>
    <x v="0"/>
    <x v="14"/>
    <m/>
    <n v="228"/>
    <m/>
    <m/>
    <m/>
    <m/>
    <n v="1"/>
    <s v="https://www.sg.ch/tools/informationen-coronavirus.html"/>
  </r>
  <r>
    <x v="27"/>
    <x v="0"/>
    <x v="21"/>
    <m/>
    <n v="32"/>
    <m/>
    <m/>
    <m/>
    <m/>
    <n v="0"/>
    <s v="https://sh.ch/CMS/get/file/0779d9a8-e066-4335-95a4-8d2793d317c6"/>
  </r>
  <r>
    <x v="27"/>
    <x v="0"/>
    <x v="25"/>
    <m/>
    <n v="81"/>
    <m/>
    <m/>
    <m/>
    <m/>
    <m/>
    <s v="https://www.tg.ch/news/fachdossier-coronavirus.html/10552"/>
  </r>
  <r>
    <x v="27"/>
    <x v="0"/>
    <x v="22"/>
    <m/>
    <n v="22"/>
    <n v="1"/>
    <m/>
    <m/>
    <n v="1"/>
    <m/>
    <s v="https://www.ur.ch/themen/2920"/>
  </r>
  <r>
    <x v="27"/>
    <x v="0"/>
    <x v="8"/>
    <m/>
    <n v="2283"/>
    <n v="248"/>
    <n v="39"/>
    <m/>
    <m/>
    <n v="28"/>
    <s v="https://www.vd.ch/toutes-les-actualites/hotline-et-informations-sur-le-coronavirus/point-de-situation-statistique-dans-le-canton-de-vaud/"/>
  </r>
  <r>
    <x v="27"/>
    <x v="0"/>
    <x v="9"/>
    <m/>
    <n v="628"/>
    <n v="104"/>
    <n v="12"/>
    <n v="9"/>
    <m/>
    <n v="13"/>
    <s v="https://www.vs.ch/documents/6756452/7008787/2020%2004%2027%20Sit%20Epid%20-%20%C3%89tat%20Stand"/>
  </r>
  <r>
    <x v="27"/>
    <x v="5"/>
    <x v="1"/>
    <m/>
    <n v="1165"/>
    <n v="261"/>
    <n v="45"/>
    <n v="43"/>
    <m/>
    <n v="48"/>
    <s v="https://www4.ti.ch/area-media/comunicati/dettaglio-comunicato/?NEWS_ID=187510&amp;tx_tichareamedia_comunicazioni%5Baction%5D=show&amp;tx_tichareamedia_comunicazioni%5Bcontroller%5D=Comunicazioni&amp;cHash=0120f665ab49651b9d66c876ef272a91"/>
  </r>
  <r>
    <x v="27"/>
    <x v="5"/>
    <x v="11"/>
    <m/>
    <n v="53"/>
    <n v="3"/>
    <n v="0"/>
    <m/>
    <n v="5"/>
    <n v="0"/>
    <s v="https://www.zg.ch/behoerden/gesundheitsdirektion/statistikfachstelle/themen/gesundheit/corona"/>
  </r>
  <r>
    <x v="27"/>
    <x v="24"/>
    <x v="17"/>
    <m/>
    <n v="30"/>
    <n v="7"/>
    <m/>
    <m/>
    <m/>
    <n v="1"/>
    <s v="https://www.ar.ch/verwaltung/departement-gesundheit-und-soziales/amt-fuer-gesundheit/informationsseite-coronavirus/"/>
  </r>
  <r>
    <x v="27"/>
    <x v="24"/>
    <x v="5"/>
    <m/>
    <n v="374"/>
    <n v="56"/>
    <m/>
    <m/>
    <n v="78"/>
    <n v="5"/>
    <s v="https://www.coronavirus.bs.ch/nm/2020-tagesbulletin-coronavirus-376-bestaetigte-faelle-im-kanton-basel-stadt-gd.html"/>
  </r>
  <r>
    <x v="27"/>
    <x v="22"/>
    <x v="16"/>
    <m/>
    <n v="156"/>
    <m/>
    <m/>
    <m/>
    <m/>
    <n v="1"/>
    <s v="https://gesundheit.lu.ch/themen/Humanmedizin/Infektionskrankheiten/Coronavirus"/>
  </r>
  <r>
    <x v="27"/>
    <x v="13"/>
    <x v="18"/>
    <m/>
    <n v="95"/>
    <m/>
    <m/>
    <m/>
    <m/>
    <n v="1"/>
    <s v="https://corona.so.ch/"/>
  </r>
  <r>
    <x v="27"/>
    <x v="1"/>
    <x v="4"/>
    <m/>
    <n v="1076"/>
    <n v="127"/>
    <m/>
    <n v="27"/>
    <m/>
    <n v="6"/>
    <s v="https://gd.zh.ch/internet/gesundheitsdirektion/de/themen/coronavirus.html"/>
  </r>
  <r>
    <x v="27"/>
    <x v="4"/>
    <x v="10"/>
    <m/>
    <n v="241"/>
    <n v="10"/>
    <n v="3"/>
    <n v="2"/>
    <m/>
    <n v="1"/>
    <s v="https://www.ag.ch/media/kanton_aargau/themen_1/coronavirus_1/lagebulletins/200323_KFS_Coronavirus_Lagebulletin_17.pdf"/>
  </r>
  <r>
    <x v="27"/>
    <x v="9"/>
    <x v="2"/>
    <m/>
    <n v="51"/>
    <m/>
    <m/>
    <m/>
    <m/>
    <m/>
    <s v="https://www.regierung.li/media/attachments/140-corona-regierung-0323.pdf?t=637205847493377066"/>
  </r>
  <r>
    <x v="28"/>
    <x v="0"/>
    <x v="6"/>
    <m/>
    <n v="532"/>
    <m/>
    <m/>
    <m/>
    <m/>
    <n v="6"/>
    <s v="https://www.besondere-lage.sites.be.ch/besondere-lage_sites/de/index/corona/index.html"/>
  </r>
  <r>
    <x v="28"/>
    <x v="0"/>
    <x v="7"/>
    <m/>
    <n v="306"/>
    <n v="66"/>
    <n v="11"/>
    <m/>
    <n v="40"/>
    <n v="4"/>
    <s v="https://www.baselland.ch/politik-und-behorden/direktionen/volkswirtschafts-und-gesundheitsdirektion/amt-fur-gesundheit/medizinische-dienste/kantonsarztlicher-dienst/aktuelles/covid-19-faelle-kanton-basel-landschaft"/>
  </r>
  <r>
    <x v="28"/>
    <x v="0"/>
    <x v="2"/>
    <m/>
    <n v="51"/>
    <m/>
    <m/>
    <m/>
    <m/>
    <m/>
    <s v="https://www.regierung.li/media/attachments/143-coronavirus-praesenz-fernunterricht.pdf?t=637207680400073990"/>
  </r>
  <r>
    <x v="28"/>
    <x v="0"/>
    <x v="12"/>
    <m/>
    <n v="255"/>
    <n v="35"/>
    <n v="7"/>
    <m/>
    <m/>
    <n v="5"/>
    <s v="https://www.fr.ch/sites/default/files/2020-04/statistiques_situation_FR_2804.xlsx"/>
  </r>
  <r>
    <x v="28"/>
    <x v="0"/>
    <x v="0"/>
    <n v="7965"/>
    <n v="1636"/>
    <n v="238"/>
    <n v="41"/>
    <n v="41"/>
    <n v="103"/>
    <n v="17"/>
    <s v="https://www.ge.ch/document/covid-19-situation-epidemiologique-geneve/telecharger"/>
  </r>
  <r>
    <x v="28"/>
    <x v="0"/>
    <x v="19"/>
    <m/>
    <n v="33"/>
    <n v="3"/>
    <m/>
    <m/>
    <m/>
    <n v="0"/>
    <s v="https://www.gl.ch/public/upload/assets/27574/COVID-19_Fallzahlen_Kanton_Glarus.xlsx"/>
  </r>
  <r>
    <x v="28"/>
    <x v="0"/>
    <x v="26"/>
    <m/>
    <n v="343"/>
    <n v="43"/>
    <m/>
    <m/>
    <m/>
    <n v="6"/>
    <s v="https://www.gr.ch/DE/institutionen/verwaltung/djsg/ga/coronavirus/info/Seiten/Start.aspx"/>
  </r>
  <r>
    <x v="28"/>
    <x v="0"/>
    <x v="3"/>
    <m/>
    <n v="82"/>
    <n v="22"/>
    <n v="4"/>
    <m/>
    <m/>
    <n v="0"/>
    <s v="https://www.jura.ch/Htdocs/Files/v/34263.xlsx/Departements/CHA/SIC/Carrousel/Coronavirus/Cornavirus/Chiffres/donnees_27_04.xlsx?download=1"/>
  </r>
  <r>
    <x v="28"/>
    <x v="0"/>
    <x v="13"/>
    <m/>
    <n v="265"/>
    <n v="32"/>
    <n v="8"/>
    <n v="6"/>
    <m/>
    <n v="6"/>
    <s v="https://www.ne.ch/autorites/DFS/SCSP/medecin-cantonal/maladies-vaccinations/Documents/Covid-19-Statistiques/COVID19_PublicationInternet.xlsx"/>
  </r>
  <r>
    <x v="28"/>
    <x v="0"/>
    <x v="20"/>
    <m/>
    <n v="42"/>
    <n v="4"/>
    <m/>
    <m/>
    <m/>
    <m/>
    <s v="http://www.nw.ch/coronastatistik"/>
  </r>
  <r>
    <x v="28"/>
    <x v="0"/>
    <x v="23"/>
    <m/>
    <n v="25"/>
    <m/>
    <m/>
    <m/>
    <m/>
    <m/>
    <s v="https://www.ow.ch/de/verwaltung/dienstleistungen/?dienst_id=5962"/>
  </r>
  <r>
    <x v="28"/>
    <x v="0"/>
    <x v="21"/>
    <m/>
    <n v="34"/>
    <m/>
    <m/>
    <m/>
    <m/>
    <n v="0"/>
    <s v="https://sh.ch/CMS/get/file/0779d9a8-e066-4335-95a4-8d2793d317c6"/>
  </r>
  <r>
    <x v="28"/>
    <x v="0"/>
    <x v="15"/>
    <m/>
    <n v="97"/>
    <m/>
    <m/>
    <m/>
    <n v="10"/>
    <n v="0"/>
    <s v="https://www.sz.ch/behoerden/information-medien/medienmitteilungen/coronavirus.html/72-416-412-1379-6948"/>
  </r>
  <r>
    <x v="28"/>
    <x v="0"/>
    <x v="25"/>
    <m/>
    <n v="87"/>
    <m/>
    <m/>
    <m/>
    <m/>
    <n v="1"/>
    <s v="https://www.tg.ch/news/fachdossier-coronavirus.html/10552 &amp; https://www.tg.ch/news/news-detailseite.html/485/news/44925"/>
  </r>
  <r>
    <x v="28"/>
    <x v="0"/>
    <x v="8"/>
    <m/>
    <n v="2548"/>
    <n v="284"/>
    <n v="40"/>
    <m/>
    <m/>
    <n v="32"/>
    <s v="https://www.vd.ch/toutes-les-actualites/hotline-et-informations-sur-le-coronavirus/point-de-situation-statistique-dans-le-canton-de-vaud/"/>
  </r>
  <r>
    <x v="28"/>
    <x v="0"/>
    <x v="9"/>
    <m/>
    <n v="728"/>
    <n v="117"/>
    <n v="13"/>
    <n v="12"/>
    <m/>
    <n v="14"/>
    <s v="https://www.vs.ch/documents/6756452/7008787/2020%2004%2027%20Sit%20Epid%20-%20%C3%89tat%20Stand"/>
  </r>
  <r>
    <x v="28"/>
    <x v="27"/>
    <x v="18"/>
    <m/>
    <n v="104"/>
    <m/>
    <m/>
    <m/>
    <m/>
    <n v="1"/>
    <s v="https://corona.so.ch/"/>
  </r>
  <r>
    <x v="28"/>
    <x v="5"/>
    <x v="1"/>
    <m/>
    <n v="1211"/>
    <n v="285"/>
    <n v="50"/>
    <n v="48"/>
    <m/>
    <n v="53"/>
    <s v="https://www4.ti.ch/area-media/comunicati/dettaglio-comunicato/?NEWS_ID=187520&amp;tx_tichareamedia_comunicazioni%5Baction%5D=show&amp;tx_tichareamedia_comunicazioni%5Bcontroller%5D=Comunicazioni&amp;cHash=4d581f57e92de04937175bab9e5b0f14"/>
  </r>
  <r>
    <x v="28"/>
    <x v="5"/>
    <x v="11"/>
    <m/>
    <n v="72"/>
    <n v="6"/>
    <n v="0"/>
    <m/>
    <n v="12"/>
    <n v="0"/>
    <s v="https://www.zg.ch/behoerden/gesundheitsdirektion/statistikfachstelle/themen/gesundheit/corona"/>
  </r>
  <r>
    <x v="28"/>
    <x v="28"/>
    <x v="5"/>
    <m/>
    <n v="410"/>
    <n v="58"/>
    <m/>
    <m/>
    <n v="105"/>
    <n v="5"/>
    <s v="https://www.coronavirus.bs.ch/nm/2020-tagesbulletin-coronavirus-414-bestaetigte-faelle-im-kanton-basel-stadt-gd.html"/>
  </r>
  <r>
    <x v="28"/>
    <x v="24"/>
    <x v="17"/>
    <m/>
    <n v="33"/>
    <n v="6"/>
    <m/>
    <m/>
    <m/>
    <n v="2"/>
    <s v="https://www.ar.ch/verwaltung/departement-gesundheit-und-soziales/amt-fuer-gesundheit/informationsseite-coronavirus/"/>
  </r>
  <r>
    <x v="28"/>
    <x v="22"/>
    <x v="16"/>
    <m/>
    <n v="205"/>
    <m/>
    <m/>
    <m/>
    <m/>
    <n v="2"/>
    <s v="https://gesundheit.lu.ch/themen/Humanmedizin/Infektionskrankheiten/Coronavirus"/>
  </r>
  <r>
    <x v="28"/>
    <x v="13"/>
    <x v="22"/>
    <m/>
    <n v="25"/>
    <n v="1"/>
    <m/>
    <m/>
    <n v="1"/>
    <m/>
    <s v="https://www.ur.ch/themen/2920"/>
  </r>
  <r>
    <x v="28"/>
    <x v="1"/>
    <x v="4"/>
    <m/>
    <n v="1224"/>
    <n v="138"/>
    <m/>
    <n v="26"/>
    <m/>
    <n v="8"/>
    <s v="https://gd.zh.ch/internet/gesundheitsdirektion/de/themen/coronavirus.html"/>
  </r>
  <r>
    <x v="28"/>
    <x v="4"/>
    <x v="10"/>
    <m/>
    <n v="266"/>
    <n v="24"/>
    <n v="2"/>
    <n v="2"/>
    <m/>
    <n v="2"/>
    <s v="https://www.ag.ch/media/kanton_aargau/themen_1/coronavirus_1/lagebulletins/200324_KFS_Coronavirus_Lagebulletin_18.pdf"/>
  </r>
  <r>
    <x v="28"/>
    <x v="29"/>
    <x v="24"/>
    <m/>
    <n v="8"/>
    <m/>
    <m/>
    <m/>
    <m/>
    <m/>
    <s v="https://www.ai.ch/themen/gesundheit-alter-und-soziales/gesundheitsfoerderung-und-praevention/uebertragbare-krankheiten/coronavirus"/>
  </r>
  <r>
    <x v="29"/>
    <x v="0"/>
    <x v="6"/>
    <m/>
    <n v="624"/>
    <m/>
    <m/>
    <m/>
    <m/>
    <n v="6"/>
    <s v="https://www.besondere-lage.sites.be.ch/besondere-lage_sites/de/index/corona/index.html"/>
  </r>
  <r>
    <x v="29"/>
    <x v="0"/>
    <x v="7"/>
    <m/>
    <n v="341"/>
    <n v="68"/>
    <n v="8"/>
    <m/>
    <n v="46"/>
    <n v="5"/>
    <s v="https://www.baselland.ch/politik-und-behorden/direktionen/volkswirtschafts-und-gesundheitsdirektion/amt-fur-gesundheit/medizinische-dienste/kantonsarztlicher-dienst/aktuelles/covid-19-faelle-kanton-basel-landschaft"/>
  </r>
  <r>
    <x v="29"/>
    <x v="0"/>
    <x v="2"/>
    <m/>
    <n v="53"/>
    <m/>
    <m/>
    <m/>
    <m/>
    <m/>
    <s v="https://www.regierung.li/media/attachments/145-drive-trouhg-anlage-corona.pdf?t=637207634421649200"/>
  </r>
  <r>
    <x v="29"/>
    <x v="0"/>
    <x v="12"/>
    <m/>
    <n v="293"/>
    <n v="39"/>
    <n v="7"/>
    <m/>
    <m/>
    <n v="6"/>
    <s v="https://www.fr.ch/sites/default/files/2020-04/statistiques_situation_FR_2804.xlsx"/>
  </r>
  <r>
    <x v="29"/>
    <x v="0"/>
    <x v="0"/>
    <n v="8370"/>
    <n v="1757"/>
    <n v="258"/>
    <n v="50"/>
    <n v="48"/>
    <n v="122"/>
    <n v="24"/>
    <s v="https://www.ge.ch/document/covid-19-situation-epidemiologique-geneve/telecharger"/>
  </r>
  <r>
    <x v="29"/>
    <x v="0"/>
    <x v="19"/>
    <m/>
    <n v="40"/>
    <n v="2"/>
    <m/>
    <m/>
    <m/>
    <n v="0"/>
    <s v="https://www.gl.ch/public/upload/assets/27574/COVID-19_Fallzahlen_Kanton_Glarus.xlsx"/>
  </r>
  <r>
    <x v="29"/>
    <x v="0"/>
    <x v="26"/>
    <m/>
    <n v="393"/>
    <n v="45"/>
    <m/>
    <m/>
    <m/>
    <n v="8"/>
    <s v="https://www.gr.ch/DE/institutionen/verwaltung/djsg/ga/coronavirus/info/Seiten/Start.aspx"/>
  </r>
  <r>
    <x v="29"/>
    <x v="0"/>
    <x v="3"/>
    <m/>
    <n v="92"/>
    <n v="23"/>
    <n v="4"/>
    <m/>
    <m/>
    <n v="0"/>
    <s v="https://www.jura.ch/Htdocs/Files/v/34263.xlsx/Departements/CHA/SIC/Carrousel/Coronavirus/Cornavirus/Chiffres/donnees_27_04.xlsx?download=1"/>
  </r>
  <r>
    <x v="29"/>
    <x v="0"/>
    <x v="13"/>
    <m/>
    <n v="280"/>
    <n v="41"/>
    <n v="10"/>
    <n v="7"/>
    <m/>
    <n v="9"/>
    <s v="https://www.ne.ch/autorites/DFS/SCSP/medecin-cantonal/maladies-vaccinations/Documents/Covid-19-Statistiques/COVID19_PublicationInternet.xlsx"/>
  </r>
  <r>
    <x v="29"/>
    <x v="0"/>
    <x v="20"/>
    <m/>
    <n v="44"/>
    <n v="3"/>
    <m/>
    <m/>
    <m/>
    <m/>
    <s v="http://www.nw.ch/coronastatistik"/>
  </r>
  <r>
    <x v="29"/>
    <x v="0"/>
    <x v="23"/>
    <m/>
    <n v="27"/>
    <m/>
    <m/>
    <m/>
    <m/>
    <m/>
    <s v="https://www.ow.ch/de/verwaltung/dienstleistungen/?dienst_id=5962"/>
  </r>
  <r>
    <x v="29"/>
    <x v="0"/>
    <x v="14"/>
    <m/>
    <n v="228"/>
    <m/>
    <m/>
    <m/>
    <m/>
    <n v="1"/>
    <s v="https://www.sg.ch/tools/informationen-coronavirus.html"/>
  </r>
  <r>
    <x v="29"/>
    <x v="0"/>
    <x v="21"/>
    <m/>
    <n v="35"/>
    <n v="10"/>
    <n v="1"/>
    <m/>
    <m/>
    <n v="0"/>
    <s v="https://sh.ch/CMS/get/file/0779d9a8-e066-4335-95a4-8d2793d317c6"/>
  </r>
  <r>
    <x v="29"/>
    <x v="0"/>
    <x v="15"/>
    <m/>
    <m/>
    <m/>
    <m/>
    <m/>
    <n v="10"/>
    <n v="0"/>
    <s v="https://www.sz.ch/behoerden/information-medien/medienmitteilungen/coronavirus.html/72-416-412-1379-6948"/>
  </r>
  <r>
    <x v="29"/>
    <x v="0"/>
    <x v="25"/>
    <m/>
    <n v="96"/>
    <m/>
    <m/>
    <m/>
    <m/>
    <n v="1"/>
    <s v="https://www.tg.ch/news/fachdossier-coronavirus.html/10552"/>
  </r>
  <r>
    <x v="29"/>
    <x v="0"/>
    <x v="8"/>
    <m/>
    <n v="2740"/>
    <n v="314"/>
    <n v="51"/>
    <m/>
    <m/>
    <n v="40"/>
    <s v="https://www.vd.ch/toutes-les-actualites/hotline-et-informations-sur-le-coronavirus/point-de-situation-statistique-dans-le-canton-de-vaud/"/>
  </r>
  <r>
    <x v="29"/>
    <x v="0"/>
    <x v="9"/>
    <m/>
    <n v="793"/>
    <n v="118"/>
    <n v="15"/>
    <n v="14"/>
    <m/>
    <n v="15"/>
    <s v="https://www.vs.ch/documents/6756452/7008787/2020%2004%2027%20Sit%20Epid%20-%20%C3%89tat%20Stand"/>
  </r>
  <r>
    <x v="29"/>
    <x v="27"/>
    <x v="18"/>
    <m/>
    <n v="129"/>
    <m/>
    <m/>
    <m/>
    <m/>
    <n v="1"/>
    <s v="https://corona.so.ch/"/>
  </r>
  <r>
    <x v="29"/>
    <x v="5"/>
    <x v="17"/>
    <m/>
    <n v="34"/>
    <m/>
    <m/>
    <m/>
    <m/>
    <n v="2"/>
    <s v="https://www.ar.ch/verwaltung/departement-gesundheit-und-soziales/amt-fuer-gesundheit/informationsseite-coronavirus/"/>
  </r>
  <r>
    <x v="29"/>
    <x v="5"/>
    <x v="1"/>
    <m/>
    <n v="1354"/>
    <n v="306"/>
    <n v="57"/>
    <n v="55"/>
    <m/>
    <n v="60"/>
    <s v="https://www4.ti.ch/area-media/comunicati/dettaglio-comunicato/?NEWS_ID=187523&amp;tx_tichareamedia_comunicazioni%5Baction%5D=show&amp;tx_tichareamedia_comunicazioni%5Bcontroller%5D=Comunicazioni&amp;cHash=982795a2c13394282accc3a8506c9ba0"/>
  </r>
  <r>
    <x v="29"/>
    <x v="5"/>
    <x v="11"/>
    <m/>
    <n v="80"/>
    <n v="9"/>
    <n v="1"/>
    <m/>
    <n v="18"/>
    <n v="0"/>
    <s v="https://www.zg.ch/behoerden/gesundheitsdirektion/statistikfachstelle/themen/gesundheit/corona"/>
  </r>
  <r>
    <x v="29"/>
    <x v="24"/>
    <x v="5"/>
    <m/>
    <n v="462"/>
    <n v="58"/>
    <m/>
    <m/>
    <n v="128"/>
    <n v="8"/>
    <s v="https://www.coronavirus.bs.ch/nm/2020-tagesbulletin-coronavirus-466-bestaetigte-faelle-im-kanton-basel-stadt-gd.html"/>
  </r>
  <r>
    <x v="29"/>
    <x v="22"/>
    <x v="16"/>
    <m/>
    <n v="228"/>
    <m/>
    <m/>
    <m/>
    <m/>
    <n v="2"/>
    <s v="https://gesundheit.lu.ch/themen/Humanmedizin/Infektionskrankheiten/Coronavirus"/>
  </r>
  <r>
    <x v="29"/>
    <x v="1"/>
    <x v="4"/>
    <m/>
    <n v="1371"/>
    <n v="146"/>
    <m/>
    <n v="28"/>
    <m/>
    <n v="10"/>
    <s v="https://gd.zh.ch/internet/gesundheitsdirektion/de/themen/coronavirus.html"/>
  </r>
  <r>
    <x v="29"/>
    <x v="4"/>
    <x v="10"/>
    <m/>
    <n v="319"/>
    <n v="16"/>
    <n v="5"/>
    <n v="5"/>
    <m/>
    <n v="2"/>
    <s v="https://www.ag.ch/media/kanton_aargau/themen_1/coronavirus_1/lagebulletins/200325_KFS_Coronavirus_Lagebulletin_19.pdf"/>
  </r>
  <r>
    <x v="29"/>
    <x v="29"/>
    <x v="24"/>
    <m/>
    <n v="9"/>
    <m/>
    <m/>
    <m/>
    <m/>
    <m/>
    <s v="https://www.ai.ch/themen/gesundheit-alter-und-soziales/gesundheitsfoerderung-und-praevention/uebertragbare-krankheiten/coronavirus"/>
  </r>
  <r>
    <x v="30"/>
    <x v="0"/>
    <x v="6"/>
    <m/>
    <n v="660"/>
    <m/>
    <m/>
    <m/>
    <m/>
    <n v="7"/>
    <s v="https://www.besondere-lage.sites.be.ch/besondere-lage_sites/de/index/corona/index.html"/>
  </r>
  <r>
    <x v="30"/>
    <x v="0"/>
    <x v="7"/>
    <m/>
    <n v="422"/>
    <n v="68"/>
    <n v="9"/>
    <m/>
    <n v="65"/>
    <n v="5"/>
    <s v="https://www.baselland.ch/politik-und-behorden/direktionen/volkswirtschafts-und-gesundheitsdirektion/amt-fur-gesundheit/medizinische-dienste/kantonsarztlicher-dienst/aktuelles/covid-19-faelle-kanton-basel-landschaft"/>
  </r>
  <r>
    <x v="30"/>
    <x v="0"/>
    <x v="2"/>
    <n v="900"/>
    <n v="56"/>
    <m/>
    <m/>
    <m/>
    <m/>
    <m/>
    <s v="https://www.regierung.li/media/attachments/151-900-personen-getestet.pdf?t=637208497707275503"/>
  </r>
  <r>
    <x v="30"/>
    <x v="0"/>
    <x v="12"/>
    <m/>
    <n v="309"/>
    <n v="44"/>
    <n v="5"/>
    <m/>
    <m/>
    <n v="11"/>
    <s v="https://www.fr.ch/sites/default/files/2020-04/statistiques_situation_FR_2804.xlsx"/>
  </r>
  <r>
    <x v="30"/>
    <x v="0"/>
    <x v="0"/>
    <n v="8876"/>
    <n v="1979"/>
    <n v="272"/>
    <n v="52"/>
    <n v="48"/>
    <n v="144"/>
    <n v="26"/>
    <s v="https://www.ge.ch/document/covid-19-situation-epidemiologique-geneve/telecharger"/>
  </r>
  <r>
    <x v="30"/>
    <x v="0"/>
    <x v="19"/>
    <m/>
    <n v="43"/>
    <n v="2"/>
    <m/>
    <m/>
    <m/>
    <n v="0"/>
    <s v="https://www.gl.ch/public/upload/assets/27574/COVID-19_Fallzahlen_Kanton_Glarus.xlsx"/>
  </r>
  <r>
    <x v="30"/>
    <x v="0"/>
    <x v="26"/>
    <m/>
    <n v="433"/>
    <n v="52"/>
    <m/>
    <m/>
    <m/>
    <n v="8"/>
    <s v="https://www.gr.ch/DE/institutionen/verwaltung/djsg/ga/coronavirus/info/Seiten/Start.aspx"/>
  </r>
  <r>
    <x v="30"/>
    <x v="0"/>
    <x v="3"/>
    <m/>
    <n v="100"/>
    <n v="22"/>
    <n v="4"/>
    <m/>
    <m/>
    <n v="0"/>
    <s v="https://www.jura.ch/Htdocs/Files/v/34263.xlsx/Departements/CHA/SIC/Carrousel/Coronavirus/Cornavirus/Chiffres/donnees_27_04.xlsx?download=1"/>
  </r>
  <r>
    <x v="30"/>
    <x v="0"/>
    <x v="13"/>
    <m/>
    <n v="299"/>
    <n v="42"/>
    <n v="9"/>
    <n v="7"/>
    <m/>
    <n v="12"/>
    <s v="https://www.ne.ch/autorites/DFS/SCSP/medecin-cantonal/maladies-vaccinations/Documents/Covid-19-Statistiques/COVID19_PublicationInternet.xlsx"/>
  </r>
  <r>
    <x v="30"/>
    <x v="0"/>
    <x v="20"/>
    <m/>
    <n v="48"/>
    <n v="2"/>
    <m/>
    <m/>
    <m/>
    <m/>
    <s v="http://www.nw.ch/coronastatistik"/>
  </r>
  <r>
    <x v="30"/>
    <x v="0"/>
    <x v="23"/>
    <m/>
    <n v="30"/>
    <m/>
    <m/>
    <m/>
    <m/>
    <m/>
    <s v="https://www.ow.ch/de/verwaltung/dienstleistungen/?dienst_id=5962"/>
  </r>
  <r>
    <x v="30"/>
    <x v="0"/>
    <x v="14"/>
    <m/>
    <n v="306"/>
    <m/>
    <m/>
    <m/>
    <m/>
    <n v="2"/>
    <s v="https://www.sg.ch/tools/informationen-coronavirus.html"/>
  </r>
  <r>
    <x v="30"/>
    <x v="0"/>
    <x v="21"/>
    <m/>
    <n v="36"/>
    <n v="6"/>
    <n v="1"/>
    <m/>
    <m/>
    <n v="0"/>
    <s v="https://sh.ch/CMS/get/file/0779d9a8-e066-4335-95a4-8d2793d317c6"/>
  </r>
  <r>
    <x v="30"/>
    <x v="0"/>
    <x v="15"/>
    <m/>
    <n v="107"/>
    <m/>
    <m/>
    <m/>
    <n v="20"/>
    <n v="0"/>
    <s v="https://www.sz.ch/behoerden/information-medien/medienmitteilungen/coronavirus.html/72-416-412-1379-6948"/>
  </r>
  <r>
    <x v="30"/>
    <x v="0"/>
    <x v="25"/>
    <m/>
    <n v="110"/>
    <m/>
    <m/>
    <m/>
    <m/>
    <n v="1"/>
    <s v="https://www.tg.ch/news/fachdossier-coronavirus.html/10552"/>
  </r>
  <r>
    <x v="30"/>
    <x v="0"/>
    <x v="22"/>
    <m/>
    <n v="38"/>
    <n v="4"/>
    <m/>
    <m/>
    <n v="2"/>
    <m/>
    <s v="https://www.ur.ch/themen/2920"/>
  </r>
  <r>
    <x v="30"/>
    <x v="0"/>
    <x v="8"/>
    <m/>
    <n v="2945"/>
    <n v="325"/>
    <n v="55"/>
    <m/>
    <m/>
    <n v="57"/>
    <s v="https://www.vd.ch/toutes-les-actualites/hotline-et-informations-sur-le-coronavirus/point-de-situation-statistique-dans-le-canton-de-vaud/"/>
  </r>
  <r>
    <x v="30"/>
    <x v="0"/>
    <x v="9"/>
    <m/>
    <n v="874"/>
    <n v="128"/>
    <n v="19"/>
    <n v="17"/>
    <m/>
    <n v="17"/>
    <s v="https://www.vs.ch/documents/6756452/7008787/2020%2004%2027%20Sit%20Epid%20-%20%C3%89tat%20Stand"/>
  </r>
  <r>
    <x v="30"/>
    <x v="27"/>
    <x v="18"/>
    <m/>
    <n v="141"/>
    <m/>
    <m/>
    <m/>
    <m/>
    <n v="1"/>
    <s v="https://corona.so.ch/"/>
  </r>
  <r>
    <x v="30"/>
    <x v="5"/>
    <x v="1"/>
    <m/>
    <n v="1401"/>
    <n v="358"/>
    <n v="60"/>
    <n v="56"/>
    <m/>
    <n v="67"/>
    <s v="https://www4.ti.ch/area-media/comunicati/dettaglio-comunicato/?NEWS_ID=187529&amp;tx_tichareamedia_comunicazioni%5Baction%5D=show&amp;tx_tichareamedia_comunicazioni%5Bcontroller%5D=Comunicazioni&amp;cHash=8ce8f2f412a3bb9022fb4a28c9ad7fa4"/>
  </r>
  <r>
    <x v="30"/>
    <x v="5"/>
    <x v="11"/>
    <m/>
    <n v="87"/>
    <n v="10"/>
    <n v="1"/>
    <m/>
    <n v="18"/>
    <n v="0"/>
    <s v="https://www.zg.ch/behoerden/gesundheitsdirektion/statistikfachstelle/themen/gesundheit/corona"/>
  </r>
  <r>
    <x v="30"/>
    <x v="26"/>
    <x v="5"/>
    <m/>
    <n v="501"/>
    <n v="74"/>
    <n v="8"/>
    <m/>
    <n v="155"/>
    <n v="12"/>
    <s v="https://www.coronavirus.bs.ch/nm/2020-tagesbulletin-coronavirus-505-bestaetigte-faelle-im-kanton-basel-stadt-gd.html"/>
  </r>
  <r>
    <x v="30"/>
    <x v="22"/>
    <x v="16"/>
    <m/>
    <n v="253"/>
    <m/>
    <m/>
    <m/>
    <m/>
    <n v="3"/>
    <s v="https://gesundheit.lu.ch/themen/Humanmedizin/Infektionskrankheiten/Coronavirus"/>
  </r>
  <r>
    <x v="30"/>
    <x v="1"/>
    <x v="4"/>
    <m/>
    <n v="1503"/>
    <n v="156"/>
    <m/>
    <n v="35"/>
    <m/>
    <n v="13"/>
    <s v="https://gd.zh.ch/internet/gesundheitsdirektion/de/themen/coronavirus.html"/>
  </r>
  <r>
    <x v="30"/>
    <x v="4"/>
    <x v="10"/>
    <m/>
    <n v="349"/>
    <n v="38"/>
    <n v="10"/>
    <n v="9"/>
    <m/>
    <n v="2"/>
    <s v="https://www.ag.ch/media/kanton_aargau/themen_1/coronavirus_1/lagebulletins/200326_KFS_Coronavirus_Lagebulletin_20.pdf"/>
  </r>
  <r>
    <x v="30"/>
    <x v="20"/>
    <x v="17"/>
    <m/>
    <n v="42"/>
    <m/>
    <m/>
    <m/>
    <m/>
    <n v="2"/>
    <s v="https://www.ar.ch/verwaltung/departement-gesundheit-und-soziales/amt-fuer-gesundheit/informationsseite-coronavirus/"/>
  </r>
  <r>
    <x v="30"/>
    <x v="9"/>
    <x v="24"/>
    <m/>
    <n v="11"/>
    <m/>
    <m/>
    <m/>
    <m/>
    <m/>
    <s v="https://www.ai.ch/themen/gesundheit-alter-und-soziales/gesundheitsfoerderung-und-praevention/uebertragbare-krankheiten/coronavirus"/>
  </r>
  <r>
    <x v="31"/>
    <x v="0"/>
    <x v="6"/>
    <m/>
    <n v="718"/>
    <m/>
    <m/>
    <m/>
    <m/>
    <n v="8"/>
    <s v="https://www.besondere-lage.sites.be.ch/besondere-lage_sites/de/index/corona/index.html"/>
  </r>
  <r>
    <x v="31"/>
    <x v="0"/>
    <x v="7"/>
    <m/>
    <n v="466"/>
    <n v="79"/>
    <n v="11"/>
    <m/>
    <n v="76"/>
    <n v="5"/>
    <s v="https://www.baselland.ch/politik-und-behorden/direktionen/volkswirtschafts-und-gesundheitsdirektion/amt-fur-gesundheit/medizinische-dienste/kantonsarztlicher-dienst/aktuelles/covid-19-faelle-kanton-basel-landschaft"/>
  </r>
  <r>
    <x v="31"/>
    <x v="0"/>
    <x v="2"/>
    <m/>
    <n v="60"/>
    <m/>
    <m/>
    <m/>
    <m/>
    <m/>
    <s v="https://www.regierung.li/media/attachments/152-regierung-bedankt-sich.pdf?t=637209361840426241"/>
  </r>
  <r>
    <x v="31"/>
    <x v="0"/>
    <x v="12"/>
    <m/>
    <n v="369"/>
    <n v="50"/>
    <n v="8"/>
    <m/>
    <m/>
    <n v="14"/>
    <s v="https://www.fr.ch/sites/default/files/2020-04/statistiques_situation_FR_2804.xlsx"/>
  </r>
  <r>
    <x v="31"/>
    <x v="0"/>
    <x v="0"/>
    <n v="9266"/>
    <n v="2164"/>
    <n v="313"/>
    <n v="54"/>
    <n v="54"/>
    <n v="153"/>
    <n v="33"/>
    <s v="https://www.ge.ch/document/covid-19-situation-epidemiologique-geneve/telecharger"/>
  </r>
  <r>
    <x v="31"/>
    <x v="0"/>
    <x v="19"/>
    <m/>
    <n v="47"/>
    <n v="3"/>
    <m/>
    <m/>
    <m/>
    <n v="0"/>
    <s v="https://www.gl.ch/public/upload/assets/27574/COVID-19_Fallzahlen_Kanton_Glarus.xlsx"/>
  </r>
  <r>
    <x v="31"/>
    <x v="0"/>
    <x v="26"/>
    <m/>
    <n v="474"/>
    <n v="58"/>
    <m/>
    <m/>
    <m/>
    <n v="9"/>
    <s v="https://www.gr.ch/DE/institutionen/verwaltung/djsg/ga/coronavirus/info/Seiten/Start.aspx"/>
  </r>
  <r>
    <x v="31"/>
    <x v="0"/>
    <x v="3"/>
    <m/>
    <n v="114"/>
    <n v="25"/>
    <n v="6"/>
    <m/>
    <m/>
    <n v="0"/>
    <s v="https://www.jura.ch/Htdocs/Files/v/34263.xlsx/Departements/CHA/SIC/Carrousel/Coronavirus/Cornavirus/Chiffres/donnees_27_04.xlsx?download=1"/>
  </r>
  <r>
    <x v="31"/>
    <x v="0"/>
    <x v="13"/>
    <m/>
    <n v="316"/>
    <n v="45"/>
    <n v="9"/>
    <n v="7"/>
    <m/>
    <n v="13"/>
    <s v="https://www.ne.ch/autorites/DFS/SCSP/medecin-cantonal/maladies-vaccinations/Documents/Covid-19-Statistiques/COVID19_PublicationInternet.xlsx"/>
  </r>
  <r>
    <x v="31"/>
    <x v="0"/>
    <x v="20"/>
    <m/>
    <n v="54"/>
    <n v="3"/>
    <m/>
    <m/>
    <m/>
    <m/>
    <s v="http://www.nw.ch/coronastatistik"/>
  </r>
  <r>
    <x v="31"/>
    <x v="0"/>
    <x v="23"/>
    <m/>
    <n v="37"/>
    <m/>
    <m/>
    <m/>
    <m/>
    <m/>
    <s v="https://www.ow.ch/de/verwaltung/dienstleistungen/?dienst_id=5962"/>
  </r>
  <r>
    <x v="31"/>
    <x v="0"/>
    <x v="21"/>
    <m/>
    <n v="37"/>
    <n v="10"/>
    <n v="1"/>
    <m/>
    <m/>
    <n v="0"/>
    <s v="https://sh.ch/CMS/get/file/0779d9a8-e066-4335-95a4-8d2793d317c6"/>
  </r>
  <r>
    <x v="31"/>
    <x v="0"/>
    <x v="15"/>
    <m/>
    <n v="119"/>
    <m/>
    <m/>
    <m/>
    <n v="32"/>
    <n v="1"/>
    <s v="https://www.sz.ch/behoerden/information-medien/medienmitteilungen/coronavirus.html/72-416-412-1379-6948"/>
  </r>
  <r>
    <x v="31"/>
    <x v="0"/>
    <x v="25"/>
    <m/>
    <n v="117"/>
    <m/>
    <m/>
    <m/>
    <m/>
    <n v="2"/>
    <s v="https://www.tg.ch/news/fachdossier-coronavirus.html/10552 &amp; email der Staatskanzlei des Kanton Thurgau"/>
  </r>
  <r>
    <x v="31"/>
    <x v="0"/>
    <x v="22"/>
    <m/>
    <n v="40"/>
    <n v="7"/>
    <m/>
    <m/>
    <n v="3"/>
    <m/>
    <s v="https://www.ur.ch/themen/2920"/>
  </r>
  <r>
    <x v="31"/>
    <x v="0"/>
    <x v="8"/>
    <m/>
    <n v="3179"/>
    <n v="360"/>
    <n v="59"/>
    <m/>
    <m/>
    <n v="61"/>
    <s v="https://www.vd.ch/toutes-les-actualites/hotline-et-informations-sur-le-coronavirus/point-de-situation-statistique-dans-le-canton-de-vaud/"/>
  </r>
  <r>
    <x v="31"/>
    <x v="0"/>
    <x v="9"/>
    <m/>
    <n v="968"/>
    <n v="137"/>
    <n v="20"/>
    <n v="16"/>
    <m/>
    <n v="21"/>
    <s v="https://www.vs.ch/documents/6756452/7008787/2020%2004%2027%20Sit%20Epid%20-%20%C3%89tat%20Stand"/>
  </r>
  <r>
    <x v="31"/>
    <x v="27"/>
    <x v="18"/>
    <m/>
    <n v="157"/>
    <m/>
    <m/>
    <m/>
    <m/>
    <n v="1"/>
    <s v="https://corona.so.ch/"/>
  </r>
  <r>
    <x v="31"/>
    <x v="5"/>
    <x v="1"/>
    <m/>
    <n v="1688"/>
    <n v="386"/>
    <n v="61"/>
    <n v="51"/>
    <m/>
    <n v="76"/>
    <s v="https://www4.ti.ch/area-media/comunicati/dettaglio-comunicato/?NEWS_ID=187533&amp;tx_tichareamedia_comunicazioni%5Baction%5D=show&amp;tx_tichareamedia_comunicazioni%5Bcontroller%5D=Comunicazioni&amp;cHash=0f01b9fd5e63dbb0f6f5cec02aa32b40"/>
  </r>
  <r>
    <x v="31"/>
    <x v="5"/>
    <x v="11"/>
    <m/>
    <n v="94"/>
    <n v="12"/>
    <n v="5"/>
    <m/>
    <n v="18"/>
    <n v="0"/>
    <s v="https://www.zg.ch/behoerden/gesundheitsdirektion/statistikfachstelle/themen/gesundheit/corona"/>
  </r>
  <r>
    <x v="31"/>
    <x v="24"/>
    <x v="5"/>
    <m/>
    <n v="530"/>
    <n v="76"/>
    <n v="8"/>
    <m/>
    <n v="191"/>
    <n v="13"/>
    <s v="https://www.coronavirus.bs.ch/nm/2020-tagesbulletin-coronavirus-534-bestaetigte-faelle-im-kanton-basel-stadt-gd.html"/>
  </r>
  <r>
    <x v="31"/>
    <x v="22"/>
    <x v="16"/>
    <m/>
    <n v="287"/>
    <m/>
    <m/>
    <m/>
    <m/>
    <n v="3"/>
    <s v="https://gesundheit.lu.ch/themen/Humanmedizin/Infektionskrankheiten/Coronavirus"/>
  </r>
  <r>
    <x v="31"/>
    <x v="17"/>
    <x v="17"/>
    <m/>
    <n v="44"/>
    <m/>
    <m/>
    <m/>
    <m/>
    <n v="2"/>
    <s v="https://www.ar.ch/verwaltung/departement-gesundheit-und-soziales/amt-fuer-gesundheit/informationsseite-coronavirus/"/>
  </r>
  <r>
    <x v="31"/>
    <x v="1"/>
    <x v="4"/>
    <m/>
    <n v="1630"/>
    <n v="171"/>
    <m/>
    <n v="38"/>
    <m/>
    <n v="15"/>
    <s v="https://gd.zh.ch/internet/gesundheitsdirektion/de/themen/coronavirus.html"/>
  </r>
  <r>
    <x v="31"/>
    <x v="4"/>
    <x v="10"/>
    <m/>
    <n v="364"/>
    <n v="50"/>
    <n v="12"/>
    <n v="10"/>
    <m/>
    <n v="3"/>
    <s v="https://www.ag.ch/media/kanton_aargau/themen_1/coronavirus_1/lagebulletins/200327_KFS_Coronavirus_Lagebulletin_21.pdf"/>
  </r>
  <r>
    <x v="31"/>
    <x v="9"/>
    <x v="24"/>
    <m/>
    <n v="12"/>
    <m/>
    <m/>
    <m/>
    <m/>
    <m/>
    <s v="https://www.ai.ch/themen/gesundheit-alter-und-soziales/gesundheitsfoerderung-und-praevention/uebertragbare-krankheiten/coronavirus"/>
  </r>
  <r>
    <x v="32"/>
    <x v="0"/>
    <x v="6"/>
    <m/>
    <n v="767"/>
    <m/>
    <m/>
    <m/>
    <m/>
    <n v="9"/>
    <s v="https://www.besondere-lage.sites.be.ch/besondere-lage_sites/de/index/corona/index.html"/>
  </r>
  <r>
    <x v="32"/>
    <x v="0"/>
    <x v="7"/>
    <m/>
    <n v="502"/>
    <n v="75"/>
    <n v="14"/>
    <n v="13"/>
    <n v="100"/>
    <n v="6"/>
    <s v="https://www.baselland.ch/politik-und-behorden/direktionen/volkswirtschafts-und-gesundheitsdirektion/amt-fur-gesundheit/medizinische-dienste/kantonsarztlicher-dienst/aktuelles/covid-19-faelle-kanton-basel-landschaft"/>
  </r>
  <r>
    <x v="32"/>
    <x v="0"/>
    <x v="2"/>
    <m/>
    <n v="61"/>
    <m/>
    <m/>
    <m/>
    <m/>
    <m/>
    <s v="https://www.regierung.li/de/mitteilungen/223346/?typ=news"/>
  </r>
  <r>
    <x v="32"/>
    <x v="0"/>
    <x v="12"/>
    <m/>
    <n v="421"/>
    <n v="67"/>
    <n v="12"/>
    <m/>
    <m/>
    <n v="15"/>
    <s v="https://www.fr.ch/sites/default/files/2020-04/statistiques_situation_FR_2804.xlsx"/>
  </r>
  <r>
    <x v="32"/>
    <x v="0"/>
    <x v="0"/>
    <n v="9859"/>
    <n v="2360"/>
    <n v="339"/>
    <n v="59"/>
    <n v="54"/>
    <n v="175"/>
    <n v="41"/>
    <s v="https://www.ge.ch/document/covid-19-situation-epidemiologique-geneve/telecharger"/>
  </r>
  <r>
    <x v="32"/>
    <x v="0"/>
    <x v="19"/>
    <m/>
    <n v="47"/>
    <n v="3"/>
    <m/>
    <m/>
    <m/>
    <n v="1"/>
    <s v="https://www.gl.ch/public/upload/assets/27574/COVID-19_Fallzahlen_Kanton_Glarus.xlsx"/>
  </r>
  <r>
    <x v="32"/>
    <x v="0"/>
    <x v="26"/>
    <m/>
    <n v="495"/>
    <n v="63"/>
    <m/>
    <m/>
    <m/>
    <n v="12"/>
    <s v="https://www.gr.ch/DE/institutionen/verwaltung/djsg/ga/coronavirus/info/Seiten/Start.aspx"/>
  </r>
  <r>
    <x v="32"/>
    <x v="0"/>
    <x v="3"/>
    <m/>
    <n v="119"/>
    <n v="27"/>
    <n v="5"/>
    <m/>
    <m/>
    <n v="0"/>
    <s v="https://www.jura.ch/Htdocs/Files/v/34263.xlsx/Departements/CHA/SIC/Carrousel/Coronavirus/Cornavirus/Chiffres/donnees_27_04.xlsx?download=1"/>
  </r>
  <r>
    <x v="32"/>
    <x v="0"/>
    <x v="13"/>
    <m/>
    <n v="337"/>
    <n v="50"/>
    <n v="11"/>
    <n v="8"/>
    <m/>
    <n v="15"/>
    <s v="https://www.ne.ch/autorites/DFS/SCSP/medecin-cantonal/maladies-vaccinations/Documents/Covid-19-Statistiques/COVID19_PublicationInternet.xlsx"/>
  </r>
  <r>
    <x v="32"/>
    <x v="0"/>
    <x v="20"/>
    <m/>
    <n v="55"/>
    <n v="4"/>
    <m/>
    <m/>
    <m/>
    <m/>
    <s v="http://www.nw.ch/coronastatistik"/>
  </r>
  <r>
    <x v="32"/>
    <x v="0"/>
    <x v="14"/>
    <m/>
    <n v="339"/>
    <m/>
    <m/>
    <m/>
    <m/>
    <n v="5"/>
    <s v="https://www.sg.ch/tools/informationen-coronavirus.html"/>
  </r>
  <r>
    <x v="32"/>
    <x v="0"/>
    <x v="21"/>
    <m/>
    <n v="40"/>
    <n v="14"/>
    <n v="1"/>
    <m/>
    <m/>
    <n v="0"/>
    <s v="https://sh.ch/CMS/get/file/0779d9a8-e066-4335-95a4-8d2793d317c6"/>
  </r>
  <r>
    <x v="32"/>
    <x v="0"/>
    <x v="15"/>
    <m/>
    <n v="122"/>
    <m/>
    <m/>
    <m/>
    <n v="33"/>
    <n v="1"/>
    <s v="https://www.sz.ch/behoerden/information-medien/medienmitteilungen/coronavirus.html/72-416-412-1379-6948"/>
  </r>
  <r>
    <x v="32"/>
    <x v="0"/>
    <x v="25"/>
    <m/>
    <n v="134"/>
    <m/>
    <m/>
    <m/>
    <m/>
    <n v="2"/>
    <s v="https://www.tg.ch/news/fachdossier-coronavirus.html/10552"/>
  </r>
  <r>
    <x v="32"/>
    <x v="0"/>
    <x v="22"/>
    <m/>
    <n v="48"/>
    <n v="7"/>
    <m/>
    <m/>
    <n v="3"/>
    <m/>
    <s v="https://www.ur.ch/themen/2920"/>
  </r>
  <r>
    <x v="32"/>
    <x v="0"/>
    <x v="8"/>
    <m/>
    <n v="3310"/>
    <n v="369"/>
    <n v="61"/>
    <m/>
    <m/>
    <n v="72"/>
    <s v="https://www.vd.ch/toutes-les-actualites/hotline-et-informations-sur-le-coronavirus/point-de-situation-statistique-dans-le-canton-de-vaud/"/>
  </r>
  <r>
    <x v="32"/>
    <x v="0"/>
    <x v="9"/>
    <m/>
    <n v="1017"/>
    <n v="142"/>
    <n v="21"/>
    <n v="19"/>
    <m/>
    <n v="25"/>
    <s v="https://www.vs.ch/documents/6756452/7008787/2020%2004%2027%20Sit%20Epid%20-%20%C3%89tat%20Stand"/>
  </r>
  <r>
    <x v="32"/>
    <x v="27"/>
    <x v="18"/>
    <m/>
    <n v="173"/>
    <m/>
    <m/>
    <m/>
    <m/>
    <n v="1"/>
    <s v="https://corona.so.ch/"/>
  </r>
  <r>
    <x v="32"/>
    <x v="5"/>
    <x v="17"/>
    <m/>
    <n v="45"/>
    <m/>
    <m/>
    <m/>
    <m/>
    <n v="2"/>
    <s v="https://www.ar.ch/verwaltung/departement-gesundheit-und-soziales/amt-fuer-gesundheit/informationsseite-coronavirus/"/>
  </r>
  <r>
    <x v="32"/>
    <x v="5"/>
    <x v="1"/>
    <m/>
    <n v="1727"/>
    <n v="385"/>
    <n v="69"/>
    <n v="60"/>
    <m/>
    <n v="87"/>
    <s v="https://www4.ti.ch/area-media/comunicati/dettaglio-comunicato/?NEWS_ID=187538&amp;tx_tichareamedia_comunicazioni%5Baction%5D=show&amp;tx_tichareamedia_comunicazioni%5Bcontroller%5D=Comunicazioni&amp;cHash=736a7f1a780ed9bdb1d8e45f8a0326ff"/>
  </r>
  <r>
    <x v="32"/>
    <x v="5"/>
    <x v="11"/>
    <m/>
    <n v="101"/>
    <n v="12"/>
    <n v="5"/>
    <m/>
    <n v="21"/>
    <n v="1"/>
    <s v="https://www.zg.ch/behoerden/gesundheitsdirektion/statistikfachstelle/themen/gesundheit/corona"/>
  </r>
  <r>
    <x v="32"/>
    <x v="24"/>
    <x v="5"/>
    <m/>
    <n v="569"/>
    <n v="79"/>
    <n v="11"/>
    <m/>
    <n v="211"/>
    <n v="13"/>
    <s v="https://www.coronavirus.bs.ch/nm/2020-tagesbulletin-coronavirus-573-bestaetigte-faelle-im-kanton-basel-stadt-gd.html"/>
  </r>
  <r>
    <x v="32"/>
    <x v="22"/>
    <x v="16"/>
    <m/>
    <n v="317"/>
    <m/>
    <m/>
    <m/>
    <m/>
    <n v="4"/>
    <s v="https://gesundheit.lu.ch/themen/Humanmedizin/Infektionskrankheiten/Coronavirus"/>
  </r>
  <r>
    <x v="32"/>
    <x v="1"/>
    <x v="4"/>
    <m/>
    <n v="1704"/>
    <n v="187"/>
    <m/>
    <n v="42"/>
    <m/>
    <n v="19"/>
    <s v="https://gd.zh.ch/internet/gesundheitsdirektion/de/themen/coronavirus.html"/>
  </r>
  <r>
    <x v="32"/>
    <x v="9"/>
    <x v="24"/>
    <m/>
    <n v="13"/>
    <m/>
    <m/>
    <m/>
    <m/>
    <m/>
    <s v="https://www.ai.ch/themen/gesundheit-alter-und-soziales/gesundheitsfoerderung-und-praevention/uebertragbare-krankheiten/coronavirus"/>
  </r>
  <r>
    <x v="33"/>
    <x v="0"/>
    <x v="6"/>
    <m/>
    <n v="798"/>
    <m/>
    <m/>
    <m/>
    <m/>
    <n v="10"/>
    <s v="https://www.besondere-lage.sites.be.ch/besondere-lage_sites/de/index/corona/index.html"/>
  </r>
  <r>
    <x v="33"/>
    <x v="0"/>
    <x v="7"/>
    <m/>
    <n v="511"/>
    <n v="99"/>
    <n v="15"/>
    <n v="14"/>
    <n v="115"/>
    <n v="6"/>
    <s v="https://www.baselland.ch/politik-und-behorden/direktionen/volkswirtschafts-und-gesundheitsdirektion/amt-fur-gesundheit/medizinische-dienste/kantonsarztlicher-dienst/aktuelles/covid-19-faelle-kanton-basel-landschaft"/>
  </r>
  <r>
    <x v="33"/>
    <x v="0"/>
    <x v="2"/>
    <m/>
    <n v="62"/>
    <m/>
    <m/>
    <m/>
    <m/>
    <m/>
    <s v="https://www.regierung.li/de/mitteilungen/223347/?typ=news"/>
  </r>
  <r>
    <x v="33"/>
    <x v="0"/>
    <x v="12"/>
    <m/>
    <n v="442"/>
    <n v="76"/>
    <n v="13"/>
    <m/>
    <m/>
    <n v="15"/>
    <s v="https://www.fr.ch/sites/default/files/2020-04/statistiques_situation_FR_2804.xlsx"/>
  </r>
  <r>
    <x v="33"/>
    <x v="0"/>
    <x v="0"/>
    <n v="10168"/>
    <n v="2466"/>
    <n v="365"/>
    <n v="59"/>
    <n v="55"/>
    <n v="193"/>
    <n v="49"/>
    <s v="https://www.ge.ch/document/covid-19-situation-epidemiologique-geneve/telecharger"/>
  </r>
  <r>
    <x v="33"/>
    <x v="0"/>
    <x v="19"/>
    <m/>
    <n v="50"/>
    <n v="2"/>
    <m/>
    <m/>
    <m/>
    <n v="1"/>
    <s v="https://www.gl.ch/public/upload/assets/27574/COVID-19_Fallzahlen_Kanton_Glarus.xlsx"/>
  </r>
  <r>
    <x v="33"/>
    <x v="0"/>
    <x v="26"/>
    <m/>
    <n v="519"/>
    <n v="63"/>
    <m/>
    <m/>
    <m/>
    <n v="15"/>
    <s v="https://www.gr.ch/DE/institutionen/verwaltung/djsg/ga/coronavirus/info/Seiten/Start.aspx"/>
  </r>
  <r>
    <x v="33"/>
    <x v="0"/>
    <x v="3"/>
    <m/>
    <n v="127"/>
    <n v="28"/>
    <n v="5"/>
    <m/>
    <m/>
    <n v="0"/>
    <s v="https://www.jura.ch/Htdocs/Files/v/34263.xlsx/Departements/CHA/SIC/Carrousel/Coronavirus/Cornavirus/Chiffres/donnees_27_04.xlsx?download=1"/>
  </r>
  <r>
    <x v="33"/>
    <x v="0"/>
    <x v="13"/>
    <m/>
    <n v="346"/>
    <n v="60"/>
    <n v="16"/>
    <n v="6"/>
    <m/>
    <n v="18"/>
    <s v="https://www.ne.ch/autorites/DFS/SCSP/medecin-cantonal/maladies-vaccinations/Documents/Covid-19-Statistiques/COVID19_PublicationInternet.xlsx"/>
  </r>
  <r>
    <x v="33"/>
    <x v="0"/>
    <x v="20"/>
    <m/>
    <n v="59"/>
    <n v="4"/>
    <m/>
    <m/>
    <m/>
    <m/>
    <s v="http://www.nw.ch/coronastatistik"/>
  </r>
  <r>
    <x v="33"/>
    <x v="0"/>
    <x v="14"/>
    <m/>
    <n v="365"/>
    <m/>
    <m/>
    <m/>
    <m/>
    <n v="5"/>
    <s v="https://www.sg.ch/tools/informationen-coronavirus.html"/>
  </r>
  <r>
    <x v="33"/>
    <x v="0"/>
    <x v="21"/>
    <m/>
    <n v="41"/>
    <n v="15"/>
    <n v="1"/>
    <m/>
    <m/>
    <n v="0"/>
    <s v="https://sh.ch/CMS/get/file/0779d9a8-e066-4335-95a4-8d2793d317c6"/>
  </r>
  <r>
    <x v="33"/>
    <x v="0"/>
    <x v="15"/>
    <m/>
    <n v="128"/>
    <m/>
    <m/>
    <m/>
    <n v="33"/>
    <n v="2"/>
    <s v="https://www.sz.ch/behoerden/information-medien/medienmitteilungen/coronavirus.html/72-416-412-1379-6948"/>
  </r>
  <r>
    <x v="33"/>
    <x v="0"/>
    <x v="25"/>
    <m/>
    <n v="138"/>
    <m/>
    <m/>
    <m/>
    <m/>
    <n v="2"/>
    <s v="https://www.tg.ch/news/fachdossier-coronavirus.html/10552"/>
  </r>
  <r>
    <x v="33"/>
    <x v="0"/>
    <x v="22"/>
    <m/>
    <n v="50"/>
    <n v="7"/>
    <m/>
    <m/>
    <n v="3"/>
    <m/>
    <s v="https://www.ur.ch/themen/2920"/>
  </r>
  <r>
    <x v="33"/>
    <x v="0"/>
    <x v="8"/>
    <m/>
    <n v="3395"/>
    <n v="371"/>
    <n v="62"/>
    <m/>
    <m/>
    <n v="81"/>
    <s v="https://www.vd.ch/toutes-les-actualites/hotline-et-informations-sur-le-coronavirus/point-de-situation-statistique-dans-le-canton-de-vaud/"/>
  </r>
  <r>
    <x v="33"/>
    <x v="0"/>
    <x v="9"/>
    <m/>
    <n v="1055"/>
    <n v="152"/>
    <n v="22"/>
    <n v="21"/>
    <m/>
    <n v="31"/>
    <s v="https://www.vs.ch/documents/6756452/7008787/2020%2004%2027%20Sit%20Epid%20-%20%C3%89tat%20Stand"/>
  </r>
  <r>
    <x v="33"/>
    <x v="27"/>
    <x v="18"/>
    <m/>
    <n v="190"/>
    <m/>
    <m/>
    <m/>
    <m/>
    <n v="2"/>
    <s v="https://corona.so.ch/"/>
  </r>
  <r>
    <x v="33"/>
    <x v="5"/>
    <x v="17"/>
    <m/>
    <n v="48"/>
    <m/>
    <m/>
    <m/>
    <m/>
    <n v="2"/>
    <s v="https://www.ar.ch/verwaltung/departement-gesundheit-und-soziales/amt-fuer-gesundheit/informationsseite-coronavirus/"/>
  </r>
  <r>
    <x v="33"/>
    <x v="5"/>
    <x v="1"/>
    <m/>
    <n v="1837"/>
    <n v="402"/>
    <n v="69"/>
    <n v="59"/>
    <m/>
    <n v="93"/>
    <s v="https://www4.ti.ch/area-media/comunicati/dettaglio-comunicato/?NEWS_ID=187540&amp;tx_tichareamedia_comunicazioni%5Baction%5D=show&amp;tx_tichareamedia_comunicazioni%5Bcontroller%5D=Comunicazioni&amp;cHash=ae32268e60ac2b59add1b9d55de51cbf"/>
  </r>
  <r>
    <x v="33"/>
    <x v="5"/>
    <x v="11"/>
    <m/>
    <n v="101"/>
    <n v="12"/>
    <n v="5"/>
    <m/>
    <n v="21"/>
    <n v="1"/>
    <s v="https://www.zg.ch/behoerden/gesundheitsdirektion/statistikfachstelle/themen/gesundheit/corona"/>
  </r>
  <r>
    <x v="33"/>
    <x v="24"/>
    <x v="5"/>
    <m/>
    <n v="605"/>
    <n v="87"/>
    <n v="12"/>
    <m/>
    <n v="228"/>
    <n v="15"/>
    <s v="https://www.coronavirus.bs.ch/nm/2020-tagesbulletin-coronavirus-609-bestaetigte-faelle-im-kanton-basel-stadt-gd.html"/>
  </r>
  <r>
    <x v="33"/>
    <x v="22"/>
    <x v="16"/>
    <m/>
    <n v="339"/>
    <m/>
    <m/>
    <m/>
    <m/>
    <n v="5"/>
    <s v="https://gesundheit.lu.ch/themen/Humanmedizin/Infektionskrankheiten/Coronavirus"/>
  </r>
  <r>
    <x v="33"/>
    <x v="1"/>
    <x v="4"/>
    <m/>
    <n v="1736"/>
    <n v="194"/>
    <m/>
    <n v="46"/>
    <m/>
    <n v="22"/>
    <s v="https://gd.zh.ch/internet/gesundheitsdirektion/de/themen/coronavirus.html"/>
  </r>
  <r>
    <x v="34"/>
    <x v="0"/>
    <x v="7"/>
    <m/>
    <n v="539"/>
    <n v="86"/>
    <n v="17"/>
    <n v="16"/>
    <n v="158"/>
    <n v="7"/>
    <s v="https://www.baselland.ch/politik-und-behorden/direktionen/volkswirtschafts-und-gesundheitsdirektion/amt-fur-gesundheit/medizinische-dienste/kantonsarztlicher-dienst/aktuelles/covid-19-faelle-kanton-basel-landschaft"/>
  </r>
  <r>
    <x v="34"/>
    <x v="0"/>
    <x v="2"/>
    <m/>
    <n v="64"/>
    <m/>
    <m/>
    <m/>
    <m/>
    <m/>
    <s v="https://www.regierung.li/de/mitteilungen/223349/?typ=newss"/>
  </r>
  <r>
    <x v="34"/>
    <x v="0"/>
    <x v="12"/>
    <m/>
    <n v="477"/>
    <n v="77"/>
    <n v="16"/>
    <m/>
    <m/>
    <n v="17"/>
    <s v="https://www.fr.ch/sites/default/files/2020-04/statistiques_situation_FR_2804.xlsx"/>
  </r>
  <r>
    <x v="34"/>
    <x v="0"/>
    <x v="0"/>
    <n v="10834"/>
    <n v="2673"/>
    <n v="382"/>
    <n v="57"/>
    <n v="54"/>
    <n v="216"/>
    <n v="59"/>
    <s v="https://www.ge.ch/document/covid-19-situation-epidemiologique-geneve/telecharger"/>
  </r>
  <r>
    <x v="34"/>
    <x v="0"/>
    <x v="19"/>
    <m/>
    <n v="51"/>
    <n v="3"/>
    <m/>
    <m/>
    <m/>
    <n v="2"/>
    <s v="https://www.gl.ch/public/upload/assets/27574/COVID-19_Fallzahlen_Kanton_Glarus.xlsx"/>
  </r>
  <r>
    <x v="34"/>
    <x v="0"/>
    <x v="26"/>
    <m/>
    <n v="535"/>
    <n v="58"/>
    <m/>
    <m/>
    <m/>
    <n v="19"/>
    <s v="https://www.gr.ch/DE/institutionen/verwaltung/djsg/ga/coronavirus/info/Seiten/Start.aspx"/>
  </r>
  <r>
    <x v="34"/>
    <x v="0"/>
    <x v="3"/>
    <m/>
    <n v="128"/>
    <n v="28"/>
    <n v="5"/>
    <m/>
    <m/>
    <n v="0"/>
    <s v="https://www.jura.ch/Htdocs/Files/v/34263.xlsx/Departements/CHA/SIC/Carrousel/Coronavirus/Cornavirus/Chiffres/donnees_27_04.xlsx?download=1"/>
  </r>
  <r>
    <x v="34"/>
    <x v="0"/>
    <x v="13"/>
    <m/>
    <n v="378"/>
    <n v="57"/>
    <n v="12"/>
    <n v="6"/>
    <m/>
    <n v="20"/>
    <s v="https://www.ne.ch/autorites/DFS/SCSP/medecin-cantonal/maladies-vaccinations/Documents/Covid-19-Statistiques/COVID19_PublicationInternet.xlsx"/>
  </r>
  <r>
    <x v="34"/>
    <x v="0"/>
    <x v="20"/>
    <m/>
    <n v="63"/>
    <n v="8"/>
    <m/>
    <m/>
    <m/>
    <m/>
    <s v="http://www.nw.ch/coronastatistik"/>
  </r>
  <r>
    <x v="34"/>
    <x v="0"/>
    <x v="23"/>
    <m/>
    <n v="46"/>
    <m/>
    <m/>
    <m/>
    <m/>
    <m/>
    <s v="https://www.ow.ch/de/verwaltung/dienstleistungen/?dienst_id=5962"/>
  </r>
  <r>
    <x v="34"/>
    <x v="0"/>
    <x v="14"/>
    <m/>
    <n v="389"/>
    <m/>
    <m/>
    <m/>
    <m/>
    <n v="5"/>
    <s v="https://www.sg.ch/tools/informationen-coronavirus.html"/>
  </r>
  <r>
    <x v="34"/>
    <x v="0"/>
    <x v="21"/>
    <m/>
    <n v="42"/>
    <n v="19"/>
    <n v="3"/>
    <m/>
    <m/>
    <n v="0"/>
    <s v="https://sh.ch/CMS/get/file/0779d9a8-e066-4335-95a4-8d2793d317c6"/>
  </r>
  <r>
    <x v="34"/>
    <x v="0"/>
    <x v="15"/>
    <m/>
    <n v="135"/>
    <m/>
    <m/>
    <m/>
    <n v="33"/>
    <n v="2"/>
    <s v="https://www.sz.ch/behoerden/information-medien/medienmitteilungen/coronavirus.html/72-416-412-1379-6948"/>
  </r>
  <r>
    <x v="34"/>
    <x v="0"/>
    <x v="25"/>
    <m/>
    <n v="148"/>
    <m/>
    <m/>
    <m/>
    <m/>
    <n v="2"/>
    <s v="https://www.tg.ch/news/fachdossier-coronavirus.html/10552"/>
  </r>
  <r>
    <x v="34"/>
    <x v="0"/>
    <x v="22"/>
    <m/>
    <n v="53"/>
    <n v="7"/>
    <m/>
    <m/>
    <n v="9"/>
    <m/>
    <s v="https://www.ur.ch/themen/2920"/>
  </r>
  <r>
    <x v="34"/>
    <x v="0"/>
    <x v="8"/>
    <m/>
    <n v="3607"/>
    <n v="374"/>
    <n v="65"/>
    <m/>
    <m/>
    <n v="93"/>
    <s v="https://www.vd.ch/toutes-les-actualites/hotline-et-informations-sur-le-coronavirus/point-de-situation-statistique-dans-le-canton-de-vaud/"/>
  </r>
  <r>
    <x v="34"/>
    <x v="0"/>
    <x v="9"/>
    <m/>
    <n v="1144"/>
    <n v="152"/>
    <n v="25"/>
    <n v="23"/>
    <m/>
    <n v="35"/>
    <s v="https://www.vs.ch/documents/6756452/7008787/2020%2004%2027%20Sit%20Epid%20-%20%C3%89tat%20Stand"/>
  </r>
  <r>
    <x v="34"/>
    <x v="30"/>
    <x v="6"/>
    <m/>
    <n v="826"/>
    <n v="112"/>
    <n v="21"/>
    <n v="17"/>
    <m/>
    <n v="13"/>
    <s v="https://www.besondere-lage.sites.be.ch/besondere-lage_sites/de/index/corona/index.html"/>
  </r>
  <r>
    <x v="34"/>
    <x v="5"/>
    <x v="1"/>
    <m/>
    <n v="1962"/>
    <n v="415"/>
    <n v="75"/>
    <n v="61"/>
    <m/>
    <n v="105"/>
    <s v="https://www4.ti.ch/area-media/comunicati/dettaglio-comunicato/?NEWS_ID=187546&amp;tx_tichareamedia_comunicazioni%5Baction%5D=show&amp;tx_tichareamedia_comunicazioni%5Bcontroller%5D=Comunicazioni&amp;cHash=1465eace9ac68357130a7327d0c9b8f9"/>
  </r>
  <r>
    <x v="34"/>
    <x v="5"/>
    <x v="11"/>
    <m/>
    <n v="112"/>
    <n v="13"/>
    <n v="5"/>
    <m/>
    <n v="29"/>
    <n v="1"/>
    <s v="https://www.zg.ch/behoerden/gesundheitsdirektion/statistikfachstelle/themen/gesundheit/corona"/>
  </r>
  <r>
    <x v="34"/>
    <x v="24"/>
    <x v="5"/>
    <m/>
    <n v="617"/>
    <n v="90"/>
    <n v="12"/>
    <m/>
    <n v="263"/>
    <n v="15"/>
    <s v="https://www.coronavirus.bs.ch/nm/2020-tagesbulletin-coronavirus-621-bestaetigte-faelle-im-kanton-basel-stadt-gd.html"/>
  </r>
  <r>
    <x v="34"/>
    <x v="22"/>
    <x v="16"/>
    <m/>
    <n v="351"/>
    <m/>
    <m/>
    <m/>
    <m/>
    <n v="6"/>
    <s v="https://gesundheit.lu.ch/themen/Humanmedizin/Infektionskrankheiten/Coronavirus"/>
  </r>
  <r>
    <x v="34"/>
    <x v="13"/>
    <x v="24"/>
    <m/>
    <n v="14"/>
    <m/>
    <m/>
    <m/>
    <m/>
    <m/>
    <s v="https://www.ai.ch/themen/gesundheit-alter-und-soziales/gesundheitsfoerderung-und-praevention/uebertragbare-krankheiten/coronavirus"/>
  </r>
  <r>
    <x v="34"/>
    <x v="1"/>
    <x v="4"/>
    <m/>
    <n v="1862"/>
    <n v="197"/>
    <m/>
    <n v="46"/>
    <m/>
    <n v="24"/>
    <s v="https://gd.zh.ch/internet/gesundheitsdirektion/de/themen/coronavirus.html"/>
  </r>
  <r>
    <x v="34"/>
    <x v="4"/>
    <x v="10"/>
    <m/>
    <n v="481"/>
    <n v="94"/>
    <n v="25"/>
    <n v="23"/>
    <m/>
    <n v="8"/>
    <s v="https://www.ag.ch/media/kanton_aargau/themen_1/coronavirus_1/lagebulletins/200330_KFS_Coronavirus_Lagebulletin_22.pdf"/>
  </r>
  <r>
    <x v="34"/>
    <x v="9"/>
    <x v="17"/>
    <m/>
    <n v="50"/>
    <m/>
    <m/>
    <m/>
    <m/>
    <n v="2"/>
    <s v="https://www.ar.ch/verwaltung/departement-gesundheit-und-soziales/amt-fuer-gesundheit/informationsseite-coronavirus/"/>
  </r>
  <r>
    <x v="35"/>
    <x v="0"/>
    <x v="7"/>
    <m/>
    <n v="561"/>
    <n v="88"/>
    <n v="18"/>
    <n v="16"/>
    <n v="242"/>
    <n v="10"/>
    <s v="https://www.baselland.ch/politik-und-behorden/direktionen/volkswirtschafts-und-gesundheitsdirektion/amt-fur-gesundheit/medizinische-dienste/kantonsarztlicher-dienst/aktuelles/covid-19-faelle-kanton-basel-landschaft"/>
  </r>
  <r>
    <x v="35"/>
    <x v="0"/>
    <x v="2"/>
    <m/>
    <n v="68"/>
    <m/>
    <m/>
    <m/>
    <m/>
    <m/>
    <s v="https://www.regierung.li/media/attachments/160-coronavirus-68-personen-positiv.pdf?t=637212737830081294"/>
  </r>
  <r>
    <x v="35"/>
    <x v="0"/>
    <x v="12"/>
    <m/>
    <n v="491"/>
    <n v="77"/>
    <n v="20"/>
    <m/>
    <m/>
    <n v="20"/>
    <s v="https://www.fr.ch/sites/default/files/2020-04/statistiques_situation_FR_2804.xlsx"/>
  </r>
  <r>
    <x v="35"/>
    <x v="0"/>
    <x v="0"/>
    <n v="11594"/>
    <n v="2902"/>
    <n v="405"/>
    <n v="64"/>
    <n v="49"/>
    <n v="241"/>
    <n v="67"/>
    <s v="https://www.ge.ch/document/covid-19-situation-epidemiologique-geneve/telecharger"/>
  </r>
  <r>
    <x v="35"/>
    <x v="0"/>
    <x v="19"/>
    <m/>
    <n v="53"/>
    <n v="5"/>
    <m/>
    <m/>
    <m/>
    <n v="2"/>
    <s v="https://www.gl.ch/public/upload/assets/27574/COVID-19_Fallzahlen_Kanton_Glarus.xlsx"/>
  </r>
  <r>
    <x v="35"/>
    <x v="0"/>
    <x v="26"/>
    <m/>
    <n v="547"/>
    <n v="58"/>
    <m/>
    <m/>
    <m/>
    <n v="23"/>
    <s v="https://www.gr.ch/DE/institutionen/verwaltung/djsg/ga/coronavirus/info/Seiten/Start.aspx"/>
  </r>
  <r>
    <x v="35"/>
    <x v="0"/>
    <x v="3"/>
    <m/>
    <n v="140"/>
    <n v="29"/>
    <n v="5"/>
    <m/>
    <m/>
    <n v="0"/>
    <s v="https://www.jura.ch/Htdocs/Files/v/34263.xlsx/Departements/CHA/SIC/Carrousel/Coronavirus/Cornavirus/Chiffres/donnees_27_04.xlsx?download=1"/>
  </r>
  <r>
    <x v="35"/>
    <x v="0"/>
    <x v="13"/>
    <m/>
    <n v="402"/>
    <n v="59"/>
    <n v="14"/>
    <n v="8"/>
    <m/>
    <n v="22"/>
    <s v="https://www.ne.ch/autorites/DFS/SCSP/medecin-cantonal/maladies-vaccinations/Documents/Covid-19-Statistiques/COVID19_PublicationInternet.xlsx"/>
  </r>
  <r>
    <x v="35"/>
    <x v="0"/>
    <x v="20"/>
    <m/>
    <n v="70"/>
    <n v="7"/>
    <n v="1"/>
    <m/>
    <m/>
    <m/>
    <s v="http://www.nw.ch/coronastatistik"/>
  </r>
  <r>
    <x v="35"/>
    <x v="0"/>
    <x v="23"/>
    <m/>
    <n v="46"/>
    <m/>
    <m/>
    <m/>
    <m/>
    <m/>
    <s v="https://www.ow.ch/de/verwaltung/dienstleistungen/?dienst_id=5962"/>
  </r>
  <r>
    <x v="35"/>
    <x v="0"/>
    <x v="14"/>
    <m/>
    <n v="414"/>
    <m/>
    <m/>
    <m/>
    <m/>
    <n v="7"/>
    <s v="https://www.sg.ch/tools/informationen-coronavirus.html"/>
  </r>
  <r>
    <x v="35"/>
    <x v="0"/>
    <x v="21"/>
    <m/>
    <n v="44"/>
    <n v="18"/>
    <n v="3"/>
    <m/>
    <m/>
    <n v="1"/>
    <s v="https://sh.ch/CMS/get/file/0779d9a8-e066-4335-95a4-8d2793d317c6"/>
  </r>
  <r>
    <x v="35"/>
    <x v="0"/>
    <x v="15"/>
    <m/>
    <n v="140"/>
    <m/>
    <m/>
    <m/>
    <n v="48"/>
    <n v="4"/>
    <s v="https://www.sz.ch/behoerden/information-medien/medienmitteilungen/coronavirus.html/72-416-412-1379-6948"/>
  </r>
  <r>
    <x v="35"/>
    <x v="0"/>
    <x v="25"/>
    <m/>
    <n v="154"/>
    <m/>
    <m/>
    <m/>
    <m/>
    <n v="3"/>
    <s v="https://www.tg.ch/news/fachdossier-coronavirus.html/10552"/>
  </r>
  <r>
    <x v="35"/>
    <x v="0"/>
    <x v="22"/>
    <m/>
    <n v="57"/>
    <n v="9"/>
    <m/>
    <m/>
    <n v="11"/>
    <m/>
    <s v="https://www.ur.ch/themen/2920"/>
  </r>
  <r>
    <x v="35"/>
    <x v="0"/>
    <x v="8"/>
    <m/>
    <n v="3766"/>
    <n v="382"/>
    <n v="68"/>
    <m/>
    <m/>
    <n v="105"/>
    <s v="https://www.vd.ch/toutes-les-actualites/hotline-et-informations-sur-le-coronavirus/point-de-situation-statistique-dans-le-canton-de-vaud/"/>
  </r>
  <r>
    <x v="35"/>
    <x v="0"/>
    <x v="9"/>
    <m/>
    <n v="1211"/>
    <n v="151"/>
    <n v="24"/>
    <n v="23"/>
    <m/>
    <n v="37"/>
    <s v="https://www.vs.ch/documents/6756452/7008787/2020%2004%2027%20Sit%20Epid%20-%20%C3%89tat%20Stand"/>
  </r>
  <r>
    <x v="35"/>
    <x v="27"/>
    <x v="18"/>
    <m/>
    <n v="196"/>
    <m/>
    <m/>
    <m/>
    <m/>
    <n v="2"/>
    <s v="https://corona.so.ch/index.php?id=27979"/>
  </r>
  <r>
    <x v="35"/>
    <x v="5"/>
    <x v="6"/>
    <m/>
    <n v="856"/>
    <n v="111"/>
    <n v="23"/>
    <n v="18"/>
    <m/>
    <n v="16"/>
    <s v="https://www.besondere-lage.sites.be.ch/besondere-lage_sites/de/index/corona/index.html"/>
  </r>
  <r>
    <x v="35"/>
    <x v="5"/>
    <x v="1"/>
    <m/>
    <n v="2091"/>
    <n v="401"/>
    <n v="74"/>
    <n v="67"/>
    <n v="202"/>
    <n v="120"/>
    <s v="https://www4.ti.ch/area-media/comunicati/dettaglio-comunicato/?NEWS_ID=187550&amp;tx_tichareamedia_comunicazioni%5Baction%5D=show&amp;tx_tichareamedia_comunicazioni%5Bcontroller%5D=Comunicazioni&amp;cHash=007dc1182450e5b85ee4f533dfdcd6e3"/>
  </r>
  <r>
    <x v="35"/>
    <x v="5"/>
    <x v="11"/>
    <m/>
    <n v="114"/>
    <n v="14"/>
    <n v="6"/>
    <m/>
    <n v="39"/>
    <n v="1"/>
    <s v="https://www.zg.ch/behoerden/gesundheitsdirektion/statistikfachstelle/themen/gesundheit/corona"/>
  </r>
  <r>
    <x v="35"/>
    <x v="24"/>
    <x v="5"/>
    <m/>
    <n v="653"/>
    <n v="105"/>
    <n v="15"/>
    <m/>
    <n v="292"/>
    <n v="16"/>
    <s v="https://www.coronavirus.bs.ch/nm/2020-tagesbulletin-coronavirus-628-bestaetigte-faelle-im-kanton-basel-stadt-gd.html https://www.coronavirus.bs.ch/nm/2020-tagesbulletin-coronavirus-691-bestaetigte-faelle-im-kanton-basel-stadt-gd.html"/>
  </r>
  <r>
    <x v="35"/>
    <x v="22"/>
    <x v="16"/>
    <m/>
    <n v="375"/>
    <m/>
    <m/>
    <m/>
    <m/>
    <n v="7"/>
    <s v="https://gesundheit.lu.ch/themen/Humanmedizin/Infektionskrankheiten/Coronavirus"/>
  </r>
  <r>
    <x v="35"/>
    <x v="13"/>
    <x v="24"/>
    <m/>
    <n v="14"/>
    <m/>
    <m/>
    <m/>
    <m/>
    <m/>
    <s v="https://www.ai.ch/themen/gesundheit-alter-und-soziales/gesundheitsfoerderung-und-praevention/uebertragbare-krankheiten/coronavirus"/>
  </r>
  <r>
    <x v="35"/>
    <x v="1"/>
    <x v="4"/>
    <m/>
    <n v="1953"/>
    <n v="196"/>
    <m/>
    <n v="50"/>
    <m/>
    <n v="27"/>
    <s v="https://gd.zh.ch/internet/gesundheitsdirektion/de/themen/coronavirus.html"/>
  </r>
  <r>
    <x v="35"/>
    <x v="4"/>
    <x v="10"/>
    <m/>
    <n v="499"/>
    <n v="85"/>
    <n v="25"/>
    <n v="25"/>
    <m/>
    <n v="11"/>
    <s v="https://www.ag.ch/media/kanton_aargau/themen_1/coronavirus_1/lagebulletins/200331_KFS_Coronavirus_Lagebulletin_23.pdf"/>
  </r>
  <r>
    <x v="35"/>
    <x v="20"/>
    <x v="17"/>
    <m/>
    <n v="58"/>
    <m/>
    <m/>
    <m/>
    <m/>
    <n v="2"/>
    <s v="https://www.ar.ch/verwaltung/departement-gesundheit-und-soziales/amt-fuer-gesundheit/informationsseite-coronavirus/"/>
  </r>
  <r>
    <x v="36"/>
    <x v="0"/>
    <x v="7"/>
    <m/>
    <n v="588"/>
    <n v="86"/>
    <n v="17"/>
    <n v="17"/>
    <n v="249"/>
    <n v="11"/>
    <s v="https://www.baselland.ch/politik-und-behorden/direktionen/volkswirtschafts-und-gesundheitsdirektion/amt-fur-gesundheit/medizinische-dienste/kantonsarztlicher-dienst/aktuelles/covid-19-faelle-kanton-basel-landschaft"/>
  </r>
  <r>
    <x v="36"/>
    <x v="0"/>
    <x v="2"/>
    <m/>
    <n v="72"/>
    <m/>
    <m/>
    <m/>
    <m/>
    <m/>
    <s v="https://www.regierung.li/media/attachments/164-corona-schweizer-sanitaetssoldaten-0401.pdf?t=637213766824962451"/>
  </r>
  <r>
    <x v="36"/>
    <x v="0"/>
    <x v="12"/>
    <m/>
    <n v="525"/>
    <n v="81"/>
    <n v="23"/>
    <m/>
    <m/>
    <n v="23"/>
    <s v="https://www.fr.ch/sites/default/files/2020-04/statistiques_situation_FR_2804.xlsx"/>
  </r>
  <r>
    <x v="36"/>
    <x v="0"/>
    <x v="0"/>
    <n v="12252"/>
    <n v="3059"/>
    <n v="406"/>
    <n v="64"/>
    <n v="58"/>
    <n v="260"/>
    <n v="76"/>
    <s v="https://www.ge.ch/document/covid-19-situation-epidemiologique-geneve/telecharger"/>
  </r>
  <r>
    <x v="36"/>
    <x v="0"/>
    <x v="19"/>
    <m/>
    <n v="56"/>
    <n v="5"/>
    <m/>
    <m/>
    <m/>
    <n v="2"/>
    <s v="https://www.gl.ch/public/upload/assets/27574/COVID-19_Fallzahlen_Kanton_Glarus.xlsx"/>
  </r>
  <r>
    <x v="36"/>
    <x v="0"/>
    <x v="26"/>
    <m/>
    <n v="592"/>
    <n v="59"/>
    <m/>
    <m/>
    <m/>
    <n v="26"/>
    <s v="https://www.gr.ch/DE/institutionen/verwaltung/djsg/ga/coronavirus/info/Seiten/Start.aspx"/>
  </r>
  <r>
    <x v="36"/>
    <x v="0"/>
    <x v="3"/>
    <m/>
    <n v="145"/>
    <n v="29"/>
    <n v="5"/>
    <m/>
    <m/>
    <n v="0"/>
    <s v="https://www.jura.ch/Htdocs/Files/v/34263.xlsx/Departements/CHA/SIC/Carrousel/Coronavirus/Cornavirus/Chiffres/donnees_27_04.xlsx?download=1"/>
  </r>
  <r>
    <x v="36"/>
    <x v="0"/>
    <x v="13"/>
    <m/>
    <n v="420"/>
    <n v="66"/>
    <n v="14"/>
    <n v="8"/>
    <m/>
    <n v="24"/>
    <s v="https://www.ne.ch/autorites/DFS/SCSP/medecin-cantonal/maladies-vaccinations/Documents/Covid-19-Statistiques/COVID19_PublicationInternet.xlsx"/>
  </r>
  <r>
    <x v="36"/>
    <x v="0"/>
    <x v="20"/>
    <m/>
    <n v="70"/>
    <n v="9"/>
    <n v="2"/>
    <m/>
    <m/>
    <m/>
    <s v="http://www.nw.ch/coronastatistik"/>
  </r>
  <r>
    <x v="36"/>
    <x v="0"/>
    <x v="23"/>
    <m/>
    <n v="48"/>
    <m/>
    <m/>
    <m/>
    <m/>
    <m/>
    <s v="https://www.ow.ch/de/verwaltung/dienstleistungen/?dienst_id=5962"/>
  </r>
  <r>
    <x v="36"/>
    <x v="0"/>
    <x v="14"/>
    <m/>
    <n v="414"/>
    <m/>
    <m/>
    <m/>
    <m/>
    <n v="7"/>
    <s v="https://www.sg.ch/tools/informationen-coronavirus.html"/>
  </r>
  <r>
    <x v="36"/>
    <x v="0"/>
    <x v="21"/>
    <m/>
    <n v="44"/>
    <n v="10"/>
    <n v="3"/>
    <m/>
    <m/>
    <n v="1"/>
    <s v="https://sh.ch/CMS/get/file/0779d9a8-e066-4335-95a4-8d2793d317c6"/>
  </r>
  <r>
    <x v="36"/>
    <x v="0"/>
    <x v="15"/>
    <m/>
    <n v="146"/>
    <m/>
    <m/>
    <m/>
    <n v="65"/>
    <n v="4"/>
    <s v="https://www.sz.ch/behoerden/information-medien/medienmitteilungen/coronavirus.html/72-416-412-1379-6948"/>
  </r>
  <r>
    <x v="36"/>
    <x v="0"/>
    <x v="25"/>
    <m/>
    <n v="166"/>
    <m/>
    <m/>
    <m/>
    <m/>
    <n v="4"/>
    <s v="https://www.tg.ch/news/fachdossier-coronavirus.html/10552"/>
  </r>
  <r>
    <x v="36"/>
    <x v="0"/>
    <x v="22"/>
    <m/>
    <n v="59"/>
    <n v="10"/>
    <m/>
    <m/>
    <n v="13"/>
    <n v="1"/>
    <s v="https://www.ur.ch/themen/2920"/>
  </r>
  <r>
    <x v="36"/>
    <x v="0"/>
    <x v="8"/>
    <m/>
    <n v="3918"/>
    <n v="388"/>
    <n v="71"/>
    <m/>
    <m/>
    <n v="116"/>
    <s v="https://www.vd.ch/toutes-les-actualites/hotline-et-informations-sur-le-coronavirus/point-de-situation-statistique-dans-le-canton-de-vaud/"/>
  </r>
  <r>
    <x v="36"/>
    <x v="0"/>
    <x v="9"/>
    <m/>
    <n v="1281"/>
    <n v="145"/>
    <n v="26"/>
    <n v="25"/>
    <n v="70"/>
    <n v="40"/>
    <s v="https://www.vs.ch/documents/6756452/7008787/2020%2004%2027%20Sit%20Epid%20-%20%C3%89tat%20Stand"/>
  </r>
  <r>
    <x v="36"/>
    <x v="27"/>
    <x v="18"/>
    <m/>
    <n v="216"/>
    <m/>
    <m/>
    <m/>
    <m/>
    <n v="3"/>
    <s v="https://corona.so.ch/index.php?id=27979"/>
  </r>
  <r>
    <x v="36"/>
    <x v="5"/>
    <x v="6"/>
    <m/>
    <n v="909"/>
    <n v="115"/>
    <n v="26"/>
    <n v="21"/>
    <m/>
    <n v="20"/>
    <s v="https://www.besondere-lage.sites.be.ch/besondere-lage_sites/de/index/corona/index.html"/>
  </r>
  <r>
    <x v="36"/>
    <x v="5"/>
    <x v="1"/>
    <m/>
    <n v="2195"/>
    <n v="396"/>
    <n v="76"/>
    <n v="72"/>
    <n v="229"/>
    <n v="132"/>
    <s v="https://www4.ti.ch/area-media/comunicati/dettaglio-comunicato/?NEWS_ID=187555&amp;tx_tichareamedia_comunicazioni%5Baction%5D=show&amp;tx_tichareamedia_comunicazioni%5Bcontroller%5D=Comunicazioni&amp;cHash=843d72993004667ab731d64142591372"/>
  </r>
  <r>
    <x v="36"/>
    <x v="5"/>
    <x v="11"/>
    <m/>
    <n v="125"/>
    <n v="13"/>
    <n v="5"/>
    <m/>
    <n v="40"/>
    <n v="1"/>
    <s v="https://www.zg.ch/behoerden/gesundheitsdirektion/statistikfachstelle/themen/gesundheit/corona"/>
  </r>
  <r>
    <x v="36"/>
    <x v="24"/>
    <x v="5"/>
    <m/>
    <n v="687"/>
    <n v="108"/>
    <n v="16"/>
    <m/>
    <n v="323"/>
    <n v="18"/>
    <s v="https://www.coronavirus.bs.ch/nm/2020-tagesbulletin-coronavirus-691-bestaetigte-faelle-im-kanton-basel-stadt-gd.html"/>
  </r>
  <r>
    <x v="36"/>
    <x v="22"/>
    <x v="16"/>
    <m/>
    <n v="401"/>
    <n v="57"/>
    <n v="12"/>
    <m/>
    <m/>
    <n v="7"/>
    <s v="https://gesundheit.lu.ch/themen/Humanmedizin/Infektionskrankheiten/Coronavirus"/>
  </r>
  <r>
    <x v="36"/>
    <x v="1"/>
    <x v="4"/>
    <m/>
    <n v="2142"/>
    <n v="203"/>
    <m/>
    <n v="54"/>
    <m/>
    <n v="36"/>
    <s v="https://gd.zh.ch/internet/gesundheitsdirektion/de/themen/coronavirus.html"/>
  </r>
  <r>
    <x v="36"/>
    <x v="4"/>
    <x v="10"/>
    <m/>
    <n v="549"/>
    <n v="94"/>
    <n v="27"/>
    <n v="27"/>
    <m/>
    <n v="11"/>
    <s v="https://www.ag.ch/media/kanton_aargau/themen_1/coronavirus_1/lagebulletins/200401_KFS_Coronavirus_Lagebulletin_24.pdf"/>
  </r>
  <r>
    <x v="36"/>
    <x v="29"/>
    <x v="17"/>
    <m/>
    <n v="61"/>
    <m/>
    <m/>
    <m/>
    <m/>
    <n v="3"/>
    <s v="https://www.ar.ch/verwaltung/departement-gesundheit-und-soziales/amt-fuer-gesundheit/informationsseite-coronavirus/"/>
  </r>
  <r>
    <x v="37"/>
    <x v="0"/>
    <x v="7"/>
    <m/>
    <n v="610"/>
    <n v="81"/>
    <n v="18"/>
    <n v="18"/>
    <n v="262"/>
    <n v="12"/>
    <s v="https://www.baselland.ch/politik-und-behorden/direktionen/volkswirtschafts-und-gesundheitsdirektion/amt-fur-gesundheit/medizinische-dienste/kantonsarztlicher-dienst/aktuelles/covid-19-faelle-kanton-basel-landschaft"/>
  </r>
  <r>
    <x v="37"/>
    <x v="0"/>
    <x v="2"/>
    <m/>
    <n v="75"/>
    <m/>
    <m/>
    <m/>
    <m/>
    <m/>
    <s v="https://www.regierung.li/media/attachments/166-massnahmen-weiter-einhalten-0402.pdf?t=637214501732587547"/>
  </r>
  <r>
    <x v="37"/>
    <x v="0"/>
    <x v="12"/>
    <m/>
    <n v="550"/>
    <n v="80"/>
    <n v="23"/>
    <m/>
    <n v="46"/>
    <n v="26"/>
    <s v="https://www.fr.ch/sites/default/files/2020-04/statistiques_situation_FR_2804.xlsx"/>
  </r>
  <r>
    <x v="37"/>
    <x v="0"/>
    <x v="0"/>
    <n v="13201"/>
    <n v="3270"/>
    <n v="424"/>
    <n v="62"/>
    <n v="54"/>
    <n v="283"/>
    <n v="84"/>
    <s v="https://www.ge.ch/document/covid-19-situation-epidemiologique-geneve/telecharger"/>
  </r>
  <r>
    <x v="37"/>
    <x v="0"/>
    <x v="19"/>
    <m/>
    <n v="58"/>
    <n v="5"/>
    <m/>
    <m/>
    <m/>
    <n v="2"/>
    <s v="https://www.gl.ch/public/upload/assets/27574/COVID-19_Fallzahlen_Kanton_Glarus.xlsx"/>
  </r>
  <r>
    <x v="37"/>
    <x v="0"/>
    <x v="26"/>
    <m/>
    <n v="622"/>
    <n v="60"/>
    <m/>
    <m/>
    <m/>
    <n v="28"/>
    <s v="https://www.gr.ch/DE/institutionen/verwaltung/djsg/ga/coronavirus/info/Seiten/Start.aspx"/>
  </r>
  <r>
    <x v="37"/>
    <x v="0"/>
    <x v="3"/>
    <m/>
    <n v="149"/>
    <n v="29"/>
    <n v="3"/>
    <m/>
    <m/>
    <n v="0"/>
    <s v="https://www.jura.ch/Htdocs/Files/v/34263.xlsx/Departements/CHA/SIC/Carrousel/Coronavirus/Cornavirus/Chiffres/donnees_27_04.xlsx?download=1"/>
  </r>
  <r>
    <x v="37"/>
    <x v="0"/>
    <x v="13"/>
    <m/>
    <n v="430"/>
    <n v="61"/>
    <n v="12"/>
    <n v="10"/>
    <m/>
    <n v="27"/>
    <s v="https://www.ne.ch/autorites/DFS/SCSP/medecin-cantonal/maladies-vaccinations/Documents/Covid-19-Statistiques/COVID19_PublicationInternet.xlsx"/>
  </r>
  <r>
    <x v="37"/>
    <x v="0"/>
    <x v="20"/>
    <m/>
    <n v="76"/>
    <n v="9"/>
    <n v="2"/>
    <m/>
    <m/>
    <m/>
    <s v="http://www.nw.ch/coronastatistik"/>
  </r>
  <r>
    <x v="37"/>
    <x v="0"/>
    <x v="23"/>
    <m/>
    <n v="51"/>
    <m/>
    <m/>
    <m/>
    <m/>
    <m/>
    <s v="https://www.ow.ch/de/verwaltung/dienstleistungen/?dienst_id=5962"/>
  </r>
  <r>
    <x v="37"/>
    <x v="0"/>
    <x v="14"/>
    <m/>
    <n v="480"/>
    <n v="64"/>
    <n v="11"/>
    <m/>
    <n v="49"/>
    <n v="8"/>
    <s v="https://www.sg.ch/tools/informationen-coronavirus.html"/>
  </r>
  <r>
    <x v="37"/>
    <x v="0"/>
    <x v="21"/>
    <m/>
    <n v="47"/>
    <n v="18"/>
    <n v="3"/>
    <m/>
    <m/>
    <n v="1"/>
    <s v="https://sh.ch/CMS/get/file/0779d9a8-e066-4335-95a4-8d2793d317c6"/>
  </r>
  <r>
    <x v="37"/>
    <x v="0"/>
    <x v="15"/>
    <m/>
    <n v="155"/>
    <m/>
    <m/>
    <m/>
    <n v="65"/>
    <n v="4"/>
    <s v="https://www.sz.ch/behoerden/information-medien/medienmitteilungen/coronavirus.html/72-416-412-1379-6948"/>
  </r>
  <r>
    <x v="37"/>
    <x v="0"/>
    <x v="25"/>
    <m/>
    <n v="179"/>
    <m/>
    <m/>
    <m/>
    <m/>
    <n v="4"/>
    <s v="https://www.tg.ch/news/fachdossier-coronavirus.html/10552"/>
  </r>
  <r>
    <x v="37"/>
    <x v="0"/>
    <x v="8"/>
    <m/>
    <n v="4052"/>
    <n v="379"/>
    <n v="72"/>
    <m/>
    <m/>
    <n v="135"/>
    <s v="https://www.vd.ch/toutes-les-actualites/hotline-et-informations-sur-le-coronavirus/point-de-situation-statistique-dans-le-canton-de-vaud/"/>
  </r>
  <r>
    <x v="37"/>
    <x v="0"/>
    <x v="9"/>
    <m/>
    <n v="1333"/>
    <n v="145"/>
    <n v="28"/>
    <n v="24"/>
    <n v="88"/>
    <n v="47"/>
    <s v="https://www.vs.ch/documents/6756452/7008787/2020%2004%2027%20Sit%20Epid%20-%20%C3%89tat%20Stand"/>
  </r>
  <r>
    <x v="37"/>
    <x v="27"/>
    <x v="18"/>
    <m/>
    <n v="227"/>
    <n v="14"/>
    <m/>
    <m/>
    <m/>
    <n v="3"/>
    <s v="https://corona.so.ch/index.php?id=27979"/>
  </r>
  <r>
    <x v="37"/>
    <x v="5"/>
    <x v="6"/>
    <m/>
    <n v="1003"/>
    <n v="104"/>
    <n v="24"/>
    <n v="20"/>
    <m/>
    <n v="23"/>
    <s v="https://www.besondere-lage.sites.be.ch/besondere-lage_sites/de/index/corona/index.html"/>
  </r>
  <r>
    <x v="37"/>
    <x v="5"/>
    <x v="1"/>
    <m/>
    <n v="2271"/>
    <n v="374"/>
    <n v="75"/>
    <n v="73"/>
    <n v="263"/>
    <n v="141"/>
    <s v="https://www4.ti.ch/area-media/comunicati/dettaglio-comunicato/?NEWS_ID=187564&amp;tx_tichareamedia_comunicazioni%5Baction%5D=show&amp;tx_tichareamedia_comunicazioni%5Bcontroller%5D=Comunicazioni&amp;cHash=6abbcb9cd18b83f8ce260e2748b9a326"/>
  </r>
  <r>
    <x v="37"/>
    <x v="5"/>
    <x v="11"/>
    <m/>
    <n v="131"/>
    <n v="14"/>
    <n v="5"/>
    <m/>
    <n v="41"/>
    <n v="1"/>
    <s v="https://www.zg.ch/behoerden/gesundheitsdirektion/statistikfachstelle/themen/gesundheit/corona"/>
  </r>
  <r>
    <x v="37"/>
    <x v="24"/>
    <x v="5"/>
    <m/>
    <n v="714"/>
    <n v="119"/>
    <n v="17"/>
    <m/>
    <n v="350"/>
    <n v="19"/>
    <s v="https://www.gd.bs.ch//nm/2020-tagesbulletin-coronavirus-718-bestaetigte-faelle-im-kanton-basel-stadt-gd.html"/>
  </r>
  <r>
    <x v="37"/>
    <x v="22"/>
    <x v="16"/>
    <m/>
    <n v="422"/>
    <n v="66"/>
    <n v="11"/>
    <m/>
    <m/>
    <n v="7"/>
    <s v="https://gesundheit.lu.ch/themen/Humanmedizin/Infektionskrankheiten/Coronavirus"/>
  </r>
  <r>
    <x v="37"/>
    <x v="13"/>
    <x v="17"/>
    <m/>
    <n v="64"/>
    <m/>
    <m/>
    <m/>
    <m/>
    <n v="3"/>
    <s v="https://www.ar.ch/verwaltung/departement-gesundheit-und-soziales/amt-fuer-gesundheit/informationsseite-coronavirus/"/>
  </r>
  <r>
    <x v="37"/>
    <x v="14"/>
    <x v="22"/>
    <m/>
    <n v="60"/>
    <n v="4"/>
    <m/>
    <m/>
    <n v="13"/>
    <n v="1"/>
    <s v="https://www.ur.ch/themen/2920"/>
  </r>
  <r>
    <x v="37"/>
    <x v="1"/>
    <x v="4"/>
    <m/>
    <n v="2306"/>
    <n v="200"/>
    <m/>
    <n v="53"/>
    <m/>
    <n v="39"/>
    <s v="https://gd.zh.ch/internet/gesundheitsdirektion/de/themen/coronavirus.html"/>
  </r>
  <r>
    <x v="37"/>
    <x v="4"/>
    <x v="10"/>
    <m/>
    <n v="592"/>
    <n v="94"/>
    <n v="27"/>
    <n v="27"/>
    <m/>
    <n v="12"/>
    <s v="https://www.ag.ch/media/kanton_aargau/themen_1/coronavirus_1/lagebulletins/200402_KFS_Coronavirus_Lagebulletin_25.pdf"/>
  </r>
  <r>
    <x v="37"/>
    <x v="29"/>
    <x v="24"/>
    <m/>
    <n v="20"/>
    <m/>
    <m/>
    <m/>
    <m/>
    <m/>
    <s v="https://www.ai.ch/themen/gesundheit-alter-und-soziales/gesundheitsfoerderung-und-praevention/uebertragbare-krankheiten/coronavirus"/>
  </r>
  <r>
    <x v="38"/>
    <x v="0"/>
    <x v="7"/>
    <m/>
    <n v="625"/>
    <n v="82"/>
    <n v="18"/>
    <n v="18"/>
    <n v="266"/>
    <n v="14"/>
    <s v="https://www.baselland.ch/politik-und-behorden/direktionen/volkswirtschafts-und-gesundheitsdirektion/amt-fur-gesundheit/medizinische-dienste/kantonsarztlicher-dienst/aktuelles/covid-19-faelle-kanton-basel-landschaft"/>
  </r>
  <r>
    <x v="38"/>
    <x v="0"/>
    <x v="2"/>
    <m/>
    <n v="76"/>
    <m/>
    <m/>
    <m/>
    <m/>
    <m/>
    <s v="https://www.regierung.li/media/attachments/166-massnahmen-weiter-einhalten-0402.pdf?t=637214501732587547"/>
  </r>
  <r>
    <x v="38"/>
    <x v="0"/>
    <x v="12"/>
    <m/>
    <n v="588"/>
    <n v="77"/>
    <n v="21"/>
    <m/>
    <n v="46"/>
    <n v="31"/>
    <s v="https://www.fr.ch/sites/default/files/2020-04/statistiques_situation_FR_2804.xlsx"/>
  </r>
  <r>
    <x v="38"/>
    <x v="0"/>
    <x v="0"/>
    <n v="14030"/>
    <n v="3456"/>
    <n v="424"/>
    <n v="65"/>
    <n v="58"/>
    <n v="284"/>
    <n v="91"/>
    <s v="https://www.ge.ch/document/covid-19-situation-epidemiologique-geneve/telecharger"/>
  </r>
  <r>
    <x v="38"/>
    <x v="0"/>
    <x v="19"/>
    <m/>
    <n v="59"/>
    <n v="5"/>
    <m/>
    <m/>
    <m/>
    <n v="2"/>
    <s v="https://www.gl.ch/public/upload/assets/27574/COVID-19_Fallzahlen_Kanton_Glarus.xlsx"/>
  </r>
  <r>
    <x v="38"/>
    <x v="0"/>
    <x v="26"/>
    <m/>
    <n v="649"/>
    <n v="51"/>
    <m/>
    <m/>
    <m/>
    <n v="30"/>
    <s v="https://www.gr.ch/DE/institutionen/verwaltung/djsg/ga/coronavirus/info/Seiten/Start.aspx"/>
  </r>
  <r>
    <x v="38"/>
    <x v="0"/>
    <x v="3"/>
    <m/>
    <n v="149"/>
    <n v="28"/>
    <n v="3"/>
    <m/>
    <m/>
    <n v="0"/>
    <s v="https://www.jura.ch/Htdocs/Files/v/34263.xlsx/Departements/CHA/SIC/Carrousel/Coronavirus/Cornavirus/Chiffres/donnees_27_04.xlsx?download=1"/>
  </r>
  <r>
    <x v="38"/>
    <x v="0"/>
    <x v="13"/>
    <m/>
    <n v="444"/>
    <n v="61"/>
    <n v="11"/>
    <n v="9"/>
    <m/>
    <n v="28"/>
    <s v="https://www.ne.ch/autorites/DFS/SCSP/medecin-cantonal/maladies-vaccinations/Documents/Covid-19-Statistiques/COVID19_PublicationInternet.xlsx"/>
  </r>
  <r>
    <x v="38"/>
    <x v="0"/>
    <x v="20"/>
    <m/>
    <n v="79"/>
    <n v="10"/>
    <n v="2"/>
    <m/>
    <m/>
    <m/>
    <s v="http://www.nw.ch/coronastatistik"/>
  </r>
  <r>
    <x v="38"/>
    <x v="0"/>
    <x v="23"/>
    <m/>
    <n v="56"/>
    <m/>
    <m/>
    <m/>
    <m/>
    <m/>
    <s v="https://www.ow.ch/de/verwaltung/dienstleistungen/?dienst_id=5962"/>
  </r>
  <r>
    <x v="38"/>
    <x v="0"/>
    <x v="14"/>
    <m/>
    <n v="480"/>
    <n v="75"/>
    <n v="12"/>
    <m/>
    <n v="50"/>
    <n v="8"/>
    <s v="https://www.sg.ch/tools/informationen-coronavirus.html"/>
  </r>
  <r>
    <x v="38"/>
    <x v="0"/>
    <x v="21"/>
    <m/>
    <n v="47"/>
    <n v="9"/>
    <n v="3"/>
    <m/>
    <m/>
    <n v="1"/>
    <s v="https://sh.ch/CMS/get/file/0779d9a8-e066-4335-95a4-8d2793d317c6"/>
  </r>
  <r>
    <x v="38"/>
    <x v="0"/>
    <x v="15"/>
    <m/>
    <n v="165"/>
    <m/>
    <m/>
    <m/>
    <n v="75"/>
    <n v="4"/>
    <s v="https://www.sz.ch/behoerden/information-medien/medienmitteilungen/coronavirus.html/72-416-412-1379-6948"/>
  </r>
  <r>
    <x v="38"/>
    <x v="0"/>
    <x v="25"/>
    <m/>
    <n v="198"/>
    <m/>
    <m/>
    <m/>
    <m/>
    <n v="5"/>
    <s v="https://www.tg.ch/news/fachdossier-coronavirus.html/10552"/>
  </r>
  <r>
    <x v="38"/>
    <x v="0"/>
    <x v="8"/>
    <m/>
    <n v="4188"/>
    <n v="370"/>
    <n v="70"/>
    <m/>
    <m/>
    <n v="153"/>
    <s v="https://www.vd.ch/toutes-les-actualites/hotline-et-informations-sur-le-coronavirus/point-de-situation-statistique-dans-le-canton-de-vaud/"/>
  </r>
  <r>
    <x v="38"/>
    <x v="0"/>
    <x v="9"/>
    <m/>
    <n v="1382"/>
    <n v="145"/>
    <n v="26"/>
    <n v="23"/>
    <n v="91"/>
    <n v="51"/>
    <s v="https://www.vs.ch/documents/6756452/7008787/2020%2004%2027%20Sit%20Epid%20-%20%C3%89tat%20Stand"/>
  </r>
  <r>
    <x v="38"/>
    <x v="27"/>
    <x v="18"/>
    <m/>
    <n v="237"/>
    <n v="17"/>
    <m/>
    <m/>
    <m/>
    <n v="3"/>
    <s v="https://corona.so.ch/index.php?id=27979"/>
  </r>
  <r>
    <x v="38"/>
    <x v="5"/>
    <x v="17"/>
    <m/>
    <n v="65"/>
    <m/>
    <m/>
    <m/>
    <m/>
    <n v="3"/>
    <s v="https://www.ar.ch/verwaltung/departement-gesundheit-und-soziales/amt-fuer-gesundheit/informationsseite-coronavirus/"/>
  </r>
  <r>
    <x v="38"/>
    <x v="5"/>
    <x v="6"/>
    <m/>
    <n v="1073"/>
    <n v="109"/>
    <n v="30"/>
    <n v="26"/>
    <m/>
    <n v="26"/>
    <s v="https://www.besondere-lage.sites.be.ch/besondere-lage_sites/de/index/corona/index.html"/>
  </r>
  <r>
    <x v="38"/>
    <x v="5"/>
    <x v="1"/>
    <m/>
    <n v="2377"/>
    <n v="370"/>
    <n v="75"/>
    <n v="67"/>
    <n v="287"/>
    <n v="155"/>
    <s v="https://www4.ti.ch/area-media/comunicati/dettaglio-comunicato/?NEWS_ID=187570&amp;tx_tichareamedia_comunicazioni%5Baction%5D=show&amp;tx_tichareamedia_comunicazioni%5Bcontroller%5D=Comunicazioni&amp;cHash=bf727072887350e7700586450c3cf957"/>
  </r>
  <r>
    <x v="38"/>
    <x v="5"/>
    <x v="11"/>
    <m/>
    <n v="138"/>
    <n v="15"/>
    <n v="7"/>
    <m/>
    <n v="44"/>
    <n v="1"/>
    <s v="https://www.zg.ch/behoerden/gesundheitsdirektion/statistikfachstelle/themen/gesundheit/corona"/>
  </r>
  <r>
    <x v="38"/>
    <x v="31"/>
    <x v="5"/>
    <m/>
    <n v="754"/>
    <n v="115"/>
    <n v="17"/>
    <m/>
    <n v="397"/>
    <n v="21"/>
    <s v="https://www.gd.bs.ch/nm/2020-tagesbulletin-coronavirus-748-bestaetigte-faelle-im-kanton-basel-stadt-gd.html https://www.coronavirus.bs.ch/nm/2020-tagesbulletin-coronavirus-771-bestaetigte-faelle-im-kanton-basel-stadt-gd.html"/>
  </r>
  <r>
    <x v="38"/>
    <x v="22"/>
    <x v="24"/>
    <m/>
    <n v="20"/>
    <m/>
    <m/>
    <m/>
    <m/>
    <m/>
    <s v="https://www.ai.ch/themen/gesundheit-alter-und-soziales/gesundheitsfoerderung-und-praevention/uebertragbare-krankheiten/coronavirus"/>
  </r>
  <r>
    <x v="38"/>
    <x v="22"/>
    <x v="16"/>
    <m/>
    <n v="449"/>
    <n v="49"/>
    <n v="12"/>
    <m/>
    <m/>
    <n v="7"/>
    <s v="https://gesundheit.lu.ch/themen/Humanmedizin/Infektionskrankheiten/Coronavirus"/>
  </r>
  <r>
    <x v="38"/>
    <x v="14"/>
    <x v="22"/>
    <m/>
    <n v="62"/>
    <n v="6"/>
    <m/>
    <m/>
    <n v="26"/>
    <n v="1"/>
    <s v="https://www.ur.ch/themen/2920"/>
  </r>
  <r>
    <x v="38"/>
    <x v="1"/>
    <x v="4"/>
    <m/>
    <n v="2434"/>
    <n v="207"/>
    <m/>
    <n v="57"/>
    <m/>
    <n v="41"/>
    <s v="https://gd.zh.ch/internet/gesundheitsdirektion/de/themen/coronavirus.html"/>
  </r>
  <r>
    <x v="38"/>
    <x v="4"/>
    <x v="10"/>
    <m/>
    <n v="626"/>
    <n v="100"/>
    <n v="27"/>
    <n v="26"/>
    <m/>
    <n v="12"/>
    <s v="https://www.ag.ch/media/kanton_aargau/themen_1/coronavirus_1/lagebulletins/200403_KFS_Coronavirus_Lagebulletin_26.pdf"/>
  </r>
  <r>
    <x v="39"/>
    <x v="0"/>
    <x v="7"/>
    <m/>
    <n v="656"/>
    <n v="73"/>
    <n v="19"/>
    <n v="17"/>
    <n v="298"/>
    <n v="19"/>
    <s v="https://www.baselland.ch/politik-und-behorden/direktionen/volkswirtschafts-und-gesundheitsdirektion/amt-fur-gesundheit/medizinische-dienste/kantonsarztlicher-dienst/aktuelles/covid-19-faelle-kanton-basel-landschaft"/>
  </r>
  <r>
    <x v="39"/>
    <x v="0"/>
    <x v="2"/>
    <m/>
    <n v="77"/>
    <m/>
    <m/>
    <m/>
    <m/>
    <n v="1"/>
    <s v="https://www.regierung.li/media/attachments/168-corona-person-verstorben-0404.pdf?t=637216219078826521"/>
  </r>
  <r>
    <x v="39"/>
    <x v="0"/>
    <x v="12"/>
    <m/>
    <n v="638"/>
    <n v="89"/>
    <n v="21"/>
    <m/>
    <n v="49"/>
    <n v="37"/>
    <s v="https://www.fr.ch/sites/default/files/2020-04/statistiques_situation_FR_2804.xlsx"/>
  </r>
  <r>
    <x v="39"/>
    <x v="0"/>
    <x v="0"/>
    <n v="14625"/>
    <n v="3584"/>
    <n v="421"/>
    <n v="61"/>
    <n v="51"/>
    <n v="305"/>
    <n v="104"/>
    <s v="https://www.ge.ch/document/covid-19-situation-epidemiologique-geneve/telecharger"/>
  </r>
  <r>
    <x v="39"/>
    <x v="0"/>
    <x v="19"/>
    <m/>
    <n v="61"/>
    <n v="5"/>
    <m/>
    <m/>
    <m/>
    <n v="2"/>
    <s v="https://www.gl.ch/public/upload/assets/27574/COVID-19_Fallzahlen_Kanton_Glarus.xlsx"/>
  </r>
  <r>
    <x v="39"/>
    <x v="0"/>
    <x v="26"/>
    <m/>
    <n v="657"/>
    <n v="52"/>
    <m/>
    <m/>
    <m/>
    <n v="30"/>
    <s v="https://www.gr.ch/DE/institutionen/verwaltung/djsg/ga/coronavirus/info/Seiten/Start.aspx"/>
  </r>
  <r>
    <x v="39"/>
    <x v="0"/>
    <x v="3"/>
    <m/>
    <n v="154"/>
    <n v="27"/>
    <n v="3"/>
    <m/>
    <m/>
    <n v="0"/>
    <s v="https://www.jura.ch/Htdocs/Files/v/34263.xlsx/Departements/CHA/SIC/Carrousel/Coronavirus/Cornavirus/Chiffres/donnees_27_04.xlsx?download=1"/>
  </r>
  <r>
    <x v="39"/>
    <x v="0"/>
    <x v="13"/>
    <m/>
    <n v="452"/>
    <n v="59"/>
    <n v="10"/>
    <n v="9"/>
    <m/>
    <n v="30"/>
    <s v="https://www.ne.ch/autorites/DFS/SCSP/medecin-cantonal/maladies-vaccinations/Documents/Covid-19-Statistiques/COVID19_PublicationInternet.xlsx"/>
  </r>
  <r>
    <x v="39"/>
    <x v="0"/>
    <x v="20"/>
    <m/>
    <n v="80"/>
    <n v="10"/>
    <n v="2"/>
    <m/>
    <m/>
    <m/>
    <s v="http://www.nw.ch/coronastatistik"/>
  </r>
  <r>
    <x v="39"/>
    <x v="0"/>
    <x v="14"/>
    <m/>
    <n v="504"/>
    <n v="79"/>
    <n v="13"/>
    <m/>
    <n v="62"/>
    <n v="9"/>
    <s v="https://www.sg.ch/tools/informationen-coronavirus.html"/>
  </r>
  <r>
    <x v="39"/>
    <x v="0"/>
    <x v="21"/>
    <m/>
    <n v="47"/>
    <n v="12"/>
    <n v="3"/>
    <m/>
    <m/>
    <n v="1"/>
    <s v="https://sh.ch/CMS/get/file/0779d9a8-e066-4335-95a4-8d2793d317c6"/>
  </r>
  <r>
    <x v="39"/>
    <x v="0"/>
    <x v="15"/>
    <m/>
    <n v="168"/>
    <m/>
    <m/>
    <m/>
    <n v="92"/>
    <n v="5"/>
    <s v="https://www.sz.ch/behoerden/information-medien/medienmitteilungen/coronavirus.html/72-416-412-1379-6948"/>
  </r>
  <r>
    <x v="39"/>
    <x v="0"/>
    <x v="25"/>
    <m/>
    <n v="208"/>
    <m/>
    <m/>
    <m/>
    <m/>
    <n v="5"/>
    <s v="https://www.tg.ch/news/fachdossier-coronavirus.html/10552"/>
  </r>
  <r>
    <x v="39"/>
    <x v="0"/>
    <x v="8"/>
    <m/>
    <n v="4260"/>
    <n v="370"/>
    <n v="70"/>
    <m/>
    <m/>
    <n v="164"/>
    <s v="https://www.vd.ch/toutes-les-actualites/hotline-et-informations-sur-le-coronavirus/point-de-situation-statistique-dans-le-canton-de-vaud/"/>
  </r>
  <r>
    <x v="39"/>
    <x v="0"/>
    <x v="9"/>
    <m/>
    <n v="1415"/>
    <n v="148"/>
    <n v="28"/>
    <n v="23"/>
    <n v="95"/>
    <n v="53"/>
    <s v="https://www.vs.ch/documents/6756452/7008787/2020%2004%2027%20Sit%20Epid%20-%20%C3%89tat%20Stand"/>
  </r>
  <r>
    <x v="39"/>
    <x v="27"/>
    <x v="18"/>
    <m/>
    <n v="250"/>
    <m/>
    <m/>
    <m/>
    <m/>
    <n v="3"/>
    <s v="https://corona.so.ch/index.php?id=27979"/>
  </r>
  <r>
    <x v="39"/>
    <x v="5"/>
    <x v="6"/>
    <m/>
    <n v="1106"/>
    <n v="113"/>
    <n v="35"/>
    <n v="28"/>
    <m/>
    <n v="28"/>
    <s v="https://www.besondere-lage.sites.be.ch/besondere-lage_sites/de/index/corona/index.html"/>
  </r>
  <r>
    <x v="39"/>
    <x v="5"/>
    <x v="1"/>
    <m/>
    <n v="2442"/>
    <n v="363"/>
    <n v="72"/>
    <n v="67"/>
    <n v="314"/>
    <n v="165"/>
    <s v="https://www4.ti.ch/area-media/comunicati/dettaglio-comunicato/?NEWS_ID=187575&amp;tx_tichareamedia_comunicazioni%5Baction%5D=show&amp;tx_tichareamedia_comunicazioni%5Bcontroller%5D=Comunicazioni&amp;cHash=4b3f64139a9dd36b9fd30a1ace23654a"/>
  </r>
  <r>
    <x v="39"/>
    <x v="5"/>
    <x v="11"/>
    <m/>
    <n v="146"/>
    <n v="14"/>
    <n v="7"/>
    <m/>
    <n v="46"/>
    <n v="2"/>
    <s v="https://www.zg.ch/behoerden/gesundheitsdirektion/statistikfachstelle/themen/gesundheit/corona"/>
  </r>
  <r>
    <x v="39"/>
    <x v="3"/>
    <x v="5"/>
    <m/>
    <n v="767"/>
    <n v="112"/>
    <n v="16"/>
    <m/>
    <n v="434"/>
    <n v="24"/>
    <s v="https://www.gd.bs.ch//nm/2020-tagesbulletin-coronavirus-771-bestaetigte-faelle-im-kanton-basel-stadt-gd.html"/>
  </r>
  <r>
    <x v="39"/>
    <x v="22"/>
    <x v="24"/>
    <m/>
    <n v="21"/>
    <m/>
    <m/>
    <m/>
    <m/>
    <m/>
    <s v="https://www.ai.ch/themen/gesundheit-alter-und-soziales/gesundheitsfoerderung-und-praevention/uebertragbare-krankheiten/coronavirus"/>
  </r>
  <r>
    <x v="39"/>
    <x v="22"/>
    <x v="16"/>
    <m/>
    <n v="469"/>
    <n v="49"/>
    <n v="12"/>
    <m/>
    <m/>
    <n v="7"/>
    <s v="https://gesundheit.lu.ch/themen/Humanmedizin/Infektionskrankheiten/Coronavirus"/>
  </r>
  <r>
    <x v="39"/>
    <x v="17"/>
    <x v="17"/>
    <m/>
    <n v="66"/>
    <m/>
    <m/>
    <m/>
    <m/>
    <n v="3"/>
    <s v="https://www.ar.ch/verwaltung/departement-gesundheit-und-soziales/amt-fuer-gesundheit/informationsseite-coronavirus/"/>
  </r>
  <r>
    <x v="39"/>
    <x v="1"/>
    <x v="4"/>
    <m/>
    <n v="2467"/>
    <n v="194"/>
    <m/>
    <n v="59"/>
    <m/>
    <n v="49"/>
    <s v="https://gd.zh.ch/internet/gesundheitsdirektion/de/themen/coronavirus.html"/>
  </r>
  <r>
    <x v="39"/>
    <x v="29"/>
    <x v="22"/>
    <m/>
    <n v="66"/>
    <n v="6"/>
    <m/>
    <m/>
    <n v="26"/>
    <n v="1"/>
    <s v="https://www.ur.ch/themen/2920"/>
  </r>
  <r>
    <x v="40"/>
    <x v="0"/>
    <x v="7"/>
    <m/>
    <n v="670"/>
    <n v="73"/>
    <n v="19"/>
    <n v="17"/>
    <n v="369"/>
    <n v="19"/>
    <s v="https://www.baselland.ch/politik-und-behorden/direktionen/volkswirtschafts-und-gesundheitsdirektion/amt-fur-gesundheit/medizinische-dienste/kantonsarztlicher-dienst/aktuelles/covid-19-faelle-kanton-basel-landschaft"/>
  </r>
  <r>
    <x v="40"/>
    <x v="0"/>
    <x v="2"/>
    <m/>
    <n v="77"/>
    <m/>
    <m/>
    <m/>
    <m/>
    <n v="1"/>
    <s v="https://www.regierung.li/de/mitteilungen/223366/?typ=news"/>
  </r>
  <r>
    <x v="40"/>
    <x v="0"/>
    <x v="12"/>
    <m/>
    <n v="669"/>
    <n v="87"/>
    <n v="20"/>
    <m/>
    <n v="55"/>
    <n v="40"/>
    <s v="https://www.fr.ch/sites/default/files/2020-04/statistiques_situation_FR_2804.xlsx"/>
  </r>
  <r>
    <x v="40"/>
    <x v="0"/>
    <x v="0"/>
    <n v="14926"/>
    <n v="3649"/>
    <n v="424"/>
    <n v="56"/>
    <n v="50"/>
    <n v="327"/>
    <n v="111"/>
    <s v="https://www.ge.ch/document/covid-19-situation-epidemiologique-geneve/telecharger"/>
  </r>
  <r>
    <x v="40"/>
    <x v="0"/>
    <x v="19"/>
    <m/>
    <n v="63"/>
    <n v="5"/>
    <m/>
    <m/>
    <m/>
    <n v="2"/>
    <s v="https://www.gl.ch/public/upload/assets/27574/COVID-19_Fallzahlen_Kanton_Glarus.xlsx"/>
  </r>
  <r>
    <x v="40"/>
    <x v="0"/>
    <x v="26"/>
    <m/>
    <n v="668"/>
    <n v="49"/>
    <m/>
    <m/>
    <m/>
    <n v="33"/>
    <s v="https://www.gr.ch/DE/institutionen/verwaltung/djsg/ga/coronavirus/info/Seiten/Start.aspx"/>
  </r>
  <r>
    <x v="40"/>
    <x v="0"/>
    <x v="3"/>
    <m/>
    <n v="160"/>
    <n v="29"/>
    <n v="4"/>
    <m/>
    <m/>
    <n v="0"/>
    <s v="https://www.jura.ch/Htdocs/Files/v/34263.xlsx/Departements/CHA/SIC/Carrousel/Coronavirus/Cornavirus/Chiffres/donnees_27_04.xlsx?download=1"/>
  </r>
  <r>
    <x v="40"/>
    <x v="0"/>
    <x v="13"/>
    <m/>
    <n v="464"/>
    <n v="58"/>
    <n v="12"/>
    <n v="8"/>
    <m/>
    <n v="30"/>
    <s v="https://www.ne.ch/autorites/DFS/SCSP/medecin-cantonal/maladies-vaccinations/Documents/Covid-19-Statistiques/COVID19_PublicationInternet.xlsx"/>
  </r>
  <r>
    <x v="40"/>
    <x v="0"/>
    <x v="20"/>
    <m/>
    <n v="80"/>
    <n v="9"/>
    <n v="2"/>
    <m/>
    <m/>
    <m/>
    <s v="http://www.nw.ch/coronastatistik"/>
  </r>
  <r>
    <x v="40"/>
    <x v="0"/>
    <x v="14"/>
    <m/>
    <n v="515"/>
    <n v="70"/>
    <n v="13"/>
    <m/>
    <n v="70"/>
    <n v="9"/>
    <s v="https://www.sg.ch/tools/informationen-coronavirus.html"/>
  </r>
  <r>
    <x v="40"/>
    <x v="0"/>
    <x v="21"/>
    <m/>
    <n v="49"/>
    <n v="12"/>
    <n v="3"/>
    <m/>
    <m/>
    <n v="1"/>
    <s v="https://sh.ch/CMS/get/file/0779d9a8-e066-4335-95a4-8d2793d317c6"/>
  </r>
  <r>
    <x v="40"/>
    <x v="0"/>
    <x v="15"/>
    <m/>
    <n v="170"/>
    <m/>
    <m/>
    <m/>
    <n v="93"/>
    <n v="5"/>
    <s v="https://www.sz.ch/behoerden/information-medien/medienmitteilungen/coronavirus.html/72-416-412-1379-6948"/>
  </r>
  <r>
    <x v="40"/>
    <x v="0"/>
    <x v="25"/>
    <m/>
    <n v="213"/>
    <m/>
    <m/>
    <m/>
    <m/>
    <n v="7"/>
    <s v="https://www.tg.ch/news/fachdossier-coronavirus.html/10552"/>
  </r>
  <r>
    <x v="40"/>
    <x v="0"/>
    <x v="8"/>
    <m/>
    <n v="4299"/>
    <n v="381"/>
    <n v="69"/>
    <m/>
    <m/>
    <n v="176"/>
    <s v="https://www.vd.ch/toutes-les-actualites/hotline-et-informations-sur-le-coronavirus/point-de-situation-statistique-dans-le-canton-de-vaud/"/>
  </r>
  <r>
    <x v="40"/>
    <x v="0"/>
    <x v="9"/>
    <m/>
    <n v="1430"/>
    <n v="145"/>
    <n v="26"/>
    <n v="23"/>
    <m/>
    <n v="57"/>
    <s v="https://www.vs.ch/documents/6756452/7008787/2020%2004%2027%20Sit%20Epid%20-%20%C3%89tat%20Stand"/>
  </r>
  <r>
    <x v="40"/>
    <x v="27"/>
    <x v="18"/>
    <m/>
    <n v="258"/>
    <n v="16"/>
    <m/>
    <m/>
    <m/>
    <n v="3"/>
    <s v="https://corona.so.ch/index.php?id=27979"/>
  </r>
  <r>
    <x v="40"/>
    <x v="5"/>
    <x v="6"/>
    <m/>
    <n v="1137"/>
    <n v="110"/>
    <n v="30"/>
    <n v="25"/>
    <m/>
    <n v="28"/>
    <s v="https://www.besondere-lage.sites.be.ch/besondere-lage_sites/de/index/corona/index.html"/>
  </r>
  <r>
    <x v="40"/>
    <x v="5"/>
    <x v="1"/>
    <m/>
    <n v="2508"/>
    <n v="362"/>
    <n v="74"/>
    <n v="61"/>
    <n v="340"/>
    <n v="177"/>
    <s v="https://www4.ti.ch/area-media/comunicati/dettaglio-comunicato/?NEWS_ID=187576&amp;tx_tichareamedia_comunicazioni%5Baction%5D=show&amp;tx_tichareamedia_comunicazioni%5Bcontroller%5D=Comunicazioni&amp;cHash=7486178287491dbfa00376059224e150"/>
  </r>
  <r>
    <x v="40"/>
    <x v="5"/>
    <x v="11"/>
    <m/>
    <n v="146"/>
    <n v="14"/>
    <n v="7"/>
    <m/>
    <n v="46"/>
    <n v="2"/>
    <s v="https://www.zg.ch/behoerden/gesundheitsdirektion/statistikfachstelle/themen/gesundheit/corona"/>
  </r>
  <r>
    <x v="40"/>
    <x v="3"/>
    <x v="5"/>
    <m/>
    <n v="789"/>
    <n v="106"/>
    <n v="15"/>
    <m/>
    <n v="460"/>
    <n v="26"/>
    <s v="https://www.gd.bs.ch//nm/2020-tagesbulletin-coronavirus-794-bestaetigte-faelle-im-kanton-basel-stadt-gd.html"/>
  </r>
  <r>
    <x v="40"/>
    <x v="22"/>
    <x v="16"/>
    <m/>
    <n v="478"/>
    <n v="49"/>
    <n v="12"/>
    <m/>
    <m/>
    <n v="9"/>
    <s v="https://gesundheit.lu.ch/themen/Humanmedizin/Infektionskrankheiten/Coronavirus"/>
  </r>
  <r>
    <x v="40"/>
    <x v="17"/>
    <x v="17"/>
    <m/>
    <n v="67"/>
    <m/>
    <m/>
    <m/>
    <m/>
    <n v="3"/>
    <s v="https://www.ar.ch/verwaltung/departement-gesundheit-und-soziales/amt-fuer-gesundheit/informationsseite-coronavirus/"/>
  </r>
  <r>
    <x v="40"/>
    <x v="1"/>
    <x v="4"/>
    <m/>
    <n v="2497"/>
    <n v="194"/>
    <m/>
    <n v="59"/>
    <m/>
    <n v="53"/>
    <s v="https://gd.zh.ch/internet/gesundheitsdirektion/de/themen/coronavirus.html"/>
  </r>
  <r>
    <x v="40"/>
    <x v="29"/>
    <x v="22"/>
    <m/>
    <n v="67"/>
    <n v="5"/>
    <m/>
    <m/>
    <n v="26"/>
    <n v="2"/>
    <s v="https://www.ur.ch/themen/2920"/>
  </r>
  <r>
    <x v="41"/>
    <x v="0"/>
    <x v="7"/>
    <m/>
    <n v="682"/>
    <n v="67"/>
    <n v="17"/>
    <n v="17"/>
    <n v="412"/>
    <n v="19"/>
    <s v="https://www.baselland.ch/politik-und-behorden/direktionen/volkswirtschafts-und-gesundheitsdirektion/amt-fur-gesundheit/medizinische-dienste/kantonsarztlicher-dienst/aktuelles/covid-19-faelle-kanton-basel-landschaft"/>
  </r>
  <r>
    <x v="41"/>
    <x v="0"/>
    <x v="12"/>
    <m/>
    <n v="689"/>
    <n v="87"/>
    <n v="19"/>
    <m/>
    <n v="56"/>
    <n v="41"/>
    <s v="https://www.fr.ch/sites/default/files/2020-04/statistiques_situation_FR_2804.xlsx"/>
  </r>
  <r>
    <x v="41"/>
    <x v="0"/>
    <x v="0"/>
    <n v="15569"/>
    <n v="3768"/>
    <n v="418"/>
    <n v="56"/>
    <n v="50"/>
    <n v="345"/>
    <n v="123"/>
    <s v="https://www.ge.ch/document/covid-19-situation-epidemiologique-geneve/telecharger"/>
  </r>
  <r>
    <x v="41"/>
    <x v="0"/>
    <x v="19"/>
    <m/>
    <n v="63"/>
    <n v="2"/>
    <m/>
    <m/>
    <m/>
    <n v="2"/>
    <s v="https://www.gl.ch/public/upload/assets/27574/COVID-19_Fallzahlen_Kanton_Glarus.xlsx"/>
  </r>
  <r>
    <x v="41"/>
    <x v="0"/>
    <x v="26"/>
    <m/>
    <n v="679"/>
    <n v="52"/>
    <m/>
    <m/>
    <m/>
    <n v="34"/>
    <s v="https://www.gr.ch/DE/institutionen/verwaltung/djsg/ga/coronavirus/info/Seiten/Start.aspx"/>
  </r>
  <r>
    <x v="41"/>
    <x v="0"/>
    <x v="3"/>
    <m/>
    <n v="164"/>
    <n v="27"/>
    <n v="4"/>
    <m/>
    <m/>
    <n v="0"/>
    <s v="https://www.jura.ch/Htdocs/Files/v/34263.xlsx/Departements/CHA/SIC/Carrousel/Coronavirus/Cornavirus/Chiffres/donnees_27_04.xlsx?download=1"/>
  </r>
  <r>
    <x v="41"/>
    <x v="0"/>
    <x v="13"/>
    <m/>
    <n v="486"/>
    <n v="59"/>
    <n v="10"/>
    <n v="8"/>
    <m/>
    <n v="34"/>
    <s v="https://www.ne.ch/autorites/DFS/SCSP/medecin-cantonal/maladies-vaccinations/Documents/Covid-19-Statistiques/COVID19_PublicationInternet.xlsx"/>
  </r>
  <r>
    <x v="41"/>
    <x v="0"/>
    <x v="20"/>
    <m/>
    <n v="86"/>
    <n v="11"/>
    <n v="2"/>
    <m/>
    <m/>
    <m/>
    <s v="http://www.nw.ch/coronastatistik"/>
  </r>
  <r>
    <x v="41"/>
    <x v="0"/>
    <x v="14"/>
    <m/>
    <n v="532"/>
    <n v="70"/>
    <n v="12"/>
    <m/>
    <n v="75"/>
    <n v="11"/>
    <s v="https://www.sg.ch/tools/informationen-coronavirus.html"/>
  </r>
  <r>
    <x v="41"/>
    <x v="0"/>
    <x v="21"/>
    <m/>
    <n v="50"/>
    <n v="15"/>
    <n v="3"/>
    <m/>
    <m/>
    <n v="1"/>
    <s v="https://sh.ch/CMS/get/file/0779d9a8-e066-4335-95a4-8d2793d317c6"/>
  </r>
  <r>
    <x v="41"/>
    <x v="0"/>
    <x v="15"/>
    <m/>
    <n v="178"/>
    <m/>
    <m/>
    <m/>
    <n v="93"/>
    <n v="6"/>
    <s v="https://www.sz.ch/behoerden/information-medien/medienmitteilungen/coronavirus.html/72-416-412-1379-6948"/>
  </r>
  <r>
    <x v="41"/>
    <x v="0"/>
    <x v="25"/>
    <m/>
    <n v="219"/>
    <n v="34"/>
    <n v="14"/>
    <m/>
    <m/>
    <n v="7"/>
    <s v="https://www.tg.ch/news/fachdossier-coronavirus.html/10552"/>
  </r>
  <r>
    <x v="41"/>
    <x v="0"/>
    <x v="8"/>
    <m/>
    <n v="4417"/>
    <n v="365"/>
    <n v="67"/>
    <m/>
    <m/>
    <n v="192"/>
    <s v="https://www.vd.ch/toutes-les-actualites/hotline-et-informations-sur-le-coronavirus/point-de-situation-statistique-dans-le-canton-de-vaud/"/>
  </r>
  <r>
    <x v="41"/>
    <x v="0"/>
    <x v="9"/>
    <m/>
    <n v="1496"/>
    <n v="132"/>
    <n v="26"/>
    <n v="22"/>
    <n v="105"/>
    <n v="60"/>
    <s v="https://www.vs.ch/documents/6756452/7008787/2020%2004%2027%20Sit%20Epid%20-%20%C3%89tat%20Stand"/>
  </r>
  <r>
    <x v="41"/>
    <x v="27"/>
    <x v="18"/>
    <m/>
    <n v="261"/>
    <n v="26"/>
    <m/>
    <m/>
    <m/>
    <n v="3"/>
    <s v="https://corona.so.ch/index.php?id=27979"/>
  </r>
  <r>
    <x v="41"/>
    <x v="5"/>
    <x v="17"/>
    <m/>
    <n v="69"/>
    <m/>
    <m/>
    <m/>
    <m/>
    <n v="3"/>
    <s v="https://www.ar.ch/verwaltung/departement-gesundheit-und-soziales/amt-fuer-gesundheit/informationsseite-coronavirus/"/>
  </r>
  <r>
    <x v="41"/>
    <x v="5"/>
    <x v="6"/>
    <m/>
    <n v="1173"/>
    <n v="117"/>
    <n v="35"/>
    <n v="30"/>
    <m/>
    <n v="31"/>
    <s v="https://www.besondere-lage.sites.be.ch/besondere-lage_sites/de/index/corona/index.html"/>
  </r>
  <r>
    <x v="41"/>
    <x v="5"/>
    <x v="1"/>
    <m/>
    <n v="2546"/>
    <n v="357"/>
    <n v="72"/>
    <n v="62"/>
    <n v="350"/>
    <n v="189"/>
    <s v="https://www4.ti.ch/area-media/comunicati/dettaglio-comunicato/?NEWS_ID=187585&amp;cHash=71dae3c15afd6b09d15f28f43d415af1"/>
  </r>
  <r>
    <x v="41"/>
    <x v="5"/>
    <x v="11"/>
    <m/>
    <n v="152"/>
    <n v="14"/>
    <n v="8"/>
    <m/>
    <n v="52"/>
    <n v="3"/>
    <s v="https://www.zg.ch/behoerden/gesundheitsdirektion/statistikfachstelle/themen/gesundheit/corona"/>
  </r>
  <r>
    <x v="41"/>
    <x v="32"/>
    <x v="5"/>
    <m/>
    <n v="798"/>
    <n v="99"/>
    <n v="13"/>
    <m/>
    <n v="481"/>
    <n v="26"/>
    <s v="https://www.coronavirus.bs.ch/nm/2020-tagesbulletin-coronavirus-803-bestaetigte-faelle-im-kanton-basel-stadt-gd.html"/>
  </r>
  <r>
    <x v="41"/>
    <x v="22"/>
    <x v="24"/>
    <m/>
    <n v="21"/>
    <m/>
    <m/>
    <m/>
    <m/>
    <m/>
    <s v="https://www.ai.ch/themen/gesundheit-alter-und-soziales/gesundheitsfoerderung-und-praevention/uebertragbare-krankheiten/coronavirus"/>
  </r>
  <r>
    <x v="41"/>
    <x v="22"/>
    <x v="16"/>
    <m/>
    <n v="497"/>
    <n v="61"/>
    <n v="6"/>
    <m/>
    <m/>
    <n v="9"/>
    <s v="https://gesundheit.lu.ch/themen/Humanmedizin/Infektionskrankheiten/Coronavirus"/>
  </r>
  <r>
    <x v="41"/>
    <x v="14"/>
    <x v="22"/>
    <m/>
    <n v="67"/>
    <n v="9"/>
    <m/>
    <m/>
    <n v="34"/>
    <n v="2"/>
    <s v="https://www.ur.ch/themen/2920"/>
  </r>
  <r>
    <x v="41"/>
    <x v="1"/>
    <x v="4"/>
    <m/>
    <n v="2611"/>
    <n v="198"/>
    <m/>
    <n v="58"/>
    <m/>
    <n v="55"/>
    <s v="https://gd.zh.ch/internet/gesundheitsdirektion/de/themen/coronavirus.html"/>
  </r>
  <r>
    <x v="41"/>
    <x v="4"/>
    <x v="10"/>
    <m/>
    <n v="727"/>
    <n v="82"/>
    <n v="25"/>
    <n v="24"/>
    <m/>
    <n v="13"/>
    <s v="https://www.ag.ch/media/kanton_aargau/themen_1/coronavirus_1/lagebulletins/200406_KFS_Coronavirus_Lagebulletin_27.pdf"/>
  </r>
  <r>
    <x v="41"/>
    <x v="4"/>
    <x v="23"/>
    <m/>
    <n v="60"/>
    <m/>
    <m/>
    <m/>
    <n v="1"/>
    <n v="0"/>
    <s v="https://www.ow.ch/de/verwaltung/dienstleistungen/?dienst_id=5962"/>
  </r>
  <r>
    <x v="42"/>
    <x v="0"/>
    <x v="7"/>
    <m/>
    <n v="690"/>
    <n v="66"/>
    <n v="18"/>
    <n v="17"/>
    <n v="452"/>
    <n v="19"/>
    <s v="https://www.baselland.ch/politik-und-behorden/direktionen/volkswirtschafts-und-gesundheitsdirektion/amt-fur-gesundheit/medizinische-dienste/kantonsarztlicher-dienst/aktuelles/covid-19-faelle-kanton-basel-landschaft"/>
  </r>
  <r>
    <x v="42"/>
    <x v="0"/>
    <x v="2"/>
    <m/>
    <n v="78"/>
    <m/>
    <m/>
    <m/>
    <m/>
    <n v="1"/>
    <s v="https://www.liechtenstein.li/news-detail/article/aktuelle-informationen-zum-coronavirus/"/>
  </r>
  <r>
    <x v="42"/>
    <x v="0"/>
    <x v="12"/>
    <m/>
    <n v="729"/>
    <n v="78"/>
    <n v="22"/>
    <m/>
    <n v="73"/>
    <n v="44"/>
    <s v="https://www.fr.ch/sites/default/files/2020-04/statistiques_situation_FR_2804.xlsx"/>
  </r>
  <r>
    <x v="42"/>
    <x v="0"/>
    <x v="0"/>
    <n v="16411"/>
    <n v="3928"/>
    <n v="412"/>
    <n v="51"/>
    <n v="48"/>
    <n v="374"/>
    <n v="134"/>
    <s v="https://www.ge.ch/document/covid-19-situation-epidemiologique-geneve/telecharger"/>
  </r>
  <r>
    <x v="42"/>
    <x v="0"/>
    <x v="19"/>
    <m/>
    <n v="63"/>
    <n v="2"/>
    <m/>
    <m/>
    <m/>
    <n v="2"/>
    <s v="https://www.gl.ch/public/upload/assets/27574/COVID-19_Fallzahlen_Kanton_Glarus.xlsx"/>
  </r>
  <r>
    <x v="42"/>
    <x v="0"/>
    <x v="26"/>
    <m/>
    <n v="684"/>
    <n v="49"/>
    <m/>
    <m/>
    <m/>
    <n v="35"/>
    <s v="https://www.gr.ch/DE/institutionen/verwaltung/djsg/ga/coronavirus/info/Seiten/Start.aspx"/>
  </r>
  <r>
    <x v="42"/>
    <x v="0"/>
    <x v="3"/>
    <m/>
    <n v="171"/>
    <n v="28"/>
    <n v="4"/>
    <m/>
    <m/>
    <n v="0"/>
    <s v="https://www.jura.ch/Htdocs/Files/v/34263.xlsx/Departements/CHA/SIC/Carrousel/Coronavirus/Cornavirus/Chiffres/donnees_27_04.xlsx?download=1"/>
  </r>
  <r>
    <x v="42"/>
    <x v="0"/>
    <x v="13"/>
    <m/>
    <n v="510"/>
    <n v="64"/>
    <n v="10"/>
    <n v="5"/>
    <m/>
    <n v="37"/>
    <s v="https://www.ne.ch/autorites/DFS/SCSP/medecin-cantonal/maladies-vaccinations/Documents/Covid-19-Statistiques/COVID19_PublicationInternet.xlsx"/>
  </r>
  <r>
    <x v="42"/>
    <x v="0"/>
    <x v="20"/>
    <m/>
    <n v="87"/>
    <n v="9"/>
    <n v="2"/>
    <m/>
    <m/>
    <m/>
    <s v="http://www.nw.ch/coronastatistik"/>
  </r>
  <r>
    <x v="42"/>
    <x v="0"/>
    <x v="14"/>
    <m/>
    <n v="557"/>
    <n v="65"/>
    <n v="9"/>
    <m/>
    <n v="79"/>
    <n v="13"/>
    <s v="https://www.sg.ch/tools/informationen-coronavirus.html"/>
  </r>
  <r>
    <x v="42"/>
    <x v="0"/>
    <x v="15"/>
    <m/>
    <n v="185"/>
    <m/>
    <m/>
    <m/>
    <n v="105"/>
    <n v="7"/>
    <s v="https://www.sz.ch/behoerden/information-medien/medienmitteilungen/coronavirus.html/72-416-412-1379-6948"/>
  </r>
  <r>
    <x v="42"/>
    <x v="0"/>
    <x v="25"/>
    <m/>
    <n v="221"/>
    <n v="33"/>
    <n v="13"/>
    <m/>
    <m/>
    <n v="8"/>
    <s v="https://www.tg.ch/news/fachdossier-coronavirus.html/10552"/>
  </r>
  <r>
    <x v="42"/>
    <x v="0"/>
    <x v="8"/>
    <m/>
    <n v="4493"/>
    <n v="338"/>
    <n v="66"/>
    <m/>
    <m/>
    <n v="204"/>
    <s v="https://www.vd.ch/toutes-les-actualites/hotline-et-informations-sur-le-coronavirus/point-de-situation-statistique-dans-le-canton-de-vaud/"/>
  </r>
  <r>
    <x v="42"/>
    <x v="0"/>
    <x v="9"/>
    <m/>
    <n v="1535"/>
    <n v="129"/>
    <n v="25"/>
    <n v="20"/>
    <n v="123"/>
    <n v="68"/>
    <s v="https://www.vs.ch/documents/6756452/7008787/2020%2004%2027%20Sit%20Epid%20-%20%C3%89tat%20Stand"/>
  </r>
  <r>
    <x v="42"/>
    <x v="27"/>
    <x v="18"/>
    <m/>
    <n v="264"/>
    <n v="29"/>
    <m/>
    <m/>
    <m/>
    <n v="3"/>
    <s v="https://corona.so.ch/index.php?id=27979"/>
  </r>
  <r>
    <x v="42"/>
    <x v="5"/>
    <x v="17"/>
    <m/>
    <n v="69"/>
    <m/>
    <m/>
    <m/>
    <m/>
    <n v="3"/>
    <s v="https://www.ar.ch/verwaltung/departement-gesundheit-und-soziales/amt-fuer-gesundheit/informationsseite-coronavirus/"/>
  </r>
  <r>
    <x v="42"/>
    <x v="5"/>
    <x v="6"/>
    <m/>
    <n v="1228"/>
    <n v="122"/>
    <n v="34"/>
    <n v="26"/>
    <m/>
    <n v="33"/>
    <s v="https://www.besondere-lage.sites.be.ch/besondere-lage_sites/de/index/corona/index.html"/>
  </r>
  <r>
    <x v="42"/>
    <x v="5"/>
    <x v="1"/>
    <m/>
    <n v="2599"/>
    <n v="335"/>
    <n v="72"/>
    <n v="65"/>
    <n v="388"/>
    <n v="198"/>
    <s v="https://www4.ti.ch/area-media/comunicati/dettaglio-comunicato/?NEWS_ID=187585&amp;tx_tichareamedia_comunicazioni%5Baction%5D=show&amp;tx_tichareamedia_comunicazioni%5Bcontroller%5D=Comunicazioni&amp;cHash=4bf78e02dc8ee0d240e06c4603f5605c"/>
  </r>
  <r>
    <x v="42"/>
    <x v="5"/>
    <x v="11"/>
    <m/>
    <n v="157"/>
    <n v="15"/>
    <n v="8"/>
    <m/>
    <n v="54"/>
    <n v="3"/>
    <s v="https://www.zg.ch/behoerden/gesundheitsdirektion/statistikfachstelle/themen/gesundheit/corona"/>
  </r>
  <r>
    <x v="42"/>
    <x v="33"/>
    <x v="5"/>
    <m/>
    <n v="808"/>
    <n v="101"/>
    <n v="13"/>
    <m/>
    <n v="508"/>
    <n v="28"/>
    <s v="https://www.gd.bs.ch//nm/2020-tagesbulletin-coronavirus-813-bestaetigte-faelle-im-kanton-basel-stadt-gd.html"/>
  </r>
  <r>
    <x v="42"/>
    <x v="33"/>
    <x v="21"/>
    <m/>
    <n v="50"/>
    <n v="14"/>
    <n v="3"/>
    <m/>
    <m/>
    <n v="1"/>
    <s v="https://sh.ch/CMS/get/file/0779d9a8-e066-4335-95a4-8d2793d317c6"/>
  </r>
  <r>
    <x v="42"/>
    <x v="22"/>
    <x v="24"/>
    <m/>
    <n v="21"/>
    <m/>
    <m/>
    <m/>
    <m/>
    <m/>
    <s v="https://www.ai.ch/themen/gesundheit-alter-und-soziales/gesundheitsfoerderung-und-praevention/uebertragbare-krankheiten/coronavirus"/>
  </r>
  <r>
    <x v="42"/>
    <x v="22"/>
    <x v="16"/>
    <m/>
    <n v="509"/>
    <n v="57"/>
    <n v="6"/>
    <m/>
    <m/>
    <n v="9"/>
    <s v="https://gesundheit.lu.ch/themen/Humanmedizin/Infektionskrankheiten/Coronavirus"/>
  </r>
  <r>
    <x v="42"/>
    <x v="14"/>
    <x v="22"/>
    <m/>
    <n v="68"/>
    <n v="7"/>
    <m/>
    <m/>
    <n v="42"/>
    <n v="2"/>
    <s v="https://www.ur.ch/themen/2920"/>
  </r>
  <r>
    <x v="42"/>
    <x v="1"/>
    <x v="23"/>
    <m/>
    <n v="60"/>
    <n v="2"/>
    <m/>
    <m/>
    <m/>
    <n v="0"/>
    <s v="https://www.ow.ch/de/verwaltung/dienstleistungen/?dienst_id=5962"/>
  </r>
  <r>
    <x v="42"/>
    <x v="1"/>
    <x v="4"/>
    <m/>
    <n v="2695"/>
    <n v="181"/>
    <m/>
    <n v="60"/>
    <m/>
    <n v="57"/>
    <s v="https://gd.zh.ch/internet/gesundheitsdirektion/de/themen/coronavirus.html"/>
  </r>
  <r>
    <x v="42"/>
    <x v="34"/>
    <x v="10"/>
    <m/>
    <n v="760"/>
    <n v="84"/>
    <n v="25"/>
    <n v="25"/>
    <n v="170"/>
    <n v="16"/>
    <s v="https://www.ag.ch/media/kanton_aargau/themen_1/coronavirus_1/lagebulletins/200407_KFS_Coronavirus_Lagebulletin_28.pdf"/>
  </r>
  <r>
    <x v="43"/>
    <x v="0"/>
    <x v="7"/>
    <m/>
    <n v="694"/>
    <n v="65"/>
    <n v="18"/>
    <n v="17"/>
    <n v="461"/>
    <n v="21"/>
    <s v="https://www.baselland.ch/politik-und-behorden/direktionen/volkswirtschafts-und-gesundheitsdirektion/amt-fur-gesundheit/medizinische-dienste/kantonsarztlicher-dienst/aktuelles/covid-19-faelle-kanton-basel-landschaft"/>
  </r>
  <r>
    <x v="43"/>
    <x v="0"/>
    <x v="12"/>
    <m/>
    <n v="756"/>
    <n v="80"/>
    <n v="22"/>
    <m/>
    <n v="78"/>
    <n v="45"/>
    <s v="https://www.fr.ch/sites/default/files/2020-04/statistiques_situation_FR_2804.xlsx"/>
  </r>
  <r>
    <x v="43"/>
    <x v="0"/>
    <x v="0"/>
    <n v="17220"/>
    <n v="4059"/>
    <n v="402"/>
    <n v="49"/>
    <n v="47"/>
    <n v="442"/>
    <n v="148"/>
    <s v="https://www.ge.ch/document/covid-19-situation-epidemiologique-geneve/telecharger"/>
  </r>
  <r>
    <x v="43"/>
    <x v="0"/>
    <x v="19"/>
    <m/>
    <n v="64"/>
    <n v="2"/>
    <m/>
    <m/>
    <m/>
    <n v="2"/>
    <s v="https://www.gl.ch/public/upload/assets/27574/COVID-19_Fallzahlen_Kanton_Glarus.xlsx"/>
  </r>
  <r>
    <x v="43"/>
    <x v="0"/>
    <x v="26"/>
    <m/>
    <n v="698"/>
    <n v="38"/>
    <m/>
    <m/>
    <m/>
    <n v="35"/>
    <s v="https://www.gr.ch/DE/institutionen/verwaltung/djsg/ga/coronavirus/info/Seiten/Start.aspx"/>
  </r>
  <r>
    <x v="43"/>
    <x v="0"/>
    <x v="3"/>
    <m/>
    <n v="174"/>
    <n v="31"/>
    <n v="4"/>
    <m/>
    <m/>
    <n v="1"/>
    <s v="https://www.jura.ch/Htdocs/Files/v/34263.xlsx/Departements/CHA/SIC/Carrousel/Coronavirus/Cornavirus/Chiffres/donnees_27_04.xlsx?download=1"/>
  </r>
  <r>
    <x v="43"/>
    <x v="0"/>
    <x v="13"/>
    <m/>
    <n v="515"/>
    <n v="63"/>
    <n v="10"/>
    <n v="7"/>
    <m/>
    <n v="40"/>
    <s v="https://www.ne.ch/autorites/DFS/SCSP/medecin-cantonal/maladies-vaccinations/Documents/Covid-19-Statistiques/COVID19_PublicationInternet.xlsx"/>
  </r>
  <r>
    <x v="43"/>
    <x v="0"/>
    <x v="20"/>
    <m/>
    <n v="93"/>
    <n v="9"/>
    <n v="1"/>
    <m/>
    <m/>
    <m/>
    <s v="http://www.nw.ch/coronastatistik"/>
  </r>
  <r>
    <x v="43"/>
    <x v="0"/>
    <x v="14"/>
    <m/>
    <n v="578"/>
    <n v="52"/>
    <n v="12"/>
    <m/>
    <n v="89"/>
    <n v="15"/>
    <s v="https://www.sg.ch/tools/informationen-coronavirus.html"/>
  </r>
  <r>
    <x v="43"/>
    <x v="0"/>
    <x v="15"/>
    <m/>
    <n v="196"/>
    <m/>
    <m/>
    <m/>
    <n v="107"/>
    <n v="7"/>
    <s v="https://www.sz.ch/behoerden/information-medien/medienmitteilungen/coronavirus.html/72-416-412-1379-6948"/>
  </r>
  <r>
    <x v="43"/>
    <x v="0"/>
    <x v="25"/>
    <m/>
    <n v="236"/>
    <n v="30"/>
    <n v="15"/>
    <m/>
    <m/>
    <n v="8"/>
    <s v="https://www.tg.ch/news/fachdossier-coronavirus.html/10552"/>
  </r>
  <r>
    <x v="43"/>
    <x v="0"/>
    <x v="8"/>
    <m/>
    <n v="4584"/>
    <n v="331"/>
    <n v="65"/>
    <m/>
    <m/>
    <n v="216"/>
    <s v="https://www.vd.ch/toutes-les-actualites/hotline-et-informations-sur-le-coronavirus/point-de-situation-statistique-dans-le-canton-de-vaud/"/>
  </r>
  <r>
    <x v="43"/>
    <x v="0"/>
    <x v="9"/>
    <m/>
    <n v="1569"/>
    <n v="122"/>
    <n v="26"/>
    <n v="20"/>
    <n v="130"/>
    <n v="71"/>
    <s v="https://www.vs.ch/documents/6756452/7008787/2020%2004%2027%20Sit%20Epid%20-%20%C3%89tat%20Stand"/>
  </r>
  <r>
    <x v="43"/>
    <x v="27"/>
    <x v="18"/>
    <m/>
    <n v="276"/>
    <n v="22"/>
    <m/>
    <m/>
    <m/>
    <n v="3"/>
    <s v="https://corona.so.ch/index.php?id=27979"/>
  </r>
  <r>
    <x v="43"/>
    <x v="5"/>
    <x v="17"/>
    <m/>
    <n v="72"/>
    <m/>
    <m/>
    <m/>
    <m/>
    <n v="3"/>
    <s v="https://www.ar.ch/verwaltung/departement-gesundheit-und-soziales/amt-fuer-gesundheit/informationsseite-coronavirus/"/>
  </r>
  <r>
    <x v="43"/>
    <x v="5"/>
    <x v="6"/>
    <m/>
    <n v="1286"/>
    <n v="127"/>
    <n v="35"/>
    <n v="27"/>
    <m/>
    <n v="37"/>
    <s v="https://www.besondere-lage.sites.be.ch/besondere-lage_sites/de/index/corona/index.html"/>
  </r>
  <r>
    <x v="43"/>
    <x v="5"/>
    <x v="1"/>
    <m/>
    <n v="2659"/>
    <n v="319"/>
    <n v="71"/>
    <n v="64"/>
    <n v="420"/>
    <n v="211"/>
    <s v="https://www4.ti.ch/area-media/comunicati/dettaglio-comunicato/?NEWS_ID=187593&amp;cHash=04877af9adec32de4f5ef43a5916f801"/>
  </r>
  <r>
    <x v="43"/>
    <x v="5"/>
    <x v="11"/>
    <m/>
    <n v="162"/>
    <n v="12"/>
    <n v="9"/>
    <m/>
    <n v="61"/>
    <n v="3"/>
    <s v="https://www.zg.ch/behoerden/gesundheitsdirektion/statistikfachstelle/themen/gesundheit/corona"/>
  </r>
  <r>
    <x v="43"/>
    <x v="33"/>
    <x v="21"/>
    <m/>
    <n v="50"/>
    <n v="15"/>
    <n v="2"/>
    <m/>
    <m/>
    <n v="1"/>
    <s v="https://sh.ch/CMS/get/file/0779d9a8-e066-4335-95a4-8d2793d317c6"/>
  </r>
  <r>
    <x v="43"/>
    <x v="24"/>
    <x v="5"/>
    <m/>
    <n v="829"/>
    <n v="99"/>
    <n v="14"/>
    <m/>
    <n v="535"/>
    <n v="31"/>
    <s v="https://www.gd.bs.ch//nm/2020-tagesbulletin-coronavirus-834-bestaetigte-faelle-im-kanton-basel-stadt-gd.html"/>
  </r>
  <r>
    <x v="43"/>
    <x v="22"/>
    <x v="24"/>
    <m/>
    <n v="23"/>
    <m/>
    <m/>
    <m/>
    <m/>
    <m/>
    <s v="https://www.ai.ch/themen/gesundheit-alter-und-soziales/gesundheitsfoerderung-und-praevention/uebertragbare-krankheiten/coronavirus"/>
  </r>
  <r>
    <x v="43"/>
    <x v="22"/>
    <x v="16"/>
    <m/>
    <n v="527"/>
    <m/>
    <m/>
    <m/>
    <m/>
    <n v="9"/>
    <s v="https://gesundheit.lu.ch/themen/Humanmedizin/Infektionskrankheiten/Coronavirus"/>
  </r>
  <r>
    <x v="43"/>
    <x v="14"/>
    <x v="22"/>
    <m/>
    <n v="72"/>
    <n v="5"/>
    <m/>
    <m/>
    <n v="42"/>
    <n v="4"/>
    <s v="https://www.ur.ch/themen/2962"/>
  </r>
  <r>
    <x v="43"/>
    <x v="1"/>
    <x v="4"/>
    <m/>
    <n v="2790"/>
    <n v="170"/>
    <m/>
    <n v="56"/>
    <m/>
    <n v="65"/>
    <s v="https://gd.zh.ch/internet/gesundheitsdirektion/de/themen/coronavirus.html"/>
  </r>
  <r>
    <x v="43"/>
    <x v="34"/>
    <x v="10"/>
    <m/>
    <n v="788"/>
    <n v="79"/>
    <n v="23"/>
    <n v="23"/>
    <n v="220"/>
    <n v="16"/>
    <s v="https://www.ag.ch/media/kanton_aargau/themen_1/coronavirus_1/lagebulletins/200408_KFS_Coronavirus_Lagebulletin_29.pdf"/>
  </r>
  <r>
    <x v="43"/>
    <x v="4"/>
    <x v="23"/>
    <m/>
    <n v="61"/>
    <n v="2"/>
    <m/>
    <m/>
    <m/>
    <n v="0"/>
    <s v="https://www.ow.ch/de/verwaltung/dienstleistungen/?dienst_id=5962"/>
  </r>
  <r>
    <x v="44"/>
    <x v="0"/>
    <x v="7"/>
    <m/>
    <n v="711"/>
    <n v="62"/>
    <n v="18"/>
    <n v="16"/>
    <n v="485"/>
    <n v="21"/>
    <s v="https://www.baselland.ch/politik-und-behorden/direktionen/volkswirtschafts-und-gesundheitsdirektion/amt-fur-gesundheit/medizinische-dienste/kantonsarztlicher-dienst/aktuelles/covid-19-faelle-kanton-basel-landschaft"/>
  </r>
  <r>
    <x v="44"/>
    <x v="0"/>
    <x v="12"/>
    <m/>
    <n v="786"/>
    <n v="80"/>
    <n v="20"/>
    <m/>
    <n v="84"/>
    <n v="46"/>
    <s v="https://www.fr.ch/sites/default/files/2020-04/statistiques_situation_FR_2804.xlsx"/>
  </r>
  <r>
    <x v="44"/>
    <x v="0"/>
    <x v="0"/>
    <n v="17737"/>
    <n v="4152"/>
    <n v="393"/>
    <n v="47"/>
    <n v="45"/>
    <m/>
    <n v="157"/>
    <s v="https://www.ge.ch/document/covid-19-situation-epidemiologique-geneve/telecharger"/>
  </r>
  <r>
    <x v="44"/>
    <x v="0"/>
    <x v="19"/>
    <m/>
    <n v="67"/>
    <n v="2"/>
    <m/>
    <m/>
    <m/>
    <n v="2"/>
    <s v="https://www.gl.ch/public/upload/assets/27574/COVID-19_Fallzahlen_Kanton_Glarus.xlsx"/>
  </r>
  <r>
    <x v="44"/>
    <x v="0"/>
    <x v="26"/>
    <m/>
    <n v="719"/>
    <n v="39"/>
    <m/>
    <m/>
    <m/>
    <n v="36"/>
    <s v="https://www.gr.ch/DE/institutionen/verwaltung/djsg/ga/coronavirus/info/Seiten/Start.aspx"/>
  </r>
  <r>
    <x v="44"/>
    <x v="0"/>
    <x v="3"/>
    <m/>
    <n v="179"/>
    <n v="28"/>
    <n v="5"/>
    <m/>
    <m/>
    <n v="1"/>
    <s v="https://www.jura.ch/Htdocs/Files/v/34263.xlsx/Departements/CHA/SIC/Carrousel/Coronavirus/Cornavirus/Chiffres/donnees_27_04.xlsx?download=1"/>
  </r>
  <r>
    <x v="44"/>
    <x v="0"/>
    <x v="13"/>
    <m/>
    <n v="547"/>
    <n v="58"/>
    <n v="10"/>
    <n v="7"/>
    <m/>
    <n v="42"/>
    <s v="https://www.ne.ch/autorites/DFS/SCSP/medecin-cantonal/maladies-vaccinations/Documents/Covid-19-Statistiques/COVID19_PublicationInternet.xlsx"/>
  </r>
  <r>
    <x v="44"/>
    <x v="0"/>
    <x v="20"/>
    <m/>
    <n v="96"/>
    <n v="9"/>
    <n v="1"/>
    <m/>
    <m/>
    <m/>
    <s v="http://www.nw.ch/coronastatistik"/>
  </r>
  <r>
    <x v="44"/>
    <x v="0"/>
    <x v="14"/>
    <m/>
    <n v="604"/>
    <n v="52"/>
    <n v="13"/>
    <m/>
    <n v="92"/>
    <n v="16"/>
    <s v="https://www.sg.ch/tools/informationen-coronavirus.html"/>
  </r>
  <r>
    <x v="44"/>
    <x v="0"/>
    <x v="15"/>
    <m/>
    <n v="213"/>
    <m/>
    <m/>
    <m/>
    <n v="113"/>
    <n v="9"/>
    <s v="https://www.sz.ch/behoerden/information-medien/medienmitteilungen/coronavirus.html/72-416-412-1379-6948"/>
  </r>
  <r>
    <x v="44"/>
    <x v="0"/>
    <x v="25"/>
    <m/>
    <n v="255"/>
    <n v="27"/>
    <n v="12"/>
    <m/>
    <m/>
    <n v="8"/>
    <s v="https://www.tg.ch/news/fachdossier-coronavirus.html/10552"/>
  </r>
  <r>
    <x v="44"/>
    <x v="0"/>
    <x v="8"/>
    <m/>
    <n v="4681"/>
    <n v="314"/>
    <n v="65"/>
    <m/>
    <m/>
    <n v="230"/>
    <s v="https://www.vd.ch/toutes-les-actualites/hotline-et-informations-sur-le-coronavirus/point-de-situation-statistique-dans-le-canton-de-vaud/"/>
  </r>
  <r>
    <x v="44"/>
    <x v="0"/>
    <x v="9"/>
    <m/>
    <n v="1597"/>
    <n v="117"/>
    <n v="24"/>
    <n v="19"/>
    <n v="136"/>
    <n v="77"/>
    <s v="https://www.vs.ch/documents/6756452/7008787/2020%2004%2027%20Sit%20Epid%20-%20%C3%89tat%20Stand"/>
  </r>
  <r>
    <x v="44"/>
    <x v="27"/>
    <x v="18"/>
    <m/>
    <n v="282"/>
    <n v="23"/>
    <m/>
    <m/>
    <m/>
    <n v="5"/>
    <s v="https://corona.so.ch/index.php?id=27979"/>
  </r>
  <r>
    <x v="44"/>
    <x v="5"/>
    <x v="17"/>
    <m/>
    <n v="74"/>
    <m/>
    <m/>
    <m/>
    <m/>
    <n v="3"/>
    <s v="https://www.ar.ch/verwaltung/departement-gesundheit-und-soziales/amt-fuer-gesundheit/informationsseite-coronavirus/"/>
  </r>
  <r>
    <x v="44"/>
    <x v="5"/>
    <x v="6"/>
    <m/>
    <n v="1335"/>
    <n v="117"/>
    <n v="36"/>
    <n v="27"/>
    <m/>
    <n v="38"/>
    <s v="https://www.besondere-lage.sites.be.ch/besondere-lage_sites/de/index/corona/index.html"/>
  </r>
  <r>
    <x v="44"/>
    <x v="5"/>
    <x v="1"/>
    <m/>
    <n v="2714"/>
    <n v="301"/>
    <n v="72"/>
    <n v="68"/>
    <n v="447"/>
    <n v="219"/>
    <s v="https://www4.ti.ch/area-media/comunicati/dettaglio-comunicato/?NEWS_ID=187601&amp;tx_tichareamedia_comunicazioni%5Baction%5D=show&amp;tx_tichareamedia_comunicazioni%5Bcontroller%5D=Comunicazioni&amp;cHash=a02f7a88b61d913138f4f86dbeeaa599"/>
  </r>
  <r>
    <x v="44"/>
    <x v="5"/>
    <x v="11"/>
    <m/>
    <n v="165"/>
    <n v="13"/>
    <n v="9"/>
    <m/>
    <n v="69"/>
    <n v="3"/>
    <s v="https://www.zg.ch/behoerden/gesundheitsdirektion/statistikfachstelle/themen/gesundheit/corona"/>
  </r>
  <r>
    <x v="44"/>
    <x v="33"/>
    <x v="21"/>
    <m/>
    <n v="52"/>
    <n v="17"/>
    <n v="2"/>
    <m/>
    <m/>
    <n v="1"/>
    <s v="https://sh.ch/CMS/get/file/0779d9a8-e066-4335-95a4-8d2793d317c6"/>
  </r>
  <r>
    <x v="44"/>
    <x v="24"/>
    <x v="5"/>
    <m/>
    <n v="841"/>
    <n v="93"/>
    <n v="13"/>
    <m/>
    <n v="572"/>
    <n v="33"/>
    <s v="https://www.gd.bs.ch//nm/2020-tagesbulletin-coronavirus-846-bestaetigte-faelle-im-kanton-basel-stadt-gd.html"/>
  </r>
  <r>
    <x v="44"/>
    <x v="22"/>
    <x v="24"/>
    <m/>
    <n v="24"/>
    <m/>
    <m/>
    <m/>
    <m/>
    <m/>
    <s v="https://www.ai.ch/themen/gesundheit-alter-und-soziales/gesundheitsfoerderung-und-praevention/uebertragbare-krankheiten/coronavirus"/>
  </r>
  <r>
    <x v="44"/>
    <x v="17"/>
    <x v="16"/>
    <m/>
    <n v="542"/>
    <n v="62"/>
    <n v="6"/>
    <m/>
    <m/>
    <n v="9"/>
    <s v="https://gesundheit.lu.ch/themen/Humanmedizin/Infektionskrankheiten/Coronavirus"/>
  </r>
  <r>
    <x v="44"/>
    <x v="14"/>
    <x v="22"/>
    <m/>
    <n v="72"/>
    <n v="4"/>
    <m/>
    <m/>
    <n v="45"/>
    <n v="4"/>
    <s v="https://www.ur.ch/themen/2962"/>
  </r>
  <r>
    <x v="44"/>
    <x v="1"/>
    <x v="4"/>
    <m/>
    <n v="2887"/>
    <n v="165"/>
    <m/>
    <n v="55"/>
    <m/>
    <n v="66"/>
    <s v="https://gd.zh.ch/internet/gesundheitsdirektion/de/themen/coronavirus.html"/>
  </r>
  <r>
    <x v="44"/>
    <x v="34"/>
    <x v="10"/>
    <m/>
    <n v="822"/>
    <n v="87"/>
    <n v="22"/>
    <n v="21"/>
    <n v="250"/>
    <n v="17"/>
    <s v="https://www.ag.ch/media/kanton_aargau/themen_1/coronavirus_1/lagebulletins/200409_KFS_Coronavirus_Lagebulletin_30.pdf"/>
  </r>
  <r>
    <x v="44"/>
    <x v="4"/>
    <x v="23"/>
    <m/>
    <n v="62"/>
    <n v="1"/>
    <m/>
    <m/>
    <m/>
    <n v="0"/>
    <s v="https://www.ow.ch/de/verwaltung/dienstleistungen/?dienst_id=5962"/>
  </r>
  <r>
    <x v="45"/>
    <x v="0"/>
    <x v="7"/>
    <m/>
    <n v="722"/>
    <n v="54"/>
    <n v="17"/>
    <n v="15"/>
    <n v="502"/>
    <n v="22"/>
    <s v="https://www.baselland.ch/politik-und-behorden/direktionen/volkswirtschafts-und-gesundheitsdirektion/amt-fur-gesundheit/medizinische-dienste/kantonsarztlicher-dienst/aktuelles/covid-19-faelle-kanton-basel-landschaft"/>
  </r>
  <r>
    <x v="45"/>
    <x v="0"/>
    <x v="2"/>
    <m/>
    <n v="79"/>
    <m/>
    <m/>
    <m/>
    <m/>
    <n v="1"/>
    <s v="https://www.regierung.li/media/attachments/188-corona-keine-neuen-faelle-0410.pdf?t=637222261316868970"/>
  </r>
  <r>
    <x v="45"/>
    <x v="0"/>
    <x v="12"/>
    <m/>
    <n v="796"/>
    <n v="73"/>
    <n v="19"/>
    <m/>
    <n v="88"/>
    <n v="49"/>
    <s v="https://www.fr.ch/sites/default/files/2020-04/statistiques_situation_FR_2804.xlsx"/>
  </r>
  <r>
    <x v="45"/>
    <x v="0"/>
    <x v="0"/>
    <n v="18153"/>
    <n v="4194"/>
    <n v="379"/>
    <n v="47"/>
    <n v="47"/>
    <n v="448"/>
    <n v="168"/>
    <s v="https://www.ge.ch/document/covid-19-situation-epidemiologique-geneve/telecharger"/>
  </r>
  <r>
    <x v="45"/>
    <x v="0"/>
    <x v="19"/>
    <m/>
    <n v="76"/>
    <n v="2"/>
    <m/>
    <m/>
    <m/>
    <n v="2"/>
    <s v="https://www.gl.ch/public/upload/assets/27574/COVID-19_Fallzahlen_Kanton_Glarus.xlsx"/>
  </r>
  <r>
    <x v="45"/>
    <x v="0"/>
    <x v="26"/>
    <m/>
    <n v="730"/>
    <n v="35"/>
    <m/>
    <m/>
    <m/>
    <n v="36"/>
    <s v="https://www.gr.ch/DE/institutionen/verwaltung/djsg/ga/coronavirus/info/Seiten/Start.aspx"/>
  </r>
  <r>
    <x v="45"/>
    <x v="0"/>
    <x v="3"/>
    <m/>
    <n v="182"/>
    <n v="25"/>
    <n v="5"/>
    <m/>
    <m/>
    <n v="3"/>
    <s v="https://www.jura.ch/Htdocs/Files/v/34263.xlsx/Departements/CHA/SIC/Carrousel/Coronavirus/Cornavirus/Chiffres/donnees_27_04.xlsx?download=1"/>
  </r>
  <r>
    <x v="45"/>
    <x v="0"/>
    <x v="13"/>
    <m/>
    <n v="567"/>
    <n v="63"/>
    <n v="11"/>
    <n v="8"/>
    <m/>
    <n v="42"/>
    <s v="https://www.ne.ch/autorites/DFS/SCSP/medecin-cantonal/maladies-vaccinations/Documents/Covid-19-Statistiques/COVID19_PublicationInternet.xlsx"/>
  </r>
  <r>
    <x v="45"/>
    <x v="0"/>
    <x v="20"/>
    <m/>
    <n v="100"/>
    <n v="7"/>
    <n v="1"/>
    <m/>
    <m/>
    <m/>
    <s v="http://www.nw.ch/coronastatistik"/>
  </r>
  <r>
    <x v="45"/>
    <x v="0"/>
    <x v="14"/>
    <m/>
    <n v="632"/>
    <n v="60"/>
    <n v="11"/>
    <m/>
    <n v="93"/>
    <n v="17"/>
    <s v="https://www.sg.ch/tools/informationen-coronavirus.html"/>
  </r>
  <r>
    <x v="45"/>
    <x v="0"/>
    <x v="15"/>
    <m/>
    <n v="215"/>
    <m/>
    <m/>
    <m/>
    <n v="118"/>
    <n v="10"/>
    <s v="https://www.sz.ch/behoerden/information-medien/medienmitteilungen/coronavirus.html/72-416-412-1379-6948"/>
  </r>
  <r>
    <x v="45"/>
    <x v="0"/>
    <x v="25"/>
    <m/>
    <n v="264"/>
    <n v="32"/>
    <n v="13"/>
    <m/>
    <m/>
    <n v="8"/>
    <s v="https://www.tg.ch/news/fachdossier-coronavirus.html/10552"/>
  </r>
  <r>
    <x v="45"/>
    <x v="0"/>
    <x v="8"/>
    <m/>
    <n v="4730"/>
    <n v="305"/>
    <n v="67"/>
    <m/>
    <m/>
    <n v="237"/>
    <s v="https://www.vd.ch/toutes-les-actualites/hotline-et-informations-sur-le-coronavirus/point-de-situation-statistique-dans-le-canton-de-vaud/"/>
  </r>
  <r>
    <x v="45"/>
    <x v="0"/>
    <x v="9"/>
    <m/>
    <n v="1626"/>
    <n v="115"/>
    <n v="24"/>
    <n v="18"/>
    <n v="136"/>
    <n v="83"/>
    <s v="https://www.vs.ch/documents/6756452/7008787/2020%2004%2027%20Sit%20Epid%20-%20%C3%89tat%20Stand"/>
  </r>
  <r>
    <x v="45"/>
    <x v="27"/>
    <x v="18"/>
    <m/>
    <n v="294"/>
    <n v="22"/>
    <m/>
    <m/>
    <m/>
    <n v="5"/>
    <s v="https://corona.so.ch/index.php?id=27979"/>
  </r>
  <r>
    <x v="45"/>
    <x v="5"/>
    <x v="17"/>
    <m/>
    <n v="77"/>
    <m/>
    <m/>
    <m/>
    <m/>
    <n v="3"/>
    <s v="https://www.ar.ch/verwaltung/departement-gesundheit-und-soziales/amt-fuer-gesundheit/informationsseite-coronavirus/"/>
  </r>
  <r>
    <x v="45"/>
    <x v="5"/>
    <x v="6"/>
    <m/>
    <n v="1375"/>
    <n v="107"/>
    <n v="33"/>
    <n v="25"/>
    <m/>
    <n v="42"/>
    <s v="https://www.besondere-lage.sites.be.ch/besondere-lage_sites/de/index/corona/index.html"/>
  </r>
  <r>
    <x v="45"/>
    <x v="5"/>
    <x v="1"/>
    <m/>
    <n v="2776"/>
    <n v="297"/>
    <n v="68"/>
    <n v="62"/>
    <n v="466"/>
    <n v="227"/>
    <s v="https://www4.ti.ch/area-media/comunicati/dettaglio-comunicato/?NEWS_ID=187607&amp;tx_tichareamedia_comunicazioni%5Baction%5D=show&amp;tx_tichareamedia_comunicazioni%5Bcontroller%5D=Comunicazioni&amp;cHash=e9c51debb7c11815ec53651f6c8c8d24"/>
  </r>
  <r>
    <x v="45"/>
    <x v="5"/>
    <x v="11"/>
    <m/>
    <n v="168"/>
    <n v="15"/>
    <n v="9"/>
    <m/>
    <n v="76"/>
    <n v="3"/>
    <s v="https://www.zg.ch/behoerden/gesundheitsdirektion/statistikfachstelle/themen/gesundheit/corona"/>
  </r>
  <r>
    <x v="45"/>
    <x v="33"/>
    <x v="21"/>
    <m/>
    <n v="53"/>
    <n v="13"/>
    <n v="2"/>
    <m/>
    <m/>
    <n v="1"/>
    <s v="https://sh.ch/CMS/get/file/0779d9a8-e066-4335-95a4-8d2793d317c6"/>
  </r>
  <r>
    <x v="45"/>
    <x v="24"/>
    <x v="5"/>
    <m/>
    <n v="854"/>
    <n v="87"/>
    <n v="13"/>
    <m/>
    <n v="593"/>
    <n v="33"/>
    <s v="https://www.gd.bs.ch//nm/2020-tagesbulletin-coronavirus-859-bestaetigte-faelle-im-kanton-basel-stadt-gd.html"/>
  </r>
  <r>
    <x v="45"/>
    <x v="17"/>
    <x v="16"/>
    <m/>
    <n v="560"/>
    <n v="69"/>
    <n v="6"/>
    <m/>
    <m/>
    <n v="9"/>
    <s v="https://gesundheit.lu.ch/themen/Humanmedizin/Infektionskrankheiten/Coronavirus"/>
  </r>
  <r>
    <x v="45"/>
    <x v="1"/>
    <x v="4"/>
    <m/>
    <n v="2927"/>
    <n v="152"/>
    <m/>
    <n v="50"/>
    <m/>
    <n v="71"/>
    <s v="https://gd.zh.ch/internet/gesundheitsdirektion/de/themen/coronavirus.html"/>
  </r>
  <r>
    <x v="45"/>
    <x v="34"/>
    <x v="10"/>
    <m/>
    <n v="850"/>
    <m/>
    <m/>
    <m/>
    <m/>
    <n v="18"/>
    <s v="https://www.ag.ch/media/kanton_aargau/themen_1/coronavirus_1/lagebulletins/200411_KFS_Coronavirus_Lagebulletin_31.pdf"/>
  </r>
  <r>
    <x v="45"/>
    <x v="20"/>
    <x v="22"/>
    <m/>
    <n v="74"/>
    <n v="4"/>
    <m/>
    <m/>
    <n v="49"/>
    <n v="4"/>
    <s v="https://www.ur.ch/themen/2962"/>
  </r>
  <r>
    <x v="46"/>
    <x v="0"/>
    <x v="7"/>
    <m/>
    <n v="736"/>
    <n v="50"/>
    <n v="16"/>
    <n v="15"/>
    <n v="527"/>
    <n v="22"/>
    <s v="https://www.baselland.ch/politik-und-behorden/direktionen/volkswirtschafts-und-gesundheitsdirektion/amt-fur-gesundheit/medizinische-dienste/kantonsarztlicher-dienst/aktuelles/covid-19-faelle-kanton-basel-landschaft"/>
  </r>
  <r>
    <x v="46"/>
    <x v="0"/>
    <x v="2"/>
    <m/>
    <n v="79"/>
    <m/>
    <m/>
    <m/>
    <m/>
    <n v="1"/>
    <s v="https://www.regierung.li/media/attachments/189-corona-keine-neuen-faelle-0411.pdf?t=637222261316868970"/>
  </r>
  <r>
    <x v="46"/>
    <x v="0"/>
    <x v="12"/>
    <m/>
    <n v="834"/>
    <n v="68"/>
    <n v="20"/>
    <m/>
    <n v="93"/>
    <n v="53"/>
    <s v="https://www.fr.ch/sites/default/files/2020-04/statistiques_situation_FR_2804.xlsx"/>
  </r>
  <r>
    <x v="46"/>
    <x v="0"/>
    <x v="0"/>
    <n v="18515"/>
    <n v="4243"/>
    <n v="364"/>
    <n v="48"/>
    <n v="44"/>
    <n v="463"/>
    <n v="176"/>
    <s v="https://www.ge.ch/document/covid-19-situation-epidemiologique-geneve/telecharger"/>
  </r>
  <r>
    <x v="46"/>
    <x v="0"/>
    <x v="19"/>
    <m/>
    <n v="91"/>
    <n v="2"/>
    <m/>
    <m/>
    <m/>
    <n v="2"/>
    <s v="https://www.gl.ch/public/upload/assets/27574/COVID-19_Fallzahlen_Kanton_Glarus.xlsx"/>
  </r>
  <r>
    <x v="46"/>
    <x v="0"/>
    <x v="26"/>
    <m/>
    <n v="743"/>
    <n v="35"/>
    <m/>
    <m/>
    <m/>
    <n v="36"/>
    <s v="https://www.gr.ch/DE/institutionen/verwaltung/djsg/ga/coronavirus/info/Seiten/Start.aspx"/>
  </r>
  <r>
    <x v="46"/>
    <x v="0"/>
    <x v="3"/>
    <m/>
    <n v="183"/>
    <n v="23"/>
    <n v="5"/>
    <m/>
    <m/>
    <n v="3"/>
    <s v="https://www.jura.ch/Htdocs/Files/v/34263.xlsx/Departements/CHA/SIC/Carrousel/Coronavirus/Cornavirus/Chiffres/donnees_27_04.xlsx?download=1"/>
  </r>
  <r>
    <x v="46"/>
    <x v="0"/>
    <x v="13"/>
    <m/>
    <n v="576"/>
    <n v="64"/>
    <n v="11"/>
    <n v="9"/>
    <m/>
    <n v="44"/>
    <s v="https://www.ne.ch/autorites/DFS/SCSP/medecin-cantonal/maladies-vaccinations/Documents/Covid-19-Statistiques/COVID19_PublicationInternet.xlsx"/>
  </r>
  <r>
    <x v="46"/>
    <x v="0"/>
    <x v="20"/>
    <m/>
    <n v="103"/>
    <n v="8"/>
    <n v="2"/>
    <m/>
    <m/>
    <n v="1"/>
    <s v="http://www.nw.ch/coronastatistik"/>
  </r>
  <r>
    <x v="46"/>
    <x v="0"/>
    <x v="14"/>
    <m/>
    <n v="641"/>
    <n v="60"/>
    <n v="11"/>
    <m/>
    <n v="102"/>
    <n v="18"/>
    <s v="https://www.sg.ch/tools/informationen-coronavirus.html"/>
  </r>
  <r>
    <x v="46"/>
    <x v="0"/>
    <x v="15"/>
    <m/>
    <n v="249"/>
    <m/>
    <m/>
    <m/>
    <n v="118"/>
    <n v="10"/>
    <s v="https://www.sz.ch/behoerden/information-medien/medienmitteilungen/coronavirus.html/72-416-412-1379-6948"/>
  </r>
  <r>
    <x v="46"/>
    <x v="0"/>
    <x v="25"/>
    <m/>
    <n v="274"/>
    <n v="32"/>
    <n v="14"/>
    <m/>
    <m/>
    <n v="8"/>
    <s v="https://www.tg.ch/news/fachdossier-coronavirus.html/10552"/>
  </r>
  <r>
    <x v="46"/>
    <x v="0"/>
    <x v="8"/>
    <m/>
    <n v="4770"/>
    <n v="291"/>
    <n v="67"/>
    <m/>
    <m/>
    <n v="243"/>
    <s v="https://www.vd.ch/toutes-les-actualites/hotline-et-informations-sur-le-coronavirus/point-de-situation-statistique-dans-le-canton-de-vaud/"/>
  </r>
  <r>
    <x v="46"/>
    <x v="0"/>
    <x v="9"/>
    <m/>
    <n v="1652"/>
    <n v="112"/>
    <n v="20"/>
    <n v="15"/>
    <n v="148"/>
    <n v="85"/>
    <s v="https://www.vs.ch/documents/6756452/7008787/2020%2004%2027%20Sit%20Epid%20-%20%C3%89tat%20Stand"/>
  </r>
  <r>
    <x v="46"/>
    <x v="27"/>
    <x v="18"/>
    <m/>
    <n v="306"/>
    <m/>
    <m/>
    <m/>
    <m/>
    <n v="6"/>
    <s v="https://corona.so.ch/index.php?id=27979"/>
  </r>
  <r>
    <x v="46"/>
    <x v="5"/>
    <x v="6"/>
    <m/>
    <n v="1419"/>
    <n v="99"/>
    <n v="33"/>
    <n v="24"/>
    <m/>
    <n v="44"/>
    <s v="https://www.besondere-lage.sites.be.ch/besondere-lage_sites/de/index/corona/index.html"/>
  </r>
  <r>
    <x v="46"/>
    <x v="5"/>
    <x v="1"/>
    <m/>
    <n v="2818"/>
    <n v="282"/>
    <n v="68"/>
    <n v="59"/>
    <n v="493"/>
    <n v="229"/>
    <s v="https://www4.ti.ch/area-media/comunicati/dettaglio-comunicato/?NEWS_ID=187611&amp;tx_tichareamedia_comunicazioni%5Baction%5D=show&amp;tx_tichareamedia_comunicazioni%5Bcontroller%5D=Comunicazioni&amp;cHash=6f94f1f1d5cf92bdf5a1e053e6602530"/>
  </r>
  <r>
    <x v="46"/>
    <x v="5"/>
    <x v="11"/>
    <m/>
    <n v="168"/>
    <n v="14"/>
    <n v="9"/>
    <m/>
    <n v="79"/>
    <n v="4"/>
    <s v="https://www.zg.ch/behoerden/gesundheitsdirektion/statistikfachstelle/themen/gesundheit/corona"/>
  </r>
  <r>
    <x v="46"/>
    <x v="33"/>
    <x v="5"/>
    <m/>
    <n v="861"/>
    <m/>
    <m/>
    <m/>
    <n v="612"/>
    <n v="33"/>
    <s v="https://www.gd.bs.ch//nm/2020-tagesbulletin-coronavirus-866-bestaetigte-faelle-im-kanton-basel-stadt-gd.html"/>
  </r>
  <r>
    <x v="46"/>
    <x v="33"/>
    <x v="21"/>
    <m/>
    <n v="55"/>
    <n v="13"/>
    <n v="2"/>
    <m/>
    <m/>
    <n v="1"/>
    <s v="https://sh.ch/CMS/get/file/0779d9a8-e066-4335-95a4-8d2793d317c6"/>
  </r>
  <r>
    <x v="46"/>
    <x v="24"/>
    <x v="17"/>
    <m/>
    <n v="77"/>
    <m/>
    <m/>
    <m/>
    <m/>
    <n v="3"/>
    <s v="https://www.ar.ch/verwaltung/departement-gesundheit-und-soziales/amt-fuer-gesundheit/informationsseite-coronavirus/"/>
  </r>
  <r>
    <x v="46"/>
    <x v="22"/>
    <x v="24"/>
    <m/>
    <n v="24"/>
    <m/>
    <m/>
    <m/>
    <m/>
    <m/>
    <s v="https://www.ai.ch/themen/gesundheit-alter-und-soziales/gesundheitsfoerderung-und-praevention/uebertragbare-krankheiten/coronavirus"/>
  </r>
  <r>
    <x v="46"/>
    <x v="22"/>
    <x v="16"/>
    <m/>
    <n v="568"/>
    <m/>
    <m/>
    <m/>
    <m/>
    <n v="10"/>
    <s v="https://gesundheit.lu.ch/themen/Humanmedizin/Infektionskrankheiten/Coronavirus"/>
  </r>
  <r>
    <x v="46"/>
    <x v="1"/>
    <x v="4"/>
    <m/>
    <n v="2985"/>
    <n v="149"/>
    <m/>
    <n v="50"/>
    <m/>
    <n v="77"/>
    <s v="https://gd.zh.ch/internet/gesundheitsdirektion/de/themen/coronavirus.html"/>
  </r>
  <r>
    <x v="46"/>
    <x v="20"/>
    <x v="22"/>
    <m/>
    <n v="75"/>
    <n v="8"/>
    <m/>
    <m/>
    <n v="50"/>
    <n v="4"/>
    <s v="https://www.ur.ch/themen/2962"/>
  </r>
  <r>
    <x v="46"/>
    <x v="29"/>
    <x v="10"/>
    <m/>
    <n v="878"/>
    <n v="76"/>
    <n v="23"/>
    <n v="21"/>
    <n v="300"/>
    <n v="18"/>
    <s v="https://www.ag.ch/media/kanton_aargau/themen_1/coronavirus_1/lagebulletins/200411_KFS_Coronavirus_Lagebulletin_31.pdf"/>
  </r>
  <r>
    <x v="47"/>
    <x v="0"/>
    <x v="7"/>
    <m/>
    <n v="740"/>
    <n v="48"/>
    <n v="17"/>
    <n v="14"/>
    <n v="554"/>
    <n v="23"/>
    <s v="https://www.baselland.ch/politik-und-behorden/direktionen/volkswirtschafts-und-gesundheitsdirektion/amt-fur-gesundheit/medizinische-dienste/kantonsarztlicher-dienst/aktuelles/covid-19-faelle-kanton-basel-landschaft"/>
  </r>
  <r>
    <x v="47"/>
    <x v="0"/>
    <x v="2"/>
    <m/>
    <n v="80"/>
    <m/>
    <m/>
    <m/>
    <m/>
    <n v="1"/>
    <s v="https://www.regierung.li/media/attachments/190-corona-zusaetzliche-person-0412.pdf?t=637223083991919653"/>
  </r>
  <r>
    <x v="47"/>
    <x v="0"/>
    <x v="12"/>
    <m/>
    <n v="846"/>
    <n v="65"/>
    <n v="19"/>
    <m/>
    <n v="97"/>
    <n v="54"/>
    <s v="https://www.fr.ch/sites/default/files/2020-04/statistiques_situation_FR_2804.xlsx"/>
  </r>
  <r>
    <x v="47"/>
    <x v="0"/>
    <x v="0"/>
    <n v="18691"/>
    <n v="4265"/>
    <n v="363"/>
    <n v="47"/>
    <n v="43"/>
    <n v="479"/>
    <n v="183"/>
    <s v="https://www.ge.ch/document/covid-19-situation-epidemiologique-geneve/telecharger"/>
  </r>
  <r>
    <x v="47"/>
    <x v="0"/>
    <x v="19"/>
    <m/>
    <n v="91"/>
    <n v="2"/>
    <m/>
    <m/>
    <m/>
    <n v="2"/>
    <s v="https://www.gl.ch/public/upload/assets/27574/COVID-19_Fallzahlen_Kanton_Glarus.xlsx"/>
  </r>
  <r>
    <x v="47"/>
    <x v="0"/>
    <x v="26"/>
    <m/>
    <n v="747"/>
    <n v="35"/>
    <m/>
    <m/>
    <m/>
    <n v="36"/>
    <s v="https://www.gr.ch/DE/institutionen/verwaltung/djsg/ga/coronavirus/info/Seiten/Start.aspx"/>
  </r>
  <r>
    <x v="47"/>
    <x v="0"/>
    <x v="3"/>
    <m/>
    <n v="183"/>
    <n v="22"/>
    <n v="5"/>
    <m/>
    <m/>
    <n v="3"/>
    <s v="https://www.jura.ch/Htdocs/Files/v/34263.xlsx/Departements/CHA/SIC/Carrousel/Coronavirus/Cornavirus/Chiffres/donnees_27_04.xlsx?download=1"/>
  </r>
  <r>
    <x v="47"/>
    <x v="0"/>
    <x v="13"/>
    <m/>
    <n v="586"/>
    <n v="67"/>
    <n v="10"/>
    <n v="10"/>
    <m/>
    <n v="49"/>
    <s v="https://www.ne.ch/autorites/DFS/SCSP/medecin-cantonal/maladies-vaccinations/Documents/Covid-19-Statistiques/COVID19_PublicationInternet.xlsx"/>
  </r>
  <r>
    <x v="47"/>
    <x v="0"/>
    <x v="20"/>
    <m/>
    <n v="104"/>
    <n v="7"/>
    <n v="2"/>
    <m/>
    <m/>
    <n v="1"/>
    <s v="http://www.nw.ch/coronastatistik"/>
  </r>
  <r>
    <x v="47"/>
    <x v="0"/>
    <x v="14"/>
    <m/>
    <n v="649"/>
    <n v="58"/>
    <n v="9"/>
    <m/>
    <n v="109"/>
    <n v="21"/>
    <s v="https://www.sg.ch/tools/informationen-coronavirus.html"/>
  </r>
  <r>
    <x v="47"/>
    <x v="0"/>
    <x v="15"/>
    <m/>
    <n v="251"/>
    <m/>
    <m/>
    <m/>
    <n v="119"/>
    <n v="11"/>
    <s v="https://www.sz.ch/behoerden/information-medien/medienmitteilungen/coronavirus.html/72-416-412-1379-6948"/>
  </r>
  <r>
    <x v="47"/>
    <x v="0"/>
    <x v="25"/>
    <m/>
    <n v="285"/>
    <n v="32"/>
    <n v="14"/>
    <m/>
    <m/>
    <n v="8"/>
    <s v="https://www.tg.ch/news/fachdossier-coronavirus.html/10552"/>
  </r>
  <r>
    <x v="47"/>
    <x v="0"/>
    <x v="8"/>
    <m/>
    <n v="4807"/>
    <n v="300"/>
    <n v="66"/>
    <m/>
    <m/>
    <n v="251"/>
    <s v="https://www.vd.ch/toutes-les-actualites/hotline-et-informations-sur-le-coronavirus/point-de-situation-statistique-dans-le-canton-de-vaud/"/>
  </r>
  <r>
    <x v="47"/>
    <x v="0"/>
    <x v="9"/>
    <m/>
    <n v="1665"/>
    <n v="110"/>
    <n v="22"/>
    <n v="14"/>
    <n v="157"/>
    <n v="91"/>
    <s v="https://www.vs.ch/documents/6756452/7008787/2020%2004%2027%20Sit%20Epid%20-%20%C3%89tat%20Stand"/>
  </r>
  <r>
    <x v="47"/>
    <x v="27"/>
    <x v="18"/>
    <m/>
    <n v="315"/>
    <n v="23"/>
    <m/>
    <m/>
    <m/>
    <n v="7"/>
    <s v="https://corona.so.ch/index.php?id=27979"/>
  </r>
  <r>
    <x v="47"/>
    <x v="5"/>
    <x v="6"/>
    <m/>
    <n v="1441"/>
    <n v="95"/>
    <n v="33"/>
    <n v="22"/>
    <m/>
    <n v="49"/>
    <s v="https://www.besondere-lage.sites.be.ch/besondere-lage_sites/de/index/corona/index.html"/>
  </r>
  <r>
    <x v="47"/>
    <x v="5"/>
    <x v="1"/>
    <m/>
    <n v="2869"/>
    <n v="269"/>
    <n v="63"/>
    <n v="56"/>
    <n v="511"/>
    <n v="244"/>
    <s v="https://www4.ti.ch/area-media/comunicati/dettaglio-comunicato/?NEWS_ID=187612&amp;tx_tichareamedia_comunicazioni%5Baction%5D=show&amp;tx_tichareamedia_comunicazioni%5Bcontroller%5D=Comunicazioni&amp;cHash=01ed3fadc99b1b00f0a8c4a0e41e7252"/>
  </r>
  <r>
    <x v="47"/>
    <x v="5"/>
    <x v="11"/>
    <m/>
    <n v="168"/>
    <n v="13"/>
    <n v="9"/>
    <m/>
    <n v="80"/>
    <n v="5"/>
    <s v="https://www.zg.ch/behoerden/gesundheitsdirektion/statistikfachstelle/themen/gesundheit/corona"/>
  </r>
  <r>
    <x v="47"/>
    <x v="33"/>
    <x v="21"/>
    <m/>
    <n v="57"/>
    <n v="16"/>
    <n v="2"/>
    <m/>
    <m/>
    <n v="1"/>
    <s v="https://sh.ch/CMS/get/file/0779d9a8-e066-4335-95a4-8d2793d317c6"/>
  </r>
  <r>
    <x v="47"/>
    <x v="24"/>
    <x v="5"/>
    <m/>
    <n v="877"/>
    <n v="86"/>
    <n v="12"/>
    <m/>
    <n v="629"/>
    <n v="33"/>
    <s v="https://www.gd.bs.ch//nm/2020-tagesbulletin-coronavirus-882-bestaetigte-faelle-im-kanton-basel-stadt-gd.html"/>
  </r>
  <r>
    <x v="47"/>
    <x v="22"/>
    <x v="16"/>
    <m/>
    <n v="576"/>
    <n v="60"/>
    <n v="5"/>
    <m/>
    <m/>
    <n v="10"/>
    <s v="https://gesundheit.lu.ch/themen/Humanmedizin/Infektionskrankheiten/Coronavirus"/>
  </r>
  <r>
    <x v="47"/>
    <x v="1"/>
    <x v="4"/>
    <m/>
    <n v="3002"/>
    <n v="153"/>
    <m/>
    <n v="49"/>
    <m/>
    <n v="79"/>
    <s v="https://gd.zh.ch/internet/gesundheitsdirektion/de/themen/coronavirus.html"/>
  </r>
  <r>
    <x v="47"/>
    <x v="34"/>
    <x v="10"/>
    <m/>
    <n v="899"/>
    <m/>
    <m/>
    <m/>
    <m/>
    <n v="18"/>
    <s v="https://www.ag.ch/media/kanton_aargau/themen_1/coronavirus_1/lagebulletins/200414_KFS_Coronavirus_Lagebulletin_32.pdf"/>
  </r>
  <r>
    <x v="47"/>
    <x v="4"/>
    <x v="22"/>
    <m/>
    <n v="77"/>
    <n v="5"/>
    <m/>
    <m/>
    <n v="52"/>
    <n v="4"/>
    <s v="https://www.ur.ch/themen/2962"/>
  </r>
  <r>
    <x v="48"/>
    <x v="0"/>
    <x v="7"/>
    <m/>
    <n v="749"/>
    <n v="48"/>
    <n v="16"/>
    <n v="12"/>
    <n v="570"/>
    <n v="24"/>
    <s v="https://www.baselland.ch/politik-und-behorden/direktionen/volkswirtschafts-und-gesundheitsdirektion/amt-fur-gesundheit/medizinische-dienste/kantonsarztlicher-dienst/aktuelles/covid-19-faelle-kanton-basel-landschaft"/>
  </r>
  <r>
    <x v="48"/>
    <x v="0"/>
    <x v="2"/>
    <m/>
    <n v="80"/>
    <m/>
    <m/>
    <m/>
    <m/>
    <n v="1"/>
    <s v="https://www.regierung.li/media/attachments/191-corona-keine-neuen-faelle-0413.pdf?t=637224053004137202"/>
  </r>
  <r>
    <x v="48"/>
    <x v="0"/>
    <x v="12"/>
    <m/>
    <n v="859"/>
    <n v="68"/>
    <n v="17"/>
    <m/>
    <n v="97"/>
    <n v="55"/>
    <s v="https://www.fr.ch/sites/default/files/2020-04/statistiques_situation_FR_2804.xlsx"/>
  </r>
  <r>
    <x v="48"/>
    <x v="0"/>
    <x v="0"/>
    <n v="18996"/>
    <n v="4315"/>
    <n v="364"/>
    <n v="47"/>
    <n v="42"/>
    <n v="490"/>
    <n v="186"/>
    <s v="https://www.ge.ch/document/covid-19-situation-epidemiologique-geneve/telecharger"/>
  </r>
  <r>
    <x v="48"/>
    <x v="0"/>
    <x v="19"/>
    <m/>
    <n v="92"/>
    <n v="2"/>
    <m/>
    <m/>
    <m/>
    <n v="2"/>
    <s v="https://www.gl.ch/public/upload/assets/27574/COVID-19_Fallzahlen_Kanton_Glarus.xlsx"/>
  </r>
  <r>
    <x v="48"/>
    <x v="0"/>
    <x v="26"/>
    <m/>
    <n v="750"/>
    <n v="34"/>
    <m/>
    <m/>
    <m/>
    <n v="37"/>
    <s v="https://www.gr.ch/DE/institutionen/verwaltung/djsg/ga/coronavirus/info/Seiten/Start.aspx"/>
  </r>
  <r>
    <x v="48"/>
    <x v="0"/>
    <x v="3"/>
    <m/>
    <n v="184"/>
    <n v="24"/>
    <n v="5"/>
    <m/>
    <m/>
    <n v="3"/>
    <s v="https://www.jura.ch/Htdocs/Files/v/34263.xlsx/Departements/CHA/SIC/Carrousel/Coronavirus/Cornavirus/Chiffres/donnees_27_04.xlsx?download=1"/>
  </r>
  <r>
    <x v="48"/>
    <x v="0"/>
    <x v="13"/>
    <m/>
    <n v="592"/>
    <n v="67"/>
    <n v="10"/>
    <n v="10"/>
    <m/>
    <n v="51"/>
    <s v="https://www.ne.ch/autorites/DFS/SCSP/medecin-cantonal/maladies-vaccinations/Documents/Covid-19-Statistiques/COVID19_PublicationInternet.xlsx"/>
  </r>
  <r>
    <x v="48"/>
    <x v="0"/>
    <x v="20"/>
    <m/>
    <n v="104"/>
    <n v="7"/>
    <n v="2"/>
    <m/>
    <m/>
    <n v="1"/>
    <s v="http://www.nw.ch/coronastatistik"/>
  </r>
  <r>
    <x v="48"/>
    <x v="0"/>
    <x v="14"/>
    <m/>
    <n v="657"/>
    <n v="58"/>
    <n v="10"/>
    <m/>
    <n v="119"/>
    <n v="21"/>
    <s v="https://www.sg.ch/tools/informationen-coronavirus.html"/>
  </r>
  <r>
    <x v="48"/>
    <x v="0"/>
    <x v="15"/>
    <m/>
    <n v="251"/>
    <m/>
    <m/>
    <m/>
    <n v="128"/>
    <n v="12"/>
    <s v="https://www.sz.ch/behoerden/information-medien/medienmitteilungen/coronavirus.html/72-416-412-1379-6948"/>
  </r>
  <r>
    <x v="48"/>
    <x v="0"/>
    <x v="25"/>
    <m/>
    <n v="292"/>
    <n v="32"/>
    <n v="17"/>
    <m/>
    <m/>
    <n v="8"/>
    <s v="https://www.tg.ch/news/fachdossier-coronavirus.html/10552"/>
  </r>
  <r>
    <x v="48"/>
    <x v="0"/>
    <x v="8"/>
    <m/>
    <n v="4851"/>
    <n v="300"/>
    <n v="62"/>
    <m/>
    <m/>
    <n v="257"/>
    <s v="https://www.vd.ch/toutes-les-actualites/hotline-et-informations-sur-le-coronavirus/point-de-situation-statistique-dans-le-canton-de-vaud/"/>
  </r>
  <r>
    <x v="48"/>
    <x v="0"/>
    <x v="9"/>
    <m/>
    <n v="1679"/>
    <n v="106"/>
    <n v="21"/>
    <n v="12"/>
    <n v="157"/>
    <n v="93"/>
    <s v="https://www.vs.ch/documents/6756452/7008787/2020%2004%2027%20Sit%20Epid%20-%20%C3%89tat%20Stand"/>
  </r>
  <r>
    <x v="48"/>
    <x v="27"/>
    <x v="18"/>
    <m/>
    <n v="321"/>
    <n v="23"/>
    <m/>
    <m/>
    <m/>
    <n v="7"/>
    <s v="https://corona.so.ch/index.php?id=27979"/>
  </r>
  <r>
    <x v="48"/>
    <x v="5"/>
    <x v="17"/>
    <m/>
    <n v="78"/>
    <m/>
    <m/>
    <m/>
    <m/>
    <n v="3"/>
    <s v="https://www.ar.ch/verwaltung/departement-gesundheit-und-soziales/amt-fuer-gesundheit/informationsseite-coronavirus/"/>
  </r>
  <r>
    <x v="48"/>
    <x v="5"/>
    <x v="6"/>
    <m/>
    <n v="1456"/>
    <n v="92"/>
    <n v="32"/>
    <n v="21"/>
    <m/>
    <n v="49"/>
    <s v="https://www.besondere-lage.sites.be.ch/besondere-lage_sites/de/index/corona/index.html"/>
  </r>
  <r>
    <x v="48"/>
    <x v="5"/>
    <x v="1"/>
    <m/>
    <n v="2900"/>
    <n v="274"/>
    <n v="63"/>
    <n v="55"/>
    <n v="517"/>
    <n v="251"/>
    <s v="https://www4.ti.ch/area-media/comunicati/dettaglio-comunicato/?NEWS_ID=187614&amp;tx_tichareamedia_comunicazioni%5Baction%5D=show&amp;tx_tichareamedia_comunicazioni%5Bcontroller%5D=Comunicazioni&amp;cHash=0464d89cb8c291fbc9c266e6b7008814"/>
  </r>
  <r>
    <x v="48"/>
    <x v="5"/>
    <x v="11"/>
    <m/>
    <n v="170"/>
    <n v="13"/>
    <n v="9"/>
    <m/>
    <n v="84"/>
    <n v="5"/>
    <s v="https://www.zg.ch/behoerden/gesundheitsdirektion/statistikfachstelle/themen/gesundheit/corona"/>
  </r>
  <r>
    <x v="48"/>
    <x v="33"/>
    <x v="21"/>
    <m/>
    <n v="57"/>
    <n v="16"/>
    <n v="2"/>
    <m/>
    <m/>
    <n v="1"/>
    <s v="https://sh.ch/CMS/get/file/0779d9a8-e066-4335-95a4-8d2793d317c6"/>
  </r>
  <r>
    <x v="48"/>
    <x v="24"/>
    <x v="5"/>
    <m/>
    <n v="888"/>
    <m/>
    <m/>
    <m/>
    <n v="653"/>
    <n v="34"/>
    <s v="https://www.gd.bs.ch//nm/2020-tagesbulletin-coronavirus-893-bestaetigte-faelle-im-kanton-basel-stadt-gd.html"/>
  </r>
  <r>
    <x v="48"/>
    <x v="22"/>
    <x v="24"/>
    <m/>
    <n v="24"/>
    <m/>
    <m/>
    <m/>
    <m/>
    <m/>
    <s v="https://www.ai.ch/themen/gesundheit-alter-und-soziales/gesundheitsfoerderung-und-praevention/uebertragbare-krankheiten/coronavirus"/>
  </r>
  <r>
    <x v="48"/>
    <x v="22"/>
    <x v="16"/>
    <m/>
    <n v="580"/>
    <n v="40"/>
    <n v="5"/>
    <m/>
    <m/>
    <n v="10"/>
    <s v="https://gesundheit.lu.ch/themen/Humanmedizin/Infektionskrankheiten/Coronavirus"/>
  </r>
  <r>
    <x v="48"/>
    <x v="14"/>
    <x v="22"/>
    <m/>
    <n v="78"/>
    <n v="4"/>
    <m/>
    <m/>
    <n v="52"/>
    <n v="4"/>
    <s v="https://www.ur.ch/themen/2962"/>
  </r>
  <r>
    <x v="48"/>
    <x v="1"/>
    <x v="4"/>
    <m/>
    <n v="3019"/>
    <n v="154"/>
    <m/>
    <n v="50"/>
    <m/>
    <n v="83"/>
    <s v="https://gd.zh.ch/internet/gesundheitsdirektion/de/themen/coronavirus.html"/>
  </r>
  <r>
    <x v="48"/>
    <x v="34"/>
    <x v="10"/>
    <m/>
    <n v="906"/>
    <m/>
    <m/>
    <m/>
    <m/>
    <n v="19"/>
    <s v="https://www.ag.ch/media/kanton_aargau/themen_1/coronavirus_1/lagebulletins/200414_KFS_Coronavirus_Lagebulletin_32.pdf"/>
  </r>
  <r>
    <x v="49"/>
    <x v="0"/>
    <x v="7"/>
    <m/>
    <n v="755"/>
    <n v="48"/>
    <n v="14"/>
    <n v="8"/>
    <n v="597"/>
    <n v="25"/>
    <s v="https://www.baselland.ch/politik-und-behorden/direktionen/volkswirtschafts-und-gesundheitsdirektion/amt-fur-gesundheit/medizinische-dienste/kantonsarztlicher-dienst/aktuelles/covid-19-faelle-kanton-basel-landschaft"/>
  </r>
  <r>
    <x v="49"/>
    <x v="0"/>
    <x v="12"/>
    <m/>
    <n v="879"/>
    <n v="68"/>
    <n v="14"/>
    <m/>
    <n v="98"/>
    <n v="57"/>
    <s v="https://www.fr.ch/sites/default/files/2020-04/statistiques_situation_FR_2804.xlsx"/>
  </r>
  <r>
    <x v="49"/>
    <x v="0"/>
    <x v="0"/>
    <n v="19543"/>
    <n v="4368"/>
    <n v="365"/>
    <n v="46"/>
    <n v="41"/>
    <n v="490"/>
    <n v="191"/>
    <s v="https://www.ge.ch/document/covid-19-situation-epidemiologique-geneve/telecharger"/>
  </r>
  <r>
    <x v="49"/>
    <x v="0"/>
    <x v="19"/>
    <m/>
    <n v="105"/>
    <n v="2"/>
    <m/>
    <m/>
    <m/>
    <n v="2"/>
    <s v="https://www.gl.ch/public/upload/assets/27574/COVID-19_Fallzahlen_Kanton_Glarus.xlsx"/>
  </r>
  <r>
    <x v="49"/>
    <x v="0"/>
    <x v="26"/>
    <m/>
    <n v="753"/>
    <n v="34"/>
    <m/>
    <m/>
    <m/>
    <n v="37"/>
    <s v="https://www.gr.ch/DE/institutionen/verwaltung/djsg/ga/coronavirus/info/Seiten/Start.aspx"/>
  </r>
  <r>
    <x v="49"/>
    <x v="0"/>
    <x v="3"/>
    <m/>
    <n v="185"/>
    <n v="21"/>
    <n v="5"/>
    <m/>
    <m/>
    <n v="3"/>
    <s v="https://www.jura.ch/Htdocs/Files/v/34263.xlsx/Departements/CHA/SIC/Carrousel/Coronavirus/Cornavirus/Chiffres/donnees_27_04.xlsx?download=1"/>
  </r>
  <r>
    <x v="49"/>
    <x v="0"/>
    <x v="13"/>
    <m/>
    <n v="603"/>
    <n v="60"/>
    <n v="11"/>
    <n v="10"/>
    <m/>
    <n v="54"/>
    <s v="https://www.ne.ch/autorites/DFS/SCSP/medecin-cantonal/maladies-vaccinations/Documents/Covid-19-Statistiques/COVID19_PublicationInternet.xlsx"/>
  </r>
  <r>
    <x v="49"/>
    <x v="0"/>
    <x v="20"/>
    <m/>
    <n v="105"/>
    <n v="7"/>
    <n v="2"/>
    <m/>
    <m/>
    <n v="1"/>
    <s v="http://www.nw.ch/coronastatistik"/>
  </r>
  <r>
    <x v="49"/>
    <x v="0"/>
    <x v="14"/>
    <m/>
    <n v="664"/>
    <n v="59"/>
    <n v="9"/>
    <m/>
    <n v="120"/>
    <n v="21"/>
    <s v="https://www.sg.ch/tools/informationen-coronavirus.html"/>
  </r>
  <r>
    <x v="49"/>
    <x v="0"/>
    <x v="15"/>
    <m/>
    <n v="258"/>
    <m/>
    <m/>
    <m/>
    <n v="128"/>
    <n v="13"/>
    <s v="https://www.sz.ch/behoerden/information-medien/medienmitteilungen/coronavirus.html/72-416-412-1379-6948"/>
  </r>
  <r>
    <x v="49"/>
    <x v="0"/>
    <x v="25"/>
    <m/>
    <n v="296"/>
    <n v="35"/>
    <n v="16"/>
    <m/>
    <m/>
    <n v="10"/>
    <s v="https://www.tg.ch/news/fachdossier-coronavirus.html/10552"/>
  </r>
  <r>
    <x v="49"/>
    <x v="0"/>
    <x v="8"/>
    <m/>
    <n v="4918"/>
    <n v="285"/>
    <n v="61"/>
    <m/>
    <m/>
    <n v="267"/>
    <s v="https://www.vd.ch/toutes-les-actualites/hotline-et-informations-sur-le-coronavirus/point-de-situation-statistique-dans-le-canton-de-vaud/"/>
  </r>
  <r>
    <x v="49"/>
    <x v="0"/>
    <x v="9"/>
    <m/>
    <n v="1706"/>
    <n v="100"/>
    <n v="20"/>
    <n v="11"/>
    <n v="165"/>
    <n v="94"/>
    <s v="https://www.vs.ch/documents/6756452/7008787/2020%2004%2027%20Sit%20Epid%20-%20%C3%89tat%20Stand"/>
  </r>
  <r>
    <x v="49"/>
    <x v="27"/>
    <x v="18"/>
    <m/>
    <n v="325"/>
    <n v="22"/>
    <m/>
    <m/>
    <m/>
    <n v="8"/>
    <s v="https://corona.so.ch/index.php?id=27979"/>
  </r>
  <r>
    <x v="49"/>
    <x v="5"/>
    <x v="17"/>
    <m/>
    <n v="79"/>
    <m/>
    <m/>
    <m/>
    <m/>
    <n v="3"/>
    <s v="https://www.ar.ch/verwaltung/departement-gesundheit-und-soziales/amt-fuer-gesundheit/informationsseite-coronavirus/"/>
  </r>
  <r>
    <x v="49"/>
    <x v="5"/>
    <x v="6"/>
    <m/>
    <n v="1470"/>
    <n v="85"/>
    <n v="31"/>
    <n v="21"/>
    <m/>
    <n v="49"/>
    <s v="https://www.besondere-lage.sites.be.ch/besondere-lage_sites/de/index/corona/index.html"/>
  </r>
  <r>
    <x v="49"/>
    <x v="5"/>
    <x v="1"/>
    <m/>
    <n v="2912"/>
    <n v="274"/>
    <n v="63"/>
    <n v="54"/>
    <n v="524"/>
    <n v="258"/>
    <s v="https://www4.ti.ch/area-media/comunicati/dettaglio-comunicato/?NEWS_ID=187617&amp;tx_tichareamedia_comunicazioni%5Baction%5D=show&amp;tx_tichareamedia_comunicazioni%5Bcontroller%5D=Comunicazioni&amp;cHash=64be59067038bfdaf603d60bfab0aa52"/>
  </r>
  <r>
    <x v="49"/>
    <x v="5"/>
    <x v="11"/>
    <m/>
    <n v="171"/>
    <n v="13"/>
    <n v="9"/>
    <m/>
    <n v="88"/>
    <n v="5"/>
    <s v="https://www.zg.ch/behoerden/gesundheitsdirektion/statistikfachstelle/themen/gesundheit/corona"/>
  </r>
  <r>
    <x v="49"/>
    <x v="33"/>
    <x v="21"/>
    <m/>
    <n v="57"/>
    <n v="10"/>
    <n v="2"/>
    <m/>
    <m/>
    <n v="1"/>
    <s v="https://sh.ch/CMS/get/file/0779d9a8-e066-4335-95a4-8d2793d317c6"/>
  </r>
  <r>
    <x v="49"/>
    <x v="24"/>
    <x v="5"/>
    <m/>
    <n v="894"/>
    <n v="86"/>
    <n v="9"/>
    <m/>
    <n v="663"/>
    <n v="34"/>
    <s v="https://www.gd.bs.ch//nm/2020-tagesbulletin-coronavirus-899-bestaetigte-faelle-im-kanton-basel-stadt-gd.html"/>
  </r>
  <r>
    <x v="49"/>
    <x v="22"/>
    <x v="24"/>
    <m/>
    <n v="24"/>
    <m/>
    <m/>
    <m/>
    <m/>
    <m/>
    <s v="https://www.ai.ch/themen/gesundheit-alter-und-soziales/gesundheitsfoerderung-und-praevention/uebertragbare-krankheiten/coronavirus"/>
  </r>
  <r>
    <x v="49"/>
    <x v="22"/>
    <x v="16"/>
    <m/>
    <n v="589"/>
    <n v="47"/>
    <n v="4"/>
    <m/>
    <m/>
    <n v="11"/>
    <s v="https://gesundheit.lu.ch/themen/Humanmedizin/Infektionskrankheiten/Coronavirus"/>
  </r>
  <r>
    <x v="49"/>
    <x v="14"/>
    <x v="22"/>
    <m/>
    <n v="78"/>
    <n v="3"/>
    <m/>
    <m/>
    <n v="56"/>
    <n v="4"/>
    <s v="https://www.ur.ch/themen/2962"/>
  </r>
  <r>
    <x v="49"/>
    <x v="1"/>
    <x v="4"/>
    <m/>
    <n v="3066"/>
    <n v="149"/>
    <m/>
    <n v="52"/>
    <m/>
    <n v="87"/>
    <s v="https://gd.zh.ch/internet/gesundheitsdirektion/de/themen/coronavirus.html"/>
  </r>
  <r>
    <x v="49"/>
    <x v="34"/>
    <x v="10"/>
    <m/>
    <n v="912"/>
    <n v="78"/>
    <n v="22"/>
    <n v="22"/>
    <n v="400"/>
    <n v="19"/>
    <s v="https://www.ag.ch/media/kanton_aargau/themen_1/coronavirus_1/lagebulletins/200414_KFS_Coronavirus_Lagebulletin_32.pdf"/>
  </r>
  <r>
    <x v="49"/>
    <x v="35"/>
    <x v="23"/>
    <m/>
    <n v="64"/>
    <n v="0"/>
    <m/>
    <m/>
    <m/>
    <n v="0"/>
    <s v="https://www.ow.ch/de/verwaltung/dienstleistungen/?dienst_id=5962"/>
  </r>
  <r>
    <x v="50"/>
    <x v="0"/>
    <x v="7"/>
    <m/>
    <n v="768"/>
    <n v="45"/>
    <n v="9"/>
    <n v="7"/>
    <n v="610"/>
    <n v="25"/>
    <s v="https://www.baselland.ch/politik-und-behorden/direktionen/volkswirtschafts-und-gesundheitsdirektion/amt-fur-gesundheit/medizinische-dienste/kantonsarztlicher-dienst/aktuelles/covid-19-faelle-kanton-basel-landschaft"/>
  </r>
  <r>
    <x v="50"/>
    <x v="0"/>
    <x v="2"/>
    <m/>
    <n v="80"/>
    <m/>
    <m/>
    <m/>
    <m/>
    <n v="1"/>
    <s v="https://www.regierung.li/media/attachments/194-corona-neue-wege-zur-messung-0415.pdf?t=637225709239139141"/>
  </r>
  <r>
    <x v="50"/>
    <x v="0"/>
    <x v="12"/>
    <m/>
    <n v="890"/>
    <n v="61"/>
    <n v="16"/>
    <m/>
    <n v="105"/>
    <n v="63"/>
    <s v="https://www.fr.ch/sites/default/files/2020-04/statistiques_situation_FR_2804.xlsx"/>
  </r>
  <r>
    <x v="50"/>
    <x v="0"/>
    <x v="0"/>
    <n v="20004"/>
    <n v="4432"/>
    <n v="352"/>
    <n v="41"/>
    <n v="37"/>
    <n v="502"/>
    <n v="196"/>
    <s v="https://www.ge.ch/document/covid-19-situation-epidemiologique-geneve/telecharger"/>
  </r>
  <r>
    <x v="50"/>
    <x v="0"/>
    <x v="19"/>
    <m/>
    <n v="105"/>
    <n v="2"/>
    <m/>
    <m/>
    <m/>
    <n v="2"/>
    <s v="https://www.gl.ch/public/upload/assets/27574/COVID-19_Fallzahlen_Kanton_Glarus.xlsx"/>
  </r>
  <r>
    <x v="50"/>
    <x v="0"/>
    <x v="26"/>
    <m/>
    <n v="759"/>
    <n v="36"/>
    <m/>
    <m/>
    <m/>
    <n v="38"/>
    <s v="https://www.gr.ch/DE/institutionen/verwaltung/djsg/ga/coronavirus/info/Seiten/Start.aspx"/>
  </r>
  <r>
    <x v="50"/>
    <x v="0"/>
    <x v="3"/>
    <m/>
    <n v="188"/>
    <n v="17"/>
    <n v="5"/>
    <m/>
    <m/>
    <n v="3"/>
    <s v="https://www.jura.ch/Htdocs/Files/v/34263.xlsx/Departements/CHA/SIC/Carrousel/Coronavirus/Cornavirus/Chiffres/donnees_27_04.xlsx?download=1"/>
  </r>
  <r>
    <x v="50"/>
    <x v="0"/>
    <x v="13"/>
    <m/>
    <n v="616"/>
    <n v="54"/>
    <n v="12"/>
    <n v="10"/>
    <m/>
    <n v="55"/>
    <s v="https://www.ne.ch/autorites/DFS/SCSP/medecin-cantonal/maladies-vaccinations/Documents/Covid-19-Statistiques/COVID19_PublicationInternet.xlsx"/>
  </r>
  <r>
    <x v="50"/>
    <x v="0"/>
    <x v="20"/>
    <m/>
    <n v="106"/>
    <n v="7"/>
    <n v="2"/>
    <m/>
    <m/>
    <n v="2"/>
    <s v="http://www.nw.ch/coronastatistik"/>
  </r>
  <r>
    <x v="50"/>
    <x v="0"/>
    <x v="14"/>
    <m/>
    <n v="676"/>
    <n v="47"/>
    <n v="9"/>
    <m/>
    <n v="123"/>
    <n v="23"/>
    <s v="https://www.sg.ch/tools/informationen-coronavirus.html"/>
  </r>
  <r>
    <x v="50"/>
    <x v="0"/>
    <x v="15"/>
    <m/>
    <n v="261"/>
    <m/>
    <m/>
    <m/>
    <n v="144"/>
    <n v="13"/>
    <s v="https://www.sz.ch/behoerden/information-medien/medienmitteilungen/coronavirus.html/72-416-412-1379-6948"/>
  </r>
  <r>
    <x v="50"/>
    <x v="0"/>
    <x v="25"/>
    <m/>
    <n v="302"/>
    <n v="28"/>
    <n v="14"/>
    <m/>
    <m/>
    <n v="11"/>
    <s v="https://www.tg.ch/news/fachdossier-coronavirus.html/10552"/>
  </r>
  <r>
    <x v="50"/>
    <x v="0"/>
    <x v="8"/>
    <m/>
    <n v="4967"/>
    <n v="258"/>
    <n v="58"/>
    <m/>
    <m/>
    <n v="284"/>
    <s v="https://www.vd.ch/toutes-les-actualites/hotline-et-informations-sur-le-coronavirus/point-de-situation-statistique-dans-le-canton-de-vaud/"/>
  </r>
  <r>
    <x v="50"/>
    <x v="0"/>
    <x v="9"/>
    <m/>
    <n v="1722"/>
    <n v="93"/>
    <n v="20"/>
    <n v="12"/>
    <n v="175"/>
    <n v="94"/>
    <s v="https://www.vs.ch/documents/6756452/7008787/2020%2004%2027%20Sit%20Epid%20-%20%C3%89tat%20Stand"/>
  </r>
  <r>
    <x v="50"/>
    <x v="27"/>
    <x v="18"/>
    <m/>
    <n v="329"/>
    <n v="22"/>
    <m/>
    <m/>
    <m/>
    <n v="8"/>
    <s v="https://corona.so.ch/index.php?id=27979"/>
  </r>
  <r>
    <x v="50"/>
    <x v="5"/>
    <x v="17"/>
    <m/>
    <n v="79"/>
    <m/>
    <m/>
    <m/>
    <m/>
    <n v="3"/>
    <s v="https://www.ar.ch/verwaltung/departement-gesundheit-und-soziales/amt-fuer-gesundheit/informationsseite-coronavirus/"/>
  </r>
  <r>
    <x v="50"/>
    <x v="5"/>
    <x v="6"/>
    <m/>
    <n v="1489"/>
    <n v="82"/>
    <n v="30"/>
    <n v="18"/>
    <m/>
    <n v="53"/>
    <s v="https://www.besondere-lage.sites.be.ch/besondere-lage_sites/de/index/corona/index.html"/>
  </r>
  <r>
    <x v="50"/>
    <x v="5"/>
    <x v="1"/>
    <m/>
    <n v="2927"/>
    <n v="265"/>
    <n v="60"/>
    <n v="50"/>
    <n v="548"/>
    <n v="263"/>
    <s v="https://www4.ti.ch/area-media/comunicati/dettaglio-comunicato/?NEWS_ID=187624&amp;tx_tichareamedia_comunicazioni%5Baction%5D=show&amp;tx_tichareamedia_comunicazioni%5Bcontroller%5D=Comunicazioni&amp;cHash=c6ac05de202d47a4a41e41ec4d16b3b1"/>
  </r>
  <r>
    <x v="50"/>
    <x v="5"/>
    <x v="11"/>
    <m/>
    <n v="171"/>
    <n v="13"/>
    <n v="9"/>
    <m/>
    <n v="92"/>
    <n v="5"/>
    <s v="https://www.zg.ch/behoerden/gesundheitsdirektion/statistikfachstelle/themen/gesundheit/corona"/>
  </r>
  <r>
    <x v="50"/>
    <x v="33"/>
    <x v="21"/>
    <m/>
    <n v="59"/>
    <n v="11"/>
    <n v="2"/>
    <m/>
    <m/>
    <n v="1"/>
    <s v="https://sh.ch/CMS/get/file/0779d9a8-e066-4335-95a4-8d2793d317c6"/>
  </r>
  <r>
    <x v="50"/>
    <x v="24"/>
    <x v="5"/>
    <m/>
    <n v="904"/>
    <n v="80"/>
    <n v="7"/>
    <m/>
    <n v="682"/>
    <n v="36"/>
    <s v="https://www.gd.bs.ch//nm/2020-tagesbulletin-coronavirus-909-bestaetigte-faelle-im-kanton-basel-stadt-gd.html"/>
  </r>
  <r>
    <x v="50"/>
    <x v="22"/>
    <x v="24"/>
    <m/>
    <n v="24"/>
    <m/>
    <m/>
    <m/>
    <m/>
    <m/>
    <s v="https://www.ai.ch/themen/gesundheit-alter-und-soziales/gesundheitsfoerderung-und-praevention/uebertragbare-krankheiten/coronavirus"/>
  </r>
  <r>
    <x v="50"/>
    <x v="22"/>
    <x v="16"/>
    <m/>
    <n v="596"/>
    <n v="46"/>
    <n v="4"/>
    <m/>
    <m/>
    <n v="12"/>
    <s v="https://gesundheit.lu.ch/themen/Humanmedizin/Infektionskrankheiten/Coronavirus"/>
  </r>
  <r>
    <x v="50"/>
    <x v="1"/>
    <x v="4"/>
    <m/>
    <n v="3113"/>
    <n v="136"/>
    <m/>
    <n v="50"/>
    <m/>
    <n v="91"/>
    <s v="https://gd.zh.ch/internet/gesundheitsdirektion/de/themen/coronavirus.html"/>
  </r>
  <r>
    <x v="50"/>
    <x v="34"/>
    <x v="10"/>
    <m/>
    <n v="929"/>
    <n v="69"/>
    <n v="20"/>
    <n v="20"/>
    <n v="450"/>
    <n v="22"/>
    <s v="https://www.ag.ch/media/kanton_aargau/themen_1/coronavirus_1/lagebulletins/200415_KFS_Coronavirus_Lagebulletin_33.pdf"/>
  </r>
  <r>
    <x v="50"/>
    <x v="36"/>
    <x v="23"/>
    <m/>
    <n v="64"/>
    <n v="0"/>
    <m/>
    <m/>
    <m/>
    <n v="0"/>
    <s v="https://www.ow.ch/de/verwaltung/dienstleistungen/?dienst_id=5962"/>
  </r>
  <r>
    <x v="50"/>
    <x v="20"/>
    <x v="22"/>
    <m/>
    <n v="78"/>
    <n v="3"/>
    <m/>
    <m/>
    <n v="62"/>
    <n v="4"/>
    <s v="https://www.ur.ch/themen/2962"/>
  </r>
  <r>
    <x v="51"/>
    <x v="0"/>
    <x v="7"/>
    <m/>
    <n v="781"/>
    <n v="46"/>
    <n v="8"/>
    <n v="6"/>
    <n v="623"/>
    <n v="25"/>
    <s v="https://www.baselland.ch/politik-und-behorden/direktionen/volkswirtschafts-und-gesundheitsdirektion/amt-fur-gesundheit/medizinische-dienste/kantonsarztlicher-dienst/aktuelles/covid-19-faelle-kanton-basel-landschaft"/>
  </r>
  <r>
    <x v="51"/>
    <x v="0"/>
    <x v="2"/>
    <m/>
    <n v="80"/>
    <m/>
    <m/>
    <m/>
    <m/>
    <n v="1"/>
    <s v="https://www.regierung.li/media/attachments/196-corona-regierung-informiert-freitag-0416.pdf?t=637226573940474014"/>
  </r>
  <r>
    <x v="51"/>
    <x v="0"/>
    <x v="12"/>
    <m/>
    <n v="907"/>
    <n v="60"/>
    <n v="15"/>
    <m/>
    <n v="105"/>
    <n v="65"/>
    <s v="https://www.fr.ch/sites/default/files/2020-04/statistiques_situation_FR_2804.xlsx"/>
  </r>
  <r>
    <x v="51"/>
    <x v="0"/>
    <x v="0"/>
    <n v="20687"/>
    <n v="4497"/>
    <n v="350"/>
    <n v="38"/>
    <n v="33"/>
    <n v="520"/>
    <n v="202"/>
    <s v="https://www.ge.ch/document/covid-19-situation-epidemiologique-geneve/telecharger"/>
  </r>
  <r>
    <x v="51"/>
    <x v="0"/>
    <x v="19"/>
    <m/>
    <n v="106"/>
    <n v="4"/>
    <m/>
    <m/>
    <m/>
    <n v="3"/>
    <s v="https://www.gl.ch/public/upload/assets/27574/COVID-19_Fallzahlen_Kanton_Glarus.xlsx"/>
  </r>
  <r>
    <x v="51"/>
    <x v="0"/>
    <x v="26"/>
    <m/>
    <n v="764"/>
    <n v="37"/>
    <m/>
    <m/>
    <m/>
    <n v="39"/>
    <s v="https://www.gr.ch/DE/institutionen/verwaltung/djsg/ga/coronavirus/info/Seiten/Start.aspx"/>
  </r>
  <r>
    <x v="51"/>
    <x v="0"/>
    <x v="3"/>
    <m/>
    <n v="189"/>
    <n v="18"/>
    <n v="5"/>
    <m/>
    <m/>
    <n v="3"/>
    <s v="https://www.jura.ch/Htdocs/Files/v/34263.xlsx/Departements/CHA/SIC/Carrousel/Coronavirus/Cornavirus/Chiffres/donnees_27_04.xlsx?download=1"/>
  </r>
  <r>
    <x v="51"/>
    <x v="0"/>
    <x v="13"/>
    <m/>
    <n v="625"/>
    <n v="52"/>
    <n v="11"/>
    <n v="9"/>
    <m/>
    <n v="56"/>
    <s v="https://www.ne.ch/autorites/DFS/SCSP/medecin-cantonal/maladies-vaccinations/Documents/Covid-19-Statistiques/COVID19_PublicationInternet.xlsx"/>
  </r>
  <r>
    <x v="51"/>
    <x v="0"/>
    <x v="20"/>
    <m/>
    <n v="106"/>
    <n v="5"/>
    <n v="2"/>
    <m/>
    <m/>
    <n v="2"/>
    <s v="http://www.nw.ch/coronastatistik"/>
  </r>
  <r>
    <x v="51"/>
    <x v="0"/>
    <x v="14"/>
    <m/>
    <n v="680"/>
    <n v="56"/>
    <n v="7"/>
    <m/>
    <n v="138"/>
    <n v="25"/>
    <s v="https://www.sg.ch/tools/informationen-coronavirus.html"/>
  </r>
  <r>
    <x v="51"/>
    <x v="0"/>
    <x v="15"/>
    <m/>
    <n v="265"/>
    <m/>
    <m/>
    <m/>
    <n v="154"/>
    <n v="14"/>
    <s v="https://www.sz.ch/behoerden/information-medien/medienmitteilungen/coronavirus.html/72-416-412-1379-6948"/>
  </r>
  <r>
    <x v="51"/>
    <x v="0"/>
    <x v="25"/>
    <m/>
    <n v="308"/>
    <n v="28"/>
    <n v="14"/>
    <m/>
    <m/>
    <n v="11"/>
    <s v="https://www.tg.ch/news/fachdossier-coronavirus.html/10552"/>
  </r>
  <r>
    <x v="51"/>
    <x v="0"/>
    <x v="8"/>
    <m/>
    <n v="4996"/>
    <n v="252"/>
    <n v="57"/>
    <m/>
    <m/>
    <n v="297"/>
    <s v="https://www.vd.ch/toutes-les-actualites/hotline-et-informations-sur-le-coronavirus/point-de-situation-statistique-dans-le-canton-de-vaud/"/>
  </r>
  <r>
    <x v="51"/>
    <x v="0"/>
    <x v="9"/>
    <m/>
    <n v="1739"/>
    <n v="89"/>
    <n v="17"/>
    <n v="12"/>
    <n v="178"/>
    <n v="95"/>
    <s v="https://www.vs.ch/documents/6756452/7008787/2020%2004%2027%20Sit%20Epid%20-%20%C3%89tat%20Stand"/>
  </r>
  <r>
    <x v="51"/>
    <x v="27"/>
    <x v="18"/>
    <m/>
    <n v="343"/>
    <n v="22"/>
    <m/>
    <m/>
    <m/>
    <n v="8"/>
    <s v="https://corona.so.ch/index.php?id=27979"/>
  </r>
  <r>
    <x v="51"/>
    <x v="5"/>
    <x v="17"/>
    <m/>
    <n v="79"/>
    <m/>
    <m/>
    <m/>
    <m/>
    <n v="3"/>
    <s v="https://www.ar.ch/verwaltung/departement-gesundheit-und-soziales/amt-fuer-gesundheit/informationsseite-coronavirus/"/>
  </r>
  <r>
    <x v="51"/>
    <x v="5"/>
    <x v="6"/>
    <m/>
    <n v="1515"/>
    <n v="70"/>
    <n v="26"/>
    <n v="12"/>
    <m/>
    <n v="55"/>
    <s v="https://www.besondere-lage.sites.be.ch/besondere-lage_sites/de/index/corona/index.html"/>
  </r>
  <r>
    <x v="51"/>
    <x v="5"/>
    <x v="1"/>
    <m/>
    <n v="2953"/>
    <n v="249"/>
    <n v="59"/>
    <n v="49"/>
    <n v="568"/>
    <n v="269"/>
    <s v="https://www4.ti.ch/area-media/comunicati/dettaglio-comunicato/?NEWS_ID=187632&amp;tx_tichareamedia_comunicazioni%5Baction%5D=show&amp;tx_tichareamedia_comunicazioni%5Bcontroller%5D=Comunicazioni&amp;cHash=65b441f9003d32defd9e1c4f2650c177"/>
  </r>
  <r>
    <x v="51"/>
    <x v="5"/>
    <x v="11"/>
    <m/>
    <n v="171"/>
    <n v="9"/>
    <n v="7"/>
    <m/>
    <n v="94"/>
    <n v="6"/>
    <s v="https://www.zg.ch/behoerden/gesundheitsdirektion/statistikfachstelle/themen/gesundheit/corona"/>
  </r>
  <r>
    <x v="51"/>
    <x v="28"/>
    <x v="5"/>
    <m/>
    <n v="912"/>
    <n v="76"/>
    <n v="6"/>
    <m/>
    <n v="711"/>
    <n v="37"/>
    <s v="https://www.gd.bs.ch//nm/2020-tagesbulletin-coronavirus-917-bestaetigte-faelle-im-kanton-basel-stadt-gd.html"/>
  </r>
  <r>
    <x v="51"/>
    <x v="33"/>
    <x v="21"/>
    <m/>
    <n v="60"/>
    <n v="10"/>
    <n v="2"/>
    <m/>
    <m/>
    <n v="1"/>
    <s v="https://sh.ch/CMS/get/file/0779d9a8-e066-4335-95a4-8d2793d317c6"/>
  </r>
  <r>
    <x v="51"/>
    <x v="22"/>
    <x v="24"/>
    <m/>
    <n v="24"/>
    <m/>
    <m/>
    <m/>
    <m/>
    <m/>
    <s v="https://www.ai.ch/themen/gesundheit-alter-und-soziales/gesundheitsfoerderung-und-praevention/uebertragbare-krankheiten/coronavirus"/>
  </r>
  <r>
    <x v="51"/>
    <x v="16"/>
    <x v="16"/>
    <m/>
    <n v="599"/>
    <n v="40"/>
    <n v="3"/>
    <m/>
    <m/>
    <n v="13"/>
    <s v="https://gesundheit.lu.ch/themen/Humanmedizin/Infektionskrankheiten/Coronavirus"/>
  </r>
  <r>
    <x v="51"/>
    <x v="1"/>
    <x v="4"/>
    <m/>
    <n v="3148"/>
    <n v="135"/>
    <m/>
    <n v="51"/>
    <m/>
    <n v="95"/>
    <s v="https://gd.zh.ch/internet/gesundheitsdirektion/de/themen/coronavirus.html"/>
  </r>
  <r>
    <x v="51"/>
    <x v="34"/>
    <x v="10"/>
    <m/>
    <n v="943"/>
    <n v="61"/>
    <n v="20"/>
    <n v="20"/>
    <n v="500"/>
    <n v="23"/>
    <s v="https://www.ag.ch/media/kanton_aargau/themen_1/coronavirus_1/lagebulletins/200416_KFS_Coronavirus_Lagebulletin_34.pdf"/>
  </r>
  <r>
    <x v="51"/>
    <x v="4"/>
    <x v="22"/>
    <m/>
    <n v="78"/>
    <n v="2"/>
    <m/>
    <m/>
    <n v="62"/>
    <n v="5"/>
    <s v="https://www.ur.ch/themen/2962"/>
  </r>
  <r>
    <x v="51"/>
    <x v="37"/>
    <x v="23"/>
    <m/>
    <n v="65"/>
    <n v="0"/>
    <m/>
    <m/>
    <m/>
    <n v="0"/>
    <s v="https://www.ow.ch/de/verwaltung/dienstleistungen/?dienst_id=5962"/>
  </r>
  <r>
    <x v="52"/>
    <x v="0"/>
    <x v="7"/>
    <m/>
    <n v="794"/>
    <n v="40"/>
    <n v="8"/>
    <n v="5"/>
    <n v="632"/>
    <n v="25"/>
    <s v="https://www.baselland.ch/politik-und-behorden/direktionen/volkswirtschafts-und-gesundheitsdirektion/amt-fur-gesundheit/medizinische-dienste/kantonsarztlicher-dienst/aktuelles/covid-19-faelle-kanton-basel-landschaft"/>
  </r>
  <r>
    <x v="52"/>
    <x v="0"/>
    <x v="2"/>
    <m/>
    <n v="81"/>
    <m/>
    <m/>
    <m/>
    <m/>
    <n v="1"/>
    <s v="https://www.regierung.li/media/attachments/197-corona-regierung-orientiert-ueber-vorgehen-0417.pdf?t=637227446845695629"/>
  </r>
  <r>
    <x v="52"/>
    <x v="0"/>
    <x v="12"/>
    <m/>
    <n v="930"/>
    <n v="66"/>
    <n v="13"/>
    <m/>
    <n v="106"/>
    <n v="67"/>
    <s v="https://www.fr.ch/sites/default/files/2020-04/statistiques_situation_FR_2804.xlsx"/>
  </r>
  <r>
    <x v="52"/>
    <x v="0"/>
    <x v="0"/>
    <n v="21128"/>
    <n v="4557"/>
    <n v="329"/>
    <n v="39"/>
    <n v="33"/>
    <n v="532"/>
    <n v="208"/>
    <s v="https://www.ge.ch/document/covid-19-situation-epidemiologique-geneve/telecharger"/>
  </r>
  <r>
    <x v="52"/>
    <x v="0"/>
    <x v="26"/>
    <m/>
    <n v="770"/>
    <n v="33"/>
    <m/>
    <m/>
    <m/>
    <n v="40"/>
    <s v="https://www.gr.ch/DE/institutionen/verwaltung/djsg/ga/coronavirus/info/Seiten/Start.aspx"/>
  </r>
  <r>
    <x v="52"/>
    <x v="0"/>
    <x v="3"/>
    <m/>
    <n v="191"/>
    <n v="18"/>
    <n v="5"/>
    <m/>
    <m/>
    <n v="3"/>
    <s v="https://www.jura.ch/Htdocs/Files/v/34263.xlsx/Departements/CHA/SIC/Carrousel/Coronavirus/Cornavirus/Chiffres/donnees_27_04.xlsx?download=1"/>
  </r>
  <r>
    <x v="52"/>
    <x v="0"/>
    <x v="13"/>
    <m/>
    <n v="636"/>
    <n v="44"/>
    <n v="10"/>
    <n v="8"/>
    <m/>
    <n v="59"/>
    <s v="https://www.ne.ch/autorites/DFS/SCSP/medecin-cantonal/maladies-vaccinations/Documents/Covid-19-Statistiques/COVID19_PublicationInternet.xlsx"/>
  </r>
  <r>
    <x v="52"/>
    <x v="0"/>
    <x v="20"/>
    <m/>
    <n v="107"/>
    <n v="4"/>
    <n v="2"/>
    <m/>
    <m/>
    <n v="3"/>
    <s v="http://www.nw.ch/coronastatistik"/>
  </r>
  <r>
    <x v="52"/>
    <x v="0"/>
    <x v="14"/>
    <m/>
    <n v="683"/>
    <n v="41"/>
    <n v="9"/>
    <m/>
    <n v="144"/>
    <n v="27"/>
    <s v="https://www.sg.ch/tools/informationen-coronavirus.html"/>
  </r>
  <r>
    <x v="52"/>
    <x v="0"/>
    <x v="15"/>
    <m/>
    <n v="266"/>
    <m/>
    <m/>
    <m/>
    <n v="161"/>
    <n v="14"/>
    <s v="https://www.sz.ch/behoerden/information-medien/medienmitteilungen/coronavirus.html/72-416-412-1379-6948"/>
  </r>
  <r>
    <x v="52"/>
    <x v="0"/>
    <x v="25"/>
    <m/>
    <n v="321"/>
    <n v="25"/>
    <n v="13"/>
    <m/>
    <m/>
    <n v="12"/>
    <s v="https://www.tg.ch/news/fachdossier-coronavirus.html/10552"/>
  </r>
  <r>
    <x v="52"/>
    <x v="0"/>
    <x v="8"/>
    <m/>
    <n v="5028"/>
    <n v="236"/>
    <n v="55"/>
    <m/>
    <m/>
    <n v="302"/>
    <s v="https://www.vd.ch/toutes-les-actualites/hotline-et-informations-sur-le-coronavirus/point-de-situation-statistique-dans-le-canton-de-vaud/"/>
  </r>
  <r>
    <x v="52"/>
    <x v="0"/>
    <x v="9"/>
    <m/>
    <n v="1758"/>
    <n v="83"/>
    <n v="16"/>
    <n v="10"/>
    <n v="184"/>
    <n v="99"/>
    <s v="https://www.vs.ch/documents/6756452/7008787/2020%2004%2027%20Sit%20Epid%20-%20%C3%89tat%20Stand"/>
  </r>
  <r>
    <x v="52"/>
    <x v="27"/>
    <x v="18"/>
    <m/>
    <n v="350"/>
    <n v="20"/>
    <m/>
    <m/>
    <m/>
    <n v="9"/>
    <s v="https://corona.so.ch/index.php?id=27979"/>
  </r>
  <r>
    <x v="52"/>
    <x v="5"/>
    <x v="6"/>
    <m/>
    <n v="1553"/>
    <n v="69"/>
    <n v="25"/>
    <n v="13"/>
    <m/>
    <n v="67"/>
    <s v="https://www.besondere-lage.sites.be.ch/besondere-lage_sites/de/index/corona/index.html"/>
  </r>
  <r>
    <x v="52"/>
    <x v="5"/>
    <x v="1"/>
    <m/>
    <n v="2977"/>
    <n v="254"/>
    <n v="57"/>
    <n v="44"/>
    <n v="580"/>
    <n v="270"/>
    <s v="https://www4.ti.ch/area-media/comunicati/dettaglio-comunicato/?NEWS_ID=187639&amp;tx_tichareamedia_comunicazioni%5Baction%5D=show&amp;tx_tichareamedia_comunicazioni%5Bcontroller%5D=Comunicazioni&amp;cHash=293da33bc5267650fbd8e590032cd6f3"/>
  </r>
  <r>
    <x v="52"/>
    <x v="5"/>
    <x v="11"/>
    <m/>
    <n v="172"/>
    <n v="8"/>
    <n v="6"/>
    <m/>
    <n v="96"/>
    <n v="6"/>
    <s v="https://www.zg.ch/behoerden/gesundheitsdirektion/statistikfachstelle/themen/gesundheit/corona"/>
  </r>
  <r>
    <x v="52"/>
    <x v="28"/>
    <x v="5"/>
    <m/>
    <n v="918"/>
    <n v="68"/>
    <n v="7"/>
    <m/>
    <n v="720"/>
    <n v="37"/>
    <s v="https://www.gd.bs.ch//nm/2020-tagesbulletin-coronavirus-923-bestaetigte-faelle-im-kanton-basel-stadt-gd.html"/>
  </r>
  <r>
    <x v="52"/>
    <x v="33"/>
    <x v="21"/>
    <m/>
    <n v="60"/>
    <n v="8"/>
    <n v="2"/>
    <m/>
    <m/>
    <n v="1"/>
    <s v="https://sh.ch/CMS/get/file/0779d9a8-e066-4335-95a4-8d2793d317c6"/>
  </r>
  <r>
    <x v="52"/>
    <x v="22"/>
    <x v="24"/>
    <m/>
    <n v="24"/>
    <m/>
    <m/>
    <m/>
    <m/>
    <m/>
    <s v="https://www.ai.ch/themen/gesundheit-alter-und-soziales/gesundheitsfoerderung-und-praevention/uebertragbare-krankheiten/coronavirus"/>
  </r>
  <r>
    <x v="52"/>
    <x v="22"/>
    <x v="16"/>
    <m/>
    <n v="607"/>
    <n v="40"/>
    <n v="3"/>
    <m/>
    <m/>
    <n v="14"/>
    <s v="https://gesundheit.lu.ch/themen/Humanmedizin/Infektionskrankheiten/Coronavirus"/>
  </r>
  <r>
    <x v="52"/>
    <x v="13"/>
    <x v="17"/>
    <m/>
    <n v="82"/>
    <m/>
    <m/>
    <m/>
    <m/>
    <n v="3"/>
    <s v="https://www.ar.ch/verwaltung/departement-gesundheit-und-soziales/amt-fuer-gesundheit/informationsseite-coronavirus/"/>
  </r>
  <r>
    <x v="52"/>
    <x v="17"/>
    <x v="19"/>
    <m/>
    <n v="108"/>
    <n v="4"/>
    <m/>
    <m/>
    <m/>
    <n v="3"/>
    <s v="https://www.gl.ch/public/upload/assets/27574/COVID-19_Fallzahlen_Kanton_Glarus.xlsx"/>
  </r>
  <r>
    <x v="52"/>
    <x v="14"/>
    <x v="22"/>
    <m/>
    <n v="78"/>
    <n v="2"/>
    <m/>
    <m/>
    <n v="66"/>
    <n v="5"/>
    <s v="https://www.ur.ch/themen/2962"/>
  </r>
  <r>
    <x v="52"/>
    <x v="1"/>
    <x v="4"/>
    <m/>
    <n v="3171"/>
    <n v="123"/>
    <m/>
    <n v="45"/>
    <m/>
    <n v="99"/>
    <s v="https://gd.zh.ch/internet/gesundheitsdirektion/de/themen/coronavirus.html"/>
  </r>
  <r>
    <x v="52"/>
    <x v="34"/>
    <x v="10"/>
    <m/>
    <n v="960"/>
    <n v="58"/>
    <n v="20"/>
    <n v="20"/>
    <n v="540"/>
    <n v="24"/>
    <s v="https://www.ag.ch/media/kanton_aargau/themen_1/coronavirus_1/lagebulletins/200417_KFS_Coronavirus_Lagebulletin_35.pdf"/>
  </r>
  <r>
    <x v="52"/>
    <x v="20"/>
    <x v="23"/>
    <m/>
    <n v="66"/>
    <n v="0"/>
    <m/>
    <m/>
    <m/>
    <n v="0"/>
    <s v="https://www.ow.ch/de/verwaltung/dienstleistungen/?dienst_id=5962"/>
  </r>
  <r>
    <x v="53"/>
    <x v="0"/>
    <x v="7"/>
    <m/>
    <n v="798"/>
    <n v="44"/>
    <n v="7"/>
    <n v="5"/>
    <n v="636"/>
    <n v="25"/>
    <s v="https://www.baselland.ch/politik-und-behorden/direktionen/volkswirtschafts-und-gesundheitsdirektion/amt-fur-gesundheit/medizinische-dienste/kantonsarztlicher-dienst/aktuelles/covid-19-faelle-kanton-basel-landschaft"/>
  </r>
  <r>
    <x v="53"/>
    <x v="0"/>
    <x v="2"/>
    <m/>
    <n v="81"/>
    <m/>
    <m/>
    <m/>
    <m/>
    <n v="1"/>
    <s v="https://www.regierung.li/media/attachments/198-corona-kein-zusaetzlicher-fall-0418.pdf?t=637228301134424983"/>
  </r>
  <r>
    <x v="53"/>
    <x v="0"/>
    <x v="12"/>
    <m/>
    <n v="956"/>
    <n v="64"/>
    <n v="11"/>
    <m/>
    <n v="109"/>
    <n v="69"/>
    <s v="https://www.fr.ch/sites/default/files/2020-04/statistiques_situation_FR_2804.xlsx"/>
  </r>
  <r>
    <x v="53"/>
    <x v="0"/>
    <x v="0"/>
    <n v="21570"/>
    <n v="4606"/>
    <n v="315"/>
    <n v="34"/>
    <n v="33"/>
    <n v="553"/>
    <n v="212"/>
    <s v="https://www.ge.ch/document/covid-19-situation-epidemiologique-geneve/telecharger"/>
  </r>
  <r>
    <x v="53"/>
    <x v="0"/>
    <x v="26"/>
    <m/>
    <n v="773"/>
    <n v="29"/>
    <m/>
    <m/>
    <m/>
    <n v="40"/>
    <s v="https://www.gr.ch/DE/institutionen/verwaltung/djsg/ga/coronavirus/info/Seiten/Start.aspx"/>
  </r>
  <r>
    <x v="53"/>
    <x v="0"/>
    <x v="3"/>
    <m/>
    <n v="192"/>
    <n v="17"/>
    <n v="5"/>
    <m/>
    <m/>
    <n v="3"/>
    <s v="https://www.jura.ch/Htdocs/Files/v/34263.xlsx/Departements/CHA/SIC/Carrousel/Coronavirus/Cornavirus/Chiffres/donnees_27_04.xlsx?download=1"/>
  </r>
  <r>
    <x v="53"/>
    <x v="0"/>
    <x v="13"/>
    <m/>
    <n v="639"/>
    <n v="44"/>
    <n v="10"/>
    <n v="8"/>
    <m/>
    <n v="59"/>
    <s v="https://www.ne.ch/autorites/DFS/SCSP/medecin-cantonal/maladies-vaccinations/Documents/Covid-19-Statistiques/COVID19_PublicationInternet.xlsx"/>
  </r>
  <r>
    <x v="53"/>
    <x v="0"/>
    <x v="20"/>
    <m/>
    <n v="108"/>
    <n v="4"/>
    <n v="2"/>
    <m/>
    <m/>
    <n v="3"/>
    <s v="http://www.nw.ch/coronastatistik"/>
  </r>
  <r>
    <x v="53"/>
    <x v="0"/>
    <x v="14"/>
    <m/>
    <n v="699"/>
    <n v="44"/>
    <n v="7"/>
    <m/>
    <n v="150"/>
    <n v="27"/>
    <s v="https://www.sg.ch/tools/informationen-coronavirus.html"/>
  </r>
  <r>
    <x v="53"/>
    <x v="0"/>
    <x v="15"/>
    <m/>
    <n v="266"/>
    <m/>
    <m/>
    <m/>
    <n v="176"/>
    <n v="14"/>
    <s v="https://www.sz.ch/behoerden/information-medien/medienmitteilungen/coronavirus.html/72-416-412-1379-6948"/>
  </r>
  <r>
    <x v="53"/>
    <x v="0"/>
    <x v="25"/>
    <m/>
    <n v="332"/>
    <n v="23"/>
    <n v="12"/>
    <m/>
    <m/>
    <n v="13"/>
    <s v="https://www.tg.ch/news/fachdossier-coronavirus.html/10552"/>
  </r>
  <r>
    <x v="53"/>
    <x v="0"/>
    <x v="8"/>
    <m/>
    <n v="5050"/>
    <n v="233"/>
    <n v="52"/>
    <m/>
    <m/>
    <n v="310"/>
    <s v="https://www.vd.ch/toutes-les-actualites/hotline-et-informations-sur-le-coronavirus/point-de-situation-statistique-dans-le-canton-de-vaud/"/>
  </r>
  <r>
    <x v="53"/>
    <x v="0"/>
    <x v="9"/>
    <m/>
    <n v="1767"/>
    <n v="82"/>
    <n v="18"/>
    <n v="10"/>
    <n v="185"/>
    <n v="104"/>
    <s v="https://www.vs.ch/documents/6756452/7008787/2020%2004%2027%20Sit%20Epid%20-%20%C3%89tat%20Stand"/>
  </r>
  <r>
    <x v="53"/>
    <x v="27"/>
    <x v="18"/>
    <m/>
    <n v="353"/>
    <n v="19"/>
    <m/>
    <m/>
    <m/>
    <n v="10"/>
    <s v="https://corona.so.ch/index.php?id=27979"/>
  </r>
  <r>
    <x v="53"/>
    <x v="5"/>
    <x v="6"/>
    <m/>
    <n v="1586"/>
    <n v="71"/>
    <n v="22"/>
    <n v="12"/>
    <m/>
    <n v="69"/>
    <s v="https://www.besondere-lage.sites.be.ch/besondere-lage_sites/de/index/corona/index.html"/>
  </r>
  <r>
    <x v="53"/>
    <x v="5"/>
    <x v="1"/>
    <m/>
    <n v="2994"/>
    <n v="244"/>
    <n v="56"/>
    <n v="42"/>
    <n v="606"/>
    <n v="277"/>
    <s v="https://www4.ti.ch/area-media/comunicati/dettaglio-comunicato/?NEWS_ID=187644&amp;tx_tichareamedia_comunicazioni%5Baction%5D=show&amp;tx_tichareamedia_comunicazioni%5Bcontroller%5D=Comunicazioni&amp;cHash=df3ace8d6228b4587b78db3bfa080a83"/>
  </r>
  <r>
    <x v="53"/>
    <x v="5"/>
    <x v="11"/>
    <m/>
    <n v="174"/>
    <n v="6"/>
    <n v="6"/>
    <m/>
    <n v="99"/>
    <n v="7"/>
    <s v="https://www.zg.ch/behoerden/gesundheitsdirektion/statistikfachstelle/themen/gesundheit/corona"/>
  </r>
  <r>
    <x v="53"/>
    <x v="33"/>
    <x v="21"/>
    <m/>
    <n v="61"/>
    <n v="11"/>
    <n v="4"/>
    <m/>
    <m/>
    <n v="1"/>
    <s v="https://sh.ch/CMS/get/file/0779d9a8-e066-4335-95a4-8d2793d317c6"/>
  </r>
  <r>
    <x v="53"/>
    <x v="32"/>
    <x v="5"/>
    <m/>
    <n v="924"/>
    <m/>
    <m/>
    <m/>
    <n v="753"/>
    <n v="40"/>
    <s v="https://www.gd.bs.ch//nm/2020-tagesbulletin-coronavirus-929-bestaetigte-faelle-im-kanton-basel-stadt-gd.html"/>
  </r>
  <r>
    <x v="53"/>
    <x v="16"/>
    <x v="16"/>
    <m/>
    <n v="623"/>
    <n v="26"/>
    <n v="4"/>
    <m/>
    <m/>
    <n v="15"/>
    <s v="https://gesundheit.lu.ch/themen/Humanmedizin/Infektionskrankheiten/Coronavirus"/>
  </r>
  <r>
    <x v="53"/>
    <x v="17"/>
    <x v="19"/>
    <m/>
    <n v="111"/>
    <n v="4"/>
    <m/>
    <m/>
    <m/>
    <n v="3"/>
    <s v="https://www.gl.ch/public/upload/assets/27574/COVID-19_Fallzahlen_Kanton_Glarus.xlsx"/>
  </r>
  <r>
    <x v="53"/>
    <x v="1"/>
    <x v="4"/>
    <m/>
    <n v="3211"/>
    <n v="114"/>
    <m/>
    <n v="44"/>
    <m/>
    <n v="105"/>
    <s v="https://gd.zh.ch/internet/gesundheitsdirektion/de/themen/coronavirus.html"/>
  </r>
  <r>
    <x v="53"/>
    <x v="34"/>
    <x v="10"/>
    <m/>
    <n v="987"/>
    <m/>
    <m/>
    <m/>
    <m/>
    <n v="25"/>
    <s v="https://www.ag.ch/media/kanton_aargau/themen_1/coronavirus_1/lagebulletins/200420_KFS_Coronavirus_Lagebulletin_36.pdf"/>
  </r>
  <r>
    <x v="53"/>
    <x v="4"/>
    <x v="22"/>
    <m/>
    <n v="78"/>
    <n v="2"/>
    <m/>
    <m/>
    <n v="69"/>
    <n v="5"/>
    <s v="https://www.ur.ch/themen/2962"/>
  </r>
  <r>
    <x v="54"/>
    <x v="0"/>
    <x v="7"/>
    <m/>
    <n v="803"/>
    <n v="40"/>
    <n v="7"/>
    <n v="5"/>
    <n v="653"/>
    <n v="25"/>
    <s v="https://www.baselland.ch/politik-und-behorden/direktionen/volkswirtschafts-und-gesundheitsdirektion/amt-fur-gesundheit/medizinische-dienste/kantonsarztlicher-dienst/aktuelles/covid-19-faelle-kanton-basel-landschaft"/>
  </r>
  <r>
    <x v="54"/>
    <x v="0"/>
    <x v="2"/>
    <m/>
    <n v="81"/>
    <m/>
    <m/>
    <m/>
    <m/>
    <n v="1"/>
    <s v="https://www.regierung.li/media/attachments/199-corona-keine-neuen-faelle-0419.pdf?t=637229165752237624"/>
  </r>
  <r>
    <x v="54"/>
    <x v="0"/>
    <x v="12"/>
    <m/>
    <n v="980"/>
    <n v="61"/>
    <n v="12"/>
    <m/>
    <n v="113"/>
    <n v="71"/>
    <s v="https://www.fr.ch/sites/default/files/2020-04/statistiques_situation_FR_2804.xlsx"/>
  </r>
  <r>
    <x v="54"/>
    <x v="0"/>
    <x v="0"/>
    <n v="21752"/>
    <n v="4617"/>
    <n v="315"/>
    <n v="35"/>
    <n v="33"/>
    <n v="558"/>
    <n v="215"/>
    <s v="https://www.ge.ch/document/covid-19-situation-epidemiologique-geneve/telecharger"/>
  </r>
  <r>
    <x v="54"/>
    <x v="0"/>
    <x v="26"/>
    <m/>
    <n v="778"/>
    <n v="28"/>
    <m/>
    <m/>
    <m/>
    <n v="41"/>
    <s v="https://www.gr.ch/DE/institutionen/verwaltung/djsg/ga/coronavirus/info/Seiten/Start.aspx"/>
  </r>
  <r>
    <x v="54"/>
    <x v="0"/>
    <x v="3"/>
    <m/>
    <n v="192"/>
    <n v="16"/>
    <n v="5"/>
    <m/>
    <m/>
    <n v="5"/>
    <s v="https://www.jura.ch/Htdocs/Files/v/34263.xlsx/Departements/CHA/SIC/Carrousel/Coronavirus/Cornavirus/Chiffres/donnees_27_04.xlsx?download=1"/>
  </r>
  <r>
    <x v="54"/>
    <x v="0"/>
    <x v="13"/>
    <m/>
    <n v="640"/>
    <n v="43"/>
    <n v="9"/>
    <n v="4"/>
    <m/>
    <n v="60"/>
    <s v="https://www.ne.ch/autorites/DFS/SCSP/medecin-cantonal/maladies-vaccinations/Documents/Covid-19-Statistiques/COVID19_PublicationInternet.xlsx"/>
  </r>
  <r>
    <x v="54"/>
    <x v="0"/>
    <x v="20"/>
    <m/>
    <n v="108"/>
    <n v="4"/>
    <n v="2"/>
    <m/>
    <m/>
    <n v="3"/>
    <s v="http://www.nw.ch/coronastatistik"/>
  </r>
  <r>
    <x v="54"/>
    <x v="0"/>
    <x v="14"/>
    <m/>
    <n v="705"/>
    <n v="45"/>
    <n v="7"/>
    <m/>
    <n v="150"/>
    <n v="27"/>
    <s v="https://www.sg.ch/tools/informationen-coronavirus.html"/>
  </r>
  <r>
    <x v="54"/>
    <x v="0"/>
    <x v="15"/>
    <m/>
    <n v="268"/>
    <m/>
    <m/>
    <m/>
    <n v="180"/>
    <n v="15"/>
    <s v="https://www.sz.ch/behoerden/information-medien/medienmitteilungen/coronavirus.html/72-416-412-1379-6948"/>
  </r>
  <r>
    <x v="54"/>
    <x v="0"/>
    <x v="25"/>
    <m/>
    <n v="333"/>
    <n v="23"/>
    <n v="12"/>
    <m/>
    <m/>
    <n v="13"/>
    <s v="https://www.tg.ch/news/fachdossier-coronavirus.html/10552"/>
  </r>
  <r>
    <x v="54"/>
    <x v="0"/>
    <x v="8"/>
    <m/>
    <n v="5061"/>
    <n v="236"/>
    <n v="52"/>
    <m/>
    <m/>
    <n v="315"/>
    <s v="https://www.vd.ch/toutes-les-actualites/hotline-et-informations-sur-le-coronavirus/point-de-situation-statistique-dans-le-canton-de-vaud/"/>
  </r>
  <r>
    <x v="54"/>
    <x v="0"/>
    <x v="9"/>
    <m/>
    <n v="1774"/>
    <n v="80"/>
    <n v="16"/>
    <n v="9"/>
    <n v="204"/>
    <n v="107"/>
    <s v="https://www.vs.ch/documents/6756452/7008787/2020%2004%2027%20Sit%20Epid%20-%20%C3%89tat%20Stand"/>
  </r>
  <r>
    <x v="54"/>
    <x v="27"/>
    <x v="18"/>
    <m/>
    <n v="355"/>
    <n v="19"/>
    <m/>
    <m/>
    <m/>
    <n v="11"/>
    <s v="https://corona.so.ch/index.php?id=27979"/>
  </r>
  <r>
    <x v="54"/>
    <x v="5"/>
    <x v="6"/>
    <m/>
    <n v="1599"/>
    <n v="78"/>
    <n v="20"/>
    <n v="13"/>
    <m/>
    <n v="69"/>
    <s v="https://www.besondere-lage.sites.be.ch/besondere-lage_sites/de/index/corona/index.html"/>
  </r>
  <r>
    <x v="54"/>
    <x v="5"/>
    <x v="1"/>
    <m/>
    <n v="3032"/>
    <n v="237"/>
    <n v="54"/>
    <n v="42"/>
    <n v="616"/>
    <n v="281"/>
    <s v="https://www4.ti.ch/area-media/comunicati/dettaglio-comunicato/?NEWS_ID=187645&amp;tx_tichareamedia_comunicazioni%5Baction%5D=show&amp;tx_tichareamedia_comunicazioni%5Bcontroller%5D=Comunicazioni&amp;cHash=7c0ead3ab8e681d79f11cb3d67995946"/>
  </r>
  <r>
    <x v="54"/>
    <x v="5"/>
    <x v="11"/>
    <m/>
    <n v="175"/>
    <n v="11"/>
    <n v="6"/>
    <m/>
    <n v="99"/>
    <n v="7"/>
    <s v="https://www.zg.ch/behoerden/gesundheitsdirektion/statistikfachstelle/themen/gesundheit/corona"/>
  </r>
  <r>
    <x v="54"/>
    <x v="33"/>
    <x v="21"/>
    <m/>
    <n v="62"/>
    <n v="6"/>
    <n v="2"/>
    <m/>
    <m/>
    <n v="1"/>
    <s v="https://sh.ch/CMS/get/file/0779d9a8-e066-4335-95a4-8d2793d317c6"/>
  </r>
  <r>
    <x v="54"/>
    <x v="24"/>
    <x v="5"/>
    <m/>
    <n v="927"/>
    <m/>
    <m/>
    <m/>
    <n v="764"/>
    <n v="40"/>
    <s v="https://www.gd.bs.ch//nm/2020-tagesbulletin-coronavirus-932-bestaetigte-faelle-im-kanton-basel-stadt-gd.html"/>
  </r>
  <r>
    <x v="54"/>
    <x v="22"/>
    <x v="24"/>
    <m/>
    <n v="24"/>
    <m/>
    <m/>
    <m/>
    <m/>
    <m/>
    <s v="https://www.ai.ch/themen/gesundheit-alter-und-soziales/gesundheitsfoerderung-und-praevention/uebertragbare-krankheiten/coronavirus"/>
  </r>
  <r>
    <x v="54"/>
    <x v="22"/>
    <x v="16"/>
    <m/>
    <n v="626"/>
    <n v="26"/>
    <n v="4"/>
    <m/>
    <m/>
    <n v="15"/>
    <s v="https://gesundheit.lu.ch/themen/Humanmedizin/Infektionskrankheiten/Coronavirus"/>
  </r>
  <r>
    <x v="54"/>
    <x v="17"/>
    <x v="19"/>
    <m/>
    <n v="111"/>
    <n v="4"/>
    <m/>
    <m/>
    <m/>
    <n v="3"/>
    <s v="https://www.gl.ch/public/upload/assets/27574/COVID-19_Fallzahlen_Kanton_Glarus.xlsx"/>
  </r>
  <r>
    <x v="54"/>
    <x v="17"/>
    <x v="22"/>
    <m/>
    <n v="78"/>
    <n v="2"/>
    <m/>
    <m/>
    <n v="69"/>
    <n v="5"/>
    <s v="https://www.ur.ch/themen/2962"/>
  </r>
  <r>
    <x v="54"/>
    <x v="1"/>
    <x v="4"/>
    <m/>
    <n v="3238"/>
    <n v="116"/>
    <m/>
    <n v="43"/>
    <m/>
    <n v="105"/>
    <s v="https://gd.zh.ch/internet/gesundheitsdirektion/de/themen/coronavirus.html"/>
  </r>
  <r>
    <x v="54"/>
    <x v="34"/>
    <x v="10"/>
    <m/>
    <n v="1003"/>
    <m/>
    <m/>
    <m/>
    <m/>
    <n v="25"/>
    <s v="https://www.ag.ch/media/kanton_aargau/themen_1/coronavirus_1/lagebulletins/200420_KFS_Coronavirus_Lagebulletin_36.pdf"/>
  </r>
  <r>
    <x v="55"/>
    <x v="0"/>
    <x v="7"/>
    <m/>
    <n v="806"/>
    <n v="40"/>
    <n v="6"/>
    <n v="3"/>
    <n v="664"/>
    <n v="25"/>
    <s v="https://www.baselland.ch/politik-und-behorden/direktionen/volkswirtschafts-und-gesundheitsdirektion/amt-fur-gesundheit/medizinische-dienste/kantonsarztlicher-dienst/aktuelles/covid-19-faelle-kanton-basel-landschaft"/>
  </r>
  <r>
    <x v="55"/>
    <x v="0"/>
    <x v="2"/>
    <m/>
    <n v="81"/>
    <m/>
    <m/>
    <m/>
    <m/>
    <n v="1"/>
    <s v="https://www.regierung.li/de/mitteilungen/223410/?typ=news"/>
  </r>
  <r>
    <x v="55"/>
    <x v="0"/>
    <x v="12"/>
    <m/>
    <n v="989"/>
    <n v="62"/>
    <n v="11"/>
    <m/>
    <n v="113"/>
    <n v="72"/>
    <s v="https://www.fr.ch/sites/default/files/2020-04/statistiques_situation_FR_2804.xlsx"/>
  </r>
  <r>
    <x v="55"/>
    <x v="0"/>
    <x v="0"/>
    <n v="22130"/>
    <n v="4644"/>
    <n v="321"/>
    <n v="34"/>
    <n v="29"/>
    <n v="561"/>
    <n v="217"/>
    <s v="https://www.ge.ch/document/covid-19-situation-epidemiologique-geneve/telecharger"/>
  </r>
  <r>
    <x v="55"/>
    <x v="0"/>
    <x v="26"/>
    <m/>
    <n v="785"/>
    <n v="29"/>
    <m/>
    <m/>
    <m/>
    <n v="42"/>
    <s v="https://www.gr.ch/DE/institutionen/verwaltung/djsg/ga/coronavirus/info/Seiten/Start.aspx"/>
  </r>
  <r>
    <x v="55"/>
    <x v="0"/>
    <x v="3"/>
    <m/>
    <n v="195"/>
    <n v="14"/>
    <n v="4"/>
    <m/>
    <m/>
    <n v="6"/>
    <s v="https://www.jura.ch/Htdocs/Files/v/34263.xlsx/Departements/CHA/SIC/Carrousel/Coronavirus/Cornavirus/Chiffres/donnees_27_04.xlsx?download=1"/>
  </r>
  <r>
    <x v="55"/>
    <x v="0"/>
    <x v="13"/>
    <m/>
    <n v="651"/>
    <n v="44"/>
    <n v="10"/>
    <n v="5"/>
    <m/>
    <n v="62"/>
    <s v="https://www.ne.ch/autorites/DFS/SCSP/medecin-cantonal/maladies-vaccinations/Documents/Covid-19-Statistiques/COVID19_PublicationInternet.xlsx"/>
  </r>
  <r>
    <x v="55"/>
    <x v="0"/>
    <x v="20"/>
    <m/>
    <n v="108"/>
    <n v="4"/>
    <n v="2"/>
    <m/>
    <m/>
    <n v="3"/>
    <s v="http://www.nw.ch/coronastatistik"/>
  </r>
  <r>
    <x v="55"/>
    <x v="0"/>
    <x v="14"/>
    <m/>
    <n v="711"/>
    <n v="42"/>
    <n v="7"/>
    <m/>
    <n v="159"/>
    <n v="27"/>
    <s v="https://www.sg.ch/tools/informationen-coronavirus.html"/>
  </r>
  <r>
    <x v="55"/>
    <x v="0"/>
    <x v="15"/>
    <m/>
    <n v="272"/>
    <m/>
    <m/>
    <m/>
    <n v="180"/>
    <n v="15"/>
    <s v="https://www.sz.ch/behoerden/information-medien/medienmitteilungen/coronavirus.html/72-416-412-1379-6948"/>
  </r>
  <r>
    <x v="55"/>
    <x v="0"/>
    <x v="25"/>
    <m/>
    <n v="335"/>
    <n v="24"/>
    <n v="12"/>
    <m/>
    <m/>
    <n v="13"/>
    <s v="https://www.tg.ch/news/fachdossier-coronavirus.html/10552"/>
  </r>
  <r>
    <x v="55"/>
    <x v="0"/>
    <x v="8"/>
    <m/>
    <n v="5093"/>
    <n v="219"/>
    <n v="49"/>
    <m/>
    <m/>
    <n v="326"/>
    <s v="https://www.vd.ch/toutes-les-actualites/hotline-et-informations-sur-le-coronavirus/point-de-situation-statistique-dans-le-canton-de-vaud/"/>
  </r>
  <r>
    <x v="55"/>
    <x v="0"/>
    <x v="9"/>
    <m/>
    <n v="1791"/>
    <n v="75"/>
    <n v="15"/>
    <n v="9"/>
    <n v="206"/>
    <n v="110"/>
    <s v="https://www.vs.ch/documents/6756452/7008787/2020%2004%2027%20Sit%20Epid%20-%20%C3%89tat%20Stand"/>
  </r>
  <r>
    <x v="55"/>
    <x v="27"/>
    <x v="18"/>
    <m/>
    <n v="355"/>
    <n v="19"/>
    <m/>
    <m/>
    <m/>
    <n v="11"/>
    <s v="https://corona.so.ch/index.php?id=27979"/>
  </r>
  <r>
    <x v="55"/>
    <x v="5"/>
    <x v="6"/>
    <m/>
    <n v="1613"/>
    <n v="71"/>
    <n v="19"/>
    <n v="11"/>
    <m/>
    <n v="73"/>
    <s v="https://www.besondere-lage.sites.be.ch/besondere-lage_sites/de/index/corona/index.html"/>
  </r>
  <r>
    <x v="55"/>
    <x v="5"/>
    <x v="1"/>
    <m/>
    <n v="3058"/>
    <n v="237"/>
    <n v="55"/>
    <n v="42"/>
    <n v="621"/>
    <n v="288"/>
    <s v="https://www4.ti.ch/area-media/comunicati/dettaglio-comunicato/?NEWS_ID=187648&amp;tx_tichareamedia_comunicazioni%5Baction%5D=show&amp;tx_tichareamedia_comunicazioni%5Bcontroller%5D=Comunicazioni&amp;cHash=8c7fb45c6eada1e8d97d120f23176eb1"/>
  </r>
  <r>
    <x v="55"/>
    <x v="5"/>
    <x v="11"/>
    <m/>
    <n v="175"/>
    <n v="11"/>
    <n v="5"/>
    <m/>
    <n v="99"/>
    <n v="7"/>
    <s v="https://www.zg.ch/behoerden/gesundheitsdirektion/statistikfachstelle/themen/gesundheit/corona"/>
  </r>
  <r>
    <x v="55"/>
    <x v="33"/>
    <x v="5"/>
    <m/>
    <n v="928"/>
    <m/>
    <m/>
    <m/>
    <n v="770"/>
    <n v="42"/>
    <s v="https://www.gd.bs.ch//nm/2020-tagesbulletin-coronavirus-933-bestaetigte-faelle-im-kanton-basel-stadt-gd.html"/>
  </r>
  <r>
    <x v="55"/>
    <x v="33"/>
    <x v="21"/>
    <m/>
    <n v="63"/>
    <n v="6"/>
    <n v="2"/>
    <m/>
    <m/>
    <n v="1"/>
    <s v="https://sh.ch/CMS/get/file/0779d9a8-e066-4335-95a4-8d2793d317c6"/>
  </r>
  <r>
    <x v="55"/>
    <x v="22"/>
    <x v="24"/>
    <m/>
    <n v="24"/>
    <m/>
    <m/>
    <m/>
    <m/>
    <m/>
    <s v="https://www.ai.ch/themen/gesundheit-alter-und-soziales/gesundheitsfoerderung-und-praevention/uebertragbare-krankheiten/coronavirus"/>
  </r>
  <r>
    <x v="55"/>
    <x v="22"/>
    <x v="16"/>
    <m/>
    <n v="633"/>
    <n v="33"/>
    <n v="5"/>
    <m/>
    <m/>
    <n v="15"/>
    <s v="https://gesundheit.lu.ch/themen/Humanmedizin/Infektionskrankheiten/Coronavirus"/>
  </r>
  <r>
    <x v="55"/>
    <x v="17"/>
    <x v="17"/>
    <m/>
    <n v="86"/>
    <m/>
    <m/>
    <m/>
    <m/>
    <n v="3"/>
    <s v="https://www.ar.ch/verwaltung/departement-gesundheit-und-soziales/amt-fuer-gesundheit/informationsseite-coronavirus/"/>
  </r>
  <r>
    <x v="55"/>
    <x v="17"/>
    <x v="19"/>
    <m/>
    <n v="114"/>
    <n v="5"/>
    <m/>
    <m/>
    <m/>
    <n v="5"/>
    <s v="https://www.gl.ch/public/upload/assets/27574/COVID-19_Fallzahlen_Kanton_Glarus.xlsx"/>
  </r>
  <r>
    <x v="55"/>
    <x v="14"/>
    <x v="22"/>
    <m/>
    <n v="78"/>
    <n v="2"/>
    <m/>
    <m/>
    <n v="69"/>
    <n v="5"/>
    <s v="https://www.ur.ch/themen/2962"/>
  </r>
  <r>
    <x v="55"/>
    <x v="1"/>
    <x v="4"/>
    <m/>
    <n v="3254"/>
    <n v="121"/>
    <m/>
    <n v="43"/>
    <m/>
    <n v="107"/>
    <s v="https://gd.zh.ch/internet/gesundheitsdirektion/de/themen/coronavirus.html"/>
  </r>
  <r>
    <x v="55"/>
    <x v="34"/>
    <x v="10"/>
    <m/>
    <n v="1012"/>
    <n v="45"/>
    <n v="16"/>
    <n v="16"/>
    <n v="640"/>
    <n v="28"/>
    <s v="https://www.ag.ch/media/kanton_aargau/themen_1/coronavirus_1/lagebulletins/200420_KFS_Coronavirus_Lagebulletin_36.pdf"/>
  </r>
  <r>
    <x v="55"/>
    <x v="4"/>
    <x v="23"/>
    <m/>
    <n v="67"/>
    <n v="0"/>
    <m/>
    <m/>
    <m/>
    <n v="0"/>
    <s v="https://www.ow.ch/de/verwaltung/dienstleistungen/?dienst_id=5962"/>
  </r>
  <r>
    <x v="56"/>
    <x v="0"/>
    <x v="7"/>
    <m/>
    <n v="809"/>
    <n v="33"/>
    <n v="3"/>
    <n v="3"/>
    <n v="679"/>
    <n v="26"/>
    <s v="https://www.baselland.ch/politik-und-behorden/direktionen/volkswirtschafts-und-gesundheitsdirektion/amt-fur-gesundheit/medizinische-dienste/kantonsarztlicher-dienst/aktuelles/covid-19-faelle-kanton-basel-landschaft"/>
  </r>
  <r>
    <x v="56"/>
    <x v="0"/>
    <x v="2"/>
    <m/>
    <n v="81"/>
    <m/>
    <m/>
    <m/>
    <m/>
    <n v="1"/>
    <s v="https://www.regierung.li/media/attachments/207-corona-keine-neuen-Faelle-0421.pdf?t=637230900737305962"/>
  </r>
  <r>
    <x v="56"/>
    <x v="0"/>
    <x v="12"/>
    <m/>
    <n v="995"/>
    <n v="60"/>
    <n v="8"/>
    <m/>
    <n v="115"/>
    <n v="74"/>
    <s v="https://www.fr.ch/sites/default/files/2020-04/statistiques_situation_FR_2804.xlsx"/>
  </r>
  <r>
    <x v="56"/>
    <x v="0"/>
    <x v="0"/>
    <n v="22509"/>
    <n v="4670"/>
    <n v="304"/>
    <n v="32"/>
    <n v="29"/>
    <n v="581"/>
    <n v="222"/>
    <s v="https://www.ge.ch/document/covid-19-situation-epidemiologique-geneve/telecharger"/>
  </r>
  <r>
    <x v="56"/>
    <x v="0"/>
    <x v="26"/>
    <m/>
    <n v="787"/>
    <n v="27"/>
    <m/>
    <m/>
    <m/>
    <n v="43"/>
    <s v="https://www.gr.ch/DE/institutionen/verwaltung/djsg/ga/coronavirus/info/Seiten/Start.aspx"/>
  </r>
  <r>
    <x v="56"/>
    <x v="0"/>
    <x v="3"/>
    <m/>
    <n v="195"/>
    <n v="12"/>
    <n v="4"/>
    <m/>
    <m/>
    <n v="6"/>
    <s v="https://www.jura.ch/Htdocs/Files/v/34263.xlsx/Departements/CHA/SIC/Carrousel/Coronavirus/Cornavirus/Chiffres/donnees_27_04.xlsx?download=1"/>
  </r>
  <r>
    <x v="56"/>
    <x v="0"/>
    <x v="13"/>
    <m/>
    <n v="656"/>
    <n v="37"/>
    <n v="7"/>
    <n v="4"/>
    <m/>
    <n v="63"/>
    <s v="https://www.ne.ch/autorites/DFS/SCSP/medecin-cantonal/maladies-vaccinations/Documents/Covid-19-Statistiques/COVID19_PublicationInternet.xlsx"/>
  </r>
  <r>
    <x v="56"/>
    <x v="0"/>
    <x v="20"/>
    <m/>
    <n v="108"/>
    <n v="4"/>
    <n v="1"/>
    <m/>
    <m/>
    <n v="3"/>
    <s v="http://www.nw.ch/coronastatistik"/>
  </r>
  <r>
    <x v="56"/>
    <x v="0"/>
    <x v="14"/>
    <m/>
    <n v="718"/>
    <n v="48"/>
    <n v="8"/>
    <m/>
    <n v="159"/>
    <n v="29"/>
    <s v="https://www.sg.ch/tools/informationen-coronavirus.html"/>
  </r>
  <r>
    <x v="56"/>
    <x v="0"/>
    <x v="25"/>
    <m/>
    <n v="339"/>
    <n v="24"/>
    <n v="12"/>
    <m/>
    <m/>
    <n v="13"/>
    <s v="https://www.tg.ch/news/fachdossier-coronavirus.html/10552"/>
  </r>
  <r>
    <x v="56"/>
    <x v="0"/>
    <x v="8"/>
    <m/>
    <n v="5125"/>
    <n v="207"/>
    <n v="48"/>
    <m/>
    <m/>
    <n v="334"/>
    <s v="https://www.vd.ch/toutes-les-actualites/hotline-et-informations-sur-le-coronavirus/point-de-situation-statistique-dans-le-canton-de-vaud/"/>
  </r>
  <r>
    <x v="56"/>
    <x v="0"/>
    <x v="9"/>
    <m/>
    <n v="1798"/>
    <n v="72"/>
    <n v="14"/>
    <n v="11"/>
    <n v="210"/>
    <n v="115"/>
    <s v="https://www.vs.ch/documents/6756452/7008787/2020%2004%2027%20Sit%20Epid%20-%20%C3%89tat%20Stand"/>
  </r>
  <r>
    <x v="56"/>
    <x v="27"/>
    <x v="18"/>
    <m/>
    <n v="359"/>
    <n v="19"/>
    <m/>
    <m/>
    <m/>
    <n v="11"/>
    <s v="https://corona.so.ch/index.php?id=27979"/>
  </r>
  <r>
    <x v="56"/>
    <x v="5"/>
    <x v="6"/>
    <m/>
    <n v="1622"/>
    <n v="66"/>
    <n v="17"/>
    <n v="11"/>
    <m/>
    <n v="77"/>
    <s v="https://www.besondere-lage.sites.be.ch/besondere-lage_sites/de/index/corona/index.html"/>
  </r>
  <r>
    <x v="56"/>
    <x v="5"/>
    <x v="1"/>
    <m/>
    <n v="3065"/>
    <n v="236"/>
    <n v="54"/>
    <n v="36"/>
    <n v="639"/>
    <n v="291"/>
    <s v="https://www4.ti.ch/area-media/comunicati/dettaglio-comunicato/?NEWS_ID=187654&amp;tx_tichareamedia_comunicazioni%5Baction%5D=show&amp;tx_tichareamedia_comunicazioni%5Bcontroller%5D=Comunicazioni&amp;cHash=8ae7085e87cf92c2997d0e458baa17f9"/>
  </r>
  <r>
    <x v="56"/>
    <x v="5"/>
    <x v="11"/>
    <m/>
    <n v="176"/>
    <n v="9"/>
    <n v="4"/>
    <m/>
    <n v="99"/>
    <n v="8"/>
    <s v="https://www.zg.ch/behoerden/gesundheitsdirektion/statistikfachstelle/themen/gesundheit/corona"/>
  </r>
  <r>
    <x v="56"/>
    <x v="38"/>
    <x v="5"/>
    <m/>
    <n v="928"/>
    <n v="54"/>
    <n v="9"/>
    <m/>
    <n v="781"/>
    <n v="44"/>
    <s v="https://www.gd.bs.ch//nm/2020-tagesbulletin-coronavirus-933-bestaetigte-faelle-im-kanton-basel-stadt-gd-2.html"/>
  </r>
  <r>
    <x v="56"/>
    <x v="33"/>
    <x v="21"/>
    <m/>
    <n v="63"/>
    <n v="10"/>
    <n v="2"/>
    <m/>
    <m/>
    <n v="2"/>
    <s v="https://sh.ch/CMS/get/file/0779d9a8-e066-4335-95a4-8d2793d317c6"/>
  </r>
  <r>
    <x v="56"/>
    <x v="24"/>
    <x v="15"/>
    <m/>
    <n v="276"/>
    <m/>
    <m/>
    <m/>
    <n v="192"/>
    <n v="16"/>
    <s v="https://www.sz.ch/behoerden/information-medien/medienmitteilungen/coronavirus.html/72-416-412-1379-6948"/>
  </r>
  <r>
    <x v="56"/>
    <x v="22"/>
    <x v="24"/>
    <m/>
    <n v="24"/>
    <m/>
    <m/>
    <m/>
    <m/>
    <m/>
    <s v="https://www.ai.ch/themen/gesundheit-alter-und-soziales/gesundheitsfoerderung-und-praevention/uebertragbare-krankheiten/coronavirus"/>
  </r>
  <r>
    <x v="56"/>
    <x v="39"/>
    <x v="23"/>
    <m/>
    <n v="67"/>
    <n v="0"/>
    <m/>
    <m/>
    <m/>
    <n v="0"/>
    <s v="https://www.ow.ch/de/verwaltung/dienstleistungen/?dienst_id=5962"/>
  </r>
  <r>
    <x v="56"/>
    <x v="13"/>
    <x v="16"/>
    <m/>
    <n v="643"/>
    <n v="35"/>
    <n v="5"/>
    <m/>
    <m/>
    <n v="15"/>
    <s v="https://gesundheit.lu.ch/themen/Humanmedizin/Infektionskrankheiten/Coronavirus"/>
  </r>
  <r>
    <x v="56"/>
    <x v="17"/>
    <x v="17"/>
    <m/>
    <n v="86"/>
    <m/>
    <m/>
    <m/>
    <m/>
    <n v="3"/>
    <s v="https://www.ar.ch/verwaltung/departement-gesundheit-und-soziales/amt-fuer-gesundheit/informationsseite-coronavirus/"/>
  </r>
  <r>
    <x v="56"/>
    <x v="40"/>
    <x v="19"/>
    <m/>
    <n v="115"/>
    <n v="3"/>
    <m/>
    <m/>
    <m/>
    <n v="6"/>
    <s v="https://www.gl.ch/public/upload/assets/27574/COVID-19_Fallzahlen_Kanton_Glarus.xlsx"/>
  </r>
  <r>
    <x v="56"/>
    <x v="1"/>
    <x v="4"/>
    <m/>
    <n v="3280"/>
    <n v="110"/>
    <m/>
    <n v="41"/>
    <m/>
    <n v="109"/>
    <s v="https://gd.zh.ch/internet/gesundheitsdirektion/de/themen/coronavirus.html"/>
  </r>
  <r>
    <x v="56"/>
    <x v="34"/>
    <x v="10"/>
    <m/>
    <n v="1017"/>
    <n v="43"/>
    <n v="18"/>
    <n v="18"/>
    <n v="680"/>
    <n v="29"/>
    <s v="https://www.ag.ch/media/kanton_aargau/themen_1/coronavirus_1/lagebulletins/200421_KFS_Coronavirus_Lagebulletin_37.pdf"/>
  </r>
  <r>
    <x v="56"/>
    <x v="29"/>
    <x v="22"/>
    <m/>
    <n v="78"/>
    <n v="2"/>
    <m/>
    <m/>
    <n v="69"/>
    <n v="5"/>
    <s v="https://www.ur.ch/themen/2962"/>
  </r>
  <r>
    <x v="57"/>
    <x v="0"/>
    <x v="7"/>
    <m/>
    <n v="811"/>
    <n v="33"/>
    <n v="3"/>
    <n v="3"/>
    <n v="683"/>
    <n v="26"/>
    <s v="https://www.baselland.ch/politik-und-behorden/direktionen/volkswirtschafts-und-gesundheitsdirektion/amt-fur-gesundheit/medizinische-dienste/kantonsarztlicher-dienst/aktuelles/covid-19-faelle-kanton-basel-landschaft"/>
  </r>
  <r>
    <x v="57"/>
    <x v="0"/>
    <x v="2"/>
    <m/>
    <n v="81"/>
    <m/>
    <m/>
    <m/>
    <m/>
    <n v="1"/>
    <s v="https://www.regierung.li/de/mitteilungen/223419/?typ=news"/>
  </r>
  <r>
    <x v="57"/>
    <x v="0"/>
    <x v="12"/>
    <m/>
    <n v="1006"/>
    <n v="57"/>
    <n v="5"/>
    <m/>
    <n v="116"/>
    <n v="76"/>
    <s v="https://www.fr.ch/sites/default/files/2020-04/statistiques_situation_FR_2804.xlsx"/>
  </r>
  <r>
    <x v="57"/>
    <x v="0"/>
    <x v="0"/>
    <n v="22872"/>
    <n v="4691"/>
    <n v="288"/>
    <n v="30"/>
    <n v="27"/>
    <n v="589"/>
    <n v="227"/>
    <s v="https://www.ge.ch/document/covid-19-situation-epidemiologique-geneve/telecharger"/>
  </r>
  <r>
    <x v="57"/>
    <x v="0"/>
    <x v="26"/>
    <m/>
    <n v="791"/>
    <n v="26"/>
    <m/>
    <m/>
    <m/>
    <n v="43"/>
    <s v="https://www.gr.ch/DE/institutionen/verwaltung/djsg/ga/coronavirus/info/Seiten/Start.aspx"/>
  </r>
  <r>
    <x v="57"/>
    <x v="0"/>
    <x v="3"/>
    <m/>
    <n v="196"/>
    <n v="12"/>
    <n v="4"/>
    <m/>
    <m/>
    <n v="6"/>
    <s v="https://www.jura.ch/Htdocs/Files/v/34263.xlsx/Departements/CHA/SIC/Carrousel/Coronavirus/Cornavirus/Chiffres/donnees_27_04.xlsx?download=1"/>
  </r>
  <r>
    <x v="57"/>
    <x v="0"/>
    <x v="13"/>
    <m/>
    <n v="663"/>
    <n v="37"/>
    <n v="6"/>
    <n v="4"/>
    <m/>
    <n v="65"/>
    <s v="https://www.ne.ch/autorites/DFS/SCSP/medecin-cantonal/maladies-vaccinations/Documents/Covid-19-Statistiques/COVID19_PublicationInternet.xlsx"/>
  </r>
  <r>
    <x v="57"/>
    <x v="0"/>
    <x v="20"/>
    <m/>
    <n v="108"/>
    <n v="4"/>
    <n v="1"/>
    <m/>
    <m/>
    <n v="3"/>
    <s v="http://www.nw.ch/coronastatistik"/>
  </r>
  <r>
    <x v="57"/>
    <x v="0"/>
    <x v="14"/>
    <m/>
    <n v="724"/>
    <n v="52"/>
    <n v="6"/>
    <m/>
    <n v="162"/>
    <n v="29"/>
    <s v="https://www.sg.ch/tools/informationen-coronavirus.html"/>
  </r>
  <r>
    <x v="57"/>
    <x v="0"/>
    <x v="25"/>
    <m/>
    <n v="340"/>
    <n v="23"/>
    <n v="9"/>
    <m/>
    <m/>
    <n v="14"/>
    <s v="https://www.tg.ch/news/fachdossier-coronavirus.html/10552"/>
  </r>
  <r>
    <x v="57"/>
    <x v="0"/>
    <x v="8"/>
    <m/>
    <n v="5146"/>
    <n v="194"/>
    <n v="46"/>
    <m/>
    <m/>
    <n v="338"/>
    <s v="https://www.vd.ch/toutes-les-actualites/hotline-et-informations-sur-le-coronavirus/point-de-situation-statistique-dans-le-canton-de-vaud/"/>
  </r>
  <r>
    <x v="57"/>
    <x v="0"/>
    <x v="9"/>
    <m/>
    <n v="1804"/>
    <n v="73"/>
    <n v="13"/>
    <n v="11"/>
    <n v="210"/>
    <n v="118"/>
    <s v="https://www.vs.ch/documents/6756452/7008787/2020%2004%2027%20Sit%20Epid%20-%20%C3%89tat%20Stand"/>
  </r>
  <r>
    <x v="57"/>
    <x v="27"/>
    <x v="18"/>
    <m/>
    <n v="368"/>
    <n v="18"/>
    <m/>
    <m/>
    <m/>
    <n v="11"/>
    <s v="https://corona.so.ch/index.php?id=27979"/>
  </r>
  <r>
    <x v="57"/>
    <x v="5"/>
    <x v="6"/>
    <m/>
    <n v="1643"/>
    <n v="67"/>
    <n v="14"/>
    <n v="10"/>
    <m/>
    <n v="77"/>
    <s v="https://www.besondere-lage.sites.be.ch/besondere-lage_sites/de/index/corona/index.html"/>
  </r>
  <r>
    <x v="57"/>
    <x v="5"/>
    <x v="1"/>
    <m/>
    <n v="3089"/>
    <n v="213"/>
    <n v="42"/>
    <n v="32"/>
    <n v="661"/>
    <n v="295"/>
    <s v="https://www4.ti.ch/area-media/comunicati/dettaglio-comunicato/?NEWS_ID=187672&amp;cHash=73c20eed4b20c3cb714758f2678c3f15"/>
  </r>
  <r>
    <x v="57"/>
    <x v="5"/>
    <x v="11"/>
    <m/>
    <n v="176"/>
    <n v="6"/>
    <n v="3"/>
    <m/>
    <n v="131"/>
    <n v="8"/>
    <s v="https://www.zg.ch/behoerden/gesundheitsdirektion/statistikfachstelle/themen/gesundheit/corona"/>
  </r>
  <r>
    <x v="57"/>
    <x v="33"/>
    <x v="21"/>
    <m/>
    <n v="63"/>
    <n v="10"/>
    <n v="2"/>
    <m/>
    <m/>
    <n v="3"/>
    <s v="https://sh.ch/CMS/get/file/0779d9a8-e066-4335-95a4-8d2793d317c6"/>
  </r>
  <r>
    <x v="57"/>
    <x v="32"/>
    <x v="5"/>
    <m/>
    <n v="928"/>
    <n v="49"/>
    <n v="7"/>
    <m/>
    <n v="786"/>
    <n v="45"/>
    <s v="https://www.gd.bs.ch//nm/2020-tagesbulletin-coronavirus-933-bestaetigte-faelle-im-kanton-basel-stadt-gd-3.html"/>
  </r>
  <r>
    <x v="57"/>
    <x v="24"/>
    <x v="15"/>
    <m/>
    <n v="282"/>
    <m/>
    <m/>
    <m/>
    <n v="194"/>
    <n v="16"/>
    <s v="https://www.sz.ch/behoerden/information-medien/medienmitteilungen/coronavirus.html/72-416-412-1379-6948"/>
  </r>
  <r>
    <x v="57"/>
    <x v="22"/>
    <x v="24"/>
    <m/>
    <n v="24"/>
    <m/>
    <m/>
    <m/>
    <m/>
    <m/>
    <s v="https://www.ai.ch/themen/gesundheit-alter-und-soziales/gesundheitsfoerderung-und-praevention/uebertragbare-krankheiten/coronavirus"/>
  </r>
  <r>
    <x v="57"/>
    <x v="22"/>
    <x v="16"/>
    <m/>
    <n v="648"/>
    <m/>
    <m/>
    <m/>
    <m/>
    <n v="15"/>
    <s v="https://gesundheit.lu.ch/themen/Humanmedizin/Infektionskrankheiten/Coronavirus"/>
  </r>
  <r>
    <x v="57"/>
    <x v="40"/>
    <x v="19"/>
    <m/>
    <n v="117"/>
    <n v="3"/>
    <m/>
    <m/>
    <m/>
    <n v="6"/>
    <s v="https://www.gl.ch/public/upload/assets/27574/COVID-19_Fallzahlen_Kanton_Glarus.xlsx"/>
  </r>
  <r>
    <x v="57"/>
    <x v="1"/>
    <x v="4"/>
    <m/>
    <n v="3320"/>
    <n v="110"/>
    <m/>
    <n v="44"/>
    <m/>
    <n v="110"/>
    <s v="https://gd.zh.ch/internet/gesundheitsdirektion/de/themen/coronavirus.html"/>
  </r>
  <r>
    <x v="57"/>
    <x v="34"/>
    <x v="10"/>
    <m/>
    <n v="1026"/>
    <n v="37"/>
    <n v="15"/>
    <n v="15"/>
    <n v="710"/>
    <n v="31"/>
    <s v="https://www.ag.ch/media/kanton_aargau/themen_1/coronavirus_1/lagebulletins/200422_KFS_Coronavirus_Lagebulletin_38.pdf"/>
  </r>
  <r>
    <x v="57"/>
    <x v="4"/>
    <x v="22"/>
    <m/>
    <n v="78"/>
    <n v="3"/>
    <m/>
    <m/>
    <n v="69"/>
    <n v="5"/>
    <s v="https://www.ur.ch/themen/2962"/>
  </r>
  <r>
    <x v="57"/>
    <x v="20"/>
    <x v="23"/>
    <m/>
    <n v="67"/>
    <n v="0"/>
    <m/>
    <m/>
    <m/>
    <n v="0"/>
    <s v="https://www.ow.ch/de/verwaltung/dienstleistungen/?dienst_id=5962"/>
  </r>
  <r>
    <x v="57"/>
    <x v="9"/>
    <x v="17"/>
    <m/>
    <n v="87"/>
    <m/>
    <m/>
    <m/>
    <m/>
    <n v="3"/>
    <s v="https://www.ar.ch/verwaltung/departement-gesundheit-und-soziales/amt-fuer-gesundheit/informationsseite-coronavirus/"/>
  </r>
  <r>
    <x v="58"/>
    <x v="0"/>
    <x v="7"/>
    <m/>
    <n v="811"/>
    <n v="32"/>
    <n v="3"/>
    <n v="2"/>
    <n v="692"/>
    <n v="26"/>
    <s v="https://www.baselland.ch/politik-und-behorden/direktionen/volkswirtschafts-und-gesundheitsdirektion/amt-fur-gesundheit/medizinische-dienste/kantonsarztlicher-dienst/aktuelles/covid-19-faelle-kanton-basel-landschaft"/>
  </r>
  <r>
    <x v="58"/>
    <x v="0"/>
    <x v="2"/>
    <m/>
    <n v="81"/>
    <m/>
    <m/>
    <m/>
    <m/>
    <n v="1"/>
    <s v="https://www.regierung.li/de/mitteilungen/223424/?typ=news"/>
  </r>
  <r>
    <x v="58"/>
    <x v="0"/>
    <x v="12"/>
    <m/>
    <n v="1014"/>
    <n v="57"/>
    <n v="5"/>
    <m/>
    <n v="118"/>
    <n v="76"/>
    <s v="https://www.fr.ch/sites/default/files/2020-04/statistiques_situation_FR_2804.xlsx"/>
  </r>
  <r>
    <x v="58"/>
    <x v="0"/>
    <x v="0"/>
    <n v="23330"/>
    <n v="4721"/>
    <n v="284"/>
    <n v="29"/>
    <n v="27"/>
    <n v="592"/>
    <n v="231"/>
    <s v="https://www.ge.ch/document/covid-19-situation-epidemiologique-geneve/telecharger"/>
  </r>
  <r>
    <x v="58"/>
    <x v="0"/>
    <x v="26"/>
    <m/>
    <n v="794"/>
    <n v="26"/>
    <m/>
    <m/>
    <m/>
    <n v="43"/>
    <s v="https://www.gr.ch/DE/institutionen/verwaltung/djsg/ga/coronavirus/info/Seiten/Start.aspx"/>
  </r>
  <r>
    <x v="58"/>
    <x v="0"/>
    <x v="3"/>
    <m/>
    <n v="196"/>
    <n v="11"/>
    <n v="4"/>
    <m/>
    <m/>
    <n v="6"/>
    <s v="https://www.jura.ch/Htdocs/Files/v/34263.xlsx/Departements/CHA/SIC/Carrousel/Coronavirus/Cornavirus/Chiffres/donnees_27_04.xlsx?download=1"/>
  </r>
  <r>
    <x v="58"/>
    <x v="0"/>
    <x v="13"/>
    <m/>
    <n v="670"/>
    <n v="35"/>
    <n v="6"/>
    <n v="4"/>
    <m/>
    <m/>
    <s v="https://www.ne.ch/autorites/DFS/SCSP/medecin-cantonal/maladies-vaccinations/Documents/Covid-19-Statistiques/COVID19_PublicationInternet.xlsx"/>
  </r>
  <r>
    <x v="58"/>
    <x v="0"/>
    <x v="20"/>
    <m/>
    <n v="108"/>
    <n v="4"/>
    <n v="1"/>
    <m/>
    <m/>
    <n v="3"/>
    <s v="http://www.nw.ch/coronastatistik"/>
  </r>
  <r>
    <x v="58"/>
    <x v="0"/>
    <x v="14"/>
    <m/>
    <n v="736"/>
    <n v="37"/>
    <n v="2"/>
    <m/>
    <n v="170"/>
    <n v="31"/>
    <s v="https://www.sg.ch/tools/informationen-coronavirus.html"/>
  </r>
  <r>
    <x v="58"/>
    <x v="0"/>
    <x v="25"/>
    <m/>
    <n v="353"/>
    <n v="21"/>
    <n v="9"/>
    <m/>
    <m/>
    <n v="14"/>
    <s v="https://www.tg.ch/news/fachdossier-coronavirus.html/10552"/>
  </r>
  <r>
    <x v="58"/>
    <x v="0"/>
    <x v="8"/>
    <m/>
    <n v="5180"/>
    <n v="195"/>
    <n v="44"/>
    <m/>
    <m/>
    <n v="347"/>
    <s v="https://www.vd.ch/toutes-les-actualites/hotline-et-informations-sur-le-coronavirus/point-de-situation-statistique-dans-le-canton-de-vaud/"/>
  </r>
  <r>
    <x v="58"/>
    <x v="0"/>
    <x v="9"/>
    <m/>
    <n v="1820"/>
    <n v="69"/>
    <n v="13"/>
    <n v="10"/>
    <n v="211"/>
    <n v="123"/>
    <s v="https://www.vs.ch/documents/6756452/7008787/2020%2004%2027%20Sit%20Epid%20-%20%C3%89tat%20Stand"/>
  </r>
  <r>
    <x v="58"/>
    <x v="27"/>
    <x v="18"/>
    <m/>
    <n v="375"/>
    <n v="15"/>
    <m/>
    <m/>
    <m/>
    <n v="12"/>
    <s v="https://corona.so.ch/index.php?id=27979"/>
  </r>
  <r>
    <x v="58"/>
    <x v="5"/>
    <x v="6"/>
    <m/>
    <n v="1670"/>
    <n v="66"/>
    <n v="11"/>
    <n v="7"/>
    <m/>
    <n v="79"/>
    <s v="https://www.besondere-lage.sites.be.ch/besondere-lage_sites/de/index/corona/index.html"/>
  </r>
  <r>
    <x v="58"/>
    <x v="5"/>
    <x v="1"/>
    <m/>
    <n v="3106"/>
    <n v="215"/>
    <n v="41"/>
    <n v="32"/>
    <n v="676"/>
    <n v="298"/>
    <s v="https://www4.ti.ch/area-media/comunicati/dettaglio-comunicato/?NEWS_ID=187678&amp;tx_tichareamedia_comunicazioni%5Baction%5D=show&amp;tx_tichareamedia_comunicazioni%5Bcontroller%5D=Comunicazioni&amp;cHash=c546dd2da307919487d6578b8c7353cd"/>
  </r>
  <r>
    <x v="58"/>
    <x v="5"/>
    <x v="11"/>
    <m/>
    <n v="178"/>
    <n v="6"/>
    <n v="3"/>
    <m/>
    <n v="133"/>
    <n v="8"/>
    <s v="https://www.zg.ch/behoerden/gesundheitsdirektion/statistikfachstelle/themen/gesundheit/corona"/>
  </r>
  <r>
    <x v="58"/>
    <x v="28"/>
    <x v="5"/>
    <m/>
    <n v="931"/>
    <n v="42"/>
    <n v="7"/>
    <m/>
    <n v="793"/>
    <n v="45"/>
    <s v="https://www.gd.bs.ch//nm/2020-tagesbulletin-coronavirus-931-bestaetigte-faelle-im-kanton-basel-stadt-gd.html"/>
  </r>
  <r>
    <x v="58"/>
    <x v="33"/>
    <x v="21"/>
    <m/>
    <n v="65"/>
    <n v="8"/>
    <n v="2"/>
    <m/>
    <m/>
    <n v="3"/>
    <s v="https://sh.ch/CMS/get/file/0779d9a8-e066-4335-95a4-8d2793d317c6"/>
  </r>
  <r>
    <x v="58"/>
    <x v="24"/>
    <x v="15"/>
    <m/>
    <n v="282"/>
    <m/>
    <m/>
    <m/>
    <n v="198"/>
    <n v="16"/>
    <s v="https://www.sz.ch/behoerden/information-medien/medienmitteilungen/coronavirus.html/72-416-412-1379-6948"/>
  </r>
  <r>
    <x v="58"/>
    <x v="22"/>
    <x v="24"/>
    <m/>
    <n v="25"/>
    <m/>
    <m/>
    <m/>
    <m/>
    <m/>
    <s v="https://www.ai.ch/themen/gesundheit-alter-und-soziales/gesundheitsfoerderung-und-praevention/uebertragbare-krankheiten/coronavirus"/>
  </r>
  <r>
    <x v="58"/>
    <x v="22"/>
    <x v="16"/>
    <m/>
    <n v="654"/>
    <n v="38"/>
    <n v="7"/>
    <m/>
    <m/>
    <n v="15"/>
    <s v="https://gesundheit.lu.ch/themen/Humanmedizin/Infektionskrankheiten/Coronavirus"/>
  </r>
  <r>
    <x v="58"/>
    <x v="17"/>
    <x v="23"/>
    <m/>
    <n v="68"/>
    <n v="0"/>
    <m/>
    <m/>
    <m/>
    <n v="0"/>
    <s v="https://www.ow.ch/de/verwaltung/dienstleistungen/?dienst_id=5962"/>
  </r>
  <r>
    <x v="58"/>
    <x v="40"/>
    <x v="19"/>
    <m/>
    <n v="117"/>
    <n v="3"/>
    <m/>
    <m/>
    <m/>
    <n v="6"/>
    <s v="https://www.gl.ch/public/upload/assets/27574/COVID-19_Fallzahlen_Kanton_Glarus.xlsx"/>
  </r>
  <r>
    <x v="58"/>
    <x v="14"/>
    <x v="17"/>
    <m/>
    <n v="88"/>
    <n v="5"/>
    <n v="2"/>
    <m/>
    <m/>
    <n v="3"/>
    <s v="https://www.ar.ch/verwaltung/departement-gesundheit-und-soziales/amt-fuer-gesundheit/informationsseite-coronavirus/"/>
  </r>
  <r>
    <x v="58"/>
    <x v="1"/>
    <x v="4"/>
    <m/>
    <n v="3337"/>
    <n v="96"/>
    <m/>
    <n v="44"/>
    <m/>
    <n v="113"/>
    <s v="https://gd.zh.ch/internet/gesundheitsdirektion/de/themen/coronavirus.html"/>
  </r>
  <r>
    <x v="58"/>
    <x v="34"/>
    <x v="10"/>
    <m/>
    <n v="1037"/>
    <n v="35"/>
    <n v="14"/>
    <n v="14"/>
    <n v="750"/>
    <n v="31"/>
    <s v="https://www.ag.ch/media/kanton_aargau/themen_1/coronavirus_1/lagebulletins/200423_KFS_Coronavirus_Lagebulletin_39.pdf"/>
  </r>
  <r>
    <x v="58"/>
    <x v="4"/>
    <x v="22"/>
    <m/>
    <n v="78"/>
    <n v="4"/>
    <m/>
    <m/>
    <n v="69"/>
    <n v="5"/>
    <s v="https://www.ur.ch/themen/2962"/>
  </r>
  <r>
    <x v="59"/>
    <x v="0"/>
    <x v="7"/>
    <m/>
    <n v="813"/>
    <n v="24"/>
    <n v="2"/>
    <n v="1"/>
    <n v="698"/>
    <n v="30"/>
    <s v="https://www.baselland.ch/politik-und-behorden/direktionen/volkswirtschafts-und-gesundheitsdirektion/amt-fur-gesundheit/medizinische-dienste/kantonsarztlicher-dienst/aktuelles/covid-19-faelle-kanton-basel-landschaft"/>
  </r>
  <r>
    <x v="59"/>
    <x v="0"/>
    <x v="2"/>
    <m/>
    <n v="82"/>
    <m/>
    <m/>
    <m/>
    <m/>
    <n v="1"/>
    <s v="https://www.regierung.li/media/attachments/212-corona-massnahmen-und-wirtschaft.pdf?t=637233485133850178"/>
  </r>
  <r>
    <x v="59"/>
    <x v="0"/>
    <x v="12"/>
    <m/>
    <n v="1021"/>
    <n v="55"/>
    <n v="8"/>
    <m/>
    <n v="119"/>
    <n v="76"/>
    <s v="https://www.fr.ch/sites/default/files/2020-04/statistiques_situation_FR_2804.xlsx"/>
  </r>
  <r>
    <x v="59"/>
    <x v="0"/>
    <x v="0"/>
    <n v="23694"/>
    <n v="4741"/>
    <n v="278"/>
    <n v="26"/>
    <n v="25"/>
    <n v="600"/>
    <n v="236"/>
    <s v="https://www.ge.ch/document/covid-19-situation-epidemiologique-geneve/telecharger"/>
  </r>
  <r>
    <x v="59"/>
    <x v="0"/>
    <x v="26"/>
    <m/>
    <n v="799"/>
    <n v="29"/>
    <m/>
    <m/>
    <m/>
    <n v="44"/>
    <s v="https://www.gr.ch/DE/institutionen/verwaltung/djsg/ga/coronavirus/info/Seiten/Start.aspx"/>
  </r>
  <r>
    <x v="59"/>
    <x v="0"/>
    <x v="3"/>
    <m/>
    <n v="196"/>
    <n v="11"/>
    <n v="4"/>
    <m/>
    <m/>
    <n v="6"/>
    <s v="https://www.jura.ch/Htdocs/Files/v/34263.xlsx/Departements/CHA/SIC/Carrousel/Coronavirus/Cornavirus/Chiffres/donnees_27_04.xlsx?download=1"/>
  </r>
  <r>
    <x v="59"/>
    <x v="0"/>
    <x v="13"/>
    <m/>
    <n v="673"/>
    <n v="36"/>
    <n v="6"/>
    <n v="4"/>
    <m/>
    <m/>
    <s v="https://www.ne.ch/autorites/DFS/SCSP/medecin-cantonal/maladies-vaccinations/Documents/Covid-19-Statistiques/COVID19_PublicationInternet.xlsx"/>
  </r>
  <r>
    <x v="59"/>
    <x v="0"/>
    <x v="20"/>
    <m/>
    <n v="108"/>
    <n v="3"/>
    <n v="0"/>
    <m/>
    <m/>
    <n v="3"/>
    <s v="http://www.nw.ch/coronastatistik"/>
  </r>
  <r>
    <x v="59"/>
    <x v="0"/>
    <x v="14"/>
    <m/>
    <n v="745"/>
    <n v="43"/>
    <n v="4"/>
    <m/>
    <n v="175"/>
    <n v="31"/>
    <s v="https://www.sg.ch/tools/informationen-coronavirus.html"/>
  </r>
  <r>
    <x v="59"/>
    <x v="0"/>
    <x v="25"/>
    <m/>
    <n v="358"/>
    <n v="21"/>
    <n v="9"/>
    <m/>
    <m/>
    <n v="14"/>
    <s v="https://www.tg.ch/news/fachdossier-coronavirus.html/10552"/>
  </r>
  <r>
    <x v="59"/>
    <x v="0"/>
    <x v="8"/>
    <m/>
    <n v="5201"/>
    <n v="181"/>
    <n v="39"/>
    <m/>
    <m/>
    <n v="349"/>
    <s v="https://www.vd.ch/toutes-les-actualites/hotline-et-informations-sur-le-coronavirus/point-de-situation-statistique-dans-le-canton-de-vaud/"/>
  </r>
  <r>
    <x v="59"/>
    <x v="0"/>
    <x v="9"/>
    <m/>
    <n v="1829"/>
    <n v="67"/>
    <n v="14"/>
    <n v="10"/>
    <n v="218"/>
    <n v="127"/>
    <s v="https://www.vs.ch/documents/6756452/7008787/2020%2004%2027%20Sit%20Epid%20-%20%C3%89tat%20Stand"/>
  </r>
  <r>
    <x v="59"/>
    <x v="27"/>
    <x v="18"/>
    <m/>
    <n v="376"/>
    <n v="15"/>
    <m/>
    <m/>
    <m/>
    <n v="14"/>
    <s v="https://corona.so.ch/index.php?id=27979"/>
  </r>
  <r>
    <x v="59"/>
    <x v="5"/>
    <x v="6"/>
    <m/>
    <n v="1694"/>
    <n v="60"/>
    <n v="11"/>
    <n v="8"/>
    <m/>
    <n v="82"/>
    <s v="https://www.besondere-lage.sites.be.ch/besondere-lage_sites/de/index/corona/index.html"/>
  </r>
  <r>
    <x v="59"/>
    <x v="5"/>
    <x v="1"/>
    <m/>
    <n v="3121"/>
    <n v="214"/>
    <n v="42"/>
    <n v="33"/>
    <n v="682"/>
    <n v="299"/>
    <s v="https://www4.ti.ch/area-media/comunicati/dettaglio-comunicato/?NEWS_ID=187683&amp;tx_tichareamedia_comunicazioni%5Baction%5D=show&amp;tx_tichareamedia_comunicazioni%5Bcontroller%5D=Comunicazioni&amp;cHash=96a9e3da92c22f69b3a6ed9000584d1b"/>
  </r>
  <r>
    <x v="59"/>
    <x v="5"/>
    <x v="11"/>
    <m/>
    <n v="180"/>
    <n v="6"/>
    <n v="3"/>
    <m/>
    <n v="133"/>
    <n v="8"/>
    <s v="https://www.zg.ch/behoerden/gesundheitsdirektion/statistikfachstelle/themen/gesundheit/corona"/>
  </r>
  <r>
    <x v="59"/>
    <x v="38"/>
    <x v="5"/>
    <m/>
    <n v="936"/>
    <n v="40"/>
    <n v="7"/>
    <m/>
    <n v="800"/>
    <n v="46"/>
    <s v="https://www.gd.bs.ch//nm/2020-tagesbulletin-coronavirus-936-bestaetigte-faelle-im-kanton-basel-stadt-gd.html"/>
  </r>
  <r>
    <x v="59"/>
    <x v="33"/>
    <x v="17"/>
    <m/>
    <n v="88"/>
    <n v="4"/>
    <n v="2"/>
    <m/>
    <m/>
    <n v="3"/>
    <s v="https://www.ar.ch/verwaltung/departement-gesundheit-und-soziales/amt-fuer-gesundheit/informationsseite-coronavirus/"/>
  </r>
  <r>
    <x v="59"/>
    <x v="33"/>
    <x v="21"/>
    <m/>
    <n v="70"/>
    <n v="4"/>
    <n v="1"/>
    <m/>
    <m/>
    <n v="3"/>
    <s v="https://sh.ch/CMS/get/file/0779d9a8-e066-4335-95a4-8d2793d317c6"/>
  </r>
  <r>
    <x v="59"/>
    <x v="24"/>
    <x v="15"/>
    <m/>
    <n v="284"/>
    <m/>
    <m/>
    <m/>
    <n v="206"/>
    <n v="16"/>
    <s v="https://www.sz.ch/behoerden/information-medien/medienmitteilungen/coronavirus.html/72-416-412-1379-6948"/>
  </r>
  <r>
    <x v="59"/>
    <x v="22"/>
    <x v="24"/>
    <m/>
    <n v="25"/>
    <m/>
    <m/>
    <m/>
    <m/>
    <m/>
    <s v="https://www.ai.ch/themen/gesundheit-alter-und-soziales/gesundheitsfoerderung-und-praevention/uebertragbare-krankheiten/coronavirus"/>
  </r>
  <r>
    <x v="59"/>
    <x v="22"/>
    <x v="16"/>
    <m/>
    <n v="660"/>
    <m/>
    <m/>
    <m/>
    <m/>
    <n v="16"/>
    <s v="https://gesundheit.lu.ch/themen/Humanmedizin/Infektionskrankheiten/Coronavirus"/>
  </r>
  <r>
    <x v="59"/>
    <x v="17"/>
    <x v="19"/>
    <m/>
    <n v="117"/>
    <n v="3"/>
    <m/>
    <m/>
    <m/>
    <n v="7"/>
    <s v="https://www.gl.ch/public/upload/assets/27574/COVID-19_Fallzahlen_Kanton_Glarus.xlsx"/>
  </r>
  <r>
    <x v="59"/>
    <x v="14"/>
    <x v="22"/>
    <m/>
    <n v="78"/>
    <n v="3"/>
    <m/>
    <m/>
    <n v="69"/>
    <n v="5"/>
    <s v="https://www.ur.ch/themen/2962"/>
  </r>
  <r>
    <x v="59"/>
    <x v="1"/>
    <x v="4"/>
    <m/>
    <n v="3366"/>
    <n v="83"/>
    <m/>
    <n v="42"/>
    <m/>
    <n v="114"/>
    <s v="https://gd.zh.ch/internet/gesundheitsdirektion/de/themen/coronavirus.html"/>
  </r>
  <r>
    <x v="59"/>
    <x v="34"/>
    <x v="10"/>
    <m/>
    <n v="1052"/>
    <n v="40"/>
    <n v="14"/>
    <n v="14"/>
    <n v="780"/>
    <n v="31"/>
    <s v="https://www.ag.ch/media/kanton_aargau/themen_1/coronavirus_1/lagebulletins/200424_KFS_Coronavirus_Lagebulletin_40.pdf"/>
  </r>
  <r>
    <x v="59"/>
    <x v="29"/>
    <x v="23"/>
    <m/>
    <n v="71"/>
    <n v="0"/>
    <m/>
    <m/>
    <m/>
    <n v="0"/>
    <s v="https://www.ow.ch/de/verwaltung/dienstleistungen/?dienst_id=5962"/>
  </r>
  <r>
    <x v="60"/>
    <x v="0"/>
    <x v="7"/>
    <m/>
    <n v="816"/>
    <n v="27"/>
    <n v="1"/>
    <n v="0"/>
    <n v="710"/>
    <n v="30"/>
    <s v="https://www.baselland.ch/politik-und-behorden/direktionen/volkswirtschafts-und-gesundheitsdirektion/amt-fur-gesundheit/medizinische-dienste/kantonsarztlicher-dienst/aktuelles/covid-19-faelle-kanton-basel-landschaft"/>
  </r>
  <r>
    <x v="60"/>
    <x v="0"/>
    <x v="2"/>
    <m/>
    <n v="82"/>
    <m/>
    <m/>
    <m/>
    <m/>
    <n v="1"/>
    <s v="https://www.regierung.li/de/mitteilungen/223427/?typ=news"/>
  </r>
  <r>
    <x v="60"/>
    <x v="0"/>
    <x v="12"/>
    <m/>
    <n v="1029"/>
    <n v="54"/>
    <n v="7"/>
    <m/>
    <n v="119"/>
    <n v="76"/>
    <s v="https://www.fr.ch/sites/default/files/2020-04/statistiques_situation_FR_2804.xlsx"/>
  </r>
  <r>
    <x v="60"/>
    <x v="0"/>
    <x v="0"/>
    <n v="24058"/>
    <n v="4754"/>
    <n v="271"/>
    <n v="27"/>
    <n v="26"/>
    <m/>
    <n v="237"/>
    <s v="https://www.ge.ch/document/covid-19-situation-epidemiologique-geneve/telecharger"/>
  </r>
  <r>
    <x v="60"/>
    <x v="0"/>
    <x v="26"/>
    <m/>
    <n v="800"/>
    <n v="28"/>
    <m/>
    <m/>
    <m/>
    <n v="44"/>
    <s v="https://www.gr.ch/DE/institutionen/verwaltung/djsg/ga/coronavirus/info/Seiten/Start.aspx"/>
  </r>
  <r>
    <x v="60"/>
    <x v="0"/>
    <x v="3"/>
    <m/>
    <n v="196"/>
    <n v="11"/>
    <n v="4"/>
    <m/>
    <m/>
    <n v="6"/>
    <s v="https://www.jura.ch/Htdocs/Files/v/34263.xlsx/Departements/CHA/SIC/Carrousel/Coronavirus/Cornavirus/Chiffres/donnees_27_04.xlsx?download=1"/>
  </r>
  <r>
    <x v="60"/>
    <x v="0"/>
    <x v="13"/>
    <m/>
    <n v="674"/>
    <n v="35"/>
    <n v="4"/>
    <n v="3"/>
    <m/>
    <m/>
    <s v="https://www.ne.ch/autorites/DFS/SCSP/medecin-cantonal/maladies-vaccinations/Documents/Covid-19-Statistiques/COVID19_PublicationInternet.xlsx"/>
  </r>
  <r>
    <x v="60"/>
    <x v="0"/>
    <x v="20"/>
    <m/>
    <n v="108"/>
    <n v="3"/>
    <n v="0"/>
    <m/>
    <m/>
    <n v="3"/>
    <s v="http://www.nw.ch/coronastatistik"/>
  </r>
  <r>
    <x v="60"/>
    <x v="0"/>
    <x v="14"/>
    <m/>
    <n v="753"/>
    <m/>
    <m/>
    <m/>
    <m/>
    <n v="31"/>
    <s v="https://www.sg.ch/tools/informationen-coronavirus.html"/>
  </r>
  <r>
    <x v="60"/>
    <x v="0"/>
    <x v="25"/>
    <m/>
    <n v="359"/>
    <n v="23"/>
    <n v="8"/>
    <m/>
    <m/>
    <n v="14"/>
    <s v="https://www.tg.ch/news/fachdossier-coronavirus.html/10552"/>
  </r>
  <r>
    <x v="60"/>
    <x v="0"/>
    <x v="8"/>
    <m/>
    <n v="5212"/>
    <n v="185"/>
    <n v="39"/>
    <m/>
    <m/>
    <n v="354"/>
    <s v="https://www.vd.ch/toutes-les-actualites/hotline-et-informations-sur-le-coronavirus/point-de-situation-statistique-dans-le-canton-de-vaud/"/>
  </r>
  <r>
    <x v="60"/>
    <x v="0"/>
    <x v="9"/>
    <m/>
    <n v="1834"/>
    <n v="69"/>
    <n v="14"/>
    <n v="10"/>
    <n v="218"/>
    <n v="129"/>
    <s v="https://www.vs.ch/documents/6756452/7008787/2020%2004%2027%20Sit%20Epid%20-%20%C3%89tat%20Stand"/>
  </r>
  <r>
    <x v="60"/>
    <x v="27"/>
    <x v="18"/>
    <m/>
    <n v="379"/>
    <n v="13"/>
    <m/>
    <m/>
    <m/>
    <n v="14"/>
    <s v="https://corona.so.ch/index.php?id=27979"/>
  </r>
  <r>
    <x v="60"/>
    <x v="41"/>
    <x v="15"/>
    <m/>
    <n v="287"/>
    <m/>
    <m/>
    <m/>
    <n v="215"/>
    <n v="17"/>
    <s v="https://www.sz.ch/behoerden/information-medien/medienmitteilungen/coronavirus.html/72-416-412-1379-6948"/>
  </r>
  <r>
    <x v="60"/>
    <x v="5"/>
    <x v="6"/>
    <m/>
    <n v="1708"/>
    <n v="61"/>
    <n v="11"/>
    <n v="10"/>
    <m/>
    <n v="83"/>
    <s v="https://www.besondere-lage.sites.be.ch/besondere-lage_sites/de/index/corona/index.html"/>
  </r>
  <r>
    <x v="60"/>
    <x v="5"/>
    <x v="1"/>
    <m/>
    <n v="3142"/>
    <n v="198"/>
    <n v="40"/>
    <n v="30"/>
    <n v="698"/>
    <n v="304"/>
    <s v="https://www4.ti.ch/area-media/comunicati/dettaglio-comunicato/?NEWS_ID=187687&amp;tx_tichareamedia_comunicazioni%5Baction%5D=show&amp;tx_tichareamedia_comunicazioni%5Bcontroller%5D=Comunicazioni&amp;cHash=4113a890fda2606d774861e2b936b052"/>
  </r>
  <r>
    <x v="60"/>
    <x v="5"/>
    <x v="11"/>
    <m/>
    <n v="181"/>
    <n v="6"/>
    <n v="3"/>
    <m/>
    <n v="133"/>
    <n v="8"/>
    <s v="https://www.zg.ch/behoerden/gesundheitsdirektion/statistikfachstelle/themen/gesundheit/corona"/>
  </r>
  <r>
    <x v="60"/>
    <x v="33"/>
    <x v="5"/>
    <m/>
    <n v="938"/>
    <m/>
    <m/>
    <m/>
    <m/>
    <n v="46"/>
    <s v="https://www.gd.bs.ch//nm/2020-tagesbulletin-coronavirus-941-bestaetigte-faelle-im-kanton-basel-stadt-gd.html"/>
  </r>
  <r>
    <x v="60"/>
    <x v="33"/>
    <x v="21"/>
    <m/>
    <n v="71"/>
    <n v="6"/>
    <n v="1"/>
    <m/>
    <m/>
    <n v="5"/>
    <s v="https://sh.ch/CMS/get/file/0779d9a8-e066-4335-95a4-8d2793d317c6"/>
  </r>
  <r>
    <x v="60"/>
    <x v="22"/>
    <x v="24"/>
    <m/>
    <n v="25"/>
    <m/>
    <m/>
    <m/>
    <m/>
    <m/>
    <s v="https://www.ai.ch/themen/gesundheit-alter-und-soziales/gesundheitsfoerderung-und-praevention/uebertragbare-krankheiten/coronavirus"/>
  </r>
  <r>
    <x v="60"/>
    <x v="13"/>
    <x v="16"/>
    <m/>
    <n v="667"/>
    <n v="32"/>
    <n v="8"/>
    <m/>
    <m/>
    <n v="16"/>
    <s v="https://gesundheit.lu.ch/themen/Humanmedizin/Infektionskrankheiten/Coronavirus"/>
  </r>
  <r>
    <x v="60"/>
    <x v="13"/>
    <x v="22"/>
    <m/>
    <n v="78"/>
    <n v="3"/>
    <m/>
    <m/>
    <n v="69"/>
    <n v="5"/>
    <s v="https://www.ur.ch/themen/2962"/>
  </r>
  <r>
    <x v="60"/>
    <x v="17"/>
    <x v="19"/>
    <m/>
    <n v="120"/>
    <n v="3"/>
    <m/>
    <m/>
    <m/>
    <n v="7"/>
    <s v="https://www.gl.ch/public/upload/assets/27574/COVID-19_Fallzahlen_Kanton_Glarus.xlsx"/>
  </r>
  <r>
    <x v="60"/>
    <x v="1"/>
    <x v="4"/>
    <m/>
    <n v="3397"/>
    <n v="77"/>
    <m/>
    <n v="38"/>
    <m/>
    <n v="115"/>
    <s v="https://gd.zh.ch/internet/gesundheitsdirektion/de/themen/coronavirus.html"/>
  </r>
  <r>
    <x v="61"/>
    <x v="0"/>
    <x v="7"/>
    <m/>
    <n v="816"/>
    <n v="27"/>
    <n v="0"/>
    <n v="0"/>
    <n v="724"/>
    <n v="30"/>
    <s v="https://www.baselland.ch/politik-und-behorden/direktionen/volkswirtschafts-und-gesundheitsdirektion/amt-fur-gesundheit/medizinische-dienste/kantonsarztlicher-dienst/aktuelles/covid-19-faelle-kanton-basel-landschaft"/>
  </r>
  <r>
    <x v="61"/>
    <x v="0"/>
    <x v="2"/>
    <m/>
    <n v="82"/>
    <m/>
    <m/>
    <m/>
    <m/>
    <n v="1"/>
    <s v="https://www.regierung.li/de/mitteilungen/223428/?typ=news"/>
  </r>
  <r>
    <x v="61"/>
    <x v="0"/>
    <x v="12"/>
    <m/>
    <n v="1033"/>
    <n v="54"/>
    <n v="5"/>
    <m/>
    <n v="120"/>
    <n v="77"/>
    <s v="https://www.fr.ch/sites/default/files/2020-04/statistiques_situation_FR_2804.xlsx"/>
  </r>
  <r>
    <x v="61"/>
    <x v="0"/>
    <x v="0"/>
    <n v="24255"/>
    <n v="4760"/>
    <n v="271"/>
    <n v="25"/>
    <n v="24"/>
    <n v="610"/>
    <n v="239"/>
    <s v="https://www.ge.ch/document/covid-19-situation-epidemiologique-geneve/telecharger"/>
  </r>
  <r>
    <x v="61"/>
    <x v="0"/>
    <x v="26"/>
    <m/>
    <n v="802"/>
    <n v="28"/>
    <m/>
    <m/>
    <m/>
    <n v="44"/>
    <s v="https://www.gr.ch/DE/institutionen/verwaltung/djsg/ga/coronavirus/info/Seiten/Start.aspx"/>
  </r>
  <r>
    <x v="61"/>
    <x v="0"/>
    <x v="3"/>
    <m/>
    <n v="196"/>
    <n v="11"/>
    <n v="4"/>
    <m/>
    <m/>
    <n v="6"/>
    <s v="https://www.jura.ch/Htdocs/Files/v/34263.xlsx/Departements/CHA/SIC/Carrousel/Coronavirus/Cornavirus/Chiffres/donnees_27_04.xlsx?download=1"/>
  </r>
  <r>
    <x v="61"/>
    <x v="0"/>
    <x v="13"/>
    <m/>
    <m/>
    <n v="32"/>
    <n v="3"/>
    <n v="3"/>
    <m/>
    <m/>
    <s v="https://www.ne.ch/autorites/DFS/SCSP/medecin-cantonal/maladies-vaccinations/Documents/Covid-19-Statistiques/COVID19_PublicationInternet.xlsx"/>
  </r>
  <r>
    <x v="61"/>
    <x v="0"/>
    <x v="20"/>
    <m/>
    <n v="110"/>
    <n v="3"/>
    <n v="0"/>
    <m/>
    <m/>
    <n v="3"/>
    <s v="http://www.nw.ch/coronastatistik"/>
  </r>
  <r>
    <x v="61"/>
    <x v="0"/>
    <x v="14"/>
    <m/>
    <n v="761"/>
    <n v="38"/>
    <n v="4"/>
    <m/>
    <n v="176"/>
    <n v="31"/>
    <s v="https://www.sg.ch/tools/informationen-coronavirus.html"/>
  </r>
  <r>
    <x v="61"/>
    <x v="0"/>
    <x v="25"/>
    <m/>
    <n v="360"/>
    <n v="21"/>
    <n v="8"/>
    <m/>
    <m/>
    <n v="16"/>
    <s v="https://www.tg.ch/news/fachdossier-coronavirus.html/10552"/>
  </r>
  <r>
    <x v="61"/>
    <x v="0"/>
    <x v="8"/>
    <m/>
    <n v="5212"/>
    <n v="192"/>
    <n v="38"/>
    <m/>
    <m/>
    <n v="355"/>
    <s v="https://www.vd.ch/toutes-les-actualites/hotline-et-informations-sur-le-coronavirus/point-de-situation-statistique-dans-le-canton-de-vaud/"/>
  </r>
  <r>
    <x v="61"/>
    <x v="0"/>
    <x v="9"/>
    <m/>
    <n v="1836"/>
    <n v="69"/>
    <n v="15"/>
    <n v="10"/>
    <n v="218"/>
    <n v="131"/>
    <s v="https://www.vs.ch/documents/6756452/7008787/2020%2004%2027%20Sit%20Epid%20-%20%C3%89tat%20Stand"/>
  </r>
  <r>
    <x v="61"/>
    <x v="27"/>
    <x v="18"/>
    <m/>
    <n v="380"/>
    <n v="12"/>
    <m/>
    <m/>
    <m/>
    <n v="15"/>
    <s v="https://corona.so.ch/index.php?id=27979"/>
  </r>
  <r>
    <x v="61"/>
    <x v="41"/>
    <x v="15"/>
    <m/>
    <n v="293"/>
    <m/>
    <m/>
    <m/>
    <n v="216"/>
    <n v="18"/>
    <s v="https://www.sz.ch/behoerden/information-medien/medienmitteilungen/coronavirus.html/72-416-412-1379-6948"/>
  </r>
  <r>
    <x v="61"/>
    <x v="5"/>
    <x v="6"/>
    <m/>
    <n v="1714"/>
    <n v="54"/>
    <n v="9"/>
    <n v="9"/>
    <m/>
    <n v="83"/>
    <s v="https://www.besondere-lage.sites.be.ch/besondere-lage_sites/de/index/corona/index.html"/>
  </r>
  <r>
    <x v="61"/>
    <x v="5"/>
    <x v="1"/>
    <m/>
    <n v="3161"/>
    <n v="192"/>
    <n v="37"/>
    <n v="26"/>
    <n v="704"/>
    <n v="306"/>
    <s v="https://www4.ti.ch/area-media/comunicati/dettaglio-comunicato/?NEWS_ID=187688&amp;tx_tichareamedia_comunicazioni%5Baction%5D=show&amp;tx_tichareamedia_comunicazioni%5Bcontroller%5D=Comunicazioni&amp;cHash=88b9dbc8a11bbaf69e33668cf73a2501"/>
  </r>
  <r>
    <x v="61"/>
    <x v="5"/>
    <x v="11"/>
    <m/>
    <n v="181"/>
    <n v="6"/>
    <n v="3"/>
    <m/>
    <n v="133"/>
    <n v="8"/>
    <s v="https://www.zg.ch/behoerden/gesundheitsdirektion/statistikfachstelle/themen/gesundheit/corona"/>
  </r>
  <r>
    <x v="61"/>
    <x v="33"/>
    <x v="5"/>
    <m/>
    <n v="940"/>
    <m/>
    <m/>
    <m/>
    <m/>
    <n v="46"/>
    <s v="https://www.gd.bs.ch//nm/2020-tagesbulletin-coronavirus-941-bestaetigte-faelle-im-kanton-basel-stadt-gd.html"/>
  </r>
  <r>
    <x v="61"/>
    <x v="33"/>
    <x v="21"/>
    <m/>
    <n v="72"/>
    <n v="9"/>
    <n v="2"/>
    <m/>
    <m/>
    <n v="5"/>
    <s v="https://sh.ch/CMS/get/file/0779d9a8-e066-4335-95a4-8d2793d317c6"/>
  </r>
  <r>
    <x v="61"/>
    <x v="13"/>
    <x v="16"/>
    <m/>
    <n v="670"/>
    <n v="26"/>
    <n v="7"/>
    <m/>
    <m/>
    <n v="16"/>
    <s v="https://gesundheit.lu.ch/themen/Humanmedizin/Infektionskrankheiten/Coronavirus"/>
  </r>
  <r>
    <x v="61"/>
    <x v="13"/>
    <x v="22"/>
    <m/>
    <n v="80"/>
    <n v="3"/>
    <m/>
    <m/>
    <n v="69"/>
    <n v="5"/>
    <s v="https://www.ur.ch/themen/2962"/>
  </r>
  <r>
    <x v="61"/>
    <x v="17"/>
    <x v="19"/>
    <m/>
    <n v="120"/>
    <n v="3"/>
    <m/>
    <m/>
    <m/>
    <n v="7"/>
    <s v="https://www.gl.ch/public/upload/assets/27574/COVID-19_Fallzahlen_Kanton_Glarus.xlsx"/>
  </r>
  <r>
    <x v="61"/>
    <x v="1"/>
    <x v="4"/>
    <m/>
    <n v="3400"/>
    <n v="75"/>
    <m/>
    <n v="26"/>
    <m/>
    <n v="115"/>
    <s v="https://gd.zh.ch/internet/gesundheitsdirektion/de/themen/coronavirus.html"/>
  </r>
  <r>
    <x v="62"/>
    <x v="0"/>
    <x v="7"/>
    <m/>
    <n v="816"/>
    <n v="24"/>
    <n v="1"/>
    <n v="0"/>
    <n v="738"/>
    <n v="30"/>
    <s v="https://www.baselland.ch/politik-und-behorden/direktionen/volkswirtschafts-und-gesundheitsdirektion/amt-fur-gesundheit/medizinische-dienste/kantonsarztlicher-dienst/aktuelles/covid-19-faelle-kanton-basel-landschaft"/>
  </r>
  <r>
    <x v="62"/>
    <x v="0"/>
    <x v="2"/>
    <m/>
    <n v="82"/>
    <m/>
    <m/>
    <m/>
    <m/>
    <m/>
    <s v="https://www.regierung.li/de/mitteilungen/223429/?typ=content&amp;nid=11076"/>
  </r>
  <r>
    <x v="62"/>
    <x v="0"/>
    <x v="12"/>
    <m/>
    <n v="1040"/>
    <n v="55"/>
    <n v="5"/>
    <m/>
    <n v="120"/>
    <n v="78"/>
    <s v="https://www.fr.ch/sites/default/files/2020-04/statistiques_situation_FR_2804.xlsx"/>
  </r>
  <r>
    <x v="62"/>
    <x v="0"/>
    <x v="26"/>
    <m/>
    <n v="806"/>
    <n v="29"/>
    <m/>
    <m/>
    <m/>
    <n v="44"/>
    <s v="https://www.gr.ch/DE/institutionen/verwaltung/djsg/ga/coronavirus/info/Seiten/Start.aspx"/>
  </r>
  <r>
    <x v="62"/>
    <x v="0"/>
    <x v="3"/>
    <m/>
    <n v="196"/>
    <n v="9"/>
    <n v="4"/>
    <m/>
    <m/>
    <n v="7"/>
    <s v="https://www.jura.ch/Htdocs/Files/v/34263.xlsx/Departements/CHA/SIC/Carrousel/Coronavirus/Cornavirus/Chiffres/donnees_27_04.xlsx?download=1"/>
  </r>
  <r>
    <x v="62"/>
    <x v="0"/>
    <x v="13"/>
    <m/>
    <m/>
    <n v="28"/>
    <n v="3"/>
    <n v="3"/>
    <m/>
    <m/>
    <s v="https://www.ne.ch/autorites/DFS/SCSP/medecin-cantonal/maladies-vaccinations/Documents/Covid-19-Statistiques/COVID19_PublicationInternet.xlsx"/>
  </r>
  <r>
    <x v="62"/>
    <x v="0"/>
    <x v="20"/>
    <m/>
    <n v="110"/>
    <n v="2"/>
    <n v="0"/>
    <m/>
    <m/>
    <n v="3"/>
    <s v="http://www.nw.ch/coronastatistik"/>
  </r>
  <r>
    <x v="62"/>
    <x v="0"/>
    <x v="14"/>
    <m/>
    <n v="767"/>
    <n v="39"/>
    <n v="2"/>
    <m/>
    <n v="176"/>
    <n v="31"/>
    <s v="https://www.sg.ch/tools/informationen-coronavirus.html"/>
  </r>
  <r>
    <x v="62"/>
    <x v="0"/>
    <x v="25"/>
    <m/>
    <n v="360"/>
    <n v="21"/>
    <n v="8"/>
    <m/>
    <m/>
    <n v="17"/>
    <s v="https://www.tg.ch/news/fachdossier-coronavirus.html/10552"/>
  </r>
  <r>
    <x v="62"/>
    <x v="27"/>
    <x v="18"/>
    <m/>
    <n v="382"/>
    <n v="13"/>
    <m/>
    <m/>
    <m/>
    <n v="15"/>
    <s v="https://corona.so.ch/index.php?id=27979"/>
  </r>
  <r>
    <x v="62"/>
    <x v="5"/>
    <x v="6"/>
    <m/>
    <n v="1722"/>
    <n v="54"/>
    <n v="10"/>
    <n v="9"/>
    <m/>
    <n v="83"/>
    <s v="https://www.besondere-lage.sites.be.ch/besondere-lage_sites/de/index/corona/index.html"/>
  </r>
  <r>
    <x v="62"/>
    <x v="5"/>
    <x v="1"/>
    <m/>
    <n v="3169"/>
    <n v="188"/>
    <n v="34"/>
    <n v="25"/>
    <n v="709"/>
    <n v="311"/>
    <s v="https://www4.ti.ch/area-media/comunicati/dettaglio-comunicato/?NEWS_ID=187690&amp;tx_tichareamedia_comunicazioni%5Baction%5D=show&amp;tx_tichareamedia_comunicazioni%5Bcontroller%5D=Comunicazioni&amp;cHash=b776cbdac6ff3c231bf4c3da4ce22b7f"/>
  </r>
  <r>
    <x v="62"/>
    <x v="5"/>
    <x v="11"/>
    <m/>
    <n v="185"/>
    <n v="7"/>
    <n v="3"/>
    <m/>
    <n v="134"/>
    <n v="8"/>
    <s v="https://www.zg.ch/behoerden/gesundheitsdirektion/statistikfachstelle/themen/gesundheit/corona"/>
  </r>
  <r>
    <x v="62"/>
    <x v="33"/>
    <x v="21"/>
    <m/>
    <n v="73"/>
    <n v="12"/>
    <n v="3"/>
    <m/>
    <m/>
    <n v="5"/>
    <s v="https://sh.ch/CMS/get/file/0779d9a8-e066-4335-95a4-8d2793d317c6"/>
  </r>
  <r>
    <x v="62"/>
    <x v="24"/>
    <x v="15"/>
    <m/>
    <n v="293"/>
    <m/>
    <m/>
    <m/>
    <n v="216"/>
    <n v="18"/>
    <s v="https://www.sz.ch/behoerden/information-medien/medienmitteilungen/coronavirus.html/72-416-412-1379-6948"/>
  </r>
  <r>
    <x v="62"/>
    <x v="3"/>
    <x v="17"/>
    <m/>
    <n v="94"/>
    <n v="2"/>
    <n v="2"/>
    <m/>
    <m/>
    <n v="3"/>
    <s v="https://www.ar.ch/verwaltung/departement-gesundheit-und-soziales/amt-fuer-gesundheit/informationsseite-coronavirus/"/>
  </r>
  <r>
    <x v="62"/>
    <x v="26"/>
    <x v="5"/>
    <m/>
    <n v="941"/>
    <m/>
    <m/>
    <m/>
    <n v="815"/>
    <n v="46"/>
    <s v="https://www.gd.bs.ch//nm/2020-tagesbulletin-coronavirus-941-bestaetigte-faelle-im-kanton-basel-stadt-gd.html"/>
  </r>
  <r>
    <x v="62"/>
    <x v="22"/>
    <x v="24"/>
    <m/>
    <n v="25"/>
    <m/>
    <m/>
    <m/>
    <m/>
    <m/>
    <s v="https://www.ai.ch/themen/gesundheit-alter-und-soziales/gesundheitsfoerderung-und-praevention/uebertragbare-krankheiten/coronavirus"/>
  </r>
  <r>
    <x v="62"/>
    <x v="13"/>
    <x v="0"/>
    <m/>
    <m/>
    <n v="270"/>
    <n v="26"/>
    <n v="24"/>
    <n v="610"/>
    <m/>
    <s v="https://www.ge.ch/document/covid-19-situation-epidemiologique-geneve/telecharger"/>
  </r>
  <r>
    <x v="62"/>
    <x v="13"/>
    <x v="16"/>
    <m/>
    <n v="674"/>
    <n v="32"/>
    <n v="7"/>
    <m/>
    <m/>
    <n v="16"/>
    <s v="https://gesundheit.lu.ch/themen/Humanmedizin/Infektionskrankheiten/Coronavirus"/>
  </r>
  <r>
    <x v="62"/>
    <x v="40"/>
    <x v="19"/>
    <m/>
    <n v="121"/>
    <n v="3"/>
    <m/>
    <m/>
    <m/>
    <n v="7"/>
    <s v="https://www.gl.ch/public/upload/assets/27574/COVID-19_Fallzahlen_Kanton_Glarus.xlsx"/>
  </r>
  <r>
    <x v="62"/>
    <x v="14"/>
    <x v="22"/>
    <m/>
    <n v="83"/>
    <n v="4"/>
    <m/>
    <m/>
    <n v="69"/>
    <n v="5"/>
    <s v="https://www.ur.ch/themen/2962"/>
  </r>
  <r>
    <x v="62"/>
    <x v="1"/>
    <x v="4"/>
    <m/>
    <n v="3418"/>
    <n v="73"/>
    <m/>
    <n v="24"/>
    <m/>
    <n v="115"/>
    <s v="https://gd.zh.ch/internet/gesundheitsdirektion/de/themen/coronavirus.html"/>
  </r>
  <r>
    <x v="62"/>
    <x v="34"/>
    <x v="10"/>
    <m/>
    <n v="1088"/>
    <n v="42"/>
    <n v="15"/>
    <n v="14"/>
    <n v="830"/>
    <n v="33"/>
    <s v="https://www.ag.ch/media/kanton_aargau/themen_1/coronavirus_1/lagebulletins/200427_KFS_Coronavirus_Lagebulletin_41.pdf"/>
  </r>
  <r>
    <x v="62"/>
    <x v="4"/>
    <x v="9"/>
    <m/>
    <n v="1836"/>
    <n v="68"/>
    <n v="15"/>
    <n v="10"/>
    <n v="220"/>
    <n v="132"/>
    <s v="https://www.vs.ch/documents/6756452/7008787/2020%2004%2027%20Sit%20Epid%20-%20%C3%89tat%20Stand"/>
  </r>
  <r>
    <x v="62"/>
    <x v="37"/>
    <x v="23"/>
    <m/>
    <n v="75"/>
    <n v="0"/>
    <m/>
    <m/>
    <m/>
    <n v="0"/>
    <s v="https://www.ow.ch/de/verwaltung/dienstleistungen/?dienst_id=5962"/>
  </r>
  <r>
    <x v="63"/>
    <x v="0"/>
    <x v="12"/>
    <m/>
    <n v="1044"/>
    <n v="49"/>
    <n v="5"/>
    <m/>
    <n v="121"/>
    <n v="78"/>
    <s v="https://www.fr.ch/sites/default/files/2020-04/statistiques_situation_FR_2804.xlsx"/>
  </r>
  <r>
    <x v="63"/>
    <x v="0"/>
    <x v="14"/>
    <m/>
    <n v="775"/>
    <n v="44"/>
    <n v="3"/>
    <m/>
    <n v="176"/>
    <n v="33"/>
    <s v="https://www.sg.ch/tools/informationen-coronavirus.html"/>
  </r>
  <r>
    <x v="63"/>
    <x v="27"/>
    <x v="18"/>
    <m/>
    <n v="383"/>
    <n v="13"/>
    <m/>
    <m/>
    <m/>
    <n v="15"/>
    <s v="https://corona.so.ch/index.php?id=27979"/>
  </r>
  <r>
    <x v="63"/>
    <x v="5"/>
    <x v="6"/>
    <m/>
    <n v="1733"/>
    <n v="47"/>
    <n v="7"/>
    <n v="7"/>
    <m/>
    <n v="83"/>
    <s v="https://www.besondere-lage.sites.be.ch/besondere-lage_sites/de/index/corona/index.html"/>
  </r>
  <r>
    <x v="63"/>
    <x v="5"/>
    <x v="1"/>
    <m/>
    <n v="3176"/>
    <n v="188"/>
    <n v="34"/>
    <n v="25"/>
    <n v="709"/>
    <n v="316"/>
    <s v="https://www4.ti.ch/area-media/comunicati/dettaglio-comunicato/?NEWS_ID=187690&amp;tx_tichareamedia_comunicazioni%5Baction%5D=show&amp;tx_tichareamedia_comunicazioni%5Bcontroller%5D=Comunicazioni&amp;cHash=b776cbdac6ff3c231bf4c3da4ce22b7f"/>
  </r>
  <r>
    <x v="63"/>
    <x v="5"/>
    <x v="11"/>
    <m/>
    <n v="185"/>
    <n v="7"/>
    <n v="3"/>
    <m/>
    <n v="134"/>
    <n v="8"/>
    <s v="https://www.zg.ch/behoerden/gesundheitsdirektion/statistikfachstelle/themen/gesundheit/corona"/>
  </r>
  <r>
    <x v="63"/>
    <x v="33"/>
    <x v="5"/>
    <m/>
    <n v="943"/>
    <n v="28"/>
    <n v="7"/>
    <m/>
    <n v="821"/>
    <n v="49"/>
    <s v="https://www.gd.bs.ch//nm/2020-tagesbulletin-coronavirus-943-bestaetigte-faelle-im-kanton-basel-stadt-gd.html"/>
  </r>
  <r>
    <x v="63"/>
    <x v="33"/>
    <x v="21"/>
    <m/>
    <n v="74"/>
    <n v="10"/>
    <n v="2"/>
    <m/>
    <m/>
    <n v="6"/>
    <s v="https://sh.ch/CMS/get/file/0779d9a8-e066-4335-95a4-8d2793d317c6"/>
  </r>
  <r>
    <x v="63"/>
    <x v="23"/>
    <x v="17"/>
    <m/>
    <n v="94"/>
    <n v="4"/>
    <n v="2"/>
    <m/>
    <m/>
    <n v="3"/>
    <s v="https://www.ar.ch/verwaltung/departement-gesundheit-und-soziales/amt-fuer-gesundheit/informationsseite-coronavirus/"/>
  </r>
  <r>
    <x v="63"/>
    <x v="22"/>
    <x v="16"/>
    <m/>
    <n v="677"/>
    <n v="32"/>
    <n v="7"/>
    <m/>
    <m/>
    <n v="17"/>
    <s v="https://gesundheit.lu.ch/themen/Humanmedizin/Infektionskrankheiten/Coronavirus"/>
  </r>
  <r>
    <x v="64"/>
    <x v="0"/>
    <x v="27"/>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BB321AA-59E0-4490-896F-B94EEFEE6043}" name="PivotTable1" cacheId="0"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3:CJ71" firstHeaderRow="1" firstDataRow="3" firstDataCol="1"/>
  <pivotFields count="12">
    <pivotField axis="axisRow" showAll="0">
      <items count="6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axis="axisCol" showAll="0">
      <items count="29">
        <item x="12"/>
        <item x="18"/>
        <item x="10"/>
        <item x="24"/>
        <item x="17"/>
        <item x="6"/>
        <item x="7"/>
        <item x="5"/>
        <item x="2"/>
        <item x="0"/>
        <item x="19"/>
        <item x="26"/>
        <item x="3"/>
        <item x="16"/>
        <item x="13"/>
        <item x="20"/>
        <item x="23"/>
        <item x="14"/>
        <item x="21"/>
        <item x="15"/>
        <item x="25"/>
        <item x="1"/>
        <item x="22"/>
        <item x="8"/>
        <item x="9"/>
        <item x="11"/>
        <item x="4"/>
        <item x="27"/>
        <item t="default"/>
      </items>
    </pivotField>
    <pivotField showAll="0"/>
    <pivotField dataField="1" showAll="0"/>
    <pivotField showAll="0"/>
    <pivotField showAll="0"/>
    <pivotField showAll="0"/>
    <pivotField dataField="1" showAll="0"/>
    <pivotField dataField="1" showAll="0"/>
    <pivotField showAll="0"/>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6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t="grand">
      <x/>
    </i>
  </rowItems>
  <colFields count="2">
    <field x="2"/>
    <field x="-2"/>
  </colFields>
  <colItems count="87">
    <i>
      <x/>
      <x/>
    </i>
    <i r="1" i="1">
      <x v="1"/>
    </i>
    <i r="1" i="2">
      <x v="2"/>
    </i>
    <i>
      <x v="1"/>
      <x/>
    </i>
    <i r="1" i="1">
      <x v="1"/>
    </i>
    <i r="1" i="2">
      <x v="2"/>
    </i>
    <i>
      <x v="2"/>
      <x/>
    </i>
    <i r="1" i="1">
      <x v="1"/>
    </i>
    <i r="1" i="2">
      <x v="2"/>
    </i>
    <i>
      <x v="3"/>
      <x/>
    </i>
    <i r="1" i="1">
      <x v="1"/>
    </i>
    <i r="1" i="2">
      <x v="2"/>
    </i>
    <i>
      <x v="4"/>
      <x/>
    </i>
    <i r="1" i="1">
      <x v="1"/>
    </i>
    <i r="1" i="2">
      <x v="2"/>
    </i>
    <i>
      <x v="5"/>
      <x/>
    </i>
    <i r="1" i="1">
      <x v="1"/>
    </i>
    <i r="1" i="2">
      <x v="2"/>
    </i>
    <i>
      <x v="6"/>
      <x/>
    </i>
    <i r="1" i="1">
      <x v="1"/>
    </i>
    <i r="1" i="2">
      <x v="2"/>
    </i>
    <i>
      <x v="7"/>
      <x/>
    </i>
    <i r="1" i="1">
      <x v="1"/>
    </i>
    <i r="1" i="2">
      <x v="2"/>
    </i>
    <i>
      <x v="8"/>
      <x/>
    </i>
    <i r="1" i="1">
      <x v="1"/>
    </i>
    <i r="1" i="2">
      <x v="2"/>
    </i>
    <i>
      <x v="9"/>
      <x/>
    </i>
    <i r="1" i="1">
      <x v="1"/>
    </i>
    <i r="1" i="2">
      <x v="2"/>
    </i>
    <i>
      <x v="10"/>
      <x/>
    </i>
    <i r="1" i="1">
      <x v="1"/>
    </i>
    <i r="1" i="2">
      <x v="2"/>
    </i>
    <i>
      <x v="11"/>
      <x/>
    </i>
    <i r="1" i="1">
      <x v="1"/>
    </i>
    <i r="1" i="2">
      <x v="2"/>
    </i>
    <i>
      <x v="12"/>
      <x/>
    </i>
    <i r="1" i="1">
      <x v="1"/>
    </i>
    <i r="1" i="2">
      <x v="2"/>
    </i>
    <i>
      <x v="13"/>
      <x/>
    </i>
    <i r="1" i="1">
      <x v="1"/>
    </i>
    <i r="1" i="2">
      <x v="2"/>
    </i>
    <i>
      <x v="14"/>
      <x/>
    </i>
    <i r="1" i="1">
      <x v="1"/>
    </i>
    <i r="1" i="2">
      <x v="2"/>
    </i>
    <i>
      <x v="15"/>
      <x/>
    </i>
    <i r="1" i="1">
      <x v="1"/>
    </i>
    <i r="1" i="2">
      <x v="2"/>
    </i>
    <i>
      <x v="16"/>
      <x/>
    </i>
    <i r="1" i="1">
      <x v="1"/>
    </i>
    <i r="1" i="2">
      <x v="2"/>
    </i>
    <i>
      <x v="17"/>
      <x/>
    </i>
    <i r="1" i="1">
      <x v="1"/>
    </i>
    <i r="1" i="2">
      <x v="2"/>
    </i>
    <i>
      <x v="18"/>
      <x/>
    </i>
    <i r="1" i="1">
      <x v="1"/>
    </i>
    <i r="1" i="2">
      <x v="2"/>
    </i>
    <i>
      <x v="19"/>
      <x/>
    </i>
    <i r="1" i="1">
      <x v="1"/>
    </i>
    <i r="1" i="2">
      <x v="2"/>
    </i>
    <i>
      <x v="20"/>
      <x/>
    </i>
    <i r="1" i="1">
      <x v="1"/>
    </i>
    <i r="1" i="2">
      <x v="2"/>
    </i>
    <i>
      <x v="21"/>
      <x/>
    </i>
    <i r="1" i="1">
      <x v="1"/>
    </i>
    <i r="1" i="2">
      <x v="2"/>
    </i>
    <i>
      <x v="22"/>
      <x/>
    </i>
    <i r="1" i="1">
      <x v="1"/>
    </i>
    <i r="1" i="2">
      <x v="2"/>
    </i>
    <i>
      <x v="23"/>
      <x/>
    </i>
    <i r="1" i="1">
      <x v="1"/>
    </i>
    <i r="1" i="2">
      <x v="2"/>
    </i>
    <i>
      <x v="24"/>
      <x/>
    </i>
    <i r="1" i="1">
      <x v="1"/>
    </i>
    <i r="1" i="2">
      <x v="2"/>
    </i>
    <i>
      <x v="25"/>
      <x/>
    </i>
    <i r="1" i="1">
      <x v="1"/>
    </i>
    <i r="1" i="2">
      <x v="2"/>
    </i>
    <i>
      <x v="26"/>
      <x/>
    </i>
    <i r="1" i="1">
      <x v="1"/>
    </i>
    <i r="1" i="2">
      <x v="2"/>
    </i>
    <i>
      <x v="27"/>
      <x/>
    </i>
    <i r="1" i="1">
      <x v="1"/>
    </i>
    <i r="1" i="2">
      <x v="2"/>
    </i>
    <i t="grand">
      <x/>
    </i>
    <i t="grand" i="1">
      <x/>
    </i>
    <i t="grand" i="2">
      <x/>
    </i>
  </colItems>
  <dataFields count="3">
    <dataField name="Summe von ncumul_conf" fld="4" baseField="0" baseItem="0"/>
    <dataField name="Summe von ncumul_released" fld="8" baseField="0" baseItem="0"/>
    <dataField name="Summe von ncumul_deceased"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BCE8ECE-9163-49A3-9132-9C87A822860E}" name="PivotTable2" cacheId="0" applyNumberFormats="0" applyBorderFormats="0" applyFontFormats="0" applyPatternFormats="0" applyAlignmentFormats="0" applyWidthHeightFormats="1" dataCaption="Werte" updatedVersion="6" minRefreshableVersion="3" useAutoFormatting="1" rowGrandTotals="0" itemPrintTitles="1" createdVersion="6" indent="0" outline="1" outlineData="1" multipleFieldFilters="0" chartFormat="5">
  <location ref="A3:AD60" firstHeaderRow="1" firstDataRow="2" firstDataCol="1"/>
  <pivotFields count="12">
    <pivotField axis="axisRow" showAll="0">
      <items count="66">
        <item h="1" x="0"/>
        <item h="1" x="1"/>
        <item h="1" x="2"/>
        <item h="1" x="3"/>
        <item h="1" x="4"/>
        <item h="1" x="5"/>
        <item h="1" x="6"/>
        <item h="1" x="7"/>
        <item h="1"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axis="axisCol" showAll="0">
      <items count="29">
        <item x="12"/>
        <item x="18"/>
        <item x="10"/>
        <item x="24"/>
        <item x="17"/>
        <item x="6"/>
        <item x="7"/>
        <item x="5"/>
        <item x="2"/>
        <item x="0"/>
        <item x="19"/>
        <item x="26"/>
        <item x="3"/>
        <item x="16"/>
        <item x="13"/>
        <item x="20"/>
        <item x="23"/>
        <item x="14"/>
        <item x="21"/>
        <item x="15"/>
        <item x="25"/>
        <item x="1"/>
        <item x="22"/>
        <item x="8"/>
        <item x="9"/>
        <item x="11"/>
        <item x="4"/>
        <item x="27"/>
        <item t="default"/>
      </items>
    </pivotField>
    <pivotField showAll="0"/>
    <pivotField showAll="0"/>
    <pivotField showAll="0"/>
    <pivotField showAll="0"/>
    <pivotField showAll="0"/>
    <pivotField showAll="0"/>
    <pivotField dataField="1" showAll="0"/>
    <pivotField showAll="0"/>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s>
  <rowFields count="1">
    <field x="0"/>
  </rowFields>
  <rowItems count="56">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rowItems>
  <colFields count="1">
    <field x="2"/>
  </colFields>
  <col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colItems>
  <dataFields count="1">
    <dataField name="Summe von ncumul_deceased" fld="9" baseField="0" baseItem="0"/>
  </dataFields>
  <chartFormats count="28">
    <chartFormat chart="4" format="111" series="1">
      <pivotArea type="data" outline="0" fieldPosition="0">
        <references count="2">
          <reference field="4294967294" count="1" selected="0">
            <x v="0"/>
          </reference>
          <reference field="2" count="1" selected="0">
            <x v="0"/>
          </reference>
        </references>
      </pivotArea>
    </chartFormat>
    <chartFormat chart="4" format="112" series="1">
      <pivotArea type="data" outline="0" fieldPosition="0">
        <references count="2">
          <reference field="4294967294" count="1" selected="0">
            <x v="0"/>
          </reference>
          <reference field="2" count="1" selected="0">
            <x v="1"/>
          </reference>
        </references>
      </pivotArea>
    </chartFormat>
    <chartFormat chart="4" format="113" series="1">
      <pivotArea type="data" outline="0" fieldPosition="0">
        <references count="2">
          <reference field="4294967294" count="1" selected="0">
            <x v="0"/>
          </reference>
          <reference field="2" count="1" selected="0">
            <x v="2"/>
          </reference>
        </references>
      </pivotArea>
    </chartFormat>
    <chartFormat chart="4" format="114" series="1">
      <pivotArea type="data" outline="0" fieldPosition="0">
        <references count="2">
          <reference field="4294967294" count="1" selected="0">
            <x v="0"/>
          </reference>
          <reference field="2" count="1" selected="0">
            <x v="3"/>
          </reference>
        </references>
      </pivotArea>
    </chartFormat>
    <chartFormat chart="4" format="115" series="1">
      <pivotArea type="data" outline="0" fieldPosition="0">
        <references count="2">
          <reference field="4294967294" count="1" selected="0">
            <x v="0"/>
          </reference>
          <reference field="2" count="1" selected="0">
            <x v="4"/>
          </reference>
        </references>
      </pivotArea>
    </chartFormat>
    <chartFormat chart="4" format="116" series="1">
      <pivotArea type="data" outline="0" fieldPosition="0">
        <references count="2">
          <reference field="4294967294" count="1" selected="0">
            <x v="0"/>
          </reference>
          <reference field="2" count="1" selected="0">
            <x v="5"/>
          </reference>
        </references>
      </pivotArea>
    </chartFormat>
    <chartFormat chart="4" format="117" series="1">
      <pivotArea type="data" outline="0" fieldPosition="0">
        <references count="2">
          <reference field="4294967294" count="1" selected="0">
            <x v="0"/>
          </reference>
          <reference field="2" count="1" selected="0">
            <x v="6"/>
          </reference>
        </references>
      </pivotArea>
    </chartFormat>
    <chartFormat chart="4" format="118" series="1">
      <pivotArea type="data" outline="0" fieldPosition="0">
        <references count="2">
          <reference field="4294967294" count="1" selected="0">
            <x v="0"/>
          </reference>
          <reference field="2" count="1" selected="0">
            <x v="7"/>
          </reference>
        </references>
      </pivotArea>
    </chartFormat>
    <chartFormat chart="4" format="119" series="1">
      <pivotArea type="data" outline="0" fieldPosition="0">
        <references count="2">
          <reference field="4294967294" count="1" selected="0">
            <x v="0"/>
          </reference>
          <reference field="2" count="1" selected="0">
            <x v="8"/>
          </reference>
        </references>
      </pivotArea>
    </chartFormat>
    <chartFormat chart="4" format="120" series="1">
      <pivotArea type="data" outline="0" fieldPosition="0">
        <references count="2">
          <reference field="4294967294" count="1" selected="0">
            <x v="0"/>
          </reference>
          <reference field="2" count="1" selected="0">
            <x v="9"/>
          </reference>
        </references>
      </pivotArea>
    </chartFormat>
    <chartFormat chart="4" format="121" series="1">
      <pivotArea type="data" outline="0" fieldPosition="0">
        <references count="2">
          <reference field="4294967294" count="1" selected="0">
            <x v="0"/>
          </reference>
          <reference field="2" count="1" selected="0">
            <x v="10"/>
          </reference>
        </references>
      </pivotArea>
    </chartFormat>
    <chartFormat chart="4" format="122" series="1">
      <pivotArea type="data" outline="0" fieldPosition="0">
        <references count="2">
          <reference field="4294967294" count="1" selected="0">
            <x v="0"/>
          </reference>
          <reference field="2" count="1" selected="0">
            <x v="11"/>
          </reference>
        </references>
      </pivotArea>
    </chartFormat>
    <chartFormat chart="4" format="123" series="1">
      <pivotArea type="data" outline="0" fieldPosition="0">
        <references count="2">
          <reference field="4294967294" count="1" selected="0">
            <x v="0"/>
          </reference>
          <reference field="2" count="1" selected="0">
            <x v="12"/>
          </reference>
        </references>
      </pivotArea>
    </chartFormat>
    <chartFormat chart="4" format="124" series="1">
      <pivotArea type="data" outline="0" fieldPosition="0">
        <references count="2">
          <reference field="4294967294" count="1" selected="0">
            <x v="0"/>
          </reference>
          <reference field="2" count="1" selected="0">
            <x v="13"/>
          </reference>
        </references>
      </pivotArea>
    </chartFormat>
    <chartFormat chart="4" format="125" series="1">
      <pivotArea type="data" outline="0" fieldPosition="0">
        <references count="2">
          <reference field="4294967294" count="1" selected="0">
            <x v="0"/>
          </reference>
          <reference field="2" count="1" selected="0">
            <x v="14"/>
          </reference>
        </references>
      </pivotArea>
    </chartFormat>
    <chartFormat chart="4" format="126" series="1">
      <pivotArea type="data" outline="0" fieldPosition="0">
        <references count="2">
          <reference field="4294967294" count="1" selected="0">
            <x v="0"/>
          </reference>
          <reference field="2" count="1" selected="0">
            <x v="15"/>
          </reference>
        </references>
      </pivotArea>
    </chartFormat>
    <chartFormat chart="4" format="127" series="1">
      <pivotArea type="data" outline="0" fieldPosition="0">
        <references count="2">
          <reference field="4294967294" count="1" selected="0">
            <x v="0"/>
          </reference>
          <reference field="2" count="1" selected="0">
            <x v="16"/>
          </reference>
        </references>
      </pivotArea>
    </chartFormat>
    <chartFormat chart="4" format="128" series="1">
      <pivotArea type="data" outline="0" fieldPosition="0">
        <references count="2">
          <reference field="4294967294" count="1" selected="0">
            <x v="0"/>
          </reference>
          <reference field="2" count="1" selected="0">
            <x v="17"/>
          </reference>
        </references>
      </pivotArea>
    </chartFormat>
    <chartFormat chart="4" format="129" series="1">
      <pivotArea type="data" outline="0" fieldPosition="0">
        <references count="2">
          <reference field="4294967294" count="1" selected="0">
            <x v="0"/>
          </reference>
          <reference field="2" count="1" selected="0">
            <x v="18"/>
          </reference>
        </references>
      </pivotArea>
    </chartFormat>
    <chartFormat chart="4" format="130" series="1">
      <pivotArea type="data" outline="0" fieldPosition="0">
        <references count="2">
          <reference field="4294967294" count="1" selected="0">
            <x v="0"/>
          </reference>
          <reference field="2" count="1" selected="0">
            <x v="19"/>
          </reference>
        </references>
      </pivotArea>
    </chartFormat>
    <chartFormat chart="4" format="131" series="1">
      <pivotArea type="data" outline="0" fieldPosition="0">
        <references count="2">
          <reference field="4294967294" count="1" selected="0">
            <x v="0"/>
          </reference>
          <reference field="2" count="1" selected="0">
            <x v="20"/>
          </reference>
        </references>
      </pivotArea>
    </chartFormat>
    <chartFormat chart="4" format="132" series="1">
      <pivotArea type="data" outline="0" fieldPosition="0">
        <references count="2">
          <reference field="4294967294" count="1" selected="0">
            <x v="0"/>
          </reference>
          <reference field="2" count="1" selected="0">
            <x v="21"/>
          </reference>
        </references>
      </pivotArea>
    </chartFormat>
    <chartFormat chart="4" format="133" series="1">
      <pivotArea type="data" outline="0" fieldPosition="0">
        <references count="2">
          <reference field="4294967294" count="1" selected="0">
            <x v="0"/>
          </reference>
          <reference field="2" count="1" selected="0">
            <x v="22"/>
          </reference>
        </references>
      </pivotArea>
    </chartFormat>
    <chartFormat chart="4" format="134" series="1">
      <pivotArea type="data" outline="0" fieldPosition="0">
        <references count="2">
          <reference field="4294967294" count="1" selected="0">
            <x v="0"/>
          </reference>
          <reference field="2" count="1" selected="0">
            <x v="23"/>
          </reference>
        </references>
      </pivotArea>
    </chartFormat>
    <chartFormat chart="4" format="135" series="1">
      <pivotArea type="data" outline="0" fieldPosition="0">
        <references count="2">
          <reference field="4294967294" count="1" selected="0">
            <x v="0"/>
          </reference>
          <reference field="2" count="1" selected="0">
            <x v="24"/>
          </reference>
        </references>
      </pivotArea>
    </chartFormat>
    <chartFormat chart="4" format="136" series="1">
      <pivotArea type="data" outline="0" fieldPosition="0">
        <references count="2">
          <reference field="4294967294" count="1" selected="0">
            <x v="0"/>
          </reference>
          <reference field="2" count="1" selected="0">
            <x v="25"/>
          </reference>
        </references>
      </pivotArea>
    </chartFormat>
    <chartFormat chart="4" format="137" series="1">
      <pivotArea type="data" outline="0" fieldPosition="0">
        <references count="2">
          <reference field="4294967294" count="1" selected="0">
            <x v="0"/>
          </reference>
          <reference field="2" count="1" selected="0">
            <x v="26"/>
          </reference>
        </references>
      </pivotArea>
    </chartFormat>
    <chartFormat chart="4" format="138" series="1">
      <pivotArea type="data" outline="0" fieldPosition="0">
        <references count="2">
          <reference field="4294967294" count="1" selected="0">
            <x v="0"/>
          </reference>
          <reference field="2" count="1" selected="0">
            <x v="2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refreshOnLoad="1" connectionId="3" xr16:uid="{2EC84AB0-A35E-474C-B0F5-27003FCCA62D}" autoFormatId="16" applyNumberFormats="0" applyBorderFormats="0" applyFontFormats="0" applyPatternFormats="0" applyAlignmentFormats="0" applyWidthHeightFormats="0">
  <queryTableRefresh nextId="19">
    <queryTableFields count="18">
      <queryTableField id="1" name="date" tableColumnId="1"/>
      <queryTableField id="2" name="last_update" tableColumnId="2"/>
      <queryTableField id="3" name="country" tableColumnId="3"/>
      <queryTableField id="4" name="intensive_care" tableColumnId="4"/>
      <queryTableField id="5" name="total_hospitalized" tableColumnId="5"/>
      <queryTableField id="6" name="total_currently_positive" tableColumnId="6"/>
      <queryTableField id="7" name="total_positive" tableColumnId="7"/>
      <queryTableField id="8" name="tests_performed" tableColumnId="8"/>
      <queryTableField id="9" name="released" tableColumnId="9"/>
      <queryTableField id="10" name="deaths" tableColumnId="10"/>
      <queryTableField id="11" name="home_confinment" tableColumnId="11"/>
      <queryTableField id="12" name="new_positive" tableColumnId="12"/>
      <queryTableField id="13" name="old_positive" tableColumnId="13"/>
      <queryTableField id="14" name="hospitalized_with_symptoms" tableColumnId="14"/>
      <queryTableField id="15" name="new_deaths" tableColumnId="15"/>
      <queryTableField id="16" name="old_deaths" tableColumnId="16"/>
      <queryTableField id="17" name="doubling_time_total_positive" tableColumnId="17"/>
      <queryTableField id="18" name="doubling_time_fatalities"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1" refreshOnLoad="1" connectionId="2" xr16:uid="{A18A4422-D724-446D-AEAE-B397FF0A4D52}" autoFormatId="16" applyNumberFormats="0" applyBorderFormats="0" applyFontFormats="0" applyPatternFormats="0" applyAlignmentFormats="0" applyWidthHeightFormats="0">
  <queryTableRefresh nextId="187">
    <queryTableFields count="32">
      <queryTableField id="126" name="last_update" tableColumnId="81"/>
      <queryTableField id="127" name="timestamp" tableColumnId="82"/>
      <queryTableField id="128" name="country" tableColumnId="83"/>
      <queryTableField id="129" name="abbreviation_canton" tableColumnId="84"/>
      <queryTableField id="130" name="name_canton" tableColumnId="85"/>
      <queryTableField id="131" name="number_canton" tableColumnId="86"/>
      <queryTableField id="132" name="lat" tableColumnId="87"/>
      <queryTableField id="133" name="long" tableColumnId="88"/>
      <queryTableField id="134" name="tests_performed" tableColumnId="89"/>
      <queryTableField id="135" name="total_currently_positive_cases" tableColumnId="90"/>
      <queryTableField id="136" name="total_positive_cases" tableColumnId="91"/>
      <queryTableField id="137" name="new_hosp" tableColumnId="92"/>
      <queryTableField id="138" name="total_hospitalized" tableColumnId="93"/>
      <queryTableField id="139" name="total_currently_positive_per_100k" tableColumnId="94"/>
      <queryTableField id="140" name="deaths_per_100k" tableColumnId="95"/>
      <queryTableField id="141" name="released" tableColumnId="96"/>
      <queryTableField id="142" name="ncumul_ICU_intub" tableColumnId="97"/>
      <queryTableField id="143" name="deaths" tableColumnId="98"/>
      <queryTableField id="144" name="intensive_care" tableColumnId="99"/>
      <queryTableField id="145" name="ncumul_vent" tableColumnId="100"/>
      <queryTableField id="146" name="ncumul_confirmed_non_resident" tableColumnId="101"/>
      <queryTableField id="147" name="current_hosp_non_resident" tableColumnId="102"/>
      <queryTableField id="148" name="TotalPosTests1" tableColumnId="103"/>
      <queryTableField id="149" name="ninst_ICU_intub" tableColumnId="104"/>
      <queryTableField id="150" name="ncumul_ICF" tableColumnId="105"/>
      <queryTableField id="151" name="new_positive_cases" tableColumnId="106"/>
      <queryTableField id="152" name="new_deaths" tableColumnId="107"/>
      <queryTableField id="153" name="doubling_time_total_positive" tableColumnId="108"/>
      <queryTableField id="154" name="doubling_time_fatalities" tableColumnId="109"/>
      <queryTableField id="155" name="source" tableColumnId="110"/>
      <queryTableField id="9" name="Column1" tableColumnId="9"/>
      <queryTableField id="156" name="_1" tableColumnId="11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Daten_3" refreshOnLoad="1" connectionId="1" xr16:uid="{AC1EAA3D-4C8D-499A-AE89-A9F308A45198}" autoFormatId="16" applyNumberFormats="0" applyBorderFormats="0" applyFontFormats="0" applyPatternFormats="0" applyAlignmentFormats="0" applyWidthHeightFormats="0">
  <queryTableRefresh nextId="12">
    <queryTableFields count="11">
      <queryTableField id="1" name="date" tableColumnId="1"/>
      <queryTableField id="2" name="time" tableColumnId="2"/>
      <queryTableField id="3" name="abbreviation_canton_and_fl" tableColumnId="3"/>
      <queryTableField id="4" name="ncumul_tested" tableColumnId="4"/>
      <queryTableField id="5" name="ncumul_conf" tableColumnId="5"/>
      <queryTableField id="6" name="ncumul_hosp" tableColumnId="6"/>
      <queryTableField id="7" name="ncumul_ICU" tableColumnId="7"/>
      <queryTableField id="8" name="ncumul_vent" tableColumnId="8"/>
      <queryTableField id="9" name="ncumul_released" tableColumnId="9"/>
      <queryTableField id="10" name="ncumul_deceased" tableColumnId="10"/>
      <queryTableField id="11" name="source" tableColumnId="1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A882C33-FAD2-430F-868D-2C92D3ED5D09}" name="dd_covid19_openzh_switzerland_latest" displayName="dd_covid19_openzh_switzerland_latest" ref="A1:R66" tableType="queryTable" totalsRowShown="0">
  <autoFilter ref="A1:R66" xr:uid="{6F225EC8-7A7D-4B80-86A4-6825D487A60A}"/>
  <tableColumns count="18">
    <tableColumn id="1" xr3:uid="{6A0F9E37-4397-4ADD-8579-65A87BF278C6}" uniqueName="1" name="date" queryTableFieldId="1" dataDxfId="24"/>
    <tableColumn id="2" xr3:uid="{78ED2279-E7E4-4383-97AD-DD81455353CB}" uniqueName="2" name="last_update" queryTableFieldId="2" dataDxfId="23"/>
    <tableColumn id="3" xr3:uid="{7330173D-7C78-4290-B0C6-D6DF398A317F}" uniqueName="3" name="country" queryTableFieldId="3" dataDxfId="22"/>
    <tableColumn id="4" xr3:uid="{65EE738C-5483-4B69-B874-72F1C792909F}" uniqueName="4" name="intensive_care" queryTableFieldId="4"/>
    <tableColumn id="5" xr3:uid="{E85055BB-8DC4-4122-A8D6-678E0DF46381}" uniqueName="5" name="total_hospitalized" queryTableFieldId="5"/>
    <tableColumn id="6" xr3:uid="{F28B9E35-6CBB-4856-9FE5-9E1EE2E5A5DF}" uniqueName="6" name="total_currently_positive" queryTableFieldId="6"/>
    <tableColumn id="7" xr3:uid="{9822154C-FBDD-48C8-9E55-A1ED6BCF3FDE}" uniqueName="7" name="total_positive" queryTableFieldId="7"/>
    <tableColumn id="8" xr3:uid="{8099F923-302D-471D-91F1-B84EC5D10EFD}" uniqueName="8" name="tests_performed" queryTableFieldId="8"/>
    <tableColumn id="9" xr3:uid="{5D6DFCAF-B0B0-4BA5-A431-87E623F0D502}" uniqueName="9" name="released" queryTableFieldId="9"/>
    <tableColumn id="10" xr3:uid="{12870F4D-C81E-4917-BBA5-C836CEA08DCB}" uniqueName="10" name="deaths" queryTableFieldId="10"/>
    <tableColumn id="11" xr3:uid="{DED131D7-F154-419D-8ABA-D92225E873A1}" uniqueName="11" name="home_confinment" queryTableFieldId="11"/>
    <tableColumn id="12" xr3:uid="{4B032FCD-B91A-4DD1-A09E-E9D6111B560B}" uniqueName="12" name="new_positive" queryTableFieldId="12"/>
    <tableColumn id="13" xr3:uid="{B66CE066-035E-41EC-9268-2A380BD56CDF}" uniqueName="13" name="old_positive" queryTableFieldId="13"/>
    <tableColumn id="14" xr3:uid="{726933BE-EDE9-4F94-8888-164DCFF0C153}" uniqueName="14" name="hospitalized_with_symptoms" queryTableFieldId="14"/>
    <tableColumn id="15" xr3:uid="{280259FB-A44C-493B-827A-B68AABDD4BFA}" uniqueName="15" name="new_deaths" queryTableFieldId="15"/>
    <tableColumn id="16" xr3:uid="{52E76B6F-A8F7-41E3-94DF-6C07AA5CAA27}" uniqueName="16" name="old_deaths" queryTableFieldId="16"/>
    <tableColumn id="17" xr3:uid="{F4693FD1-D18C-480B-9D33-06EA268931A4}" uniqueName="17" name="doubling_time_total_positive" queryTableFieldId="17"/>
    <tableColumn id="18" xr3:uid="{FCB445B2-F893-437A-B1E2-729C98EC9BA1}" uniqueName="18" name="doubling_time_fatalities" queryTableFieldId="1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9D276E7-8478-4C20-BB6E-1453F0C8D54E}" name="dd_covid19_openzh_cantons_latest" displayName="dd_covid19_openzh_cantons_latest" ref="A1:AF28" tableType="queryTable" totalsRowShown="0">
  <autoFilter ref="A1:AF28" xr:uid="{89752692-E394-464C-BA07-8219685F2E97}"/>
  <tableColumns count="32">
    <tableColumn id="81" xr3:uid="{BD7551A6-2E54-4A0A-A512-844547126CE6}" uniqueName="81" name="last_update" queryTableFieldId="126" dataDxfId="21"/>
    <tableColumn id="82" xr3:uid="{169E8657-81D9-4121-B1E0-967EF19D08C7}" uniqueName="82" name="timestamp" queryTableFieldId="127" dataDxfId="20"/>
    <tableColumn id="83" xr3:uid="{C2548048-DA88-48AB-8D0C-7E1C32ECCEA0}" uniqueName="83" name="country" queryTableFieldId="128" dataDxfId="19"/>
    <tableColumn id="84" xr3:uid="{1962423F-2331-4CF9-B64C-90C443B6F96B}" uniqueName="84" name="abbreviation_canton" queryTableFieldId="129" dataDxfId="18"/>
    <tableColumn id="85" xr3:uid="{D933CDEF-19CE-425E-875D-93AB1A918087}" uniqueName="85" name="name_canton" queryTableFieldId="130" dataDxfId="17"/>
    <tableColumn id="86" xr3:uid="{3F8251B9-8DA4-4339-A941-C54073E55C29}" uniqueName="86" name="number_canton" queryTableFieldId="131"/>
    <tableColumn id="87" xr3:uid="{3ABD4B2E-2F3B-497F-8B32-AE24848FA5D9}" uniqueName="87" name="lat" queryTableFieldId="132"/>
    <tableColumn id="88" xr3:uid="{AC4B13B1-9F39-4494-B9A6-BCE5C12DD752}" uniqueName="88" name="long" queryTableFieldId="133"/>
    <tableColumn id="89" xr3:uid="{C6538C4F-E9E4-486A-94C3-8204FABD9475}" uniqueName="89" name="tests_performed" queryTableFieldId="134"/>
    <tableColumn id="90" xr3:uid="{41D81CB9-DE21-43F8-8FE7-2F8E7B4C26AD}" uniqueName="90" name="total_currently_positive_cases" queryTableFieldId="135"/>
    <tableColumn id="91" xr3:uid="{57E80A67-2982-48CF-A984-DDE62E123930}" uniqueName="91" name="total_positive_cases" queryTableFieldId="136"/>
    <tableColumn id="92" xr3:uid="{7681BB1C-A4EB-47B3-9393-ECAA0CAE0226}" uniqueName="92" name="new_hosp" queryTableFieldId="137"/>
    <tableColumn id="93" xr3:uid="{E9FF1802-B294-4852-80AD-8993F68F207C}" uniqueName="93" name="total_hospitalized" queryTableFieldId="138"/>
    <tableColumn id="94" xr3:uid="{C6CFE750-D3F4-4E46-BD1F-8270F8DC268D}" uniqueName="94" name="total_currently_positive_per_100k" queryTableFieldId="139"/>
    <tableColumn id="95" xr3:uid="{174B2500-501F-45F7-97B5-A65E8C5957C7}" uniqueName="95" name="deaths_per_100k" queryTableFieldId="140"/>
    <tableColumn id="96" xr3:uid="{514D0DAA-4C02-43C5-AB8C-78045220FD81}" uniqueName="96" name="released" queryTableFieldId="141"/>
    <tableColumn id="97" xr3:uid="{1A57C2DC-422E-4B27-8FFF-CB40EB8A7C7F}" uniqueName="97" name="ncumul_ICU_intub" queryTableFieldId="142"/>
    <tableColumn id="98" xr3:uid="{4D1F1B4F-CBE7-45DA-9DA6-3E03DCAE8958}" uniqueName="98" name="deaths" queryTableFieldId="143"/>
    <tableColumn id="99" xr3:uid="{0DB3B02E-03CE-40F4-96B7-14B5202719A0}" uniqueName="99" name="intensive_care" queryTableFieldId="144"/>
    <tableColumn id="100" xr3:uid="{E838FFB4-C39A-4EB6-B048-62D97341CDBE}" uniqueName="100" name="ncumul_vent" queryTableFieldId="145"/>
    <tableColumn id="101" xr3:uid="{F167F275-63C7-4B9F-8F53-129518ED56DD}" uniqueName="101" name="ncumul_confirmed_non_resident" queryTableFieldId="146"/>
    <tableColumn id="102" xr3:uid="{E39886E8-7831-4D4F-9D9A-816746CBFE29}" uniqueName="102" name="current_hosp_non_resident" queryTableFieldId="147" dataDxfId="16"/>
    <tableColumn id="103" xr3:uid="{959026E0-3966-43F3-B12C-F463827AF110}" uniqueName="103" name="TotalPosTests1" queryTableFieldId="148" dataDxfId="15"/>
    <tableColumn id="104" xr3:uid="{20F3D390-DEC6-4518-AF37-2055E2F0F4D3}" uniqueName="104" name="ninst_ICU_intub" queryTableFieldId="149" dataDxfId="14"/>
    <tableColumn id="105" xr3:uid="{1000ABBF-DE10-4DD7-B34D-251727F2D5F5}" uniqueName="105" name="ncumul_ICF" queryTableFieldId="150"/>
    <tableColumn id="106" xr3:uid="{CDA89904-DA80-4895-9355-59E3A0C7C8C4}" uniqueName="106" name="new_positive_cases" queryTableFieldId="151"/>
    <tableColumn id="107" xr3:uid="{4B673FF3-FE26-46F3-B81E-4FDC30571B56}" uniqueName="107" name="new_deaths" queryTableFieldId="152"/>
    <tableColumn id="108" xr3:uid="{B961F8C0-6F21-404B-B0DB-738E91415198}" uniqueName="108" name="doubling_time_total_positive" queryTableFieldId="153"/>
    <tableColumn id="109" xr3:uid="{102C069A-210A-4B72-9DFA-5CF96304D642}" uniqueName="109" name="doubling_time_fatalities" queryTableFieldId="154"/>
    <tableColumn id="110" xr3:uid="{94416B9E-E748-470D-A329-63CC8F663B4E}" uniqueName="110" name="source" queryTableFieldId="155" dataDxfId="13"/>
    <tableColumn id="9" xr3:uid="{3900AD70-572C-48F7-9B7A-CF71ACE86FE6}" uniqueName="9" name="Column1" queryTableFieldId="9" dataDxfId="12"/>
    <tableColumn id="111" xr3:uid="{CE08C0AD-B8FD-4809-A2F5-942C6B821EA9}" uniqueName="111" name="_1" queryTableFieldId="156" dataDxfId="1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0EF7269-3ACA-4825-91EE-60142703CE2A}" name="COVID19_Fallzahlen_CH_total" displayName="COVID19_Fallzahlen_CH_total" ref="A1:K1372" tableType="queryTable" totalsRowShown="0" headerRowDxfId="26" dataDxfId="25">
  <autoFilter ref="A1:K1372" xr:uid="{A5098CA2-967B-441C-9EBC-5C26E6F395B9}"/>
  <sortState xmlns:xlrd2="http://schemas.microsoft.com/office/spreadsheetml/2017/richdata2" ref="A2:K1372">
    <sortCondition ref="A1:A1372"/>
  </sortState>
  <tableColumns count="11">
    <tableColumn id="1" xr3:uid="{57B39077-80BD-49E0-86C0-9242464DEFFD}" uniqueName="1" name="date" queryTableFieldId="1" dataDxfId="10"/>
    <tableColumn id="2" xr3:uid="{BA3D136C-8AFA-4319-B6DD-BCCE1BD1CBD2}" uniqueName="2" name="time" queryTableFieldId="2" dataDxfId="9"/>
    <tableColumn id="3" xr3:uid="{BBB9F675-2771-422C-9642-4C61E4DE5CCF}" uniqueName="3" name="abbreviation_canton_and_fl" queryTableFieldId="3" dataDxfId="8"/>
    <tableColumn id="4" xr3:uid="{1E010AD2-8812-4614-8A81-1F6970C8DAAD}" uniqueName="4" name="ncumul_tested" queryTableFieldId="4" dataDxfId="7"/>
    <tableColumn id="5" xr3:uid="{E39472B2-A399-4842-943C-9420DEFF0ABE}" uniqueName="5" name="ncumul_conf" queryTableFieldId="5" dataDxfId="6"/>
    <tableColumn id="6" xr3:uid="{6505E105-FC90-4BB3-8DCD-01B96CE3D305}" uniqueName="6" name="ncumul_hosp" queryTableFieldId="6" dataDxfId="5"/>
    <tableColumn id="7" xr3:uid="{C01CB3EE-BB7C-4BE9-B4C9-D6A006A22116}" uniqueName="7" name="ncumul_ICU" queryTableFieldId="7" dataDxfId="4"/>
    <tableColumn id="8" xr3:uid="{6EE9CB04-706D-4177-85EB-40C540BC6343}" uniqueName="8" name="ncumul_vent" queryTableFieldId="8" dataDxfId="3"/>
    <tableColumn id="9" xr3:uid="{846085B2-E34F-45C4-8B31-B0391C2CEB5B}" uniqueName="9" name="ncumul_released" queryTableFieldId="9" dataDxfId="2"/>
    <tableColumn id="10" xr3:uid="{1B4F757D-8DCD-4E74-97D5-428B1D870722}" uniqueName="10" name="ncumul_deceased" queryTableFieldId="10" dataDxfId="1"/>
    <tableColumn id="11" xr3:uid="{8BCC6226-31A8-4A2B-BC80-FC261295931D}" uniqueName="11" name="source" queryTableFieldId="11" dataDxfId="0"/>
  </tableColumns>
  <tableStyleInfo name="TableStyleMedium7" showFirstColumn="0" showLastColumn="0" showRowStripes="1" showColumnStripes="0"/>
</table>
</file>

<file path=xl/theme/theme1.xml><?xml version="1.0" encoding="utf-8"?>
<a:theme xmlns:a="http://schemas.openxmlformats.org/drawingml/2006/main" name="Office">
  <a:themeElements>
    <a:clrScheme name="Benutzerdefiniert 2">
      <a:dk1>
        <a:sysClr val="windowText" lastClr="000000"/>
      </a:dk1>
      <a:lt1>
        <a:sysClr val="window" lastClr="FFFFFF"/>
      </a:lt1>
      <a:dk2>
        <a:srgbClr val="44546A"/>
      </a:dk2>
      <a:lt2>
        <a:srgbClr val="E7E6E6"/>
      </a:lt2>
      <a:accent1>
        <a:srgbClr val="FF0000"/>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97928-E11F-42B8-93C5-81F9E82AEF25}">
  <sheetPr codeName="Tabelle5"/>
  <dimension ref="A1:G6"/>
  <sheetViews>
    <sheetView tabSelected="1" zoomScale="90" zoomScaleNormal="90" workbookViewId="0">
      <pane ySplit="1" topLeftCell="A2" activePane="bottomLeft" state="frozen"/>
      <selection pane="bottomLeft" activeCell="C4" sqref="C4"/>
    </sheetView>
  </sheetViews>
  <sheetFormatPr baseColWidth="10" defaultColWidth="40.6328125" defaultRowHeight="14.5"/>
  <cols>
    <col min="1" max="16384" width="40.6328125" style="13"/>
  </cols>
  <sheetData>
    <row r="1" spans="1:7" s="26" customFormat="1" ht="20" customHeight="1">
      <c r="A1" s="51" t="s">
        <v>349</v>
      </c>
      <c r="B1" s="51"/>
      <c r="C1" s="51"/>
      <c r="D1" s="51"/>
      <c r="E1" s="51"/>
      <c r="F1" s="51"/>
      <c r="G1" s="25"/>
    </row>
    <row r="2" spans="1:7" s="39" customFormat="1">
      <c r="A2" s="33" t="s">
        <v>305</v>
      </c>
      <c r="B2" s="34" t="s">
        <v>306</v>
      </c>
      <c r="C2" s="35" t="s">
        <v>307</v>
      </c>
      <c r="D2" s="36" t="s">
        <v>308</v>
      </c>
      <c r="E2" s="37" t="s">
        <v>309</v>
      </c>
      <c r="F2" s="38" t="s">
        <v>348</v>
      </c>
      <c r="G2" s="25"/>
    </row>
    <row r="3" spans="1:7" s="25" customFormat="1" ht="46">
      <c r="A3" s="27">
        <f>analyse!$B$2</f>
        <v>29187</v>
      </c>
      <c r="B3" s="28">
        <f>INDEX(ch_latest!E1:'ch_latest'!E214,COUNTA(ch_latest!E1:'ch_latest'!E214))</f>
        <v>1149</v>
      </c>
      <c r="C3" s="29">
        <f>MAX(ch_latest!J:J)</f>
        <v>1708</v>
      </c>
      <c r="D3" s="30">
        <f>pivot_1!$D$70</f>
        <v>0</v>
      </c>
      <c r="E3" s="31">
        <f>analyse!$C$5</f>
        <v>199.36436499999999</v>
      </c>
      <c r="F3" s="32">
        <f>analyse!$B$12</f>
        <v>43950</v>
      </c>
    </row>
    <row r="4" spans="1:7" ht="31">
      <c r="A4" s="14">
        <f>analyse!B5</f>
        <v>80</v>
      </c>
      <c r="B4" s="48">
        <f>analyse!$B$17</f>
        <v>-16</v>
      </c>
      <c r="C4" s="23">
        <f>INDEX(ch_latest!O1:'ch_latest'!O214,COUNTA(ch_latest!O1:'ch_latest'!O214)+1)</f>
        <v>4</v>
      </c>
      <c r="D4" s="15"/>
      <c r="E4" s="16"/>
      <c r="F4" s="24">
        <f>analyse!$C$12</f>
        <v>43950.66978009259</v>
      </c>
      <c r="G4" s="25"/>
    </row>
    <row r="6" spans="1:7">
      <c r="G6" s="25"/>
    </row>
  </sheetData>
  <sheetProtection formatCells="0" formatColumns="0" formatRows="0" insertColumns="0" insertRows="0" insertHyperlinks="0" deleteColumns="0" deleteRows="0" sort="0" autoFilter="0" pivotTables="0"/>
  <mergeCells count="1">
    <mergeCell ref="A1:F1"/>
  </mergeCells>
  <pageMargins left="0.7" right="0.7" top="0.78740157499999996" bottom="0.78740157499999996" header="0.3" footer="0.3"/>
  <pageSetup paperSize="9" scale="49" orientation="landscape" verticalDpi="0" r:id="rId1"/>
  <colBreaks count="1" manualBreakCount="1">
    <brk id="6" min="1" max="64"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8B5A1-8A24-42CB-B6DA-0AE728360B4E}">
  <sheetPr codeName="Tabelle1"/>
  <dimension ref="A1:R66"/>
  <sheetViews>
    <sheetView workbookViewId="0">
      <selection activeCell="H70" sqref="H70"/>
    </sheetView>
  </sheetViews>
  <sheetFormatPr baseColWidth="10" defaultRowHeight="14.5"/>
  <cols>
    <col min="1" max="1" width="9.90625" bestFit="1" customWidth="1"/>
    <col min="2" max="2" width="14.90625" bestFit="1" customWidth="1"/>
    <col min="3" max="3" width="9.54296875" bestFit="1" customWidth="1"/>
    <col min="4" max="4" width="15.1796875" bestFit="1" customWidth="1"/>
    <col min="5" max="5" width="18.26953125" bestFit="1" customWidth="1"/>
    <col min="6" max="6" width="23.36328125" bestFit="1" customWidth="1"/>
    <col min="7" max="7" width="14.6328125" bestFit="1" customWidth="1"/>
    <col min="8" max="8" width="17.1796875" bestFit="1" customWidth="1"/>
    <col min="9" max="9" width="10.1796875" bestFit="1" customWidth="1"/>
    <col min="10" max="10" width="8.81640625" bestFit="1" customWidth="1"/>
    <col min="11" max="11" width="18.6328125" bestFit="1" customWidth="1"/>
    <col min="12" max="12" width="14.1796875" bestFit="1" customWidth="1"/>
    <col min="13" max="13" width="13.26953125" bestFit="1" customWidth="1"/>
    <col min="14" max="14" width="27.81640625" bestFit="1" customWidth="1"/>
    <col min="15" max="15" width="13.36328125" bestFit="1" customWidth="1"/>
    <col min="16" max="16" width="12.453125" bestFit="1" customWidth="1"/>
    <col min="17" max="17" width="27.90625" bestFit="1" customWidth="1"/>
    <col min="18" max="18" width="23.6328125" bestFit="1" customWidth="1"/>
  </cols>
  <sheetData>
    <row r="1" spans="1:18">
      <c r="A1" t="s">
        <v>0</v>
      </c>
      <c r="B1" t="s">
        <v>1</v>
      </c>
      <c r="C1" t="s">
        <v>2</v>
      </c>
      <c r="D1" t="s">
        <v>11</v>
      </c>
      <c r="E1" t="s">
        <v>9</v>
      </c>
      <c r="F1" t="s">
        <v>4</v>
      </c>
      <c r="G1" t="s">
        <v>5</v>
      </c>
      <c r="H1" t="s">
        <v>3</v>
      </c>
      <c r="I1" t="s">
        <v>12</v>
      </c>
      <c r="J1" t="s">
        <v>13</v>
      </c>
      <c r="K1" t="s">
        <v>8</v>
      </c>
      <c r="L1" t="s">
        <v>6</v>
      </c>
      <c r="M1" t="s">
        <v>7</v>
      </c>
      <c r="N1" t="s">
        <v>10</v>
      </c>
      <c r="O1" t="s">
        <v>325</v>
      </c>
      <c r="P1" t="s">
        <v>326</v>
      </c>
      <c r="Q1" t="s">
        <v>14</v>
      </c>
      <c r="R1" t="s">
        <v>15</v>
      </c>
    </row>
    <row r="2" spans="1:18">
      <c r="A2" s="2">
        <v>43886</v>
      </c>
      <c r="B2" s="3">
        <v>43950.66978009259</v>
      </c>
      <c r="C2" s="1" t="s">
        <v>16</v>
      </c>
      <c r="D2">
        <v>0</v>
      </c>
      <c r="E2">
        <v>0</v>
      </c>
      <c r="F2">
        <v>1</v>
      </c>
      <c r="G2">
        <v>1</v>
      </c>
      <c r="H2">
        <v>72</v>
      </c>
      <c r="I2">
        <v>0</v>
      </c>
      <c r="J2">
        <v>0</v>
      </c>
      <c r="K2">
        <v>0</v>
      </c>
      <c r="M2">
        <v>0</v>
      </c>
      <c r="N2">
        <v>0</v>
      </c>
      <c r="P2">
        <v>0</v>
      </c>
      <c r="Q2">
        <v>0</v>
      </c>
      <c r="R2">
        <v>0</v>
      </c>
    </row>
    <row r="3" spans="1:18">
      <c r="A3" s="2">
        <v>43887</v>
      </c>
      <c r="B3" s="3">
        <v>43950.66978009259</v>
      </c>
      <c r="C3" s="1" t="s">
        <v>16</v>
      </c>
      <c r="D3">
        <v>0</v>
      </c>
      <c r="E3">
        <v>1</v>
      </c>
      <c r="F3">
        <v>2</v>
      </c>
      <c r="G3">
        <v>2</v>
      </c>
      <c r="H3">
        <v>177</v>
      </c>
      <c r="I3">
        <v>0</v>
      </c>
      <c r="J3">
        <v>0</v>
      </c>
      <c r="K3">
        <v>0</v>
      </c>
      <c r="L3">
        <v>1</v>
      </c>
      <c r="M3">
        <v>1</v>
      </c>
      <c r="N3">
        <v>0</v>
      </c>
      <c r="O3">
        <v>0</v>
      </c>
      <c r="P3">
        <v>0</v>
      </c>
      <c r="Q3">
        <v>0</v>
      </c>
      <c r="R3">
        <v>0</v>
      </c>
    </row>
    <row r="4" spans="1:18">
      <c r="A4" s="2">
        <v>43888</v>
      </c>
      <c r="B4" s="3">
        <v>43950.66978009259</v>
      </c>
      <c r="C4" s="1" t="s">
        <v>16</v>
      </c>
      <c r="D4">
        <v>0</v>
      </c>
      <c r="E4">
        <v>2</v>
      </c>
      <c r="F4">
        <v>6</v>
      </c>
      <c r="G4">
        <v>6</v>
      </c>
      <c r="H4">
        <v>328</v>
      </c>
      <c r="I4">
        <v>0</v>
      </c>
      <c r="J4">
        <v>0</v>
      </c>
      <c r="K4">
        <v>0</v>
      </c>
      <c r="L4">
        <v>4</v>
      </c>
      <c r="M4">
        <v>2</v>
      </c>
      <c r="N4">
        <v>0</v>
      </c>
      <c r="O4">
        <v>0</v>
      </c>
      <c r="P4">
        <v>0</v>
      </c>
      <c r="Q4">
        <v>0</v>
      </c>
      <c r="R4">
        <v>0</v>
      </c>
    </row>
    <row r="5" spans="1:18">
      <c r="A5" s="2">
        <v>43889</v>
      </c>
      <c r="B5" s="3">
        <v>43950.66978009259</v>
      </c>
      <c r="C5" s="1" t="s">
        <v>16</v>
      </c>
      <c r="D5">
        <v>0</v>
      </c>
      <c r="E5">
        <v>12</v>
      </c>
      <c r="F5">
        <v>13</v>
      </c>
      <c r="G5">
        <v>13</v>
      </c>
      <c r="H5">
        <v>535</v>
      </c>
      <c r="I5">
        <v>0</v>
      </c>
      <c r="J5">
        <v>0</v>
      </c>
      <c r="K5">
        <v>0</v>
      </c>
      <c r="L5">
        <v>7</v>
      </c>
      <c r="M5">
        <v>6</v>
      </c>
      <c r="N5">
        <v>0</v>
      </c>
      <c r="O5">
        <v>0</v>
      </c>
      <c r="P5">
        <v>0</v>
      </c>
      <c r="Q5">
        <v>0</v>
      </c>
      <c r="R5">
        <v>0</v>
      </c>
    </row>
    <row r="6" spans="1:18">
      <c r="A6" s="2">
        <v>43890</v>
      </c>
      <c r="B6" s="3">
        <v>43950.66978009259</v>
      </c>
      <c r="C6" s="1" t="s">
        <v>16</v>
      </c>
      <c r="D6">
        <v>0</v>
      </c>
      <c r="E6">
        <v>14</v>
      </c>
      <c r="F6">
        <v>20</v>
      </c>
      <c r="G6">
        <v>20</v>
      </c>
      <c r="H6">
        <v>675</v>
      </c>
      <c r="I6">
        <v>0</v>
      </c>
      <c r="J6">
        <v>0</v>
      </c>
      <c r="K6">
        <v>0</v>
      </c>
      <c r="L6">
        <v>7</v>
      </c>
      <c r="M6">
        <v>13</v>
      </c>
      <c r="N6">
        <v>0</v>
      </c>
      <c r="O6">
        <v>0</v>
      </c>
      <c r="P6">
        <v>0</v>
      </c>
      <c r="Q6">
        <v>0</v>
      </c>
      <c r="R6">
        <v>0</v>
      </c>
    </row>
    <row r="7" spans="1:18">
      <c r="A7" s="2">
        <v>43891</v>
      </c>
      <c r="B7" s="3">
        <v>43950.66978009259</v>
      </c>
      <c r="C7" s="1" t="s">
        <v>16</v>
      </c>
      <c r="D7">
        <v>0</v>
      </c>
      <c r="E7">
        <v>15</v>
      </c>
      <c r="F7">
        <v>27</v>
      </c>
      <c r="G7">
        <v>27</v>
      </c>
      <c r="H7">
        <v>811</v>
      </c>
      <c r="I7">
        <v>0</v>
      </c>
      <c r="J7">
        <v>0</v>
      </c>
      <c r="K7">
        <v>0</v>
      </c>
      <c r="L7">
        <v>7</v>
      </c>
      <c r="M7">
        <v>20</v>
      </c>
      <c r="N7">
        <v>0</v>
      </c>
      <c r="O7">
        <v>0</v>
      </c>
      <c r="P7">
        <v>0</v>
      </c>
      <c r="Q7">
        <v>1.05155</v>
      </c>
      <c r="R7">
        <v>0</v>
      </c>
    </row>
    <row r="8" spans="1:18">
      <c r="A8" s="2">
        <v>43892</v>
      </c>
      <c r="B8" s="3">
        <v>43950.66978009259</v>
      </c>
      <c r="C8" s="1" t="s">
        <v>16</v>
      </c>
      <c r="D8">
        <v>0</v>
      </c>
      <c r="E8">
        <v>21</v>
      </c>
      <c r="F8">
        <v>37</v>
      </c>
      <c r="G8">
        <v>37</v>
      </c>
      <c r="H8">
        <v>1133</v>
      </c>
      <c r="I8">
        <v>0</v>
      </c>
      <c r="J8">
        <v>0</v>
      </c>
      <c r="K8">
        <v>0</v>
      </c>
      <c r="L8">
        <v>10</v>
      </c>
      <c r="M8">
        <v>27</v>
      </c>
      <c r="N8">
        <v>0</v>
      </c>
      <c r="O8">
        <v>0</v>
      </c>
      <c r="P8">
        <v>0</v>
      </c>
      <c r="Q8">
        <v>1.1878029999999999</v>
      </c>
      <c r="R8">
        <v>0</v>
      </c>
    </row>
    <row r="9" spans="1:18">
      <c r="A9" s="2">
        <v>43893</v>
      </c>
      <c r="B9" s="3">
        <v>43950.66978009259</v>
      </c>
      <c r="C9" s="1" t="s">
        <v>16</v>
      </c>
      <c r="D9">
        <v>0</v>
      </c>
      <c r="E9">
        <v>26</v>
      </c>
      <c r="F9">
        <v>54</v>
      </c>
      <c r="G9">
        <v>54</v>
      </c>
      <c r="H9">
        <v>1254</v>
      </c>
      <c r="I9">
        <v>0</v>
      </c>
      <c r="J9">
        <v>0</v>
      </c>
      <c r="K9">
        <v>0</v>
      </c>
      <c r="L9">
        <v>17</v>
      </c>
      <c r="M9">
        <v>37</v>
      </c>
      <c r="N9">
        <v>0</v>
      </c>
      <c r="O9">
        <v>0</v>
      </c>
      <c r="P9">
        <v>0</v>
      </c>
      <c r="Q9">
        <v>1.5773239999999999</v>
      </c>
      <c r="R9">
        <v>0</v>
      </c>
    </row>
    <row r="10" spans="1:18">
      <c r="A10" s="2">
        <v>43894</v>
      </c>
      <c r="B10" s="3">
        <v>43950.66978009259</v>
      </c>
      <c r="C10" s="1" t="s">
        <v>16</v>
      </c>
      <c r="D10">
        <v>1</v>
      </c>
      <c r="E10">
        <v>34</v>
      </c>
      <c r="F10">
        <v>74</v>
      </c>
      <c r="G10">
        <v>74</v>
      </c>
      <c r="H10">
        <v>1365</v>
      </c>
      <c r="I10">
        <v>0</v>
      </c>
      <c r="J10">
        <v>0</v>
      </c>
      <c r="K10">
        <v>0</v>
      </c>
      <c r="L10">
        <v>20</v>
      </c>
      <c r="M10">
        <v>54</v>
      </c>
      <c r="N10">
        <v>0</v>
      </c>
      <c r="O10">
        <v>0</v>
      </c>
      <c r="P10">
        <v>0</v>
      </c>
      <c r="Q10">
        <v>1.992815</v>
      </c>
      <c r="R10">
        <v>0</v>
      </c>
    </row>
    <row r="11" spans="1:18">
      <c r="A11" s="2">
        <v>43895</v>
      </c>
      <c r="B11" s="3">
        <v>43950.66978009259</v>
      </c>
      <c r="C11" s="1" t="s">
        <v>16</v>
      </c>
      <c r="D11">
        <v>1</v>
      </c>
      <c r="E11">
        <v>38</v>
      </c>
      <c r="F11">
        <v>118</v>
      </c>
      <c r="G11">
        <v>118</v>
      </c>
      <c r="H11">
        <v>1432</v>
      </c>
      <c r="I11">
        <v>0</v>
      </c>
      <c r="J11">
        <v>0</v>
      </c>
      <c r="K11">
        <v>0</v>
      </c>
      <c r="L11">
        <v>44</v>
      </c>
      <c r="M11">
        <v>74</v>
      </c>
      <c r="N11">
        <v>0</v>
      </c>
      <c r="O11">
        <v>0</v>
      </c>
      <c r="P11">
        <v>0</v>
      </c>
      <c r="Q11">
        <v>1.95258</v>
      </c>
      <c r="R11">
        <v>0</v>
      </c>
    </row>
    <row r="12" spans="1:18">
      <c r="A12" s="2">
        <v>43896</v>
      </c>
      <c r="B12" s="3">
        <v>43950.66978009259</v>
      </c>
      <c r="C12" s="1" t="s">
        <v>16</v>
      </c>
      <c r="D12">
        <v>4</v>
      </c>
      <c r="E12">
        <v>46</v>
      </c>
      <c r="F12">
        <v>183</v>
      </c>
      <c r="G12">
        <v>183</v>
      </c>
      <c r="H12">
        <v>1534</v>
      </c>
      <c r="I12">
        <v>1</v>
      </c>
      <c r="J12">
        <v>1</v>
      </c>
      <c r="K12">
        <v>0</v>
      </c>
      <c r="L12">
        <v>65</v>
      </c>
      <c r="M12">
        <v>118</v>
      </c>
      <c r="N12">
        <v>0</v>
      </c>
      <c r="O12">
        <v>1</v>
      </c>
      <c r="P12">
        <v>0</v>
      </c>
      <c r="Q12">
        <v>1.811061</v>
      </c>
      <c r="R12">
        <v>0</v>
      </c>
    </row>
    <row r="13" spans="1:18">
      <c r="A13" s="2">
        <v>43897</v>
      </c>
      <c r="B13" s="3">
        <v>43950.66978009259</v>
      </c>
      <c r="C13" s="1" t="s">
        <v>16</v>
      </c>
      <c r="D13">
        <v>6</v>
      </c>
      <c r="E13">
        <v>47</v>
      </c>
      <c r="F13">
        <v>255</v>
      </c>
      <c r="G13">
        <v>255</v>
      </c>
      <c r="H13">
        <v>1609</v>
      </c>
      <c r="I13">
        <v>1</v>
      </c>
      <c r="J13">
        <v>1</v>
      </c>
      <c r="K13">
        <v>0</v>
      </c>
      <c r="L13">
        <v>72</v>
      </c>
      <c r="M13">
        <v>183</v>
      </c>
      <c r="N13">
        <v>0</v>
      </c>
      <c r="O13">
        <v>0</v>
      </c>
      <c r="P13">
        <v>1</v>
      </c>
      <c r="Q13">
        <v>1.7953969999999999</v>
      </c>
      <c r="R13">
        <v>0</v>
      </c>
    </row>
    <row r="14" spans="1:18">
      <c r="A14" s="2">
        <v>43898</v>
      </c>
      <c r="B14" s="3">
        <v>43950.66978009259</v>
      </c>
      <c r="C14" s="1" t="s">
        <v>16</v>
      </c>
      <c r="D14">
        <v>6</v>
      </c>
      <c r="E14">
        <v>60</v>
      </c>
      <c r="F14">
        <v>312</v>
      </c>
      <c r="G14">
        <v>312</v>
      </c>
      <c r="H14">
        <v>1676</v>
      </c>
      <c r="I14">
        <v>1</v>
      </c>
      <c r="J14">
        <v>2</v>
      </c>
      <c r="K14">
        <v>0</v>
      </c>
      <c r="L14">
        <v>57</v>
      </c>
      <c r="M14">
        <v>255</v>
      </c>
      <c r="N14">
        <v>0</v>
      </c>
      <c r="O14">
        <v>1</v>
      </c>
      <c r="P14">
        <v>1</v>
      </c>
      <c r="Q14">
        <v>1.9758830000000001</v>
      </c>
      <c r="R14">
        <v>0</v>
      </c>
    </row>
    <row r="15" spans="1:18">
      <c r="A15" s="2">
        <v>43899</v>
      </c>
      <c r="B15" s="3">
        <v>43950.66978009259</v>
      </c>
      <c r="C15" s="1" t="s">
        <v>16</v>
      </c>
      <c r="D15">
        <v>13</v>
      </c>
      <c r="E15">
        <v>73</v>
      </c>
      <c r="F15">
        <v>396</v>
      </c>
      <c r="G15">
        <v>396</v>
      </c>
      <c r="H15">
        <v>1783</v>
      </c>
      <c r="I15">
        <v>3</v>
      </c>
      <c r="J15">
        <v>2</v>
      </c>
      <c r="K15">
        <v>0</v>
      </c>
      <c r="L15">
        <v>84</v>
      </c>
      <c r="M15">
        <v>312</v>
      </c>
      <c r="N15">
        <v>0</v>
      </c>
      <c r="O15">
        <v>0</v>
      </c>
      <c r="P15">
        <v>2</v>
      </c>
      <c r="Q15">
        <v>2.066198</v>
      </c>
      <c r="R15">
        <v>0</v>
      </c>
    </row>
    <row r="16" spans="1:18">
      <c r="A16" s="2">
        <v>43900</v>
      </c>
      <c r="B16" s="3">
        <v>43950.66978009259</v>
      </c>
      <c r="C16" s="1" t="s">
        <v>16</v>
      </c>
      <c r="D16">
        <v>14</v>
      </c>
      <c r="E16">
        <v>101</v>
      </c>
      <c r="F16">
        <v>534</v>
      </c>
      <c r="G16">
        <v>534</v>
      </c>
      <c r="H16">
        <v>1996</v>
      </c>
      <c r="I16">
        <v>7</v>
      </c>
      <c r="J16">
        <v>4</v>
      </c>
      <c r="K16">
        <v>0</v>
      </c>
      <c r="L16">
        <v>138</v>
      </c>
      <c r="M16">
        <v>396</v>
      </c>
      <c r="N16">
        <v>0</v>
      </c>
      <c r="O16">
        <v>2</v>
      </c>
      <c r="P16">
        <v>2</v>
      </c>
      <c r="Q16">
        <v>2.2956279999999998</v>
      </c>
      <c r="R16">
        <v>0</v>
      </c>
    </row>
    <row r="17" spans="1:18">
      <c r="A17" s="2">
        <v>43901</v>
      </c>
      <c r="B17" s="3">
        <v>43950.66978009259</v>
      </c>
      <c r="C17" s="1" t="s">
        <v>16</v>
      </c>
      <c r="D17">
        <v>17</v>
      </c>
      <c r="E17">
        <v>122</v>
      </c>
      <c r="F17">
        <v>705</v>
      </c>
      <c r="G17">
        <v>705</v>
      </c>
      <c r="H17">
        <v>2247</v>
      </c>
      <c r="I17">
        <v>12</v>
      </c>
      <c r="J17">
        <v>5</v>
      </c>
      <c r="K17">
        <v>0</v>
      </c>
      <c r="L17">
        <v>171</v>
      </c>
      <c r="M17">
        <v>534</v>
      </c>
      <c r="N17">
        <v>0</v>
      </c>
      <c r="O17">
        <v>1</v>
      </c>
      <c r="P17">
        <v>4</v>
      </c>
      <c r="Q17">
        <v>2.5696639999999999</v>
      </c>
      <c r="R17">
        <v>2.1533829999999998</v>
      </c>
    </row>
    <row r="18" spans="1:18">
      <c r="A18" s="2">
        <v>43902</v>
      </c>
      <c r="B18" s="3">
        <v>43950.66978009259</v>
      </c>
      <c r="C18" s="1" t="s">
        <v>16</v>
      </c>
      <c r="D18">
        <v>18</v>
      </c>
      <c r="E18">
        <v>146</v>
      </c>
      <c r="F18">
        <v>1057</v>
      </c>
      <c r="G18">
        <v>1057</v>
      </c>
      <c r="H18">
        <v>2605</v>
      </c>
      <c r="I18">
        <v>13</v>
      </c>
      <c r="J18">
        <v>9</v>
      </c>
      <c r="K18">
        <v>0</v>
      </c>
      <c r="L18">
        <v>352</v>
      </c>
      <c r="M18">
        <v>705</v>
      </c>
      <c r="N18">
        <v>0</v>
      </c>
      <c r="O18">
        <v>4</v>
      </c>
      <c r="P18">
        <v>5</v>
      </c>
      <c r="Q18">
        <v>2.4373520000000002</v>
      </c>
      <c r="R18">
        <v>1.5773239999999999</v>
      </c>
    </row>
    <row r="19" spans="1:18">
      <c r="A19" s="2">
        <v>43903</v>
      </c>
      <c r="B19" s="3">
        <v>43950.66978009259</v>
      </c>
      <c r="C19" s="1" t="s">
        <v>16</v>
      </c>
      <c r="D19">
        <v>33</v>
      </c>
      <c r="E19">
        <v>238</v>
      </c>
      <c r="F19">
        <v>1409</v>
      </c>
      <c r="G19">
        <v>1409</v>
      </c>
      <c r="H19">
        <v>3050</v>
      </c>
      <c r="I19">
        <v>13</v>
      </c>
      <c r="J19">
        <v>10</v>
      </c>
      <c r="K19">
        <v>0</v>
      </c>
      <c r="L19">
        <v>352</v>
      </c>
      <c r="M19">
        <v>1057</v>
      </c>
      <c r="N19">
        <v>0</v>
      </c>
      <c r="O19">
        <v>1</v>
      </c>
      <c r="P19">
        <v>9</v>
      </c>
      <c r="Q19">
        <v>2.298794</v>
      </c>
      <c r="R19">
        <v>2.1533829999999998</v>
      </c>
    </row>
    <row r="20" spans="1:18">
      <c r="A20" s="2">
        <v>43904</v>
      </c>
      <c r="B20" s="3">
        <v>43950.66978009259</v>
      </c>
      <c r="C20" s="1" t="s">
        <v>16</v>
      </c>
      <c r="D20">
        <v>36</v>
      </c>
      <c r="E20">
        <v>263</v>
      </c>
      <c r="F20">
        <v>1743</v>
      </c>
      <c r="G20">
        <v>1743</v>
      </c>
      <c r="H20">
        <v>3675</v>
      </c>
      <c r="I20">
        <v>13</v>
      </c>
      <c r="J20">
        <v>13</v>
      </c>
      <c r="K20">
        <v>0</v>
      </c>
      <c r="L20">
        <v>334</v>
      </c>
      <c r="M20">
        <v>1409</v>
      </c>
      <c r="N20">
        <v>0</v>
      </c>
      <c r="O20">
        <v>3</v>
      </c>
      <c r="P20">
        <v>10</v>
      </c>
      <c r="Q20">
        <v>2.3386339999999999</v>
      </c>
      <c r="R20">
        <v>1.85155</v>
      </c>
    </row>
    <row r="21" spans="1:18">
      <c r="A21" s="2">
        <v>43905</v>
      </c>
      <c r="B21" s="3">
        <v>43950.66978009259</v>
      </c>
      <c r="C21" s="1" t="s">
        <v>16</v>
      </c>
      <c r="D21">
        <v>40</v>
      </c>
      <c r="E21">
        <v>287</v>
      </c>
      <c r="F21">
        <v>2029</v>
      </c>
      <c r="G21">
        <v>2029</v>
      </c>
      <c r="H21">
        <v>4078</v>
      </c>
      <c r="I21">
        <v>16</v>
      </c>
      <c r="J21">
        <v>21</v>
      </c>
      <c r="K21">
        <v>0</v>
      </c>
      <c r="L21">
        <v>286</v>
      </c>
      <c r="M21">
        <v>1743</v>
      </c>
      <c r="N21">
        <v>0</v>
      </c>
      <c r="O21">
        <v>8</v>
      </c>
      <c r="P21">
        <v>13</v>
      </c>
      <c r="Q21">
        <v>2.5962459999999998</v>
      </c>
      <c r="R21">
        <v>2.0900240000000001</v>
      </c>
    </row>
    <row r="22" spans="1:18">
      <c r="A22" s="2">
        <v>43906</v>
      </c>
      <c r="B22" s="3">
        <v>43950.66978009259</v>
      </c>
      <c r="C22" s="1" t="s">
        <v>16</v>
      </c>
      <c r="D22">
        <v>51</v>
      </c>
      <c r="E22">
        <v>360</v>
      </c>
      <c r="F22">
        <v>2750</v>
      </c>
      <c r="G22">
        <v>2750</v>
      </c>
      <c r="H22">
        <v>4773</v>
      </c>
      <c r="I22">
        <v>17</v>
      </c>
      <c r="J22">
        <v>30</v>
      </c>
      <c r="K22">
        <v>0</v>
      </c>
      <c r="L22">
        <v>721</v>
      </c>
      <c r="M22">
        <v>2029</v>
      </c>
      <c r="N22">
        <v>0</v>
      </c>
      <c r="O22">
        <v>9</v>
      </c>
      <c r="P22">
        <v>21</v>
      </c>
      <c r="Q22">
        <v>2.5461670000000001</v>
      </c>
      <c r="R22">
        <v>1.934264</v>
      </c>
    </row>
    <row r="23" spans="1:18">
      <c r="A23" s="2">
        <v>43907</v>
      </c>
      <c r="B23" s="3">
        <v>43950.66978009259</v>
      </c>
      <c r="C23" s="1" t="s">
        <v>16</v>
      </c>
      <c r="D23">
        <v>65</v>
      </c>
      <c r="E23">
        <v>427</v>
      </c>
      <c r="F23">
        <v>3621</v>
      </c>
      <c r="G23">
        <v>3621</v>
      </c>
      <c r="H23">
        <v>5406</v>
      </c>
      <c r="I23">
        <v>47</v>
      </c>
      <c r="J23">
        <v>37</v>
      </c>
      <c r="K23">
        <v>0</v>
      </c>
      <c r="L23">
        <v>871</v>
      </c>
      <c r="M23">
        <v>2750</v>
      </c>
      <c r="N23">
        <v>0</v>
      </c>
      <c r="O23">
        <v>7</v>
      </c>
      <c r="P23">
        <v>30</v>
      </c>
      <c r="Q23">
        <v>2.8146610000000001</v>
      </c>
      <c r="R23">
        <v>2.4515470000000001</v>
      </c>
    </row>
    <row r="24" spans="1:18">
      <c r="A24" s="2">
        <v>43908</v>
      </c>
      <c r="B24" s="3">
        <v>43950.66978009259</v>
      </c>
      <c r="C24" s="1" t="s">
        <v>16</v>
      </c>
      <c r="D24">
        <v>68</v>
      </c>
      <c r="E24">
        <v>490</v>
      </c>
      <c r="F24">
        <v>4792</v>
      </c>
      <c r="G24">
        <v>4792</v>
      </c>
      <c r="H24">
        <v>6314</v>
      </c>
      <c r="I24">
        <v>65</v>
      </c>
      <c r="J24">
        <v>48</v>
      </c>
      <c r="K24">
        <v>0</v>
      </c>
      <c r="L24">
        <v>1171</v>
      </c>
      <c r="M24">
        <v>3621</v>
      </c>
      <c r="N24">
        <v>0</v>
      </c>
      <c r="O24">
        <v>11</v>
      </c>
      <c r="P24">
        <v>37</v>
      </c>
      <c r="Q24">
        <v>2.8313269999999999</v>
      </c>
      <c r="R24">
        <v>2.2094230000000001</v>
      </c>
    </row>
    <row r="25" spans="1:18">
      <c r="A25" s="2">
        <v>43909</v>
      </c>
      <c r="B25" s="3">
        <v>43950.66978009259</v>
      </c>
      <c r="C25" s="1" t="s">
        <v>16</v>
      </c>
      <c r="D25">
        <v>107</v>
      </c>
      <c r="E25">
        <v>689</v>
      </c>
      <c r="F25">
        <v>5819</v>
      </c>
      <c r="G25">
        <v>5819</v>
      </c>
      <c r="H25">
        <v>6974</v>
      </c>
      <c r="I25">
        <v>73</v>
      </c>
      <c r="J25">
        <v>57</v>
      </c>
      <c r="K25">
        <v>0</v>
      </c>
      <c r="L25">
        <v>1027</v>
      </c>
      <c r="M25">
        <v>4792</v>
      </c>
      <c r="N25">
        <v>0</v>
      </c>
      <c r="O25">
        <v>9</v>
      </c>
      <c r="P25">
        <v>48</v>
      </c>
      <c r="Q25">
        <v>2.8748870000000002</v>
      </c>
      <c r="R25">
        <v>2.3447209999999998</v>
      </c>
    </row>
    <row r="26" spans="1:18">
      <c r="A26" s="2">
        <v>43910</v>
      </c>
      <c r="B26" s="3">
        <v>43950.66978009259</v>
      </c>
      <c r="C26" s="1" t="s">
        <v>16</v>
      </c>
      <c r="D26">
        <v>116</v>
      </c>
      <c r="E26">
        <v>797</v>
      </c>
      <c r="F26">
        <v>6954</v>
      </c>
      <c r="G26">
        <v>6954</v>
      </c>
      <c r="H26">
        <v>7388</v>
      </c>
      <c r="I26">
        <v>77</v>
      </c>
      <c r="J26">
        <v>78</v>
      </c>
      <c r="K26">
        <v>0</v>
      </c>
      <c r="L26">
        <v>1135</v>
      </c>
      <c r="M26">
        <v>5819</v>
      </c>
      <c r="N26">
        <v>0</v>
      </c>
      <c r="O26">
        <v>21</v>
      </c>
      <c r="P26">
        <v>57</v>
      </c>
      <c r="Q26">
        <v>2.8136139999999998</v>
      </c>
      <c r="R26">
        <v>2.6411920000000002</v>
      </c>
    </row>
    <row r="27" spans="1:18">
      <c r="A27" s="2">
        <v>43911</v>
      </c>
      <c r="B27" s="3">
        <v>43950.66978009259</v>
      </c>
      <c r="C27" s="1" t="s">
        <v>16</v>
      </c>
      <c r="D27">
        <v>137</v>
      </c>
      <c r="E27">
        <v>904</v>
      </c>
      <c r="F27">
        <v>7651</v>
      </c>
      <c r="G27">
        <v>7651</v>
      </c>
      <c r="H27">
        <v>7750</v>
      </c>
      <c r="I27">
        <v>91</v>
      </c>
      <c r="J27">
        <v>98</v>
      </c>
      <c r="K27">
        <v>0</v>
      </c>
      <c r="L27">
        <v>697</v>
      </c>
      <c r="M27">
        <v>6954</v>
      </c>
      <c r="N27">
        <v>0</v>
      </c>
      <c r="O27">
        <v>20</v>
      </c>
      <c r="P27">
        <v>78</v>
      </c>
      <c r="Q27">
        <v>3.3870369999999999</v>
      </c>
      <c r="R27">
        <v>2.9277099999999998</v>
      </c>
    </row>
    <row r="28" spans="1:18">
      <c r="A28" s="2">
        <v>43912</v>
      </c>
      <c r="B28" s="3">
        <v>43950.66978009259</v>
      </c>
      <c r="C28" s="1" t="s">
        <v>16</v>
      </c>
      <c r="D28">
        <v>168</v>
      </c>
      <c r="E28">
        <v>1090</v>
      </c>
      <c r="F28">
        <v>8220</v>
      </c>
      <c r="G28">
        <v>8220</v>
      </c>
      <c r="H28">
        <v>7985</v>
      </c>
      <c r="I28">
        <v>107</v>
      </c>
      <c r="J28">
        <v>113</v>
      </c>
      <c r="K28">
        <v>0</v>
      </c>
      <c r="L28">
        <v>569</v>
      </c>
      <c r="M28">
        <v>7651</v>
      </c>
      <c r="N28">
        <v>0</v>
      </c>
      <c r="O28">
        <v>15</v>
      </c>
      <c r="P28">
        <v>98</v>
      </c>
      <c r="Q28">
        <v>4.2274349999999998</v>
      </c>
      <c r="R28">
        <v>3.1041910000000001</v>
      </c>
    </row>
    <row r="29" spans="1:18">
      <c r="A29" s="2">
        <v>43913</v>
      </c>
      <c r="B29" s="3">
        <v>43950.66978009259</v>
      </c>
      <c r="C29" s="1" t="s">
        <v>16</v>
      </c>
      <c r="D29">
        <v>202</v>
      </c>
      <c r="E29">
        <v>1207</v>
      </c>
      <c r="F29">
        <v>9780</v>
      </c>
      <c r="G29">
        <v>9780</v>
      </c>
      <c r="H29">
        <v>8363</v>
      </c>
      <c r="I29">
        <v>127</v>
      </c>
      <c r="J29">
        <v>143</v>
      </c>
      <c r="K29">
        <v>0</v>
      </c>
      <c r="L29">
        <v>1560</v>
      </c>
      <c r="M29">
        <v>8220</v>
      </c>
      <c r="N29">
        <v>0</v>
      </c>
      <c r="O29">
        <v>30</v>
      </c>
      <c r="P29">
        <v>113</v>
      </c>
      <c r="Q29">
        <v>4.8581110000000001</v>
      </c>
      <c r="R29">
        <v>3.1747869999999998</v>
      </c>
    </row>
    <row r="30" spans="1:18">
      <c r="A30" s="2">
        <v>43914</v>
      </c>
      <c r="B30" s="3">
        <v>43950.66978009259</v>
      </c>
      <c r="C30" s="1" t="s">
        <v>16</v>
      </c>
      <c r="D30">
        <v>204</v>
      </c>
      <c r="E30">
        <v>1364</v>
      </c>
      <c r="F30">
        <v>10851</v>
      </c>
      <c r="G30">
        <v>10851</v>
      </c>
      <c r="H30">
        <v>8706</v>
      </c>
      <c r="I30">
        <v>279</v>
      </c>
      <c r="J30">
        <v>165</v>
      </c>
      <c r="K30">
        <v>0</v>
      </c>
      <c r="L30">
        <v>1071</v>
      </c>
      <c r="M30">
        <v>9780</v>
      </c>
      <c r="N30">
        <v>0</v>
      </c>
      <c r="O30">
        <v>22</v>
      </c>
      <c r="P30">
        <v>143</v>
      </c>
      <c r="Q30">
        <v>5.5618290000000004</v>
      </c>
      <c r="R30">
        <v>3.260659</v>
      </c>
    </row>
    <row r="31" spans="1:18">
      <c r="A31" s="2">
        <v>43915</v>
      </c>
      <c r="B31" s="3">
        <v>43950.66978009259</v>
      </c>
      <c r="C31" s="1" t="s">
        <v>16</v>
      </c>
      <c r="D31">
        <v>239</v>
      </c>
      <c r="E31">
        <v>1464</v>
      </c>
      <c r="F31">
        <v>11945</v>
      </c>
      <c r="G31">
        <v>11945</v>
      </c>
      <c r="H31">
        <v>9111</v>
      </c>
      <c r="I31">
        <v>333</v>
      </c>
      <c r="J31">
        <v>200</v>
      </c>
      <c r="K31">
        <v>0</v>
      </c>
      <c r="L31">
        <v>1094</v>
      </c>
      <c r="M31">
        <v>10851</v>
      </c>
      <c r="N31">
        <v>0</v>
      </c>
      <c r="O31">
        <v>35</v>
      </c>
      <c r="P31">
        <v>165</v>
      </c>
      <c r="Q31">
        <v>6.4062169999999998</v>
      </c>
      <c r="R31">
        <v>3.6806549999999998</v>
      </c>
    </row>
    <row r="32" spans="1:18">
      <c r="A32" s="2">
        <v>43916</v>
      </c>
      <c r="B32" s="3">
        <v>43950.66978009259</v>
      </c>
      <c r="C32" s="1" t="s">
        <v>16</v>
      </c>
      <c r="D32">
        <v>268</v>
      </c>
      <c r="E32">
        <v>1610</v>
      </c>
      <c r="F32">
        <v>13084</v>
      </c>
      <c r="G32">
        <v>13084</v>
      </c>
      <c r="H32">
        <v>10418</v>
      </c>
      <c r="I32">
        <v>412</v>
      </c>
      <c r="J32">
        <v>246</v>
      </c>
      <c r="K32">
        <v>0</v>
      </c>
      <c r="L32">
        <v>1139</v>
      </c>
      <c r="M32">
        <v>11945</v>
      </c>
      <c r="N32">
        <v>0</v>
      </c>
      <c r="O32">
        <v>46</v>
      </c>
      <c r="P32">
        <v>200</v>
      </c>
      <c r="Q32">
        <v>6.4592520000000002</v>
      </c>
      <c r="R32">
        <v>3.7656139999999998</v>
      </c>
    </row>
    <row r="33" spans="1:18">
      <c r="A33" s="2">
        <v>43917</v>
      </c>
      <c r="B33" s="3">
        <v>43950.66978009259</v>
      </c>
      <c r="C33" s="1" t="s">
        <v>16</v>
      </c>
      <c r="D33">
        <v>292</v>
      </c>
      <c r="E33">
        <v>1792</v>
      </c>
      <c r="F33">
        <v>14392</v>
      </c>
      <c r="G33">
        <v>14392</v>
      </c>
      <c r="H33">
        <v>10808</v>
      </c>
      <c r="I33">
        <v>481</v>
      </c>
      <c r="J33">
        <v>282</v>
      </c>
      <c r="K33">
        <v>0</v>
      </c>
      <c r="L33">
        <v>1308</v>
      </c>
      <c r="M33">
        <v>13084</v>
      </c>
      <c r="N33">
        <v>0</v>
      </c>
      <c r="O33">
        <v>36</v>
      </c>
      <c r="P33">
        <v>246</v>
      </c>
      <c r="Q33">
        <v>6.187684</v>
      </c>
      <c r="R33">
        <v>3.7896809999999999</v>
      </c>
    </row>
    <row r="34" spans="1:18">
      <c r="A34" s="2">
        <v>43918</v>
      </c>
      <c r="B34" s="3">
        <v>43950.66978009259</v>
      </c>
      <c r="C34" s="1" t="s">
        <v>16</v>
      </c>
      <c r="D34">
        <v>323</v>
      </c>
      <c r="E34">
        <v>1880</v>
      </c>
      <c r="F34">
        <v>15225</v>
      </c>
      <c r="G34">
        <v>15225</v>
      </c>
      <c r="H34">
        <v>11401</v>
      </c>
      <c r="I34">
        <v>551</v>
      </c>
      <c r="J34">
        <v>334</v>
      </c>
      <c r="K34">
        <v>0</v>
      </c>
      <c r="L34">
        <v>833</v>
      </c>
      <c r="M34">
        <v>14392</v>
      </c>
      <c r="N34">
        <v>0</v>
      </c>
      <c r="O34">
        <v>52</v>
      </c>
      <c r="P34">
        <v>282</v>
      </c>
      <c r="Q34">
        <v>7.8304140000000002</v>
      </c>
      <c r="R34">
        <v>4.0855249999999996</v>
      </c>
    </row>
    <row r="35" spans="1:18">
      <c r="A35" s="2">
        <v>43919</v>
      </c>
      <c r="B35" s="3">
        <v>43950.66978009259</v>
      </c>
      <c r="C35" s="1" t="s">
        <v>16</v>
      </c>
      <c r="D35">
        <v>337</v>
      </c>
      <c r="E35">
        <v>1994</v>
      </c>
      <c r="F35">
        <v>15823</v>
      </c>
      <c r="G35">
        <v>15823</v>
      </c>
      <c r="H35">
        <v>11710</v>
      </c>
      <c r="I35">
        <v>601</v>
      </c>
      <c r="J35">
        <v>378</v>
      </c>
      <c r="K35">
        <v>0</v>
      </c>
      <c r="L35">
        <v>598</v>
      </c>
      <c r="M35">
        <v>15225</v>
      </c>
      <c r="N35">
        <v>0</v>
      </c>
      <c r="O35">
        <v>44</v>
      </c>
      <c r="P35">
        <v>334</v>
      </c>
      <c r="Q35">
        <v>9.1878799999999998</v>
      </c>
      <c r="R35">
        <v>4.1808810000000003</v>
      </c>
    </row>
    <row r="36" spans="1:18">
      <c r="A36" s="2">
        <v>43920</v>
      </c>
      <c r="B36" s="3">
        <v>43950.66978009259</v>
      </c>
      <c r="C36" s="1" t="s">
        <v>16</v>
      </c>
      <c r="D36">
        <v>384</v>
      </c>
      <c r="E36">
        <v>2179</v>
      </c>
      <c r="F36">
        <v>16938</v>
      </c>
      <c r="G36">
        <v>16938</v>
      </c>
      <c r="H36">
        <v>12376</v>
      </c>
      <c r="I36">
        <v>716</v>
      </c>
      <c r="J36">
        <v>437</v>
      </c>
      <c r="K36">
        <v>0</v>
      </c>
      <c r="L36">
        <v>1115</v>
      </c>
      <c r="M36">
        <v>15823</v>
      </c>
      <c r="N36">
        <v>0</v>
      </c>
      <c r="O36">
        <v>59</v>
      </c>
      <c r="P36">
        <v>378</v>
      </c>
      <c r="Q36">
        <v>9.9234570000000009</v>
      </c>
      <c r="R36">
        <v>4.4340659999999996</v>
      </c>
    </row>
    <row r="37" spans="1:18">
      <c r="A37" s="2">
        <v>43921</v>
      </c>
      <c r="B37" s="3">
        <v>43950.66978009259</v>
      </c>
      <c r="C37" s="1" t="s">
        <v>16</v>
      </c>
      <c r="D37">
        <v>410</v>
      </c>
      <c r="E37">
        <v>2207</v>
      </c>
      <c r="F37">
        <v>17876</v>
      </c>
      <c r="G37">
        <v>17876</v>
      </c>
      <c r="H37">
        <v>13136</v>
      </c>
      <c r="I37">
        <v>1083</v>
      </c>
      <c r="J37">
        <v>503</v>
      </c>
      <c r="K37">
        <v>0</v>
      </c>
      <c r="L37">
        <v>938</v>
      </c>
      <c r="M37">
        <v>16938</v>
      </c>
      <c r="N37">
        <v>0</v>
      </c>
      <c r="O37">
        <v>66</v>
      </c>
      <c r="P37">
        <v>437</v>
      </c>
      <c r="Q37">
        <v>11.105675</v>
      </c>
      <c r="R37">
        <v>4.8454300000000003</v>
      </c>
    </row>
    <row r="38" spans="1:18">
      <c r="A38" s="2">
        <v>43922</v>
      </c>
      <c r="B38" s="3">
        <v>43950.66978009259</v>
      </c>
      <c r="C38" s="1" t="s">
        <v>16</v>
      </c>
      <c r="D38">
        <v>441</v>
      </c>
      <c r="E38">
        <v>2287</v>
      </c>
      <c r="F38">
        <v>18904</v>
      </c>
      <c r="G38">
        <v>18904</v>
      </c>
      <c r="H38">
        <v>13794</v>
      </c>
      <c r="I38">
        <v>1254</v>
      </c>
      <c r="J38">
        <v>566</v>
      </c>
      <c r="K38">
        <v>0</v>
      </c>
      <c r="L38">
        <v>1028</v>
      </c>
      <c r="M38">
        <v>17876</v>
      </c>
      <c r="N38">
        <v>0</v>
      </c>
      <c r="O38">
        <v>63</v>
      </c>
      <c r="P38">
        <v>503</v>
      </c>
      <c r="Q38">
        <v>12.708921</v>
      </c>
      <c r="R38">
        <v>4.9745949999999999</v>
      </c>
    </row>
    <row r="39" spans="1:18">
      <c r="A39" s="2">
        <v>43923</v>
      </c>
      <c r="B39" s="3">
        <v>43950.66978009259</v>
      </c>
      <c r="C39" s="1" t="s">
        <v>16</v>
      </c>
      <c r="D39">
        <v>446</v>
      </c>
      <c r="E39">
        <v>2351</v>
      </c>
      <c r="F39">
        <v>19949</v>
      </c>
      <c r="G39">
        <v>19949</v>
      </c>
      <c r="H39">
        <v>14743</v>
      </c>
      <c r="I39">
        <v>1465</v>
      </c>
      <c r="J39">
        <v>627</v>
      </c>
      <c r="K39">
        <v>0</v>
      </c>
      <c r="L39">
        <v>1045</v>
      </c>
      <c r="M39">
        <v>18904</v>
      </c>
      <c r="N39">
        <v>0</v>
      </c>
      <c r="O39">
        <v>61</v>
      </c>
      <c r="P39">
        <v>566</v>
      </c>
      <c r="Q39">
        <v>12.82465</v>
      </c>
      <c r="R39">
        <v>5.5028670000000002</v>
      </c>
    </row>
    <row r="40" spans="1:18">
      <c r="A40" s="2">
        <v>43924</v>
      </c>
      <c r="B40" s="3">
        <v>43950.66978009259</v>
      </c>
      <c r="C40" s="1" t="s">
        <v>16</v>
      </c>
      <c r="D40">
        <v>456</v>
      </c>
      <c r="E40">
        <v>2332</v>
      </c>
      <c r="F40">
        <v>20878</v>
      </c>
      <c r="G40">
        <v>20878</v>
      </c>
      <c r="H40">
        <v>15572</v>
      </c>
      <c r="I40">
        <v>1571</v>
      </c>
      <c r="J40">
        <v>688</v>
      </c>
      <c r="K40">
        <v>0</v>
      </c>
      <c r="L40">
        <v>929</v>
      </c>
      <c r="M40">
        <v>19949</v>
      </c>
      <c r="N40">
        <v>0</v>
      </c>
      <c r="O40">
        <v>61</v>
      </c>
      <c r="P40">
        <v>627</v>
      </c>
      <c r="Q40">
        <v>12.501239</v>
      </c>
      <c r="R40">
        <v>5.7868870000000001</v>
      </c>
    </row>
    <row r="41" spans="1:18">
      <c r="A41" s="2">
        <v>43925</v>
      </c>
      <c r="B41" s="3">
        <v>43950.66978009259</v>
      </c>
      <c r="C41" s="1" t="s">
        <v>16</v>
      </c>
      <c r="D41">
        <v>458</v>
      </c>
      <c r="E41">
        <v>2320</v>
      </c>
      <c r="F41">
        <v>21445</v>
      </c>
      <c r="G41">
        <v>21445</v>
      </c>
      <c r="H41">
        <v>16167</v>
      </c>
      <c r="I41">
        <v>1726</v>
      </c>
      <c r="J41">
        <v>754</v>
      </c>
      <c r="K41">
        <v>0</v>
      </c>
      <c r="L41">
        <v>567</v>
      </c>
      <c r="M41">
        <v>20878</v>
      </c>
      <c r="N41">
        <v>0</v>
      </c>
      <c r="O41">
        <v>66</v>
      </c>
      <c r="P41">
        <v>688</v>
      </c>
      <c r="Q41">
        <v>14.68956</v>
      </c>
      <c r="R41">
        <v>6.3537949999999999</v>
      </c>
    </row>
    <row r="42" spans="1:18">
      <c r="A42" s="2">
        <v>43926</v>
      </c>
      <c r="B42" s="3">
        <v>43950.66978009259</v>
      </c>
      <c r="C42" s="1" t="s">
        <v>16</v>
      </c>
      <c r="D42">
        <v>448</v>
      </c>
      <c r="E42">
        <v>2305</v>
      </c>
      <c r="F42">
        <v>21828</v>
      </c>
      <c r="G42">
        <v>21828</v>
      </c>
      <c r="H42">
        <v>16468</v>
      </c>
      <c r="I42">
        <v>1886</v>
      </c>
      <c r="J42">
        <v>806</v>
      </c>
      <c r="K42">
        <v>0</v>
      </c>
      <c r="L42">
        <v>383</v>
      </c>
      <c r="M42">
        <v>21445</v>
      </c>
      <c r="N42">
        <v>0</v>
      </c>
      <c r="O42">
        <v>52</v>
      </c>
      <c r="P42">
        <v>754</v>
      </c>
      <c r="Q42">
        <v>17.351711999999999</v>
      </c>
      <c r="R42">
        <v>7.3505479999999999</v>
      </c>
    </row>
    <row r="43" spans="1:18">
      <c r="A43" s="2">
        <v>43927</v>
      </c>
      <c r="B43" s="3">
        <v>43950.66978009259</v>
      </c>
      <c r="C43" s="1" t="s">
        <v>16</v>
      </c>
      <c r="D43">
        <v>447</v>
      </c>
      <c r="E43">
        <v>2309</v>
      </c>
      <c r="F43">
        <v>22570</v>
      </c>
      <c r="G43">
        <v>22570</v>
      </c>
      <c r="H43">
        <v>17111</v>
      </c>
      <c r="I43">
        <v>2009</v>
      </c>
      <c r="J43">
        <v>865</v>
      </c>
      <c r="K43">
        <v>0</v>
      </c>
      <c r="L43">
        <v>742</v>
      </c>
      <c r="M43">
        <v>21828</v>
      </c>
      <c r="N43">
        <v>0</v>
      </c>
      <c r="O43">
        <v>59</v>
      </c>
      <c r="P43">
        <v>806</v>
      </c>
      <c r="Q43">
        <v>19.553027</v>
      </c>
      <c r="R43">
        <v>8.1712950000000006</v>
      </c>
    </row>
    <row r="44" spans="1:18">
      <c r="A44" s="2">
        <v>43928</v>
      </c>
      <c r="B44" s="3">
        <v>43950.66978009259</v>
      </c>
      <c r="C44" s="1" t="s">
        <v>16</v>
      </c>
      <c r="D44">
        <v>441</v>
      </c>
      <c r="E44">
        <v>2227</v>
      </c>
      <c r="F44">
        <v>23222</v>
      </c>
      <c r="G44">
        <v>23222</v>
      </c>
      <c r="H44">
        <v>17953</v>
      </c>
      <c r="I44">
        <v>2370</v>
      </c>
      <c r="J44">
        <v>925</v>
      </c>
      <c r="K44">
        <v>0</v>
      </c>
      <c r="L44">
        <v>652</v>
      </c>
      <c r="M44">
        <v>22570</v>
      </c>
      <c r="N44">
        <v>0</v>
      </c>
      <c r="O44">
        <v>60</v>
      </c>
      <c r="P44">
        <v>865</v>
      </c>
      <c r="Q44">
        <v>22.812736999999998</v>
      </c>
      <c r="R44">
        <v>8.9128480000000003</v>
      </c>
    </row>
    <row r="45" spans="1:18">
      <c r="A45" s="2">
        <v>43929</v>
      </c>
      <c r="B45" s="3">
        <v>43950.66978009259</v>
      </c>
      <c r="C45" s="1" t="s">
        <v>16</v>
      </c>
      <c r="D45">
        <v>438</v>
      </c>
      <c r="E45">
        <v>2139</v>
      </c>
      <c r="F45">
        <v>23892</v>
      </c>
      <c r="G45">
        <v>23892</v>
      </c>
      <c r="H45">
        <v>18762</v>
      </c>
      <c r="I45">
        <v>2587</v>
      </c>
      <c r="J45">
        <v>993</v>
      </c>
      <c r="K45">
        <v>0</v>
      </c>
      <c r="L45">
        <v>670</v>
      </c>
      <c r="M45">
        <v>23222</v>
      </c>
      <c r="N45">
        <v>0</v>
      </c>
      <c r="O45">
        <v>68</v>
      </c>
      <c r="P45">
        <v>925</v>
      </c>
      <c r="Q45">
        <v>25.701111999999998</v>
      </c>
      <c r="R45">
        <v>9.4449190000000005</v>
      </c>
    </row>
    <row r="46" spans="1:18">
      <c r="A46" s="2">
        <v>43930</v>
      </c>
      <c r="B46" s="3">
        <v>43950.66978009259</v>
      </c>
      <c r="C46" s="1" t="s">
        <v>16</v>
      </c>
      <c r="D46">
        <v>430</v>
      </c>
      <c r="E46">
        <v>2071</v>
      </c>
      <c r="F46">
        <v>24560</v>
      </c>
      <c r="G46">
        <v>24560</v>
      </c>
      <c r="H46">
        <v>19279</v>
      </c>
      <c r="I46">
        <v>2737</v>
      </c>
      <c r="J46">
        <v>1044</v>
      </c>
      <c r="K46">
        <v>0</v>
      </c>
      <c r="L46">
        <v>668</v>
      </c>
      <c r="M46">
        <v>23892</v>
      </c>
      <c r="N46">
        <v>0</v>
      </c>
      <c r="O46">
        <v>51</v>
      </c>
      <c r="P46">
        <v>993</v>
      </c>
      <c r="Q46">
        <v>25.553325999999998</v>
      </c>
      <c r="R46">
        <v>10.649960999999999</v>
      </c>
    </row>
    <row r="47" spans="1:18">
      <c r="A47" s="2">
        <v>43931</v>
      </c>
      <c r="B47" s="3">
        <v>43950.66978009259</v>
      </c>
      <c r="C47" s="1" t="s">
        <v>16</v>
      </c>
      <c r="D47">
        <v>418</v>
      </c>
      <c r="E47">
        <v>2011</v>
      </c>
      <c r="F47">
        <v>25010</v>
      </c>
      <c r="G47">
        <v>25010</v>
      </c>
      <c r="H47">
        <v>19695</v>
      </c>
      <c r="I47">
        <v>2821</v>
      </c>
      <c r="J47">
        <v>1094</v>
      </c>
      <c r="K47">
        <v>0</v>
      </c>
      <c r="L47">
        <v>450</v>
      </c>
      <c r="M47">
        <v>24560</v>
      </c>
      <c r="N47">
        <v>0</v>
      </c>
      <c r="O47">
        <v>50</v>
      </c>
      <c r="P47">
        <v>1044</v>
      </c>
      <c r="Q47">
        <v>25.467960000000001</v>
      </c>
      <c r="R47">
        <v>11.344016999999999</v>
      </c>
    </row>
    <row r="48" spans="1:18">
      <c r="A48" s="2">
        <v>43932</v>
      </c>
      <c r="B48" s="3">
        <v>43950.66978009259</v>
      </c>
      <c r="C48" s="1" t="s">
        <v>16</v>
      </c>
      <c r="D48">
        <v>418</v>
      </c>
      <c r="E48">
        <v>1936</v>
      </c>
      <c r="F48">
        <v>25473</v>
      </c>
      <c r="G48">
        <v>25473</v>
      </c>
      <c r="H48">
        <v>20057</v>
      </c>
      <c r="I48">
        <v>2987</v>
      </c>
      <c r="J48">
        <v>1131</v>
      </c>
      <c r="K48">
        <v>0</v>
      </c>
      <c r="L48">
        <v>463</v>
      </c>
      <c r="M48">
        <v>25010</v>
      </c>
      <c r="N48">
        <v>0</v>
      </c>
      <c r="O48">
        <v>37</v>
      </c>
      <c r="P48">
        <v>1094</v>
      </c>
      <c r="Q48">
        <v>28.643042999999999</v>
      </c>
      <c r="R48">
        <v>12.925678</v>
      </c>
    </row>
    <row r="49" spans="1:18">
      <c r="A49" s="2">
        <v>43933</v>
      </c>
      <c r="B49" s="3">
        <v>43950.66978009259</v>
      </c>
      <c r="C49" s="1" t="s">
        <v>16</v>
      </c>
      <c r="D49">
        <v>407</v>
      </c>
      <c r="E49">
        <v>1913</v>
      </c>
      <c r="F49">
        <v>25746</v>
      </c>
      <c r="G49">
        <v>25746</v>
      </c>
      <c r="H49">
        <v>20233</v>
      </c>
      <c r="I49">
        <v>3089</v>
      </c>
      <c r="J49">
        <v>1187</v>
      </c>
      <c r="K49">
        <v>0</v>
      </c>
      <c r="L49">
        <v>273</v>
      </c>
      <c r="M49">
        <v>25473</v>
      </c>
      <c r="N49">
        <v>0</v>
      </c>
      <c r="O49">
        <v>56</v>
      </c>
      <c r="P49">
        <v>1131</v>
      </c>
      <c r="Q49">
        <v>33.589492</v>
      </c>
      <c r="R49">
        <v>13.896815</v>
      </c>
    </row>
    <row r="50" spans="1:18">
      <c r="A50" s="2">
        <v>43934</v>
      </c>
      <c r="B50" s="3">
        <v>43950.66978009259</v>
      </c>
      <c r="C50" s="1" t="s">
        <v>16</v>
      </c>
      <c r="D50">
        <v>403</v>
      </c>
      <c r="E50">
        <v>1896</v>
      </c>
      <c r="F50">
        <v>25997</v>
      </c>
      <c r="G50">
        <v>25997</v>
      </c>
      <c r="H50">
        <v>20538</v>
      </c>
      <c r="I50">
        <v>3169</v>
      </c>
      <c r="J50">
        <v>1217</v>
      </c>
      <c r="K50">
        <v>0</v>
      </c>
      <c r="L50">
        <v>251</v>
      </c>
      <c r="M50">
        <v>25746</v>
      </c>
      <c r="N50">
        <v>0</v>
      </c>
      <c r="O50">
        <v>30</v>
      </c>
      <c r="P50">
        <v>1187</v>
      </c>
      <c r="Q50">
        <v>41.044998</v>
      </c>
      <c r="R50">
        <v>17.037890999999998</v>
      </c>
    </row>
    <row r="51" spans="1:18">
      <c r="A51" s="2">
        <v>43935</v>
      </c>
      <c r="B51" s="3">
        <v>43950.66978009259</v>
      </c>
      <c r="C51" s="1" t="s">
        <v>16</v>
      </c>
      <c r="D51">
        <v>390</v>
      </c>
      <c r="E51">
        <v>1857</v>
      </c>
      <c r="F51">
        <v>26319</v>
      </c>
      <c r="G51">
        <v>26319</v>
      </c>
      <c r="H51">
        <v>21085</v>
      </c>
      <c r="I51">
        <v>3331</v>
      </c>
      <c r="J51">
        <v>1255</v>
      </c>
      <c r="K51">
        <v>0</v>
      </c>
      <c r="L51">
        <v>322</v>
      </c>
      <c r="M51">
        <v>25997</v>
      </c>
      <c r="N51">
        <v>0</v>
      </c>
      <c r="O51">
        <v>38</v>
      </c>
      <c r="P51">
        <v>1217</v>
      </c>
      <c r="Q51">
        <v>50.103155999999998</v>
      </c>
      <c r="R51">
        <v>18.827736000000002</v>
      </c>
    </row>
    <row r="52" spans="1:18">
      <c r="A52" s="2">
        <v>43936</v>
      </c>
      <c r="B52" s="3">
        <v>43950.66978009259</v>
      </c>
      <c r="C52" s="1" t="s">
        <v>16</v>
      </c>
      <c r="D52">
        <v>368</v>
      </c>
      <c r="E52">
        <v>1734</v>
      </c>
      <c r="F52">
        <v>26637</v>
      </c>
      <c r="G52">
        <v>26637</v>
      </c>
      <c r="H52">
        <v>21546</v>
      </c>
      <c r="I52">
        <v>3495</v>
      </c>
      <c r="J52">
        <v>1308</v>
      </c>
      <c r="K52">
        <v>0</v>
      </c>
      <c r="L52">
        <v>318</v>
      </c>
      <c r="M52">
        <v>26319</v>
      </c>
      <c r="N52">
        <v>0</v>
      </c>
      <c r="O52">
        <v>53</v>
      </c>
      <c r="P52">
        <v>1255</v>
      </c>
      <c r="Q52">
        <v>54.989438999999997</v>
      </c>
      <c r="R52">
        <v>19.398657</v>
      </c>
    </row>
    <row r="53" spans="1:18">
      <c r="A53" s="2">
        <v>43937</v>
      </c>
      <c r="B53" s="3">
        <v>43950.66978009259</v>
      </c>
      <c r="C53" s="1" t="s">
        <v>16</v>
      </c>
      <c r="D53">
        <v>348</v>
      </c>
      <c r="E53">
        <v>1679</v>
      </c>
      <c r="F53">
        <v>26936</v>
      </c>
      <c r="G53">
        <v>26936</v>
      </c>
      <c r="H53">
        <v>22229</v>
      </c>
      <c r="I53">
        <v>3655</v>
      </c>
      <c r="J53">
        <v>1353</v>
      </c>
      <c r="K53">
        <v>0</v>
      </c>
      <c r="L53">
        <v>299</v>
      </c>
      <c r="M53">
        <v>26637</v>
      </c>
      <c r="N53">
        <v>0</v>
      </c>
      <c r="O53">
        <v>45</v>
      </c>
      <c r="P53">
        <v>1308</v>
      </c>
      <c r="Q53">
        <v>62.060343000000003</v>
      </c>
      <c r="R53">
        <v>19.337654000000001</v>
      </c>
    </row>
    <row r="54" spans="1:18">
      <c r="A54" s="2">
        <v>43938</v>
      </c>
      <c r="B54" s="3">
        <v>43950.66978009259</v>
      </c>
      <c r="C54" s="1" t="s">
        <v>16</v>
      </c>
      <c r="D54">
        <v>335</v>
      </c>
      <c r="E54">
        <v>1580</v>
      </c>
      <c r="F54">
        <v>27249</v>
      </c>
      <c r="G54">
        <v>27249</v>
      </c>
      <c r="H54">
        <v>22670</v>
      </c>
      <c r="I54">
        <v>3763</v>
      </c>
      <c r="J54">
        <v>1399</v>
      </c>
      <c r="K54">
        <v>0</v>
      </c>
      <c r="L54">
        <v>313</v>
      </c>
      <c r="M54">
        <v>26936</v>
      </c>
      <c r="N54">
        <v>0</v>
      </c>
      <c r="O54">
        <v>46</v>
      </c>
      <c r="P54">
        <v>1353</v>
      </c>
      <c r="Q54">
        <v>61.083638999999998</v>
      </c>
      <c r="R54">
        <v>21.090281000000001</v>
      </c>
    </row>
    <row r="55" spans="1:18">
      <c r="A55" s="2">
        <v>43939</v>
      </c>
      <c r="B55" s="3">
        <v>43950.66978009259</v>
      </c>
      <c r="C55" s="1" t="s">
        <v>16</v>
      </c>
      <c r="D55">
        <v>321</v>
      </c>
      <c r="E55">
        <v>1529</v>
      </c>
      <c r="F55">
        <v>27542</v>
      </c>
      <c r="G55">
        <v>27542</v>
      </c>
      <c r="H55">
        <v>23112</v>
      </c>
      <c r="I55">
        <v>3878</v>
      </c>
      <c r="J55">
        <v>1441</v>
      </c>
      <c r="K55">
        <v>0</v>
      </c>
      <c r="L55">
        <v>293</v>
      </c>
      <c r="M55">
        <v>27249</v>
      </c>
      <c r="N55">
        <v>0</v>
      </c>
      <c r="O55">
        <v>42</v>
      </c>
      <c r="P55">
        <v>1399</v>
      </c>
      <c r="Q55">
        <v>60.032530000000001</v>
      </c>
      <c r="R55">
        <v>20.513563999999999</v>
      </c>
    </row>
    <row r="56" spans="1:18">
      <c r="A56" s="2">
        <v>43940</v>
      </c>
      <c r="B56" s="3">
        <v>43950.66978009259</v>
      </c>
      <c r="C56" s="1" t="s">
        <v>16</v>
      </c>
      <c r="D56">
        <v>313</v>
      </c>
      <c r="E56">
        <v>1523</v>
      </c>
      <c r="F56">
        <v>27719</v>
      </c>
      <c r="G56">
        <v>27719</v>
      </c>
      <c r="H56">
        <v>23294</v>
      </c>
      <c r="I56">
        <v>3948</v>
      </c>
      <c r="J56">
        <v>1465</v>
      </c>
      <c r="K56">
        <v>0</v>
      </c>
      <c r="L56">
        <v>177</v>
      </c>
      <c r="M56">
        <v>27542</v>
      </c>
      <c r="N56">
        <v>0</v>
      </c>
      <c r="O56">
        <v>24</v>
      </c>
      <c r="P56">
        <v>1441</v>
      </c>
      <c r="Q56">
        <v>66.871260000000007</v>
      </c>
      <c r="R56">
        <v>22.400099000000001</v>
      </c>
    </row>
    <row r="57" spans="1:18">
      <c r="A57" s="2">
        <v>43941</v>
      </c>
      <c r="B57" s="3">
        <v>43950.66978009259</v>
      </c>
      <c r="C57" s="1" t="s">
        <v>16</v>
      </c>
      <c r="D57">
        <v>301</v>
      </c>
      <c r="E57">
        <v>1500</v>
      </c>
      <c r="F57">
        <v>27921</v>
      </c>
      <c r="G57">
        <v>27921</v>
      </c>
      <c r="H57">
        <v>23672</v>
      </c>
      <c r="I57">
        <v>4084</v>
      </c>
      <c r="J57">
        <v>1506</v>
      </c>
      <c r="K57">
        <v>0</v>
      </c>
      <c r="L57">
        <v>202</v>
      </c>
      <c r="M57">
        <v>27719</v>
      </c>
      <c r="N57">
        <v>0</v>
      </c>
      <c r="O57">
        <v>41</v>
      </c>
      <c r="P57">
        <v>1465</v>
      </c>
      <c r="Q57">
        <v>73.617097000000001</v>
      </c>
      <c r="R57">
        <v>24.587033000000002</v>
      </c>
    </row>
    <row r="58" spans="1:18">
      <c r="A58" s="2">
        <v>43942</v>
      </c>
      <c r="B58" s="3">
        <v>43950.66978009259</v>
      </c>
      <c r="C58" s="1" t="s">
        <v>16</v>
      </c>
      <c r="D58">
        <v>286</v>
      </c>
      <c r="E58">
        <v>1422</v>
      </c>
      <c r="F58">
        <v>28080</v>
      </c>
      <c r="G58">
        <v>28080</v>
      </c>
      <c r="H58">
        <v>24051</v>
      </c>
      <c r="I58">
        <v>4206</v>
      </c>
      <c r="J58">
        <v>1547</v>
      </c>
      <c r="K58">
        <v>0</v>
      </c>
      <c r="L58">
        <v>159</v>
      </c>
      <c r="M58">
        <v>27921</v>
      </c>
      <c r="N58">
        <v>0</v>
      </c>
      <c r="O58">
        <v>41</v>
      </c>
      <c r="P58">
        <v>1506</v>
      </c>
      <c r="Q58">
        <v>83.323183</v>
      </c>
      <c r="R58">
        <v>25.865009000000001</v>
      </c>
    </row>
    <row r="59" spans="1:18">
      <c r="A59" s="2">
        <v>43943</v>
      </c>
      <c r="B59" s="3">
        <v>43950.66978009259</v>
      </c>
      <c r="C59" s="1" t="s">
        <v>16</v>
      </c>
      <c r="D59">
        <v>255</v>
      </c>
      <c r="E59">
        <v>1357</v>
      </c>
      <c r="F59">
        <v>28277</v>
      </c>
      <c r="G59">
        <v>28277</v>
      </c>
      <c r="H59">
        <v>24414</v>
      </c>
      <c r="I59">
        <v>4313</v>
      </c>
      <c r="J59">
        <v>1573</v>
      </c>
      <c r="K59">
        <v>0</v>
      </c>
      <c r="L59">
        <v>197</v>
      </c>
      <c r="M59">
        <v>28080</v>
      </c>
      <c r="N59">
        <v>0</v>
      </c>
      <c r="O59">
        <v>26</v>
      </c>
      <c r="P59">
        <v>1547</v>
      </c>
      <c r="Q59">
        <v>93.587773999999996</v>
      </c>
      <c r="R59">
        <v>29.564333000000001</v>
      </c>
    </row>
    <row r="60" spans="1:18">
      <c r="A60" s="2">
        <v>43944</v>
      </c>
      <c r="B60" s="3">
        <v>43950.66978009259</v>
      </c>
      <c r="C60" s="1" t="s">
        <v>16</v>
      </c>
      <c r="D60">
        <v>247</v>
      </c>
      <c r="E60">
        <v>1306</v>
      </c>
      <c r="F60">
        <v>28494</v>
      </c>
      <c r="G60">
        <v>28494</v>
      </c>
      <c r="H60">
        <v>24872</v>
      </c>
      <c r="I60">
        <v>4404</v>
      </c>
      <c r="J60">
        <v>1602</v>
      </c>
      <c r="K60">
        <v>0</v>
      </c>
      <c r="L60">
        <v>217</v>
      </c>
      <c r="M60">
        <v>28277</v>
      </c>
      <c r="N60">
        <v>0</v>
      </c>
      <c r="O60">
        <v>29</v>
      </c>
      <c r="P60">
        <v>1573</v>
      </c>
      <c r="Q60">
        <v>101.98912300000001</v>
      </c>
      <c r="R60">
        <v>32.721696999999999</v>
      </c>
    </row>
    <row r="61" spans="1:18">
      <c r="A61" s="2">
        <v>43945</v>
      </c>
      <c r="B61" s="3">
        <v>43950.66978009259</v>
      </c>
      <c r="C61" s="1" t="s">
        <v>16</v>
      </c>
      <c r="D61">
        <v>242</v>
      </c>
      <c r="E61">
        <v>1259</v>
      </c>
      <c r="F61">
        <v>28684</v>
      </c>
      <c r="G61">
        <v>28684</v>
      </c>
      <c r="H61">
        <v>25236</v>
      </c>
      <c r="I61">
        <v>4482</v>
      </c>
      <c r="J61">
        <v>1630</v>
      </c>
      <c r="K61">
        <v>0</v>
      </c>
      <c r="L61">
        <v>190</v>
      </c>
      <c r="M61">
        <v>28494</v>
      </c>
      <c r="N61">
        <v>0</v>
      </c>
      <c r="O61">
        <v>28</v>
      </c>
      <c r="P61">
        <v>1602</v>
      </c>
      <c r="Q61">
        <v>101.27400400000001</v>
      </c>
      <c r="R61">
        <v>32.473584000000002</v>
      </c>
    </row>
    <row r="62" spans="1:18">
      <c r="A62" s="2">
        <v>43946</v>
      </c>
      <c r="B62" s="3">
        <v>43950.66978009259</v>
      </c>
      <c r="C62" s="1" t="s">
        <v>16</v>
      </c>
      <c r="D62">
        <v>233</v>
      </c>
      <c r="E62">
        <v>1231</v>
      </c>
      <c r="F62">
        <v>28823</v>
      </c>
      <c r="G62">
        <v>28823</v>
      </c>
      <c r="H62">
        <v>25600</v>
      </c>
      <c r="I62">
        <v>4519</v>
      </c>
      <c r="J62">
        <v>1654</v>
      </c>
      <c r="K62">
        <v>0</v>
      </c>
      <c r="L62">
        <v>139</v>
      </c>
      <c r="M62">
        <v>28684</v>
      </c>
      <c r="N62">
        <v>0</v>
      </c>
      <c r="O62">
        <v>24</v>
      </c>
      <c r="P62">
        <v>1630</v>
      </c>
      <c r="Q62">
        <v>109.00396499999999</v>
      </c>
      <c r="R62">
        <v>36.972003000000001</v>
      </c>
    </row>
    <row r="63" spans="1:18">
      <c r="A63" s="2">
        <v>43947</v>
      </c>
      <c r="B63" s="3">
        <v>43950.66978009259</v>
      </c>
      <c r="C63" s="1" t="s">
        <v>16</v>
      </c>
      <c r="D63">
        <v>212</v>
      </c>
      <c r="E63">
        <v>1211</v>
      </c>
      <c r="F63">
        <v>28903</v>
      </c>
      <c r="G63">
        <v>28903</v>
      </c>
      <c r="H63">
        <v>25797</v>
      </c>
      <c r="I63">
        <v>4552</v>
      </c>
      <c r="J63">
        <v>1669</v>
      </c>
      <c r="K63">
        <v>0</v>
      </c>
      <c r="L63">
        <v>80</v>
      </c>
      <c r="M63">
        <v>28823</v>
      </c>
      <c r="N63">
        <v>0</v>
      </c>
      <c r="O63">
        <v>15</v>
      </c>
      <c r="P63">
        <v>1654</v>
      </c>
      <c r="Q63">
        <v>119.972234</v>
      </c>
      <c r="R63">
        <v>45.657615</v>
      </c>
    </row>
    <row r="64" spans="1:18">
      <c r="A64" s="2">
        <v>43948</v>
      </c>
      <c r="B64" s="3">
        <v>43950.66978009259</v>
      </c>
      <c r="C64" s="1" t="s">
        <v>16</v>
      </c>
      <c r="D64">
        <v>204</v>
      </c>
      <c r="E64">
        <v>1190</v>
      </c>
      <c r="F64">
        <v>29034</v>
      </c>
      <c r="G64">
        <v>29034</v>
      </c>
      <c r="H64">
        <v>25797</v>
      </c>
      <c r="I64">
        <v>4624</v>
      </c>
      <c r="J64">
        <v>1686</v>
      </c>
      <c r="K64">
        <v>0</v>
      </c>
      <c r="L64">
        <v>131</v>
      </c>
      <c r="M64">
        <v>28903</v>
      </c>
      <c r="N64">
        <v>0</v>
      </c>
      <c r="O64">
        <v>17</v>
      </c>
      <c r="P64">
        <v>1669</v>
      </c>
      <c r="Q64">
        <v>131.184438</v>
      </c>
      <c r="R64">
        <v>49.957104000000001</v>
      </c>
    </row>
    <row r="65" spans="1:18">
      <c r="A65" s="2">
        <v>43949</v>
      </c>
      <c r="B65" s="3">
        <v>43950.66978009259</v>
      </c>
      <c r="C65" s="1" t="s">
        <v>16</v>
      </c>
      <c r="D65">
        <v>188</v>
      </c>
      <c r="E65">
        <v>1165</v>
      </c>
      <c r="F65">
        <v>29107</v>
      </c>
      <c r="G65">
        <v>29107</v>
      </c>
      <c r="H65">
        <v>25797</v>
      </c>
      <c r="I65">
        <v>4669</v>
      </c>
      <c r="J65">
        <v>1704</v>
      </c>
      <c r="K65">
        <v>0</v>
      </c>
      <c r="L65">
        <v>73</v>
      </c>
      <c r="M65">
        <v>29034</v>
      </c>
      <c r="N65">
        <v>0</v>
      </c>
      <c r="O65">
        <v>18</v>
      </c>
      <c r="P65">
        <v>1686</v>
      </c>
      <c r="Q65">
        <v>162.82407599999999</v>
      </c>
      <c r="R65">
        <v>56.147481999999997</v>
      </c>
    </row>
    <row r="66" spans="1:18">
      <c r="A66" s="2">
        <v>43950</v>
      </c>
      <c r="B66" s="3">
        <v>43950.66978009259</v>
      </c>
      <c r="C66" s="1" t="s">
        <v>16</v>
      </c>
      <c r="D66">
        <v>194</v>
      </c>
      <c r="E66">
        <v>1149</v>
      </c>
      <c r="F66">
        <v>29187</v>
      </c>
      <c r="G66">
        <v>29187</v>
      </c>
      <c r="H66">
        <v>25797</v>
      </c>
      <c r="I66">
        <v>4700</v>
      </c>
      <c r="J66">
        <v>1708</v>
      </c>
      <c r="K66">
        <v>0</v>
      </c>
      <c r="L66">
        <v>80</v>
      </c>
      <c r="M66">
        <v>29107</v>
      </c>
      <c r="N66">
        <v>0</v>
      </c>
      <c r="O66">
        <v>4</v>
      </c>
      <c r="P66">
        <v>1704</v>
      </c>
      <c r="Q66">
        <v>199.36436499999999</v>
      </c>
      <c r="R66">
        <v>74.144362000000001</v>
      </c>
    </row>
  </sheetData>
  <pageMargins left="0.7" right="0.7" top="0.78740157499999996" bottom="0.78740157499999996"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CF6CC-7984-4330-8823-F82CE39F5044}">
  <sheetPr codeName="Tabelle2"/>
  <dimension ref="A1:C17"/>
  <sheetViews>
    <sheetView workbookViewId="0">
      <selection activeCell="B18" sqref="B18"/>
    </sheetView>
  </sheetViews>
  <sheetFormatPr baseColWidth="10" defaultRowHeight="14.5"/>
  <cols>
    <col min="1" max="1" width="14.81640625" style="2" customWidth="1"/>
    <col min="2" max="2" width="16.26953125" customWidth="1"/>
    <col min="3" max="3" width="22.26953125" customWidth="1"/>
  </cols>
  <sheetData>
    <row r="1" spans="1:3">
      <c r="A1" s="2" t="s">
        <v>327</v>
      </c>
      <c r="B1" t="s">
        <v>328</v>
      </c>
    </row>
    <row r="2" spans="1:3">
      <c r="B2">
        <f>MAX(ch_latest!G1:'ch_latest'!G214)</f>
        <v>29187</v>
      </c>
      <c r="C2" s="19"/>
    </row>
    <row r="4" spans="1:3">
      <c r="A4" s="2" t="s">
        <v>329</v>
      </c>
      <c r="B4" t="s">
        <v>6</v>
      </c>
      <c r="C4" t="s">
        <v>14</v>
      </c>
    </row>
    <row r="5" spans="1:3">
      <c r="B5">
        <f>INDEX(ch_latest!L2:'ch_latest'!L214,COUNTA(ch_latest!L2:'ch_latest'!L214)+1)</f>
        <v>80</v>
      </c>
      <c r="C5">
        <f>INDEX(ch_latest!Q2:'ch_latest'!Q214,COUNTA(ch_latest!Q2:'ch_latest'!Q214))</f>
        <v>199.36436499999999</v>
      </c>
    </row>
    <row r="6" spans="1:3">
      <c r="B6" s="22"/>
    </row>
    <row r="7" spans="1:3">
      <c r="A7" s="2" t="s">
        <v>333</v>
      </c>
      <c r="B7" t="s">
        <v>332</v>
      </c>
    </row>
    <row r="8" spans="1:3">
      <c r="A8" s="2" t="s">
        <v>334</v>
      </c>
      <c r="B8">
        <f>INDEX(ch_latest!I1:'ch_latest'!I214,COUNTA(ch_latest!I1:'ch_latest'!I214))</f>
        <v>4700</v>
      </c>
    </row>
    <row r="9" spans="1:3">
      <c r="A9" s="2" t="s">
        <v>335</v>
      </c>
      <c r="B9">
        <f>INDEX(ch_latest!I1:'ch_latest'!I214,COUNTA(ch_latest!I1:'ch_latest'!I214)-1)</f>
        <v>4669</v>
      </c>
    </row>
    <row r="10" spans="1:3">
      <c r="A10" s="2" t="s">
        <v>336</v>
      </c>
      <c r="B10">
        <f>B8-B9</f>
        <v>31</v>
      </c>
    </row>
    <row r="11" spans="1:3">
      <c r="B11" s="20"/>
    </row>
    <row r="12" spans="1:3">
      <c r="A12" s="2" t="s">
        <v>347</v>
      </c>
      <c r="B12" s="2">
        <f>INDEX(ch_latest!A1:'ch_latest'!A214,COUNTA(ch_latest!A1:'ch_latest'!A214))</f>
        <v>43950</v>
      </c>
      <c r="C12" s="4">
        <f>INDEX(ch_latest!B1:'ch_latest'!B214,COUNTA(ch_latest!B1:'ch_latest'!B214))</f>
        <v>43950.66978009259</v>
      </c>
    </row>
    <row r="13" spans="1:3">
      <c r="B13" s="21"/>
    </row>
    <row r="14" spans="1:3">
      <c r="A14" s="2" t="s">
        <v>421</v>
      </c>
      <c r="B14" t="s">
        <v>422</v>
      </c>
    </row>
    <row r="15" spans="1:3">
      <c r="A15" s="2" t="s">
        <v>335</v>
      </c>
      <c r="B15">
        <f>INDEX(ch_latest!E1:'ch_latest'!E214,COUNTA(ch_latest!E1:'ch_latest'!E214))</f>
        <v>1149</v>
      </c>
    </row>
    <row r="16" spans="1:3">
      <c r="A16" s="2" t="s">
        <v>334</v>
      </c>
      <c r="B16">
        <f>INDEX(ch_latest!E1:'ch_latest'!E214,COUNTA(ch_latest!E1:'ch_latest'!E214)-1)</f>
        <v>1165</v>
      </c>
    </row>
    <row r="17" spans="1:2">
      <c r="A17" s="2" t="s">
        <v>336</v>
      </c>
      <c r="B17">
        <f>B15-B16</f>
        <v>-16</v>
      </c>
    </row>
  </sheetData>
  <pageMargins left="0.7" right="0.7" top="0.78740157499999996" bottom="0.78740157499999996"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6F51D-51BB-4A2D-A9BF-C53B2A76C9E1}">
  <dimension ref="A3:CJ71"/>
  <sheetViews>
    <sheetView workbookViewId="0">
      <selection activeCell="A5" sqref="A5"/>
    </sheetView>
  </sheetViews>
  <sheetFormatPr baseColWidth="10" defaultRowHeight="14.5"/>
  <cols>
    <col min="1" max="1" width="20.7265625" bestFit="1" customWidth="1"/>
    <col min="2" max="2" width="22.08984375" bestFit="1" customWidth="1"/>
    <col min="3" max="3" width="25.54296875" bestFit="1" customWidth="1"/>
    <col min="4" max="4" width="26.36328125" bestFit="1" customWidth="1"/>
    <col min="5" max="5" width="22.08984375" bestFit="1" customWidth="1"/>
    <col min="6" max="6" width="25.54296875" bestFit="1" customWidth="1"/>
    <col min="7" max="7" width="26.36328125" bestFit="1" customWidth="1"/>
    <col min="8" max="8" width="22.08984375" bestFit="1" customWidth="1"/>
    <col min="9" max="9" width="25.54296875" bestFit="1" customWidth="1"/>
    <col min="10" max="10" width="26.36328125" bestFit="1" customWidth="1"/>
    <col min="11" max="11" width="22.08984375" bestFit="1" customWidth="1"/>
    <col min="12" max="12" width="25.54296875" bestFit="1" customWidth="1"/>
    <col min="13" max="13" width="26.36328125" bestFit="1" customWidth="1"/>
    <col min="14" max="14" width="22.08984375" bestFit="1" customWidth="1"/>
    <col min="15" max="15" width="25.54296875" bestFit="1" customWidth="1"/>
    <col min="16" max="16" width="26.36328125" bestFit="1" customWidth="1"/>
    <col min="17" max="17" width="22.08984375" bestFit="1" customWidth="1"/>
    <col min="18" max="18" width="25.54296875" bestFit="1" customWidth="1"/>
    <col min="19" max="19" width="26.36328125" bestFit="1" customWidth="1"/>
    <col min="20" max="20" width="22.08984375" bestFit="1" customWidth="1"/>
    <col min="21" max="21" width="25.54296875" bestFit="1" customWidth="1"/>
    <col min="22" max="22" width="26.36328125" bestFit="1" customWidth="1"/>
    <col min="23" max="23" width="22.08984375" bestFit="1" customWidth="1"/>
    <col min="24" max="24" width="25.54296875" bestFit="1" customWidth="1"/>
    <col min="25" max="25" width="26.36328125" bestFit="1" customWidth="1"/>
    <col min="26" max="26" width="22.08984375" bestFit="1" customWidth="1"/>
    <col min="27" max="27" width="25.54296875" bestFit="1" customWidth="1"/>
    <col min="28" max="28" width="26.36328125" bestFit="1" customWidth="1"/>
    <col min="29" max="29" width="22.08984375" bestFit="1" customWidth="1"/>
    <col min="30" max="30" width="25.54296875" bestFit="1" customWidth="1"/>
    <col min="31" max="31" width="26.36328125" bestFit="1" customWidth="1"/>
    <col min="32" max="32" width="22.08984375" bestFit="1" customWidth="1"/>
    <col min="33" max="33" width="25.54296875" bestFit="1" customWidth="1"/>
    <col min="34" max="34" width="26.36328125" bestFit="1" customWidth="1"/>
    <col min="35" max="35" width="22.08984375" bestFit="1" customWidth="1"/>
    <col min="36" max="36" width="25.54296875" bestFit="1" customWidth="1"/>
    <col min="37" max="37" width="26.36328125" bestFit="1" customWidth="1"/>
    <col min="38" max="38" width="22.08984375" bestFit="1" customWidth="1"/>
    <col min="39" max="39" width="25.54296875" bestFit="1" customWidth="1"/>
    <col min="40" max="40" width="26.36328125" bestFit="1" customWidth="1"/>
    <col min="41" max="41" width="22.08984375" bestFit="1" customWidth="1"/>
    <col min="42" max="42" width="25.54296875" bestFit="1" customWidth="1"/>
    <col min="43" max="43" width="26.36328125" bestFit="1" customWidth="1"/>
    <col min="44" max="44" width="22.08984375" bestFit="1" customWidth="1"/>
    <col min="45" max="45" width="25.54296875" bestFit="1" customWidth="1"/>
    <col min="46" max="46" width="26.36328125" bestFit="1" customWidth="1"/>
    <col min="47" max="47" width="22.08984375" bestFit="1" customWidth="1"/>
    <col min="48" max="48" width="25.54296875" bestFit="1" customWidth="1"/>
    <col min="49" max="49" width="26.36328125" bestFit="1" customWidth="1"/>
    <col min="50" max="50" width="22.08984375" bestFit="1" customWidth="1"/>
    <col min="51" max="51" width="25.54296875" bestFit="1" customWidth="1"/>
    <col min="52" max="52" width="26.36328125" bestFit="1" customWidth="1"/>
    <col min="53" max="53" width="22.08984375" bestFit="1" customWidth="1"/>
    <col min="54" max="54" width="25.54296875" bestFit="1" customWidth="1"/>
    <col min="55" max="55" width="26.36328125" bestFit="1" customWidth="1"/>
    <col min="56" max="56" width="22.08984375" bestFit="1" customWidth="1"/>
    <col min="57" max="57" width="25.54296875" bestFit="1" customWidth="1"/>
    <col min="58" max="58" width="26.36328125" bestFit="1" customWidth="1"/>
    <col min="59" max="59" width="22.08984375" bestFit="1" customWidth="1"/>
    <col min="60" max="60" width="25.54296875" bestFit="1" customWidth="1"/>
    <col min="61" max="61" width="26.36328125" bestFit="1" customWidth="1"/>
    <col min="62" max="62" width="22.08984375" bestFit="1" customWidth="1"/>
    <col min="63" max="63" width="25.54296875" bestFit="1" customWidth="1"/>
    <col min="64" max="64" width="26.36328125" bestFit="1" customWidth="1"/>
    <col min="65" max="65" width="22.08984375" bestFit="1" customWidth="1"/>
    <col min="66" max="66" width="25.54296875" bestFit="1" customWidth="1"/>
    <col min="67" max="67" width="26.36328125" bestFit="1" customWidth="1"/>
    <col min="68" max="68" width="22.08984375" bestFit="1" customWidth="1"/>
    <col min="69" max="69" width="25.54296875" bestFit="1" customWidth="1"/>
    <col min="70" max="70" width="26.36328125" bestFit="1" customWidth="1"/>
    <col min="71" max="71" width="22.08984375" bestFit="1" customWidth="1"/>
    <col min="72" max="72" width="25.54296875" bestFit="1" customWidth="1"/>
    <col min="73" max="73" width="26.36328125" bestFit="1" customWidth="1"/>
    <col min="74" max="74" width="22.08984375" bestFit="1" customWidth="1"/>
    <col min="75" max="75" width="25.54296875" bestFit="1" customWidth="1"/>
    <col min="76" max="76" width="26.36328125" bestFit="1" customWidth="1"/>
    <col min="77" max="77" width="22.08984375" bestFit="1" customWidth="1"/>
    <col min="78" max="78" width="25.54296875" bestFit="1" customWidth="1"/>
    <col min="79" max="79" width="26.36328125" bestFit="1" customWidth="1"/>
    <col min="80" max="80" width="22.08984375" bestFit="1" customWidth="1"/>
    <col min="81" max="81" width="25.54296875" bestFit="1" customWidth="1"/>
    <col min="82" max="82" width="26.36328125" bestFit="1" customWidth="1"/>
    <col min="83" max="83" width="22.08984375" bestFit="1" customWidth="1"/>
    <col min="84" max="84" width="25.54296875" bestFit="1" customWidth="1"/>
    <col min="85" max="85" width="26.36328125" bestFit="1" customWidth="1"/>
    <col min="86" max="86" width="29.6328125" bestFit="1" customWidth="1"/>
    <col min="87" max="87" width="33.1796875" bestFit="1" customWidth="1"/>
    <col min="88" max="88" width="33.90625" bestFit="1" customWidth="1"/>
  </cols>
  <sheetData>
    <row r="3" spans="1:88">
      <c r="B3" s="17" t="s">
        <v>321</v>
      </c>
    </row>
    <row r="4" spans="1:88">
      <c r="B4" t="s">
        <v>56</v>
      </c>
      <c r="E4" t="s">
        <v>83</v>
      </c>
      <c r="H4" t="s">
        <v>34</v>
      </c>
      <c r="K4" t="s">
        <v>38</v>
      </c>
      <c r="N4" t="s">
        <v>41</v>
      </c>
      <c r="Q4" t="s">
        <v>44</v>
      </c>
      <c r="T4" t="s">
        <v>47</v>
      </c>
      <c r="W4" t="s">
        <v>50</v>
      </c>
      <c r="Z4" t="s">
        <v>53</v>
      </c>
      <c r="AC4" t="s">
        <v>58</v>
      </c>
      <c r="AF4" t="s">
        <v>61</v>
      </c>
      <c r="AI4" t="s">
        <v>63</v>
      </c>
      <c r="AL4" t="s">
        <v>66</v>
      </c>
      <c r="AO4" t="s">
        <v>68</v>
      </c>
      <c r="AR4" t="s">
        <v>71</v>
      </c>
      <c r="AU4" t="s">
        <v>73</v>
      </c>
      <c r="AX4" t="s">
        <v>75</v>
      </c>
      <c r="BA4" t="s">
        <v>78</v>
      </c>
      <c r="BD4" t="s">
        <v>81</v>
      </c>
      <c r="BG4" t="s">
        <v>86</v>
      </c>
      <c r="BJ4" t="s">
        <v>88</v>
      </c>
      <c r="BM4" t="s">
        <v>91</v>
      </c>
      <c r="BP4" t="s">
        <v>94</v>
      </c>
      <c r="BS4" t="s">
        <v>97</v>
      </c>
      <c r="BV4" t="s">
        <v>100</v>
      </c>
      <c r="BY4" t="s">
        <v>102</v>
      </c>
      <c r="CB4" t="s">
        <v>104</v>
      </c>
      <c r="CE4" t="s">
        <v>405</v>
      </c>
      <c r="CH4" t="s">
        <v>410</v>
      </c>
      <c r="CI4" t="s">
        <v>406</v>
      </c>
      <c r="CJ4" t="s">
        <v>409</v>
      </c>
    </row>
    <row r="5" spans="1:88">
      <c r="A5" s="17" t="s">
        <v>319</v>
      </c>
      <c r="B5" t="s">
        <v>411</v>
      </c>
      <c r="C5" t="s">
        <v>407</v>
      </c>
      <c r="D5" t="s">
        <v>408</v>
      </c>
      <c r="E5" t="s">
        <v>411</v>
      </c>
      <c r="F5" t="s">
        <v>407</v>
      </c>
      <c r="G5" t="s">
        <v>408</v>
      </c>
      <c r="H5" t="s">
        <v>411</v>
      </c>
      <c r="I5" t="s">
        <v>407</v>
      </c>
      <c r="J5" t="s">
        <v>408</v>
      </c>
      <c r="K5" t="s">
        <v>411</v>
      </c>
      <c r="L5" t="s">
        <v>407</v>
      </c>
      <c r="M5" t="s">
        <v>408</v>
      </c>
      <c r="N5" t="s">
        <v>411</v>
      </c>
      <c r="O5" t="s">
        <v>407</v>
      </c>
      <c r="P5" t="s">
        <v>408</v>
      </c>
      <c r="Q5" t="s">
        <v>411</v>
      </c>
      <c r="R5" t="s">
        <v>407</v>
      </c>
      <c r="S5" t="s">
        <v>408</v>
      </c>
      <c r="T5" t="s">
        <v>411</v>
      </c>
      <c r="U5" t="s">
        <v>407</v>
      </c>
      <c r="V5" t="s">
        <v>408</v>
      </c>
      <c r="W5" t="s">
        <v>411</v>
      </c>
      <c r="X5" t="s">
        <v>407</v>
      </c>
      <c r="Y5" t="s">
        <v>408</v>
      </c>
      <c r="Z5" t="s">
        <v>411</v>
      </c>
      <c r="AA5" t="s">
        <v>407</v>
      </c>
      <c r="AB5" t="s">
        <v>408</v>
      </c>
      <c r="AC5" t="s">
        <v>411</v>
      </c>
      <c r="AD5" t="s">
        <v>407</v>
      </c>
      <c r="AE5" t="s">
        <v>408</v>
      </c>
      <c r="AF5" t="s">
        <v>411</v>
      </c>
      <c r="AG5" t="s">
        <v>407</v>
      </c>
      <c r="AH5" t="s">
        <v>408</v>
      </c>
      <c r="AI5" t="s">
        <v>411</v>
      </c>
      <c r="AJ5" t="s">
        <v>407</v>
      </c>
      <c r="AK5" t="s">
        <v>408</v>
      </c>
      <c r="AL5" t="s">
        <v>411</v>
      </c>
      <c r="AM5" t="s">
        <v>407</v>
      </c>
      <c r="AN5" t="s">
        <v>408</v>
      </c>
      <c r="AO5" t="s">
        <v>411</v>
      </c>
      <c r="AP5" t="s">
        <v>407</v>
      </c>
      <c r="AQ5" t="s">
        <v>408</v>
      </c>
      <c r="AR5" t="s">
        <v>411</v>
      </c>
      <c r="AS5" t="s">
        <v>407</v>
      </c>
      <c r="AT5" t="s">
        <v>408</v>
      </c>
      <c r="AU5" t="s">
        <v>411</v>
      </c>
      <c r="AV5" t="s">
        <v>407</v>
      </c>
      <c r="AW5" t="s">
        <v>408</v>
      </c>
      <c r="AX5" t="s">
        <v>411</v>
      </c>
      <c r="AY5" t="s">
        <v>407</v>
      </c>
      <c r="AZ5" t="s">
        <v>408</v>
      </c>
      <c r="BA5" t="s">
        <v>411</v>
      </c>
      <c r="BB5" t="s">
        <v>407</v>
      </c>
      <c r="BC5" t="s">
        <v>408</v>
      </c>
      <c r="BD5" t="s">
        <v>411</v>
      </c>
      <c r="BE5" t="s">
        <v>407</v>
      </c>
      <c r="BF5" t="s">
        <v>408</v>
      </c>
      <c r="BG5" t="s">
        <v>411</v>
      </c>
      <c r="BH5" t="s">
        <v>407</v>
      </c>
      <c r="BI5" t="s">
        <v>408</v>
      </c>
      <c r="BJ5" t="s">
        <v>411</v>
      </c>
      <c r="BK5" t="s">
        <v>407</v>
      </c>
      <c r="BL5" t="s">
        <v>408</v>
      </c>
      <c r="BM5" t="s">
        <v>411</v>
      </c>
      <c r="BN5" t="s">
        <v>407</v>
      </c>
      <c r="BO5" t="s">
        <v>408</v>
      </c>
      <c r="BP5" t="s">
        <v>411</v>
      </c>
      <c r="BQ5" t="s">
        <v>407</v>
      </c>
      <c r="BR5" t="s">
        <v>408</v>
      </c>
      <c r="BS5" t="s">
        <v>411</v>
      </c>
      <c r="BT5" t="s">
        <v>407</v>
      </c>
      <c r="BU5" t="s">
        <v>408</v>
      </c>
      <c r="BV5" t="s">
        <v>411</v>
      </c>
      <c r="BW5" t="s">
        <v>407</v>
      </c>
      <c r="BX5" t="s">
        <v>408</v>
      </c>
      <c r="BY5" t="s">
        <v>411</v>
      </c>
      <c r="BZ5" t="s">
        <v>407</v>
      </c>
      <c r="CA5" t="s">
        <v>408</v>
      </c>
      <c r="CB5" t="s">
        <v>411</v>
      </c>
      <c r="CC5" t="s">
        <v>407</v>
      </c>
      <c r="CD5" t="s">
        <v>408</v>
      </c>
      <c r="CE5" t="s">
        <v>411</v>
      </c>
      <c r="CF5" t="s">
        <v>407</v>
      </c>
      <c r="CG5" t="s">
        <v>408</v>
      </c>
    </row>
    <row r="6" spans="1:88">
      <c r="A6" s="49">
        <v>43886</v>
      </c>
      <c r="B6" s="1"/>
      <c r="C6" s="1"/>
      <c r="D6" s="1"/>
      <c r="E6" s="1"/>
      <c r="F6" s="1"/>
      <c r="G6" s="1"/>
      <c r="H6" s="1"/>
      <c r="I6" s="1"/>
      <c r="J6" s="1"/>
      <c r="K6" s="1"/>
      <c r="L6" s="1"/>
      <c r="M6" s="1"/>
      <c r="N6" s="1"/>
      <c r="O6" s="1"/>
      <c r="P6" s="1"/>
      <c r="Q6" s="1"/>
      <c r="R6" s="1"/>
      <c r="S6" s="1"/>
      <c r="T6" s="1"/>
      <c r="U6" s="1"/>
      <c r="V6" s="1"/>
      <c r="W6" s="1"/>
      <c r="X6" s="1"/>
      <c r="Y6" s="1"/>
      <c r="Z6" s="1"/>
      <c r="AA6" s="1"/>
      <c r="AB6" s="1"/>
      <c r="AC6" s="1">
        <v>0</v>
      </c>
      <c r="AD6" s="1"/>
      <c r="AE6" s="1">
        <v>0</v>
      </c>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v>1</v>
      </c>
      <c r="BN6" s="1"/>
      <c r="BO6" s="1"/>
      <c r="BP6" s="1"/>
      <c r="BQ6" s="1"/>
      <c r="BR6" s="1"/>
      <c r="BS6" s="1"/>
      <c r="BT6" s="1"/>
      <c r="BU6" s="1"/>
      <c r="BV6" s="1"/>
      <c r="BW6" s="1"/>
      <c r="BX6" s="1"/>
      <c r="BY6" s="1"/>
      <c r="BZ6" s="1"/>
      <c r="CA6" s="1"/>
      <c r="CB6" s="1"/>
      <c r="CC6" s="1"/>
      <c r="CD6" s="1"/>
      <c r="CE6" s="1"/>
      <c r="CF6" s="1"/>
      <c r="CG6" s="1"/>
      <c r="CH6" s="1">
        <v>1</v>
      </c>
      <c r="CI6" s="1"/>
      <c r="CJ6" s="1">
        <v>0</v>
      </c>
    </row>
    <row r="7" spans="1:88">
      <c r="A7" s="49">
        <v>43887</v>
      </c>
      <c r="B7" s="1"/>
      <c r="C7" s="1"/>
      <c r="D7" s="1"/>
      <c r="E7" s="1"/>
      <c r="F7" s="1"/>
      <c r="G7" s="1"/>
      <c r="H7" s="1"/>
      <c r="I7" s="1"/>
      <c r="J7" s="1"/>
      <c r="K7" s="1"/>
      <c r="L7" s="1"/>
      <c r="M7" s="1"/>
      <c r="N7" s="1"/>
      <c r="O7" s="1"/>
      <c r="P7" s="1"/>
      <c r="Q7" s="1"/>
      <c r="R7" s="1"/>
      <c r="S7" s="1"/>
      <c r="T7" s="1"/>
      <c r="U7" s="1"/>
      <c r="V7" s="1"/>
      <c r="W7" s="1"/>
      <c r="X7" s="1"/>
      <c r="Y7" s="1"/>
      <c r="Z7" s="1"/>
      <c r="AA7" s="1"/>
      <c r="AB7" s="1"/>
      <c r="AC7" s="1">
        <v>1</v>
      </c>
      <c r="AD7" s="1"/>
      <c r="AE7" s="1">
        <v>0</v>
      </c>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v>1</v>
      </c>
      <c r="CI7" s="1"/>
      <c r="CJ7" s="1">
        <v>0</v>
      </c>
    </row>
    <row r="8" spans="1:88">
      <c r="A8" s="49">
        <v>43888</v>
      </c>
      <c r="B8" s="1"/>
      <c r="C8" s="1"/>
      <c r="D8" s="1"/>
      <c r="E8" s="1"/>
      <c r="F8" s="1"/>
      <c r="G8" s="1"/>
      <c r="H8" s="1"/>
      <c r="I8" s="1"/>
      <c r="J8" s="1"/>
      <c r="K8" s="1"/>
      <c r="L8" s="1"/>
      <c r="M8" s="1"/>
      <c r="N8" s="1"/>
      <c r="O8" s="1"/>
      <c r="P8" s="1"/>
      <c r="Q8" s="1"/>
      <c r="R8" s="1"/>
      <c r="S8" s="1"/>
      <c r="T8" s="1"/>
      <c r="U8" s="1"/>
      <c r="V8" s="1"/>
      <c r="W8" s="1">
        <v>1</v>
      </c>
      <c r="X8" s="1"/>
      <c r="Y8" s="1"/>
      <c r="Z8" s="1"/>
      <c r="AA8" s="1"/>
      <c r="AB8" s="1"/>
      <c r="AC8" s="1">
        <v>1</v>
      </c>
      <c r="AD8" s="1"/>
      <c r="AE8" s="1">
        <v>0</v>
      </c>
      <c r="AF8" s="1"/>
      <c r="AG8" s="1"/>
      <c r="AH8" s="1"/>
      <c r="AI8" s="1"/>
      <c r="AJ8" s="1"/>
      <c r="AK8" s="1"/>
      <c r="AL8" s="1">
        <v>1</v>
      </c>
      <c r="AM8" s="1"/>
      <c r="AN8" s="1">
        <v>0</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v>2</v>
      </c>
      <c r="CC8" s="1"/>
      <c r="CD8" s="1"/>
      <c r="CE8" s="1"/>
      <c r="CF8" s="1"/>
      <c r="CG8" s="1"/>
      <c r="CH8" s="1">
        <v>5</v>
      </c>
      <c r="CI8" s="1"/>
      <c r="CJ8" s="1">
        <v>0</v>
      </c>
    </row>
    <row r="9" spans="1:88">
      <c r="A9" s="49">
        <v>43889</v>
      </c>
      <c r="B9" s="1"/>
      <c r="C9" s="1"/>
      <c r="D9" s="1"/>
      <c r="E9" s="1"/>
      <c r="F9" s="1"/>
      <c r="G9" s="1"/>
      <c r="H9" s="1">
        <v>1</v>
      </c>
      <c r="I9" s="1"/>
      <c r="J9" s="1"/>
      <c r="K9" s="1"/>
      <c r="L9" s="1"/>
      <c r="M9" s="1"/>
      <c r="N9" s="1"/>
      <c r="O9" s="1"/>
      <c r="P9" s="1"/>
      <c r="Q9" s="1">
        <v>1</v>
      </c>
      <c r="R9" s="1"/>
      <c r="S9" s="1"/>
      <c r="T9" s="1">
        <v>1</v>
      </c>
      <c r="U9" s="1"/>
      <c r="V9" s="1"/>
      <c r="W9" s="1">
        <v>1</v>
      </c>
      <c r="X9" s="1"/>
      <c r="Y9" s="1"/>
      <c r="Z9" s="1"/>
      <c r="AA9" s="1"/>
      <c r="AB9" s="1"/>
      <c r="AC9" s="1">
        <v>4</v>
      </c>
      <c r="AD9" s="1"/>
      <c r="AE9" s="1">
        <v>0</v>
      </c>
      <c r="AF9" s="1"/>
      <c r="AG9" s="1"/>
      <c r="AH9" s="1"/>
      <c r="AI9" s="1"/>
      <c r="AJ9" s="1"/>
      <c r="AK9" s="1"/>
      <c r="AL9" s="1">
        <v>1</v>
      </c>
      <c r="AM9" s="1"/>
      <c r="AN9" s="1">
        <v>0</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v>1</v>
      </c>
      <c r="BW9" s="1"/>
      <c r="BX9" s="1">
        <v>0</v>
      </c>
      <c r="BY9" s="1"/>
      <c r="BZ9" s="1"/>
      <c r="CA9" s="1"/>
      <c r="CB9" s="1">
        <v>2</v>
      </c>
      <c r="CC9" s="1"/>
      <c r="CD9" s="1"/>
      <c r="CE9" s="1"/>
      <c r="CF9" s="1"/>
      <c r="CG9" s="1"/>
      <c r="CH9" s="1">
        <v>12</v>
      </c>
      <c r="CI9" s="1"/>
      <c r="CJ9" s="1">
        <v>0</v>
      </c>
    </row>
    <row r="10" spans="1:88">
      <c r="A10" s="49">
        <v>43890</v>
      </c>
      <c r="B10" s="1"/>
      <c r="C10" s="1"/>
      <c r="D10" s="1"/>
      <c r="E10" s="1"/>
      <c r="F10" s="1"/>
      <c r="G10" s="1"/>
      <c r="H10" s="1"/>
      <c r="I10" s="1"/>
      <c r="J10" s="1"/>
      <c r="K10" s="1"/>
      <c r="L10" s="1"/>
      <c r="M10" s="1"/>
      <c r="N10" s="1"/>
      <c r="O10" s="1"/>
      <c r="P10" s="1"/>
      <c r="Q10" s="1"/>
      <c r="R10" s="1"/>
      <c r="S10" s="1"/>
      <c r="T10" s="1">
        <v>2</v>
      </c>
      <c r="U10" s="1"/>
      <c r="V10" s="1"/>
      <c r="W10" s="1">
        <v>1</v>
      </c>
      <c r="X10" s="1"/>
      <c r="Y10" s="1"/>
      <c r="Z10" s="1"/>
      <c r="AA10" s="1"/>
      <c r="AB10" s="1"/>
      <c r="AC10" s="1">
        <v>6</v>
      </c>
      <c r="AD10" s="1"/>
      <c r="AE10" s="1">
        <v>0</v>
      </c>
      <c r="AF10" s="1"/>
      <c r="AG10" s="1"/>
      <c r="AH10" s="1"/>
      <c r="AI10" s="1"/>
      <c r="AJ10" s="1"/>
      <c r="AK10" s="1"/>
      <c r="AL10" s="1">
        <v>1</v>
      </c>
      <c r="AM10" s="1"/>
      <c r="AN10" s="1">
        <v>0</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v>1</v>
      </c>
      <c r="BW10" s="1"/>
      <c r="BX10" s="1">
        <v>0</v>
      </c>
      <c r="BY10" s="1">
        <v>0</v>
      </c>
      <c r="BZ10" s="1"/>
      <c r="CA10" s="1">
        <v>0</v>
      </c>
      <c r="CB10" s="1">
        <v>6</v>
      </c>
      <c r="CC10" s="1"/>
      <c r="CD10" s="1"/>
      <c r="CE10" s="1"/>
      <c r="CF10" s="1"/>
      <c r="CG10" s="1"/>
      <c r="CH10" s="1">
        <v>17</v>
      </c>
      <c r="CI10" s="1"/>
      <c r="CJ10" s="1">
        <v>0</v>
      </c>
    </row>
    <row r="11" spans="1:88">
      <c r="A11" s="49">
        <v>43891</v>
      </c>
      <c r="B11" s="1">
        <v>1</v>
      </c>
      <c r="C11" s="1"/>
      <c r="D11" s="1"/>
      <c r="E11" s="1"/>
      <c r="F11" s="1"/>
      <c r="G11" s="1"/>
      <c r="H11" s="1"/>
      <c r="I11" s="1"/>
      <c r="J11" s="1"/>
      <c r="K11" s="1"/>
      <c r="L11" s="1"/>
      <c r="M11" s="1"/>
      <c r="N11" s="1"/>
      <c r="O11" s="1"/>
      <c r="P11" s="1"/>
      <c r="Q11" s="1">
        <v>2</v>
      </c>
      <c r="R11" s="1"/>
      <c r="S11" s="1"/>
      <c r="T11" s="1">
        <v>2</v>
      </c>
      <c r="U11" s="1"/>
      <c r="V11" s="1"/>
      <c r="W11" s="1">
        <v>1</v>
      </c>
      <c r="X11" s="1"/>
      <c r="Y11" s="1"/>
      <c r="Z11" s="1"/>
      <c r="AA11" s="1"/>
      <c r="AB11" s="1"/>
      <c r="AC11" s="1">
        <v>8</v>
      </c>
      <c r="AD11" s="1"/>
      <c r="AE11" s="1">
        <v>0</v>
      </c>
      <c r="AF11" s="1"/>
      <c r="AG11" s="1"/>
      <c r="AH11" s="1"/>
      <c r="AI11" s="1"/>
      <c r="AJ11" s="1"/>
      <c r="AK11" s="1"/>
      <c r="AL11" s="1">
        <v>1</v>
      </c>
      <c r="AM11" s="1"/>
      <c r="AN11" s="1">
        <v>0</v>
      </c>
      <c r="AO11" s="1"/>
      <c r="AP11" s="1"/>
      <c r="AQ11" s="1"/>
      <c r="AR11" s="1">
        <v>1</v>
      </c>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v>2</v>
      </c>
      <c r="BW11" s="1"/>
      <c r="BX11" s="1">
        <v>0</v>
      </c>
      <c r="BY11" s="1">
        <v>0</v>
      </c>
      <c r="BZ11" s="1">
        <v>0</v>
      </c>
      <c r="CA11" s="1">
        <v>0</v>
      </c>
      <c r="CB11" s="1">
        <v>7</v>
      </c>
      <c r="CC11" s="1"/>
      <c r="CD11" s="1"/>
      <c r="CE11" s="1"/>
      <c r="CF11" s="1"/>
      <c r="CG11" s="1"/>
      <c r="CH11" s="1">
        <v>25</v>
      </c>
      <c r="CI11" s="1">
        <v>0</v>
      </c>
      <c r="CJ11" s="1">
        <v>0</v>
      </c>
    </row>
    <row r="12" spans="1:88">
      <c r="A12" s="49">
        <v>43892</v>
      </c>
      <c r="B12" s="1">
        <v>2</v>
      </c>
      <c r="C12" s="1"/>
      <c r="D12" s="1"/>
      <c r="E12" s="1"/>
      <c r="F12" s="1"/>
      <c r="G12" s="1"/>
      <c r="H12" s="1">
        <v>2</v>
      </c>
      <c r="I12" s="1"/>
      <c r="J12" s="1"/>
      <c r="K12" s="1"/>
      <c r="L12" s="1"/>
      <c r="M12" s="1"/>
      <c r="N12" s="1"/>
      <c r="O12" s="1"/>
      <c r="P12" s="1"/>
      <c r="Q12" s="1">
        <v>4</v>
      </c>
      <c r="R12" s="1"/>
      <c r="S12" s="1"/>
      <c r="T12" s="1">
        <v>2</v>
      </c>
      <c r="U12" s="1"/>
      <c r="V12" s="1"/>
      <c r="W12" s="1">
        <v>1</v>
      </c>
      <c r="X12" s="1"/>
      <c r="Y12" s="1"/>
      <c r="Z12" s="1"/>
      <c r="AA12" s="1"/>
      <c r="AB12" s="1"/>
      <c r="AC12" s="1">
        <v>8</v>
      </c>
      <c r="AD12" s="1"/>
      <c r="AE12" s="1">
        <v>0</v>
      </c>
      <c r="AF12" s="1"/>
      <c r="AG12" s="1"/>
      <c r="AH12" s="1"/>
      <c r="AI12" s="1"/>
      <c r="AJ12" s="1"/>
      <c r="AK12" s="1"/>
      <c r="AL12" s="1">
        <v>1</v>
      </c>
      <c r="AM12" s="1"/>
      <c r="AN12" s="1">
        <v>0</v>
      </c>
      <c r="AO12" s="1"/>
      <c r="AP12" s="1"/>
      <c r="AQ12" s="1"/>
      <c r="AR12" s="1">
        <v>1</v>
      </c>
      <c r="AS12" s="1"/>
      <c r="AT12" s="1"/>
      <c r="AU12" s="1"/>
      <c r="AV12" s="1"/>
      <c r="AW12" s="1"/>
      <c r="AX12" s="1"/>
      <c r="AY12" s="1"/>
      <c r="AZ12" s="1"/>
      <c r="BA12" s="1">
        <v>0</v>
      </c>
      <c r="BB12" s="1"/>
      <c r="BC12" s="1"/>
      <c r="BD12" s="1"/>
      <c r="BE12" s="1"/>
      <c r="BF12" s="1"/>
      <c r="BG12" s="1"/>
      <c r="BH12" s="1"/>
      <c r="BI12" s="1"/>
      <c r="BJ12" s="1"/>
      <c r="BK12" s="1"/>
      <c r="BL12" s="1"/>
      <c r="BM12" s="1">
        <v>2</v>
      </c>
      <c r="BN12" s="1"/>
      <c r="BO12" s="1"/>
      <c r="BP12" s="1"/>
      <c r="BQ12" s="1"/>
      <c r="BR12" s="1"/>
      <c r="BS12" s="1"/>
      <c r="BT12" s="1"/>
      <c r="BU12" s="1"/>
      <c r="BV12" s="1">
        <v>3</v>
      </c>
      <c r="BW12" s="1"/>
      <c r="BX12" s="1">
        <v>0</v>
      </c>
      <c r="BY12" s="1">
        <v>0</v>
      </c>
      <c r="BZ12" s="1">
        <v>0</v>
      </c>
      <c r="CA12" s="1">
        <v>0</v>
      </c>
      <c r="CB12" s="1">
        <v>11</v>
      </c>
      <c r="CC12" s="1"/>
      <c r="CD12" s="1"/>
      <c r="CE12" s="1"/>
      <c r="CF12" s="1"/>
      <c r="CG12" s="1"/>
      <c r="CH12" s="1">
        <v>37</v>
      </c>
      <c r="CI12" s="1">
        <v>0</v>
      </c>
      <c r="CJ12" s="1">
        <v>0</v>
      </c>
    </row>
    <row r="13" spans="1:88">
      <c r="A13" s="49">
        <v>43893</v>
      </c>
      <c r="B13" s="1"/>
      <c r="C13" s="1"/>
      <c r="D13" s="1"/>
      <c r="E13" s="1"/>
      <c r="F13" s="1"/>
      <c r="G13" s="1"/>
      <c r="H13" s="1">
        <v>6</v>
      </c>
      <c r="I13" s="1"/>
      <c r="J13" s="1"/>
      <c r="K13" s="1"/>
      <c r="L13" s="1"/>
      <c r="M13" s="1"/>
      <c r="N13" s="1"/>
      <c r="O13" s="1"/>
      <c r="P13" s="1"/>
      <c r="Q13" s="1"/>
      <c r="R13" s="1"/>
      <c r="S13" s="1"/>
      <c r="T13" s="1">
        <v>2</v>
      </c>
      <c r="U13" s="1"/>
      <c r="V13" s="1"/>
      <c r="W13" s="1">
        <v>3</v>
      </c>
      <c r="X13" s="1"/>
      <c r="Y13" s="1"/>
      <c r="Z13" s="1"/>
      <c r="AA13" s="1"/>
      <c r="AB13" s="1"/>
      <c r="AC13" s="1">
        <v>11</v>
      </c>
      <c r="AD13" s="1"/>
      <c r="AE13" s="1">
        <v>0</v>
      </c>
      <c r="AF13" s="1"/>
      <c r="AG13" s="1"/>
      <c r="AH13" s="1"/>
      <c r="AI13" s="1"/>
      <c r="AJ13" s="1"/>
      <c r="AK13" s="1"/>
      <c r="AL13" s="1">
        <v>2</v>
      </c>
      <c r="AM13" s="1"/>
      <c r="AN13" s="1">
        <v>0</v>
      </c>
      <c r="AO13" s="1"/>
      <c r="AP13" s="1"/>
      <c r="AQ13" s="1"/>
      <c r="AR13" s="1">
        <v>1</v>
      </c>
      <c r="AS13" s="1"/>
      <c r="AT13" s="1"/>
      <c r="AU13" s="1"/>
      <c r="AV13" s="1"/>
      <c r="AW13" s="1"/>
      <c r="AX13" s="1"/>
      <c r="AY13" s="1"/>
      <c r="AZ13" s="1"/>
      <c r="BA13" s="1"/>
      <c r="BB13" s="1"/>
      <c r="BC13" s="1"/>
      <c r="BD13" s="1"/>
      <c r="BE13" s="1"/>
      <c r="BF13" s="1"/>
      <c r="BG13" s="1">
        <v>1</v>
      </c>
      <c r="BH13" s="1"/>
      <c r="BI13" s="1"/>
      <c r="BJ13" s="1"/>
      <c r="BK13" s="1"/>
      <c r="BL13" s="1"/>
      <c r="BM13" s="1">
        <v>4</v>
      </c>
      <c r="BN13" s="1"/>
      <c r="BO13" s="1"/>
      <c r="BP13" s="1"/>
      <c r="BQ13" s="1"/>
      <c r="BR13" s="1"/>
      <c r="BS13" s="1"/>
      <c r="BT13" s="1"/>
      <c r="BU13" s="1"/>
      <c r="BV13" s="1">
        <v>3</v>
      </c>
      <c r="BW13" s="1"/>
      <c r="BX13" s="1">
        <v>0</v>
      </c>
      <c r="BY13" s="1">
        <v>1</v>
      </c>
      <c r="BZ13" s="1">
        <v>0</v>
      </c>
      <c r="CA13" s="1">
        <v>0</v>
      </c>
      <c r="CB13" s="1">
        <v>14</v>
      </c>
      <c r="CC13" s="1"/>
      <c r="CD13" s="1"/>
      <c r="CE13" s="1"/>
      <c r="CF13" s="1"/>
      <c r="CG13" s="1"/>
      <c r="CH13" s="1">
        <v>48</v>
      </c>
      <c r="CI13" s="1">
        <v>0</v>
      </c>
      <c r="CJ13" s="1">
        <v>0</v>
      </c>
    </row>
    <row r="14" spans="1:88">
      <c r="A14" s="49">
        <v>43894</v>
      </c>
      <c r="B14" s="1">
        <v>4</v>
      </c>
      <c r="C14" s="1"/>
      <c r="D14" s="1"/>
      <c r="E14" s="1"/>
      <c r="F14" s="1"/>
      <c r="G14" s="1"/>
      <c r="H14" s="1">
        <v>7</v>
      </c>
      <c r="I14" s="1"/>
      <c r="J14" s="1"/>
      <c r="K14" s="1"/>
      <c r="L14" s="1"/>
      <c r="M14" s="1"/>
      <c r="N14" s="1"/>
      <c r="O14" s="1"/>
      <c r="P14" s="1"/>
      <c r="Q14" s="1">
        <v>6</v>
      </c>
      <c r="R14" s="1"/>
      <c r="S14" s="1"/>
      <c r="T14" s="1">
        <v>2</v>
      </c>
      <c r="U14" s="1"/>
      <c r="V14" s="1"/>
      <c r="W14" s="1">
        <v>3</v>
      </c>
      <c r="X14" s="1"/>
      <c r="Y14" s="1"/>
      <c r="Z14" s="1">
        <v>1</v>
      </c>
      <c r="AA14" s="1"/>
      <c r="AB14" s="1"/>
      <c r="AC14" s="1">
        <v>11</v>
      </c>
      <c r="AD14" s="1"/>
      <c r="AE14" s="1">
        <v>0</v>
      </c>
      <c r="AF14" s="1"/>
      <c r="AG14" s="1"/>
      <c r="AH14" s="1"/>
      <c r="AI14" s="1"/>
      <c r="AJ14" s="1"/>
      <c r="AK14" s="1"/>
      <c r="AL14" s="1">
        <v>2</v>
      </c>
      <c r="AM14" s="1"/>
      <c r="AN14" s="1">
        <v>0</v>
      </c>
      <c r="AO14" s="1">
        <v>0</v>
      </c>
      <c r="AP14" s="1"/>
      <c r="AQ14" s="1"/>
      <c r="AR14" s="1">
        <v>8</v>
      </c>
      <c r="AS14" s="1"/>
      <c r="AT14" s="1"/>
      <c r="AU14" s="1"/>
      <c r="AV14" s="1"/>
      <c r="AW14" s="1"/>
      <c r="AX14" s="1"/>
      <c r="AY14" s="1"/>
      <c r="AZ14" s="1"/>
      <c r="BA14" s="1">
        <v>1</v>
      </c>
      <c r="BB14" s="1"/>
      <c r="BC14" s="1"/>
      <c r="BD14" s="1"/>
      <c r="BE14" s="1"/>
      <c r="BF14" s="1"/>
      <c r="BG14" s="1">
        <v>3</v>
      </c>
      <c r="BH14" s="1"/>
      <c r="BI14" s="1"/>
      <c r="BJ14" s="1"/>
      <c r="BK14" s="1"/>
      <c r="BL14" s="1"/>
      <c r="BM14" s="1">
        <v>5</v>
      </c>
      <c r="BN14" s="1"/>
      <c r="BO14" s="1"/>
      <c r="BP14" s="1"/>
      <c r="BQ14" s="1"/>
      <c r="BR14" s="1"/>
      <c r="BS14" s="1"/>
      <c r="BT14" s="1"/>
      <c r="BU14" s="1"/>
      <c r="BV14" s="1">
        <v>4</v>
      </c>
      <c r="BW14" s="1"/>
      <c r="BX14" s="1">
        <v>0</v>
      </c>
      <c r="BY14" s="1">
        <v>1</v>
      </c>
      <c r="BZ14" s="1">
        <v>0</v>
      </c>
      <c r="CA14" s="1">
        <v>0</v>
      </c>
      <c r="CB14" s="1">
        <v>16</v>
      </c>
      <c r="CC14" s="1"/>
      <c r="CD14" s="1"/>
      <c r="CE14" s="1"/>
      <c r="CF14" s="1"/>
      <c r="CG14" s="1"/>
      <c r="CH14" s="1">
        <v>74</v>
      </c>
      <c r="CI14" s="1">
        <v>0</v>
      </c>
      <c r="CJ14" s="1">
        <v>0</v>
      </c>
    </row>
    <row r="15" spans="1:88">
      <c r="A15" s="49">
        <v>43895</v>
      </c>
      <c r="B15" s="1">
        <v>6</v>
      </c>
      <c r="C15" s="1"/>
      <c r="D15" s="1"/>
      <c r="E15" s="1"/>
      <c r="F15" s="1"/>
      <c r="G15" s="1"/>
      <c r="H15" s="1">
        <v>9</v>
      </c>
      <c r="I15" s="1"/>
      <c r="J15" s="1"/>
      <c r="K15" s="1"/>
      <c r="L15" s="1"/>
      <c r="M15" s="1"/>
      <c r="N15" s="1">
        <v>1</v>
      </c>
      <c r="O15" s="1"/>
      <c r="P15" s="1"/>
      <c r="Q15" s="1"/>
      <c r="R15" s="1"/>
      <c r="S15" s="1"/>
      <c r="T15" s="1">
        <v>6</v>
      </c>
      <c r="U15" s="1"/>
      <c r="V15" s="1"/>
      <c r="W15" s="1">
        <v>8</v>
      </c>
      <c r="X15" s="1"/>
      <c r="Y15" s="1"/>
      <c r="Z15" s="1">
        <v>1</v>
      </c>
      <c r="AA15" s="1"/>
      <c r="AB15" s="1"/>
      <c r="AC15" s="1">
        <v>15</v>
      </c>
      <c r="AD15" s="1"/>
      <c r="AE15" s="1">
        <v>0</v>
      </c>
      <c r="AF15" s="1"/>
      <c r="AG15" s="1"/>
      <c r="AH15" s="1"/>
      <c r="AI15" s="1"/>
      <c r="AJ15" s="1"/>
      <c r="AK15" s="1"/>
      <c r="AL15" s="1">
        <v>4</v>
      </c>
      <c r="AM15" s="1"/>
      <c r="AN15" s="1">
        <v>0</v>
      </c>
      <c r="AO15" s="1"/>
      <c r="AP15" s="1"/>
      <c r="AQ15" s="1"/>
      <c r="AR15" s="1">
        <v>9</v>
      </c>
      <c r="AS15" s="1"/>
      <c r="AT15" s="1"/>
      <c r="AU15" s="1"/>
      <c r="AV15" s="1"/>
      <c r="AW15" s="1"/>
      <c r="AX15" s="1"/>
      <c r="AY15" s="1"/>
      <c r="AZ15" s="1"/>
      <c r="BA15" s="1"/>
      <c r="BB15" s="1"/>
      <c r="BC15" s="1"/>
      <c r="BD15" s="1"/>
      <c r="BE15" s="1"/>
      <c r="BF15" s="1"/>
      <c r="BG15" s="1"/>
      <c r="BH15" s="1"/>
      <c r="BI15" s="1"/>
      <c r="BJ15" s="1"/>
      <c r="BK15" s="1"/>
      <c r="BL15" s="1"/>
      <c r="BM15" s="1">
        <v>18</v>
      </c>
      <c r="BN15" s="1"/>
      <c r="BO15" s="1"/>
      <c r="BP15" s="1"/>
      <c r="BQ15" s="1"/>
      <c r="BR15" s="1"/>
      <c r="BS15" s="1"/>
      <c r="BT15" s="1"/>
      <c r="BU15" s="1"/>
      <c r="BV15" s="1">
        <v>5</v>
      </c>
      <c r="BW15" s="1"/>
      <c r="BX15" s="1">
        <v>0</v>
      </c>
      <c r="BY15" s="1">
        <v>2</v>
      </c>
      <c r="BZ15" s="1">
        <v>0</v>
      </c>
      <c r="CA15" s="1">
        <v>0</v>
      </c>
      <c r="CB15" s="1">
        <v>24</v>
      </c>
      <c r="CC15" s="1"/>
      <c r="CD15" s="1"/>
      <c r="CE15" s="1"/>
      <c r="CF15" s="1"/>
      <c r="CG15" s="1"/>
      <c r="CH15" s="1">
        <v>108</v>
      </c>
      <c r="CI15" s="1">
        <v>0</v>
      </c>
      <c r="CJ15" s="1">
        <v>0</v>
      </c>
    </row>
    <row r="16" spans="1:88">
      <c r="A16" s="49">
        <v>43896</v>
      </c>
      <c r="B16" s="1"/>
      <c r="C16" s="1"/>
      <c r="D16" s="1"/>
      <c r="E16" s="1">
        <v>1</v>
      </c>
      <c r="F16" s="1"/>
      <c r="G16" s="1"/>
      <c r="H16" s="1">
        <v>12</v>
      </c>
      <c r="I16" s="1">
        <v>1</v>
      </c>
      <c r="J16" s="1"/>
      <c r="K16" s="1"/>
      <c r="L16" s="1"/>
      <c r="M16" s="1"/>
      <c r="N16" s="1"/>
      <c r="O16" s="1"/>
      <c r="P16" s="1"/>
      <c r="Q16" s="1">
        <v>17</v>
      </c>
      <c r="R16" s="1"/>
      <c r="S16" s="1"/>
      <c r="T16" s="1">
        <v>6</v>
      </c>
      <c r="U16" s="1"/>
      <c r="V16" s="1"/>
      <c r="W16" s="1">
        <v>15</v>
      </c>
      <c r="X16" s="1"/>
      <c r="Y16" s="1"/>
      <c r="Z16" s="1">
        <v>1</v>
      </c>
      <c r="AA16" s="1"/>
      <c r="AB16" s="1"/>
      <c r="AC16" s="1">
        <v>19</v>
      </c>
      <c r="AD16" s="1"/>
      <c r="AE16" s="1">
        <v>0</v>
      </c>
      <c r="AF16" s="1"/>
      <c r="AG16" s="1"/>
      <c r="AH16" s="1"/>
      <c r="AI16" s="1"/>
      <c r="AJ16" s="1"/>
      <c r="AK16" s="1"/>
      <c r="AL16" s="1">
        <v>4</v>
      </c>
      <c r="AM16" s="1"/>
      <c r="AN16" s="1">
        <v>0</v>
      </c>
      <c r="AO16" s="1"/>
      <c r="AP16" s="1"/>
      <c r="AQ16" s="1"/>
      <c r="AR16" s="1">
        <v>13</v>
      </c>
      <c r="AS16" s="1"/>
      <c r="AT16" s="1"/>
      <c r="AU16" s="1"/>
      <c r="AV16" s="1"/>
      <c r="AW16" s="1"/>
      <c r="AX16" s="1"/>
      <c r="AY16" s="1"/>
      <c r="AZ16" s="1"/>
      <c r="BA16" s="1">
        <v>2</v>
      </c>
      <c r="BB16" s="1"/>
      <c r="BC16" s="1"/>
      <c r="BD16" s="1"/>
      <c r="BE16" s="1"/>
      <c r="BF16" s="1"/>
      <c r="BG16" s="1">
        <v>6</v>
      </c>
      <c r="BH16" s="1"/>
      <c r="BI16" s="1"/>
      <c r="BJ16" s="1"/>
      <c r="BK16" s="1"/>
      <c r="BL16" s="1"/>
      <c r="BM16" s="1"/>
      <c r="BN16" s="1"/>
      <c r="BO16" s="1"/>
      <c r="BP16" s="1"/>
      <c r="BQ16" s="1"/>
      <c r="BR16" s="1"/>
      <c r="BS16" s="1">
        <v>23</v>
      </c>
      <c r="BT16" s="1"/>
      <c r="BU16" s="1">
        <v>1</v>
      </c>
      <c r="BV16" s="1">
        <v>6</v>
      </c>
      <c r="BW16" s="1"/>
      <c r="BX16" s="1">
        <v>0</v>
      </c>
      <c r="BY16" s="1">
        <v>3</v>
      </c>
      <c r="BZ16" s="1">
        <v>0</v>
      </c>
      <c r="CA16" s="1">
        <v>0</v>
      </c>
      <c r="CB16" s="1">
        <v>30</v>
      </c>
      <c r="CC16" s="1"/>
      <c r="CD16" s="1"/>
      <c r="CE16" s="1"/>
      <c r="CF16" s="1"/>
      <c r="CG16" s="1"/>
      <c r="CH16" s="1">
        <v>158</v>
      </c>
      <c r="CI16" s="1">
        <v>1</v>
      </c>
      <c r="CJ16" s="1">
        <v>1</v>
      </c>
    </row>
    <row r="17" spans="1:88">
      <c r="A17" s="49">
        <v>43897</v>
      </c>
      <c r="B17" s="1"/>
      <c r="C17" s="1"/>
      <c r="D17" s="1"/>
      <c r="E17" s="1"/>
      <c r="F17" s="1"/>
      <c r="G17" s="1"/>
      <c r="H17" s="1"/>
      <c r="I17" s="1"/>
      <c r="J17" s="1"/>
      <c r="K17" s="1"/>
      <c r="L17" s="1"/>
      <c r="M17" s="1"/>
      <c r="N17" s="1"/>
      <c r="O17" s="1"/>
      <c r="P17" s="1"/>
      <c r="Q17" s="1"/>
      <c r="R17" s="1"/>
      <c r="S17" s="1"/>
      <c r="T17" s="1">
        <v>15</v>
      </c>
      <c r="U17" s="1"/>
      <c r="V17" s="1"/>
      <c r="W17" s="1">
        <v>21</v>
      </c>
      <c r="X17" s="1"/>
      <c r="Y17" s="1"/>
      <c r="Z17" s="1"/>
      <c r="AA17" s="1"/>
      <c r="AB17" s="1"/>
      <c r="AC17" s="1">
        <v>30</v>
      </c>
      <c r="AD17" s="1"/>
      <c r="AE17" s="1">
        <v>0</v>
      </c>
      <c r="AF17" s="1"/>
      <c r="AG17" s="1"/>
      <c r="AH17" s="1"/>
      <c r="AI17" s="1"/>
      <c r="AJ17" s="1"/>
      <c r="AK17" s="1"/>
      <c r="AL17" s="1">
        <v>5</v>
      </c>
      <c r="AM17" s="1"/>
      <c r="AN17" s="1">
        <v>0</v>
      </c>
      <c r="AO17" s="1"/>
      <c r="AP17" s="1"/>
      <c r="AQ17" s="1"/>
      <c r="AR17" s="1">
        <v>18</v>
      </c>
      <c r="AS17" s="1"/>
      <c r="AT17" s="1"/>
      <c r="AU17" s="1"/>
      <c r="AV17" s="1"/>
      <c r="AW17" s="1"/>
      <c r="AX17" s="1"/>
      <c r="AY17" s="1"/>
      <c r="AZ17" s="1"/>
      <c r="BA17" s="1"/>
      <c r="BB17" s="1"/>
      <c r="BC17" s="1"/>
      <c r="BD17" s="1"/>
      <c r="BE17" s="1"/>
      <c r="BF17" s="1"/>
      <c r="BG17" s="1"/>
      <c r="BH17" s="1"/>
      <c r="BI17" s="1"/>
      <c r="BJ17" s="1"/>
      <c r="BK17" s="1"/>
      <c r="BL17" s="1"/>
      <c r="BM17" s="1">
        <v>45</v>
      </c>
      <c r="BN17" s="1"/>
      <c r="BO17" s="1"/>
      <c r="BP17" s="1"/>
      <c r="BQ17" s="1"/>
      <c r="BR17" s="1"/>
      <c r="BS17" s="1">
        <v>30</v>
      </c>
      <c r="BT17" s="1"/>
      <c r="BU17" s="1">
        <v>1</v>
      </c>
      <c r="BV17" s="1">
        <v>7</v>
      </c>
      <c r="BW17" s="1"/>
      <c r="BX17" s="1">
        <v>0</v>
      </c>
      <c r="BY17" s="1">
        <v>3</v>
      </c>
      <c r="BZ17" s="1">
        <v>0</v>
      </c>
      <c r="CA17" s="1">
        <v>0</v>
      </c>
      <c r="CB17" s="1">
        <v>35</v>
      </c>
      <c r="CC17" s="1"/>
      <c r="CD17" s="1"/>
      <c r="CE17" s="1"/>
      <c r="CF17" s="1"/>
      <c r="CG17" s="1"/>
      <c r="CH17" s="1">
        <v>209</v>
      </c>
      <c r="CI17" s="1">
        <v>0</v>
      </c>
      <c r="CJ17" s="1">
        <v>1</v>
      </c>
    </row>
    <row r="18" spans="1:88">
      <c r="A18" s="49">
        <v>43898</v>
      </c>
      <c r="B18" s="1">
        <v>8</v>
      </c>
      <c r="C18" s="1"/>
      <c r="D18" s="1"/>
      <c r="E18" s="1"/>
      <c r="F18" s="1"/>
      <c r="G18" s="1"/>
      <c r="H18" s="1"/>
      <c r="I18" s="1"/>
      <c r="J18" s="1"/>
      <c r="K18" s="1"/>
      <c r="L18" s="1"/>
      <c r="M18" s="1"/>
      <c r="N18" s="1"/>
      <c r="O18" s="1"/>
      <c r="P18" s="1"/>
      <c r="Q18" s="1"/>
      <c r="R18" s="1"/>
      <c r="S18" s="1"/>
      <c r="T18" s="1">
        <v>19</v>
      </c>
      <c r="U18" s="1"/>
      <c r="V18" s="1">
        <v>1</v>
      </c>
      <c r="W18" s="1">
        <v>24</v>
      </c>
      <c r="X18" s="1"/>
      <c r="Y18" s="1"/>
      <c r="Z18" s="1"/>
      <c r="AA18" s="1"/>
      <c r="AB18" s="1"/>
      <c r="AC18" s="1">
        <v>38</v>
      </c>
      <c r="AD18" s="1"/>
      <c r="AE18" s="1">
        <v>0</v>
      </c>
      <c r="AF18" s="1"/>
      <c r="AG18" s="1"/>
      <c r="AH18" s="1"/>
      <c r="AI18" s="1"/>
      <c r="AJ18" s="1"/>
      <c r="AK18" s="1"/>
      <c r="AL18" s="1">
        <v>5</v>
      </c>
      <c r="AM18" s="1"/>
      <c r="AN18" s="1">
        <v>0</v>
      </c>
      <c r="AO18" s="1"/>
      <c r="AP18" s="1"/>
      <c r="AQ18" s="1"/>
      <c r="AR18" s="1">
        <v>24</v>
      </c>
      <c r="AS18" s="1"/>
      <c r="AT18" s="1"/>
      <c r="AU18" s="1"/>
      <c r="AV18" s="1"/>
      <c r="AW18" s="1"/>
      <c r="AX18" s="1"/>
      <c r="AY18" s="1"/>
      <c r="AZ18" s="1"/>
      <c r="BA18" s="1"/>
      <c r="BB18" s="1"/>
      <c r="BC18" s="1"/>
      <c r="BD18" s="1"/>
      <c r="BE18" s="1"/>
      <c r="BF18" s="1"/>
      <c r="BG18" s="1"/>
      <c r="BH18" s="1"/>
      <c r="BI18" s="1"/>
      <c r="BJ18" s="1"/>
      <c r="BK18" s="1"/>
      <c r="BL18" s="1"/>
      <c r="BM18" s="1">
        <v>58</v>
      </c>
      <c r="BN18" s="1"/>
      <c r="BO18" s="1"/>
      <c r="BP18" s="1"/>
      <c r="BQ18" s="1"/>
      <c r="BR18" s="1"/>
      <c r="BS18" s="1">
        <v>40</v>
      </c>
      <c r="BT18" s="1"/>
      <c r="BU18" s="1">
        <v>1</v>
      </c>
      <c r="BV18" s="1">
        <v>12</v>
      </c>
      <c r="BW18" s="1"/>
      <c r="BX18" s="1">
        <v>0</v>
      </c>
      <c r="BY18" s="1">
        <v>3</v>
      </c>
      <c r="BZ18" s="1">
        <v>0</v>
      </c>
      <c r="CA18" s="1">
        <v>0</v>
      </c>
      <c r="CB18" s="1">
        <v>41</v>
      </c>
      <c r="CC18" s="1"/>
      <c r="CD18" s="1"/>
      <c r="CE18" s="1"/>
      <c r="CF18" s="1"/>
      <c r="CG18" s="1"/>
      <c r="CH18" s="1">
        <v>272</v>
      </c>
      <c r="CI18" s="1">
        <v>0</v>
      </c>
      <c r="CJ18" s="1">
        <v>2</v>
      </c>
    </row>
    <row r="19" spans="1:88">
      <c r="A19" s="49">
        <v>43899</v>
      </c>
      <c r="B19" s="1">
        <v>11</v>
      </c>
      <c r="C19" s="1"/>
      <c r="D19" s="1"/>
      <c r="E19" s="1"/>
      <c r="F19" s="1"/>
      <c r="G19" s="1"/>
      <c r="H19" s="1">
        <v>14</v>
      </c>
      <c r="I19" s="1">
        <v>2</v>
      </c>
      <c r="J19" s="1"/>
      <c r="K19" s="1"/>
      <c r="L19" s="1"/>
      <c r="M19" s="1"/>
      <c r="N19" s="1">
        <v>2</v>
      </c>
      <c r="O19" s="1"/>
      <c r="P19" s="1"/>
      <c r="Q19" s="1">
        <v>34</v>
      </c>
      <c r="R19" s="1"/>
      <c r="S19" s="1"/>
      <c r="T19" s="1">
        <v>20</v>
      </c>
      <c r="U19" s="1">
        <v>1</v>
      </c>
      <c r="V19" s="1">
        <v>1</v>
      </c>
      <c r="W19" s="1">
        <v>28</v>
      </c>
      <c r="X19" s="1"/>
      <c r="Y19" s="1"/>
      <c r="Z19" s="1">
        <v>1</v>
      </c>
      <c r="AA19" s="1"/>
      <c r="AB19" s="1"/>
      <c r="AC19" s="1">
        <v>47</v>
      </c>
      <c r="AD19" s="1"/>
      <c r="AE19" s="1">
        <v>0</v>
      </c>
      <c r="AF19" s="1"/>
      <c r="AG19" s="1"/>
      <c r="AH19" s="1"/>
      <c r="AI19" s="1"/>
      <c r="AJ19" s="1"/>
      <c r="AK19" s="1"/>
      <c r="AL19" s="1">
        <v>7</v>
      </c>
      <c r="AM19" s="1"/>
      <c r="AN19" s="1">
        <v>0</v>
      </c>
      <c r="AO19" s="1"/>
      <c r="AP19" s="1"/>
      <c r="AQ19" s="1"/>
      <c r="AR19" s="1">
        <v>27</v>
      </c>
      <c r="AS19" s="1"/>
      <c r="AT19" s="1"/>
      <c r="AU19" s="1"/>
      <c r="AV19" s="1"/>
      <c r="AW19" s="1"/>
      <c r="AX19" s="1"/>
      <c r="AY19" s="1"/>
      <c r="AZ19" s="1"/>
      <c r="BA19" s="1"/>
      <c r="BB19" s="1"/>
      <c r="BC19" s="1"/>
      <c r="BD19" s="1"/>
      <c r="BE19" s="1"/>
      <c r="BF19" s="1"/>
      <c r="BG19" s="1"/>
      <c r="BH19" s="1"/>
      <c r="BI19" s="1"/>
      <c r="BJ19" s="1"/>
      <c r="BK19" s="1"/>
      <c r="BL19" s="1"/>
      <c r="BM19" s="1">
        <v>68</v>
      </c>
      <c r="BN19" s="1"/>
      <c r="BO19" s="1"/>
      <c r="BP19" s="1"/>
      <c r="BQ19" s="1"/>
      <c r="BR19" s="1"/>
      <c r="BS19" s="1">
        <v>51</v>
      </c>
      <c r="BT19" s="1"/>
      <c r="BU19" s="1">
        <v>1</v>
      </c>
      <c r="BV19" s="1">
        <v>17</v>
      </c>
      <c r="BW19" s="1"/>
      <c r="BX19" s="1">
        <v>0</v>
      </c>
      <c r="BY19" s="1">
        <v>10</v>
      </c>
      <c r="BZ19" s="1">
        <v>0</v>
      </c>
      <c r="CA19" s="1">
        <v>0</v>
      </c>
      <c r="CB19" s="1">
        <v>50</v>
      </c>
      <c r="CC19" s="1"/>
      <c r="CD19" s="1"/>
      <c r="CE19" s="1"/>
      <c r="CF19" s="1"/>
      <c r="CG19" s="1"/>
      <c r="CH19" s="1">
        <v>387</v>
      </c>
      <c r="CI19" s="1">
        <v>3</v>
      </c>
      <c r="CJ19" s="1">
        <v>2</v>
      </c>
    </row>
    <row r="20" spans="1:88">
      <c r="A20" s="49">
        <v>43900</v>
      </c>
      <c r="B20" s="1"/>
      <c r="C20" s="1"/>
      <c r="D20" s="1"/>
      <c r="E20" s="1"/>
      <c r="F20" s="1"/>
      <c r="G20" s="1"/>
      <c r="H20" s="1">
        <v>17</v>
      </c>
      <c r="I20" s="1">
        <v>2</v>
      </c>
      <c r="J20" s="1"/>
      <c r="K20" s="1"/>
      <c r="L20" s="1"/>
      <c r="M20" s="1"/>
      <c r="N20" s="1"/>
      <c r="O20" s="1"/>
      <c r="P20" s="1"/>
      <c r="Q20" s="1"/>
      <c r="R20" s="1"/>
      <c r="S20" s="1"/>
      <c r="T20" s="1">
        <v>22</v>
      </c>
      <c r="U20" s="1">
        <v>2</v>
      </c>
      <c r="V20" s="1">
        <v>1</v>
      </c>
      <c r="W20" s="1">
        <v>33</v>
      </c>
      <c r="X20" s="1"/>
      <c r="Y20" s="1"/>
      <c r="Z20" s="1">
        <v>1</v>
      </c>
      <c r="AA20" s="1"/>
      <c r="AB20" s="1"/>
      <c r="AC20" s="1">
        <v>73</v>
      </c>
      <c r="AD20" s="1"/>
      <c r="AE20" s="1">
        <v>1</v>
      </c>
      <c r="AF20" s="1">
        <v>1</v>
      </c>
      <c r="AG20" s="1"/>
      <c r="AH20" s="1">
        <v>0</v>
      </c>
      <c r="AI20" s="1"/>
      <c r="AJ20" s="1"/>
      <c r="AK20" s="1"/>
      <c r="AL20" s="1">
        <v>7</v>
      </c>
      <c r="AM20" s="1"/>
      <c r="AN20" s="1">
        <v>0</v>
      </c>
      <c r="AO20" s="1"/>
      <c r="AP20" s="1"/>
      <c r="AQ20" s="1"/>
      <c r="AR20" s="1">
        <v>31</v>
      </c>
      <c r="AS20" s="1"/>
      <c r="AT20" s="1"/>
      <c r="AU20" s="1"/>
      <c r="AV20" s="1"/>
      <c r="AW20" s="1"/>
      <c r="AX20" s="1"/>
      <c r="AY20" s="1"/>
      <c r="AZ20" s="1"/>
      <c r="BA20" s="1"/>
      <c r="BB20" s="1"/>
      <c r="BC20" s="1"/>
      <c r="BD20" s="1"/>
      <c r="BE20" s="1"/>
      <c r="BF20" s="1"/>
      <c r="BG20" s="1"/>
      <c r="BH20" s="1"/>
      <c r="BI20" s="1"/>
      <c r="BJ20" s="1"/>
      <c r="BK20" s="1"/>
      <c r="BL20" s="1"/>
      <c r="BM20" s="1"/>
      <c r="BN20" s="1"/>
      <c r="BO20" s="1">
        <v>1</v>
      </c>
      <c r="BP20" s="1"/>
      <c r="BQ20" s="1"/>
      <c r="BR20" s="1"/>
      <c r="BS20" s="1">
        <v>129</v>
      </c>
      <c r="BT20" s="1"/>
      <c r="BU20" s="1">
        <v>1</v>
      </c>
      <c r="BV20" s="1">
        <v>22</v>
      </c>
      <c r="BW20" s="1">
        <v>3</v>
      </c>
      <c r="BX20" s="1">
        <v>0</v>
      </c>
      <c r="BY20" s="1">
        <v>10</v>
      </c>
      <c r="BZ20" s="1">
        <v>0</v>
      </c>
      <c r="CA20" s="1">
        <v>0</v>
      </c>
      <c r="CB20" s="1">
        <v>63</v>
      </c>
      <c r="CC20" s="1"/>
      <c r="CD20" s="1"/>
      <c r="CE20" s="1"/>
      <c r="CF20" s="1"/>
      <c r="CG20" s="1"/>
      <c r="CH20" s="1">
        <v>409</v>
      </c>
      <c r="CI20" s="1">
        <v>7</v>
      </c>
      <c r="CJ20" s="1">
        <v>4</v>
      </c>
    </row>
    <row r="21" spans="1:88">
      <c r="A21" s="49">
        <v>43901</v>
      </c>
      <c r="B21" s="1">
        <v>16</v>
      </c>
      <c r="C21" s="1"/>
      <c r="D21" s="1">
        <v>0</v>
      </c>
      <c r="E21" s="1"/>
      <c r="F21" s="1"/>
      <c r="G21" s="1"/>
      <c r="H21" s="1">
        <v>18</v>
      </c>
      <c r="I21" s="1">
        <v>2</v>
      </c>
      <c r="J21" s="1"/>
      <c r="K21" s="1"/>
      <c r="L21" s="1"/>
      <c r="M21" s="1"/>
      <c r="N21" s="1"/>
      <c r="O21" s="1"/>
      <c r="P21" s="1"/>
      <c r="Q21" s="1"/>
      <c r="R21" s="1"/>
      <c r="S21" s="1"/>
      <c r="T21" s="1">
        <v>26</v>
      </c>
      <c r="U21" s="1">
        <v>2</v>
      </c>
      <c r="V21" s="1">
        <v>2</v>
      </c>
      <c r="W21" s="1">
        <v>49</v>
      </c>
      <c r="X21" s="1">
        <v>4</v>
      </c>
      <c r="Y21" s="1"/>
      <c r="Z21" s="1">
        <v>3</v>
      </c>
      <c r="AA21" s="1">
        <v>1</v>
      </c>
      <c r="AB21" s="1"/>
      <c r="AC21" s="1">
        <v>84</v>
      </c>
      <c r="AD21" s="1"/>
      <c r="AE21" s="1">
        <v>1</v>
      </c>
      <c r="AF21" s="1">
        <v>1</v>
      </c>
      <c r="AG21" s="1"/>
      <c r="AH21" s="1">
        <v>0</v>
      </c>
      <c r="AI21" s="1"/>
      <c r="AJ21" s="1"/>
      <c r="AK21" s="1"/>
      <c r="AL21" s="1">
        <v>7</v>
      </c>
      <c r="AM21" s="1"/>
      <c r="AN21" s="1">
        <v>0</v>
      </c>
      <c r="AO21" s="1"/>
      <c r="AP21" s="1"/>
      <c r="AQ21" s="1"/>
      <c r="AR21" s="1">
        <v>37</v>
      </c>
      <c r="AS21" s="1"/>
      <c r="AT21" s="1"/>
      <c r="AU21" s="1">
        <v>4</v>
      </c>
      <c r="AV21" s="1"/>
      <c r="AW21" s="1"/>
      <c r="AX21" s="1"/>
      <c r="AY21" s="1"/>
      <c r="AZ21" s="1"/>
      <c r="BA21" s="1"/>
      <c r="BB21" s="1"/>
      <c r="BC21" s="1"/>
      <c r="BD21" s="1">
        <v>1</v>
      </c>
      <c r="BE21" s="1"/>
      <c r="BF21" s="1">
        <v>0</v>
      </c>
      <c r="BG21" s="1"/>
      <c r="BH21" s="1"/>
      <c r="BI21" s="1"/>
      <c r="BJ21" s="1"/>
      <c r="BK21" s="1"/>
      <c r="BL21" s="1"/>
      <c r="BM21" s="1"/>
      <c r="BN21" s="1"/>
      <c r="BO21" s="1"/>
      <c r="BP21" s="1"/>
      <c r="BQ21" s="1"/>
      <c r="BR21" s="1"/>
      <c r="BS21" s="1">
        <v>202</v>
      </c>
      <c r="BT21" s="1"/>
      <c r="BU21" s="1">
        <v>1</v>
      </c>
      <c r="BV21" s="1">
        <v>30</v>
      </c>
      <c r="BW21" s="1"/>
      <c r="BX21" s="1">
        <v>0</v>
      </c>
      <c r="BY21" s="1">
        <v>11</v>
      </c>
      <c r="BZ21" s="1">
        <v>0</v>
      </c>
      <c r="CA21" s="1">
        <v>0</v>
      </c>
      <c r="CB21" s="1">
        <v>102</v>
      </c>
      <c r="CC21" s="1"/>
      <c r="CD21" s="1"/>
      <c r="CE21" s="1"/>
      <c r="CF21" s="1"/>
      <c r="CG21" s="1"/>
      <c r="CH21" s="1">
        <v>591</v>
      </c>
      <c r="CI21" s="1">
        <v>9</v>
      </c>
      <c r="CJ21" s="1">
        <v>4</v>
      </c>
    </row>
    <row r="22" spans="1:88">
      <c r="A22" s="49">
        <v>43902</v>
      </c>
      <c r="B22" s="1">
        <v>22</v>
      </c>
      <c r="C22" s="1"/>
      <c r="D22" s="1">
        <v>0</v>
      </c>
      <c r="E22" s="1"/>
      <c r="F22" s="1"/>
      <c r="G22" s="1"/>
      <c r="H22" s="1">
        <v>27</v>
      </c>
      <c r="I22" s="1">
        <v>3</v>
      </c>
      <c r="J22" s="1"/>
      <c r="K22" s="1"/>
      <c r="L22" s="1"/>
      <c r="M22" s="1"/>
      <c r="N22" s="1">
        <v>5</v>
      </c>
      <c r="O22" s="1"/>
      <c r="P22" s="1"/>
      <c r="Q22" s="1"/>
      <c r="R22" s="1"/>
      <c r="S22" s="1"/>
      <c r="T22" s="1">
        <v>26</v>
      </c>
      <c r="U22" s="1">
        <v>2</v>
      </c>
      <c r="V22" s="1">
        <v>2</v>
      </c>
      <c r="W22" s="1">
        <v>73</v>
      </c>
      <c r="X22" s="1">
        <v>4</v>
      </c>
      <c r="Y22" s="1">
        <v>1</v>
      </c>
      <c r="Z22" s="1">
        <v>3</v>
      </c>
      <c r="AA22" s="1">
        <v>1</v>
      </c>
      <c r="AB22" s="1"/>
      <c r="AC22" s="1">
        <v>114</v>
      </c>
      <c r="AD22" s="1"/>
      <c r="AE22" s="1">
        <v>2</v>
      </c>
      <c r="AF22" s="1">
        <v>3</v>
      </c>
      <c r="AG22" s="1"/>
      <c r="AH22" s="1">
        <v>0</v>
      </c>
      <c r="AI22" s="1"/>
      <c r="AJ22" s="1"/>
      <c r="AK22" s="1"/>
      <c r="AL22" s="1">
        <v>12</v>
      </c>
      <c r="AM22" s="1"/>
      <c r="AN22" s="1">
        <v>0</v>
      </c>
      <c r="AO22" s="1"/>
      <c r="AP22" s="1"/>
      <c r="AQ22" s="1"/>
      <c r="AR22" s="1">
        <v>46</v>
      </c>
      <c r="AS22" s="1"/>
      <c r="AT22" s="1"/>
      <c r="AU22" s="1">
        <v>5</v>
      </c>
      <c r="AV22" s="1"/>
      <c r="AW22" s="1"/>
      <c r="AX22" s="1"/>
      <c r="AY22" s="1"/>
      <c r="AZ22" s="1"/>
      <c r="BA22" s="1">
        <v>15</v>
      </c>
      <c r="BB22" s="1"/>
      <c r="BC22" s="1"/>
      <c r="BD22" s="1">
        <v>1</v>
      </c>
      <c r="BE22" s="1"/>
      <c r="BF22" s="1">
        <v>0</v>
      </c>
      <c r="BG22" s="1"/>
      <c r="BH22" s="1"/>
      <c r="BI22" s="1"/>
      <c r="BJ22" s="1"/>
      <c r="BK22" s="1"/>
      <c r="BL22" s="1"/>
      <c r="BM22" s="1">
        <v>180</v>
      </c>
      <c r="BN22" s="1"/>
      <c r="BO22" s="1"/>
      <c r="BP22" s="1">
        <v>2</v>
      </c>
      <c r="BQ22" s="1"/>
      <c r="BR22" s="1"/>
      <c r="BS22" s="1">
        <v>276</v>
      </c>
      <c r="BT22" s="1"/>
      <c r="BU22" s="1">
        <v>3</v>
      </c>
      <c r="BV22" s="1">
        <v>53</v>
      </c>
      <c r="BW22" s="1"/>
      <c r="BX22" s="1">
        <v>0</v>
      </c>
      <c r="BY22" s="1">
        <v>11</v>
      </c>
      <c r="BZ22" s="1">
        <v>0</v>
      </c>
      <c r="CA22" s="1">
        <v>0</v>
      </c>
      <c r="CB22" s="1">
        <v>141</v>
      </c>
      <c r="CC22" s="1"/>
      <c r="CD22" s="1"/>
      <c r="CE22" s="1"/>
      <c r="CF22" s="1"/>
      <c r="CG22" s="1"/>
      <c r="CH22" s="1">
        <v>1015</v>
      </c>
      <c r="CI22" s="1">
        <v>10</v>
      </c>
      <c r="CJ22" s="1">
        <v>8</v>
      </c>
    </row>
    <row r="23" spans="1:88">
      <c r="A23" s="49">
        <v>43903</v>
      </c>
      <c r="B23" s="1">
        <v>29</v>
      </c>
      <c r="C23" s="1"/>
      <c r="D23" s="1">
        <v>0</v>
      </c>
      <c r="E23" s="1"/>
      <c r="F23" s="1"/>
      <c r="G23" s="1"/>
      <c r="H23" s="1">
        <v>32</v>
      </c>
      <c r="I23" s="1">
        <v>3</v>
      </c>
      <c r="J23" s="1"/>
      <c r="K23" s="1"/>
      <c r="L23" s="1"/>
      <c r="M23" s="1"/>
      <c r="N23" s="1"/>
      <c r="O23" s="1"/>
      <c r="P23" s="1"/>
      <c r="Q23" s="1"/>
      <c r="R23" s="1"/>
      <c r="S23" s="1"/>
      <c r="T23" s="1">
        <v>42</v>
      </c>
      <c r="U23" s="1">
        <v>2</v>
      </c>
      <c r="V23" s="1">
        <v>2</v>
      </c>
      <c r="W23" s="1">
        <v>92</v>
      </c>
      <c r="X23" s="1">
        <v>4</v>
      </c>
      <c r="Y23" s="1">
        <v>1</v>
      </c>
      <c r="Z23" s="1"/>
      <c r="AA23" s="1"/>
      <c r="AB23" s="1"/>
      <c r="AC23" s="1">
        <v>178</v>
      </c>
      <c r="AD23" s="1"/>
      <c r="AE23" s="1">
        <v>2</v>
      </c>
      <c r="AF23" s="1">
        <v>6</v>
      </c>
      <c r="AG23" s="1"/>
      <c r="AH23" s="1">
        <v>0</v>
      </c>
      <c r="AI23" s="1"/>
      <c r="AJ23" s="1"/>
      <c r="AK23" s="1"/>
      <c r="AL23" s="1">
        <v>17</v>
      </c>
      <c r="AM23" s="1"/>
      <c r="AN23" s="1">
        <v>0</v>
      </c>
      <c r="AO23" s="1"/>
      <c r="AP23" s="1"/>
      <c r="AQ23" s="1"/>
      <c r="AR23" s="1">
        <v>59</v>
      </c>
      <c r="AS23" s="1"/>
      <c r="AT23" s="1"/>
      <c r="AU23" s="1">
        <v>5</v>
      </c>
      <c r="AV23" s="1"/>
      <c r="AW23" s="1"/>
      <c r="AX23" s="1">
        <v>1</v>
      </c>
      <c r="AY23" s="1"/>
      <c r="AZ23" s="1"/>
      <c r="BA23" s="1"/>
      <c r="BB23" s="1"/>
      <c r="BC23" s="1"/>
      <c r="BD23" s="1">
        <v>1</v>
      </c>
      <c r="BE23" s="1"/>
      <c r="BF23" s="1">
        <v>0</v>
      </c>
      <c r="BG23" s="1">
        <v>9</v>
      </c>
      <c r="BH23" s="1"/>
      <c r="BI23" s="1"/>
      <c r="BJ23" s="1"/>
      <c r="BK23" s="1"/>
      <c r="BL23" s="1"/>
      <c r="BM23" s="1">
        <v>258</v>
      </c>
      <c r="BN23" s="1"/>
      <c r="BO23" s="1"/>
      <c r="BP23" s="1"/>
      <c r="BQ23" s="1"/>
      <c r="BR23" s="1"/>
      <c r="BS23" s="1">
        <v>368</v>
      </c>
      <c r="BT23" s="1"/>
      <c r="BU23" s="1">
        <v>3</v>
      </c>
      <c r="BV23" s="1">
        <v>76</v>
      </c>
      <c r="BW23" s="1"/>
      <c r="BX23" s="1">
        <v>1</v>
      </c>
      <c r="BY23" s="1">
        <v>11</v>
      </c>
      <c r="BZ23" s="1">
        <v>0</v>
      </c>
      <c r="CA23" s="1">
        <v>0</v>
      </c>
      <c r="CB23" s="1">
        <v>164</v>
      </c>
      <c r="CC23" s="1"/>
      <c r="CD23" s="1"/>
      <c r="CE23" s="1"/>
      <c r="CF23" s="1"/>
      <c r="CG23" s="1"/>
      <c r="CH23" s="1">
        <v>1348</v>
      </c>
      <c r="CI23" s="1">
        <v>9</v>
      </c>
      <c r="CJ23" s="1">
        <v>9</v>
      </c>
    </row>
    <row r="24" spans="1:88">
      <c r="A24" s="49">
        <v>43904</v>
      </c>
      <c r="B24" s="1">
        <v>36</v>
      </c>
      <c r="C24" s="1"/>
      <c r="D24" s="1">
        <v>0</v>
      </c>
      <c r="E24" s="1"/>
      <c r="F24" s="1"/>
      <c r="G24" s="1"/>
      <c r="H24" s="1"/>
      <c r="I24" s="1"/>
      <c r="J24" s="1"/>
      <c r="K24" s="1">
        <v>2</v>
      </c>
      <c r="L24" s="1"/>
      <c r="M24" s="1"/>
      <c r="N24" s="1"/>
      <c r="O24" s="1"/>
      <c r="P24" s="1"/>
      <c r="Q24" s="1"/>
      <c r="R24" s="1"/>
      <c r="S24" s="1"/>
      <c r="T24" s="1">
        <v>47</v>
      </c>
      <c r="U24" s="1">
        <v>2</v>
      </c>
      <c r="V24" s="1">
        <v>2</v>
      </c>
      <c r="W24" s="1">
        <v>100</v>
      </c>
      <c r="X24" s="1">
        <v>4</v>
      </c>
      <c r="Y24" s="1">
        <v>1</v>
      </c>
      <c r="Z24" s="1">
        <v>3</v>
      </c>
      <c r="AA24" s="1">
        <v>1</v>
      </c>
      <c r="AB24" s="1"/>
      <c r="AC24" s="1">
        <v>281</v>
      </c>
      <c r="AD24" s="1"/>
      <c r="AE24" s="1">
        <v>2</v>
      </c>
      <c r="AF24" s="1">
        <v>8</v>
      </c>
      <c r="AG24" s="1"/>
      <c r="AH24" s="1">
        <v>0</v>
      </c>
      <c r="AI24" s="1"/>
      <c r="AJ24" s="1"/>
      <c r="AK24" s="1"/>
      <c r="AL24" s="1">
        <v>18</v>
      </c>
      <c r="AM24" s="1"/>
      <c r="AN24" s="1">
        <v>0</v>
      </c>
      <c r="AO24" s="1"/>
      <c r="AP24" s="1"/>
      <c r="AQ24" s="1"/>
      <c r="AR24" s="1">
        <v>68</v>
      </c>
      <c r="AS24" s="1"/>
      <c r="AT24" s="1"/>
      <c r="AU24" s="1">
        <v>5</v>
      </c>
      <c r="AV24" s="1"/>
      <c r="AW24" s="1"/>
      <c r="AX24" s="1"/>
      <c r="AY24" s="1"/>
      <c r="AZ24" s="1"/>
      <c r="BA24" s="1"/>
      <c r="BB24" s="1"/>
      <c r="BC24" s="1"/>
      <c r="BD24" s="1">
        <v>1</v>
      </c>
      <c r="BE24" s="1"/>
      <c r="BF24" s="1">
        <v>0</v>
      </c>
      <c r="BG24" s="1">
        <v>12</v>
      </c>
      <c r="BH24" s="1"/>
      <c r="BI24" s="1"/>
      <c r="BJ24" s="1"/>
      <c r="BK24" s="1"/>
      <c r="BL24" s="1"/>
      <c r="BM24" s="1">
        <v>265</v>
      </c>
      <c r="BN24" s="1"/>
      <c r="BO24" s="1">
        <v>3</v>
      </c>
      <c r="BP24" s="1"/>
      <c r="BQ24" s="1"/>
      <c r="BR24" s="1"/>
      <c r="BS24" s="1">
        <v>477</v>
      </c>
      <c r="BT24" s="1"/>
      <c r="BU24" s="1">
        <v>4</v>
      </c>
      <c r="BV24" s="1">
        <v>98</v>
      </c>
      <c r="BW24" s="1"/>
      <c r="BX24" s="1">
        <v>1</v>
      </c>
      <c r="BY24" s="1">
        <v>13</v>
      </c>
      <c r="BZ24" s="1">
        <v>0</v>
      </c>
      <c r="CA24" s="1">
        <v>0</v>
      </c>
      <c r="CB24" s="1">
        <v>219</v>
      </c>
      <c r="CC24" s="1"/>
      <c r="CD24" s="1"/>
      <c r="CE24" s="1"/>
      <c r="CF24" s="1"/>
      <c r="CG24" s="1"/>
      <c r="CH24" s="1">
        <v>1653</v>
      </c>
      <c r="CI24" s="1">
        <v>7</v>
      </c>
      <c r="CJ24" s="1">
        <v>13</v>
      </c>
    </row>
    <row r="25" spans="1:88">
      <c r="A25" s="49">
        <v>43905</v>
      </c>
      <c r="B25" s="1">
        <v>40</v>
      </c>
      <c r="C25" s="1"/>
      <c r="D25" s="1">
        <v>0</v>
      </c>
      <c r="E25" s="1"/>
      <c r="F25" s="1"/>
      <c r="G25" s="1"/>
      <c r="H25" s="1"/>
      <c r="I25" s="1"/>
      <c r="J25" s="1"/>
      <c r="K25" s="1"/>
      <c r="L25" s="1"/>
      <c r="M25" s="1"/>
      <c r="N25" s="1"/>
      <c r="O25" s="1"/>
      <c r="P25" s="1"/>
      <c r="Q25" s="1"/>
      <c r="R25" s="1"/>
      <c r="S25" s="1"/>
      <c r="T25" s="1">
        <v>54</v>
      </c>
      <c r="U25" s="1">
        <v>5</v>
      </c>
      <c r="V25" s="1">
        <v>2</v>
      </c>
      <c r="W25" s="1"/>
      <c r="X25" s="1"/>
      <c r="Y25" s="1"/>
      <c r="Z25" s="1">
        <v>7</v>
      </c>
      <c r="AA25" s="1">
        <v>1</v>
      </c>
      <c r="AB25" s="1"/>
      <c r="AC25" s="1">
        <v>374</v>
      </c>
      <c r="AD25" s="1"/>
      <c r="AE25" s="1">
        <v>4</v>
      </c>
      <c r="AF25" s="1">
        <v>10</v>
      </c>
      <c r="AG25" s="1"/>
      <c r="AH25" s="1">
        <v>0</v>
      </c>
      <c r="AI25" s="1"/>
      <c r="AJ25" s="1"/>
      <c r="AK25" s="1"/>
      <c r="AL25" s="1">
        <v>19</v>
      </c>
      <c r="AM25" s="1"/>
      <c r="AN25" s="1">
        <v>0</v>
      </c>
      <c r="AO25" s="1"/>
      <c r="AP25" s="1"/>
      <c r="AQ25" s="1"/>
      <c r="AR25" s="1">
        <v>74</v>
      </c>
      <c r="AS25" s="1"/>
      <c r="AT25" s="1"/>
      <c r="AU25" s="1">
        <v>8</v>
      </c>
      <c r="AV25" s="1"/>
      <c r="AW25" s="1"/>
      <c r="AX25" s="1"/>
      <c r="AY25" s="1"/>
      <c r="AZ25" s="1"/>
      <c r="BA25" s="1"/>
      <c r="BB25" s="1"/>
      <c r="BC25" s="1"/>
      <c r="BD25" s="1">
        <v>1</v>
      </c>
      <c r="BE25" s="1"/>
      <c r="BF25" s="1">
        <v>0</v>
      </c>
      <c r="BG25" s="1">
        <v>13</v>
      </c>
      <c r="BH25" s="1"/>
      <c r="BI25" s="1"/>
      <c r="BJ25" s="1"/>
      <c r="BK25" s="1"/>
      <c r="BL25" s="1"/>
      <c r="BM25" s="1">
        <v>291</v>
      </c>
      <c r="BN25" s="1"/>
      <c r="BO25" s="1">
        <v>6</v>
      </c>
      <c r="BP25" s="1"/>
      <c r="BQ25" s="1"/>
      <c r="BR25" s="1"/>
      <c r="BS25" s="1">
        <v>560</v>
      </c>
      <c r="BT25" s="1"/>
      <c r="BU25" s="1">
        <v>5</v>
      </c>
      <c r="BV25" s="1">
        <v>115</v>
      </c>
      <c r="BW25" s="1"/>
      <c r="BX25" s="1">
        <v>2</v>
      </c>
      <c r="BY25" s="1">
        <v>13</v>
      </c>
      <c r="BZ25" s="1">
        <v>0</v>
      </c>
      <c r="CA25" s="1">
        <v>0</v>
      </c>
      <c r="CB25" s="1">
        <v>251</v>
      </c>
      <c r="CC25" s="1"/>
      <c r="CD25" s="1">
        <v>1</v>
      </c>
      <c r="CE25" s="1"/>
      <c r="CF25" s="1"/>
      <c r="CG25" s="1"/>
      <c r="CH25" s="1">
        <v>1830</v>
      </c>
      <c r="CI25" s="1">
        <v>6</v>
      </c>
      <c r="CJ25" s="1">
        <v>20</v>
      </c>
    </row>
    <row r="26" spans="1:88">
      <c r="A26" s="49">
        <v>43906</v>
      </c>
      <c r="B26" s="1">
        <v>45</v>
      </c>
      <c r="C26" s="1"/>
      <c r="D26" s="1">
        <v>0</v>
      </c>
      <c r="E26" s="1"/>
      <c r="F26" s="1"/>
      <c r="G26" s="1"/>
      <c r="H26" s="1">
        <v>52</v>
      </c>
      <c r="I26" s="1">
        <v>4</v>
      </c>
      <c r="J26" s="1"/>
      <c r="K26" s="1">
        <v>4</v>
      </c>
      <c r="L26" s="1"/>
      <c r="M26" s="1"/>
      <c r="N26" s="1"/>
      <c r="O26" s="1"/>
      <c r="P26" s="1"/>
      <c r="Q26" s="1">
        <v>123</v>
      </c>
      <c r="R26" s="1"/>
      <c r="S26" s="1">
        <v>1</v>
      </c>
      <c r="T26" s="1">
        <v>76</v>
      </c>
      <c r="U26" s="1">
        <v>5</v>
      </c>
      <c r="V26" s="1">
        <v>2</v>
      </c>
      <c r="W26" s="1">
        <v>143</v>
      </c>
      <c r="X26" s="1">
        <v>4</v>
      </c>
      <c r="Y26" s="1">
        <v>4</v>
      </c>
      <c r="Z26" s="1"/>
      <c r="AA26" s="1"/>
      <c r="AB26" s="1"/>
      <c r="AC26" s="1">
        <v>460</v>
      </c>
      <c r="AD26" s="1"/>
      <c r="AE26" s="1">
        <v>4</v>
      </c>
      <c r="AF26" s="1">
        <v>10</v>
      </c>
      <c r="AG26" s="1"/>
      <c r="AH26" s="1">
        <v>0</v>
      </c>
      <c r="AI26" s="1"/>
      <c r="AJ26" s="1"/>
      <c r="AK26" s="1"/>
      <c r="AL26" s="1">
        <v>25</v>
      </c>
      <c r="AM26" s="1"/>
      <c r="AN26" s="1">
        <v>0</v>
      </c>
      <c r="AO26" s="1"/>
      <c r="AP26" s="1"/>
      <c r="AQ26" s="1"/>
      <c r="AR26" s="1">
        <v>93</v>
      </c>
      <c r="AS26" s="1"/>
      <c r="AT26" s="1"/>
      <c r="AU26" s="1">
        <v>10</v>
      </c>
      <c r="AV26" s="1"/>
      <c r="AW26" s="1"/>
      <c r="AX26" s="1"/>
      <c r="AY26" s="1"/>
      <c r="AZ26" s="1"/>
      <c r="BA26" s="1"/>
      <c r="BB26" s="1"/>
      <c r="BC26" s="1"/>
      <c r="BD26" s="1">
        <v>2</v>
      </c>
      <c r="BE26" s="1"/>
      <c r="BF26" s="1">
        <v>0</v>
      </c>
      <c r="BG26" s="1"/>
      <c r="BH26" s="1"/>
      <c r="BI26" s="1"/>
      <c r="BJ26" s="1">
        <v>17</v>
      </c>
      <c r="BK26" s="1"/>
      <c r="BL26" s="1"/>
      <c r="BM26" s="1">
        <v>330</v>
      </c>
      <c r="BN26" s="1"/>
      <c r="BO26" s="1">
        <v>8</v>
      </c>
      <c r="BP26" s="1"/>
      <c r="BQ26" s="1"/>
      <c r="BR26" s="1"/>
      <c r="BS26" s="1">
        <v>797</v>
      </c>
      <c r="BT26" s="1"/>
      <c r="BU26" s="1">
        <v>7</v>
      </c>
      <c r="BV26" s="1">
        <v>172</v>
      </c>
      <c r="BW26" s="1"/>
      <c r="BX26" s="1">
        <v>3</v>
      </c>
      <c r="BY26" s="1">
        <v>20</v>
      </c>
      <c r="BZ26" s="1">
        <v>0</v>
      </c>
      <c r="CA26" s="1">
        <v>0</v>
      </c>
      <c r="CB26" s="1">
        <v>327</v>
      </c>
      <c r="CC26" s="1"/>
      <c r="CD26" s="1">
        <v>1</v>
      </c>
      <c r="CE26" s="1"/>
      <c r="CF26" s="1"/>
      <c r="CG26" s="1"/>
      <c r="CH26" s="1">
        <v>2706</v>
      </c>
      <c r="CI26" s="1">
        <v>13</v>
      </c>
      <c r="CJ26" s="1">
        <v>30</v>
      </c>
    </row>
    <row r="27" spans="1:88">
      <c r="A27" s="49">
        <v>43907</v>
      </c>
      <c r="B27" s="1">
        <v>59</v>
      </c>
      <c r="C27" s="1"/>
      <c r="D27" s="1">
        <v>0</v>
      </c>
      <c r="E27" s="1"/>
      <c r="F27" s="1"/>
      <c r="G27" s="1"/>
      <c r="H27" s="1">
        <v>67</v>
      </c>
      <c r="I27" s="1">
        <v>4</v>
      </c>
      <c r="J27" s="1"/>
      <c r="K27" s="1">
        <v>5</v>
      </c>
      <c r="L27" s="1"/>
      <c r="M27" s="1"/>
      <c r="N27" s="1"/>
      <c r="O27" s="1"/>
      <c r="P27" s="1"/>
      <c r="Q27" s="1"/>
      <c r="R27" s="1"/>
      <c r="S27" s="1"/>
      <c r="T27" s="1">
        <v>89</v>
      </c>
      <c r="U27" s="1">
        <v>13</v>
      </c>
      <c r="V27" s="1">
        <v>2</v>
      </c>
      <c r="W27" s="1">
        <v>164</v>
      </c>
      <c r="X27" s="1">
        <v>25</v>
      </c>
      <c r="Y27" s="1">
        <v>4</v>
      </c>
      <c r="Z27" s="1">
        <v>19</v>
      </c>
      <c r="AA27" s="1">
        <v>1</v>
      </c>
      <c r="AB27" s="1"/>
      <c r="AC27" s="1">
        <v>587</v>
      </c>
      <c r="AD27" s="1"/>
      <c r="AE27" s="1">
        <v>5</v>
      </c>
      <c r="AF27" s="1">
        <v>12</v>
      </c>
      <c r="AG27" s="1"/>
      <c r="AH27" s="1">
        <v>0</v>
      </c>
      <c r="AI27" s="1">
        <v>101</v>
      </c>
      <c r="AJ27" s="1"/>
      <c r="AK27" s="1">
        <v>1</v>
      </c>
      <c r="AL27" s="1">
        <v>29</v>
      </c>
      <c r="AM27" s="1"/>
      <c r="AN27" s="1">
        <v>0</v>
      </c>
      <c r="AO27" s="1"/>
      <c r="AP27" s="1"/>
      <c r="AQ27" s="1"/>
      <c r="AR27" s="1">
        <v>114</v>
      </c>
      <c r="AS27" s="1"/>
      <c r="AT27" s="1">
        <v>1</v>
      </c>
      <c r="AU27" s="1">
        <v>12</v>
      </c>
      <c r="AV27" s="1"/>
      <c r="AW27" s="1"/>
      <c r="AX27" s="1"/>
      <c r="AY27" s="1"/>
      <c r="AZ27" s="1"/>
      <c r="BA27" s="1">
        <v>47</v>
      </c>
      <c r="BB27" s="1"/>
      <c r="BC27" s="1"/>
      <c r="BD27" s="1">
        <v>2</v>
      </c>
      <c r="BE27" s="1"/>
      <c r="BF27" s="1">
        <v>0</v>
      </c>
      <c r="BG27" s="1"/>
      <c r="BH27" s="1"/>
      <c r="BI27" s="1"/>
      <c r="BJ27" s="1">
        <v>23</v>
      </c>
      <c r="BK27" s="1"/>
      <c r="BL27" s="1"/>
      <c r="BM27" s="1">
        <v>422</v>
      </c>
      <c r="BN27" s="1"/>
      <c r="BO27" s="1">
        <v>10</v>
      </c>
      <c r="BP27" s="1"/>
      <c r="BQ27" s="1"/>
      <c r="BR27" s="1"/>
      <c r="BS27" s="1">
        <v>1040</v>
      </c>
      <c r="BT27" s="1"/>
      <c r="BU27" s="1">
        <v>9</v>
      </c>
      <c r="BV27" s="1">
        <v>225</v>
      </c>
      <c r="BW27" s="1"/>
      <c r="BX27" s="1">
        <v>3</v>
      </c>
      <c r="BY27" s="1">
        <v>29</v>
      </c>
      <c r="BZ27" s="1">
        <v>1</v>
      </c>
      <c r="CA27" s="1">
        <v>0</v>
      </c>
      <c r="CB27" s="1">
        <v>430</v>
      </c>
      <c r="CC27" s="1"/>
      <c r="CD27" s="1">
        <v>1</v>
      </c>
      <c r="CE27" s="1"/>
      <c r="CF27" s="1"/>
      <c r="CG27" s="1"/>
      <c r="CH27" s="1">
        <v>3476</v>
      </c>
      <c r="CI27" s="1">
        <v>44</v>
      </c>
      <c r="CJ27" s="1">
        <v>36</v>
      </c>
    </row>
    <row r="28" spans="1:88">
      <c r="A28" s="49">
        <v>43908</v>
      </c>
      <c r="B28" s="1">
        <v>86</v>
      </c>
      <c r="C28" s="1"/>
      <c r="D28" s="1">
        <v>0</v>
      </c>
      <c r="E28" s="1">
        <v>43</v>
      </c>
      <c r="F28" s="1"/>
      <c r="G28" s="1"/>
      <c r="H28" s="1">
        <v>101</v>
      </c>
      <c r="I28" s="1">
        <v>4</v>
      </c>
      <c r="J28" s="1"/>
      <c r="K28" s="1"/>
      <c r="L28" s="1"/>
      <c r="M28" s="1"/>
      <c r="N28" s="1">
        <v>11</v>
      </c>
      <c r="O28" s="1"/>
      <c r="P28" s="1"/>
      <c r="Q28" s="1">
        <v>193</v>
      </c>
      <c r="R28" s="1"/>
      <c r="S28" s="1">
        <v>1</v>
      </c>
      <c r="T28" s="1">
        <v>116</v>
      </c>
      <c r="U28" s="1">
        <v>16</v>
      </c>
      <c r="V28" s="1">
        <v>2</v>
      </c>
      <c r="W28" s="1">
        <v>181</v>
      </c>
      <c r="X28" s="1">
        <v>36</v>
      </c>
      <c r="Y28" s="1">
        <v>4</v>
      </c>
      <c r="Z28" s="1">
        <v>28</v>
      </c>
      <c r="AA28" s="1">
        <v>1</v>
      </c>
      <c r="AB28" s="1"/>
      <c r="AC28" s="1">
        <v>775</v>
      </c>
      <c r="AD28" s="1"/>
      <c r="AE28" s="1">
        <v>6</v>
      </c>
      <c r="AF28" s="1">
        <v>14</v>
      </c>
      <c r="AG28" s="1"/>
      <c r="AH28" s="1">
        <v>0</v>
      </c>
      <c r="AI28" s="1">
        <v>128</v>
      </c>
      <c r="AJ28" s="1"/>
      <c r="AK28" s="1">
        <v>1</v>
      </c>
      <c r="AL28" s="1">
        <v>32</v>
      </c>
      <c r="AM28" s="1"/>
      <c r="AN28" s="1">
        <v>0</v>
      </c>
      <c r="AO28" s="1">
        <v>65</v>
      </c>
      <c r="AP28" s="1"/>
      <c r="AQ28" s="1"/>
      <c r="AR28" s="1">
        <v>146</v>
      </c>
      <c r="AS28" s="1"/>
      <c r="AT28" s="1">
        <v>2</v>
      </c>
      <c r="AU28" s="1">
        <v>18</v>
      </c>
      <c r="AV28" s="1"/>
      <c r="AW28" s="1"/>
      <c r="AX28" s="1"/>
      <c r="AY28" s="1"/>
      <c r="AZ28" s="1"/>
      <c r="BA28" s="1">
        <v>61</v>
      </c>
      <c r="BB28" s="1"/>
      <c r="BC28" s="1"/>
      <c r="BD28" s="1">
        <v>8</v>
      </c>
      <c r="BE28" s="1"/>
      <c r="BF28" s="1">
        <v>0</v>
      </c>
      <c r="BG28" s="1"/>
      <c r="BH28" s="1"/>
      <c r="BI28" s="1"/>
      <c r="BJ28" s="1">
        <v>32</v>
      </c>
      <c r="BK28" s="1"/>
      <c r="BL28" s="1"/>
      <c r="BM28" s="1">
        <v>511</v>
      </c>
      <c r="BN28" s="1"/>
      <c r="BO28" s="1">
        <v>14</v>
      </c>
      <c r="BP28" s="1">
        <v>5</v>
      </c>
      <c r="BQ28" s="1"/>
      <c r="BR28" s="1"/>
      <c r="BS28" s="1">
        <v>1305</v>
      </c>
      <c r="BT28" s="1"/>
      <c r="BU28" s="1">
        <v>12</v>
      </c>
      <c r="BV28" s="1">
        <v>312</v>
      </c>
      <c r="BW28" s="1"/>
      <c r="BX28" s="1">
        <v>4</v>
      </c>
      <c r="BY28" s="1">
        <v>33</v>
      </c>
      <c r="BZ28" s="1">
        <v>5</v>
      </c>
      <c r="CA28" s="1">
        <v>0</v>
      </c>
      <c r="CB28" s="1">
        <v>569</v>
      </c>
      <c r="CC28" s="1"/>
      <c r="CD28" s="1">
        <v>2</v>
      </c>
      <c r="CE28" s="1"/>
      <c r="CF28" s="1"/>
      <c r="CG28" s="1"/>
      <c r="CH28" s="1">
        <v>4773</v>
      </c>
      <c r="CI28" s="1">
        <v>62</v>
      </c>
      <c r="CJ28" s="1">
        <v>48</v>
      </c>
    </row>
    <row r="29" spans="1:88">
      <c r="A29" s="49">
        <v>43909</v>
      </c>
      <c r="B29" s="1">
        <v>111</v>
      </c>
      <c r="C29" s="1"/>
      <c r="D29" s="1">
        <v>1</v>
      </c>
      <c r="E29" s="1"/>
      <c r="F29" s="1"/>
      <c r="G29" s="1"/>
      <c r="H29" s="1">
        <v>118</v>
      </c>
      <c r="I29" s="1"/>
      <c r="J29" s="1"/>
      <c r="K29" s="1">
        <v>6</v>
      </c>
      <c r="L29" s="1"/>
      <c r="M29" s="1"/>
      <c r="N29" s="1"/>
      <c r="O29" s="1"/>
      <c r="P29" s="1"/>
      <c r="Q29" s="1">
        <v>282</v>
      </c>
      <c r="R29" s="1"/>
      <c r="S29" s="1">
        <v>1</v>
      </c>
      <c r="T29" s="1">
        <v>134</v>
      </c>
      <c r="U29" s="1">
        <v>16</v>
      </c>
      <c r="V29" s="1">
        <v>2</v>
      </c>
      <c r="W29" s="1">
        <v>220</v>
      </c>
      <c r="X29" s="1">
        <v>44</v>
      </c>
      <c r="Y29" s="1">
        <v>4</v>
      </c>
      <c r="Z29" s="1"/>
      <c r="AA29" s="1"/>
      <c r="AB29" s="1"/>
      <c r="AC29" s="1">
        <v>994</v>
      </c>
      <c r="AD29" s="1"/>
      <c r="AE29" s="1">
        <v>7</v>
      </c>
      <c r="AF29" s="1">
        <v>16</v>
      </c>
      <c r="AG29" s="1"/>
      <c r="AH29" s="1">
        <v>0</v>
      </c>
      <c r="AI29" s="1">
        <v>182</v>
      </c>
      <c r="AJ29" s="1"/>
      <c r="AK29" s="1">
        <v>2</v>
      </c>
      <c r="AL29" s="1">
        <v>36</v>
      </c>
      <c r="AM29" s="1"/>
      <c r="AN29" s="1">
        <v>0</v>
      </c>
      <c r="AO29" s="1"/>
      <c r="AP29" s="1"/>
      <c r="AQ29" s="1"/>
      <c r="AR29" s="1">
        <v>175</v>
      </c>
      <c r="AS29" s="1"/>
      <c r="AT29" s="1">
        <v>3</v>
      </c>
      <c r="AU29" s="1">
        <v>25</v>
      </c>
      <c r="AV29" s="1"/>
      <c r="AW29" s="1"/>
      <c r="AX29" s="1"/>
      <c r="AY29" s="1"/>
      <c r="AZ29" s="1"/>
      <c r="BA29" s="1">
        <v>85</v>
      </c>
      <c r="BB29" s="1"/>
      <c r="BC29" s="1"/>
      <c r="BD29" s="1">
        <v>12</v>
      </c>
      <c r="BE29" s="1"/>
      <c r="BF29" s="1">
        <v>0</v>
      </c>
      <c r="BG29" s="1"/>
      <c r="BH29" s="1"/>
      <c r="BI29" s="1"/>
      <c r="BJ29" s="1">
        <v>36</v>
      </c>
      <c r="BK29" s="1"/>
      <c r="BL29" s="1"/>
      <c r="BM29" s="1">
        <v>638</v>
      </c>
      <c r="BN29" s="1"/>
      <c r="BO29" s="1">
        <v>15</v>
      </c>
      <c r="BP29" s="1">
        <v>7</v>
      </c>
      <c r="BQ29" s="1"/>
      <c r="BR29" s="1"/>
      <c r="BS29" s="1">
        <v>1514</v>
      </c>
      <c r="BT29" s="1"/>
      <c r="BU29" s="1">
        <v>13</v>
      </c>
      <c r="BV29" s="1">
        <v>349</v>
      </c>
      <c r="BW29" s="1"/>
      <c r="BX29" s="1">
        <v>6</v>
      </c>
      <c r="BY29" s="1">
        <v>37</v>
      </c>
      <c r="BZ29" s="1">
        <v>5</v>
      </c>
      <c r="CA29" s="1">
        <v>0</v>
      </c>
      <c r="CB29" s="1">
        <v>680</v>
      </c>
      <c r="CC29" s="1"/>
      <c r="CD29" s="1">
        <v>3</v>
      </c>
      <c r="CE29" s="1"/>
      <c r="CF29" s="1"/>
      <c r="CG29" s="1"/>
      <c r="CH29" s="1">
        <v>5657</v>
      </c>
      <c r="CI29" s="1">
        <v>65</v>
      </c>
      <c r="CJ29" s="1">
        <v>57</v>
      </c>
    </row>
    <row r="30" spans="1:88">
      <c r="A30" s="49">
        <v>43910</v>
      </c>
      <c r="B30" s="1">
        <v>145</v>
      </c>
      <c r="C30" s="1"/>
      <c r="D30" s="1">
        <v>1</v>
      </c>
      <c r="E30" s="1">
        <v>66</v>
      </c>
      <c r="F30" s="1"/>
      <c r="G30" s="1"/>
      <c r="H30" s="1">
        <v>168</v>
      </c>
      <c r="I30" s="1"/>
      <c r="J30" s="1">
        <v>1</v>
      </c>
      <c r="K30" s="1"/>
      <c r="L30" s="1"/>
      <c r="M30" s="1"/>
      <c r="N30" s="1"/>
      <c r="O30" s="1"/>
      <c r="P30" s="1"/>
      <c r="Q30" s="1">
        <v>377</v>
      </c>
      <c r="R30" s="1"/>
      <c r="S30" s="1">
        <v>2</v>
      </c>
      <c r="T30" s="1">
        <v>184</v>
      </c>
      <c r="U30" s="1">
        <v>18</v>
      </c>
      <c r="V30" s="1">
        <v>3</v>
      </c>
      <c r="W30" s="1">
        <v>270</v>
      </c>
      <c r="X30" s="1">
        <v>46</v>
      </c>
      <c r="Y30" s="1">
        <v>4</v>
      </c>
      <c r="Z30" s="1">
        <v>37</v>
      </c>
      <c r="AA30" s="1">
        <v>1</v>
      </c>
      <c r="AB30" s="1"/>
      <c r="AC30" s="1">
        <v>1119</v>
      </c>
      <c r="AD30" s="1"/>
      <c r="AE30" s="1">
        <v>9</v>
      </c>
      <c r="AF30" s="1">
        <v>20</v>
      </c>
      <c r="AG30" s="1"/>
      <c r="AH30" s="1">
        <v>0</v>
      </c>
      <c r="AI30" s="1">
        <v>226</v>
      </c>
      <c r="AJ30" s="1"/>
      <c r="AK30" s="1">
        <v>3</v>
      </c>
      <c r="AL30" s="1">
        <v>44</v>
      </c>
      <c r="AM30" s="1"/>
      <c r="AN30" s="1">
        <v>0</v>
      </c>
      <c r="AO30" s="1">
        <v>92</v>
      </c>
      <c r="AP30" s="1"/>
      <c r="AQ30" s="1"/>
      <c r="AR30" s="1">
        <v>189</v>
      </c>
      <c r="AS30" s="1"/>
      <c r="AT30" s="1">
        <v>3</v>
      </c>
      <c r="AU30" s="1">
        <v>28</v>
      </c>
      <c r="AV30" s="1"/>
      <c r="AW30" s="1"/>
      <c r="AX30" s="1"/>
      <c r="AY30" s="1"/>
      <c r="AZ30" s="1"/>
      <c r="BA30" s="1">
        <v>98</v>
      </c>
      <c r="BB30" s="1"/>
      <c r="BC30" s="1"/>
      <c r="BD30" s="1">
        <v>17</v>
      </c>
      <c r="BE30" s="1"/>
      <c r="BF30" s="1">
        <v>0</v>
      </c>
      <c r="BG30" s="1"/>
      <c r="BH30" s="1"/>
      <c r="BI30" s="1"/>
      <c r="BJ30" s="1">
        <v>49</v>
      </c>
      <c r="BK30" s="1"/>
      <c r="BL30" s="1"/>
      <c r="BM30" s="1">
        <v>834</v>
      </c>
      <c r="BN30" s="1"/>
      <c r="BO30" s="1">
        <v>22</v>
      </c>
      <c r="BP30" s="1">
        <v>7</v>
      </c>
      <c r="BQ30" s="1"/>
      <c r="BR30" s="1"/>
      <c r="BS30" s="1">
        <v>1756</v>
      </c>
      <c r="BT30" s="1"/>
      <c r="BU30" s="1">
        <v>19</v>
      </c>
      <c r="BV30" s="1">
        <v>436</v>
      </c>
      <c r="BW30" s="1"/>
      <c r="BX30" s="1">
        <v>7</v>
      </c>
      <c r="BY30" s="1">
        <v>48</v>
      </c>
      <c r="BZ30" s="1">
        <v>5</v>
      </c>
      <c r="CA30" s="1">
        <v>0</v>
      </c>
      <c r="CB30" s="1">
        <v>712</v>
      </c>
      <c r="CC30" s="1"/>
      <c r="CD30" s="1">
        <v>4</v>
      </c>
      <c r="CE30" s="1"/>
      <c r="CF30" s="1"/>
      <c r="CG30" s="1"/>
      <c r="CH30" s="1">
        <v>6922</v>
      </c>
      <c r="CI30" s="1">
        <v>70</v>
      </c>
      <c r="CJ30" s="1">
        <v>78</v>
      </c>
    </row>
    <row r="31" spans="1:88">
      <c r="A31" s="49">
        <v>43911</v>
      </c>
      <c r="B31" s="1">
        <v>167</v>
      </c>
      <c r="C31" s="1"/>
      <c r="D31" s="1">
        <v>2</v>
      </c>
      <c r="E31" s="1"/>
      <c r="F31" s="1"/>
      <c r="G31" s="1"/>
      <c r="H31" s="1"/>
      <c r="I31" s="1"/>
      <c r="J31" s="1"/>
      <c r="K31" s="1"/>
      <c r="L31" s="1"/>
      <c r="M31" s="1"/>
      <c r="N31" s="1"/>
      <c r="O31" s="1"/>
      <c r="P31" s="1">
        <v>1</v>
      </c>
      <c r="Q31" s="1">
        <v>418</v>
      </c>
      <c r="R31" s="1"/>
      <c r="S31" s="1">
        <v>3</v>
      </c>
      <c r="T31" s="1">
        <v>282</v>
      </c>
      <c r="U31" s="1">
        <v>21</v>
      </c>
      <c r="V31" s="1">
        <v>3</v>
      </c>
      <c r="W31" s="1">
        <v>297</v>
      </c>
      <c r="X31" s="1">
        <v>57</v>
      </c>
      <c r="Y31" s="1">
        <v>5</v>
      </c>
      <c r="Z31" s="1">
        <v>44</v>
      </c>
      <c r="AA31" s="1"/>
      <c r="AB31" s="1"/>
      <c r="AC31" s="1">
        <v>1248</v>
      </c>
      <c r="AD31" s="1"/>
      <c r="AE31" s="1">
        <v>9</v>
      </c>
      <c r="AF31" s="1">
        <v>25</v>
      </c>
      <c r="AG31" s="1"/>
      <c r="AH31" s="1">
        <v>0</v>
      </c>
      <c r="AI31" s="1">
        <v>258</v>
      </c>
      <c r="AJ31" s="1"/>
      <c r="AK31" s="1">
        <v>4</v>
      </c>
      <c r="AL31" s="1">
        <v>54</v>
      </c>
      <c r="AM31" s="1"/>
      <c r="AN31" s="1">
        <v>0</v>
      </c>
      <c r="AO31" s="1">
        <v>109</v>
      </c>
      <c r="AP31" s="1"/>
      <c r="AQ31" s="1">
        <v>1</v>
      </c>
      <c r="AR31" s="1">
        <v>200</v>
      </c>
      <c r="AS31" s="1"/>
      <c r="AT31" s="1">
        <v>4</v>
      </c>
      <c r="AU31" s="1">
        <v>33</v>
      </c>
      <c r="AV31" s="1"/>
      <c r="AW31" s="1"/>
      <c r="AX31" s="1"/>
      <c r="AY31" s="1"/>
      <c r="AZ31" s="1"/>
      <c r="BA31" s="1"/>
      <c r="BB31" s="1"/>
      <c r="BC31" s="1"/>
      <c r="BD31" s="1">
        <v>28</v>
      </c>
      <c r="BE31" s="1"/>
      <c r="BF31" s="1">
        <v>0</v>
      </c>
      <c r="BG31" s="1"/>
      <c r="BH31" s="1"/>
      <c r="BI31" s="1"/>
      <c r="BJ31" s="1">
        <v>56</v>
      </c>
      <c r="BK31" s="1"/>
      <c r="BL31" s="1"/>
      <c r="BM31" s="1">
        <v>918</v>
      </c>
      <c r="BN31" s="1"/>
      <c r="BO31" s="1">
        <v>28</v>
      </c>
      <c r="BP31" s="1">
        <v>12</v>
      </c>
      <c r="BQ31" s="1"/>
      <c r="BR31" s="1"/>
      <c r="BS31" s="1">
        <v>1875</v>
      </c>
      <c r="BT31" s="1"/>
      <c r="BU31" s="1">
        <v>22</v>
      </c>
      <c r="BV31" s="1">
        <v>498</v>
      </c>
      <c r="BW31" s="1"/>
      <c r="BX31" s="1">
        <v>10</v>
      </c>
      <c r="BY31" s="1">
        <v>53</v>
      </c>
      <c r="BZ31" s="1">
        <v>5</v>
      </c>
      <c r="CA31" s="1">
        <v>0</v>
      </c>
      <c r="CB31" s="1">
        <v>712</v>
      </c>
      <c r="CC31" s="1"/>
      <c r="CD31" s="1">
        <v>5</v>
      </c>
      <c r="CE31" s="1"/>
      <c r="CF31" s="1"/>
      <c r="CG31" s="1"/>
      <c r="CH31" s="1">
        <v>7287</v>
      </c>
      <c r="CI31" s="1">
        <v>83</v>
      </c>
      <c r="CJ31" s="1">
        <v>97</v>
      </c>
    </row>
    <row r="32" spans="1:88">
      <c r="A32" s="49">
        <v>43912</v>
      </c>
      <c r="B32" s="1">
        <v>202</v>
      </c>
      <c r="C32" s="1"/>
      <c r="D32" s="1">
        <v>3</v>
      </c>
      <c r="E32" s="1"/>
      <c r="F32" s="1"/>
      <c r="G32" s="1"/>
      <c r="H32" s="1">
        <v>232</v>
      </c>
      <c r="I32" s="1"/>
      <c r="J32" s="1">
        <v>1</v>
      </c>
      <c r="K32" s="1"/>
      <c r="L32" s="1"/>
      <c r="M32" s="1"/>
      <c r="N32" s="1"/>
      <c r="O32" s="1"/>
      <c r="P32" s="1"/>
      <c r="Q32" s="1"/>
      <c r="R32" s="1"/>
      <c r="S32" s="1"/>
      <c r="T32" s="1">
        <v>289</v>
      </c>
      <c r="U32" s="1">
        <v>21</v>
      </c>
      <c r="V32" s="1">
        <v>3</v>
      </c>
      <c r="W32" s="1">
        <v>356</v>
      </c>
      <c r="X32" s="1">
        <v>73</v>
      </c>
      <c r="Y32" s="1">
        <v>5</v>
      </c>
      <c r="Z32" s="1">
        <v>46</v>
      </c>
      <c r="AA32" s="1"/>
      <c r="AB32" s="1"/>
      <c r="AC32" s="1">
        <v>1391</v>
      </c>
      <c r="AD32" s="1"/>
      <c r="AE32" s="1">
        <v>10</v>
      </c>
      <c r="AF32" s="1">
        <v>29</v>
      </c>
      <c r="AG32" s="1"/>
      <c r="AH32" s="1">
        <v>0</v>
      </c>
      <c r="AI32" s="1">
        <v>284</v>
      </c>
      <c r="AJ32" s="1"/>
      <c r="AK32" s="1">
        <v>4</v>
      </c>
      <c r="AL32" s="1">
        <v>61</v>
      </c>
      <c r="AM32" s="1"/>
      <c r="AN32" s="1">
        <v>0</v>
      </c>
      <c r="AO32" s="1">
        <v>131</v>
      </c>
      <c r="AP32" s="1"/>
      <c r="AQ32" s="1">
        <v>1</v>
      </c>
      <c r="AR32" s="1">
        <v>216</v>
      </c>
      <c r="AS32" s="1"/>
      <c r="AT32" s="1">
        <v>4</v>
      </c>
      <c r="AU32" s="1">
        <v>36</v>
      </c>
      <c r="AV32" s="1"/>
      <c r="AW32" s="1"/>
      <c r="AX32" s="1"/>
      <c r="AY32" s="1"/>
      <c r="AZ32" s="1"/>
      <c r="BA32" s="1"/>
      <c r="BB32" s="1"/>
      <c r="BC32" s="1"/>
      <c r="BD32" s="1">
        <v>30</v>
      </c>
      <c r="BE32" s="1"/>
      <c r="BF32" s="1">
        <v>0</v>
      </c>
      <c r="BG32" s="1"/>
      <c r="BH32" s="1"/>
      <c r="BI32" s="1"/>
      <c r="BJ32" s="1">
        <v>75</v>
      </c>
      <c r="BK32" s="1"/>
      <c r="BL32" s="1"/>
      <c r="BM32" s="1">
        <v>939</v>
      </c>
      <c r="BN32" s="1"/>
      <c r="BO32" s="1">
        <v>37</v>
      </c>
      <c r="BP32" s="1"/>
      <c r="BQ32" s="1"/>
      <c r="BR32" s="1"/>
      <c r="BS32" s="1">
        <v>1977</v>
      </c>
      <c r="BT32" s="1"/>
      <c r="BU32" s="1">
        <v>24</v>
      </c>
      <c r="BV32" s="1">
        <v>535</v>
      </c>
      <c r="BW32" s="1"/>
      <c r="BX32" s="1">
        <v>11</v>
      </c>
      <c r="BY32" s="1">
        <v>53</v>
      </c>
      <c r="BZ32" s="1">
        <v>5</v>
      </c>
      <c r="CA32" s="1">
        <v>0</v>
      </c>
      <c r="CB32" s="1">
        <v>712</v>
      </c>
      <c r="CC32" s="1"/>
      <c r="CD32" s="1">
        <v>6</v>
      </c>
      <c r="CE32" s="1"/>
      <c r="CF32" s="1"/>
      <c r="CG32" s="1"/>
      <c r="CH32" s="1">
        <v>7594</v>
      </c>
      <c r="CI32" s="1">
        <v>99</v>
      </c>
      <c r="CJ32" s="1">
        <v>109</v>
      </c>
    </row>
    <row r="33" spans="1:88">
      <c r="A33" s="49">
        <v>43913</v>
      </c>
      <c r="B33" s="1">
        <v>226</v>
      </c>
      <c r="C33" s="1"/>
      <c r="D33" s="1">
        <v>4</v>
      </c>
      <c r="E33" s="1">
        <v>95</v>
      </c>
      <c r="F33" s="1"/>
      <c r="G33" s="1">
        <v>1</v>
      </c>
      <c r="H33" s="1">
        <v>241</v>
      </c>
      <c r="I33" s="1"/>
      <c r="J33" s="1">
        <v>1</v>
      </c>
      <c r="K33" s="1"/>
      <c r="L33" s="1"/>
      <c r="M33" s="1"/>
      <c r="N33" s="1">
        <v>30</v>
      </c>
      <c r="O33" s="1"/>
      <c r="P33" s="1">
        <v>1</v>
      </c>
      <c r="Q33" s="1">
        <v>470</v>
      </c>
      <c r="R33" s="1"/>
      <c r="S33" s="1">
        <v>5</v>
      </c>
      <c r="T33" s="1">
        <v>302</v>
      </c>
      <c r="U33" s="1">
        <v>35</v>
      </c>
      <c r="V33" s="1">
        <v>3</v>
      </c>
      <c r="W33" s="1">
        <v>374</v>
      </c>
      <c r="X33" s="1">
        <v>78</v>
      </c>
      <c r="Y33" s="1">
        <v>5</v>
      </c>
      <c r="Z33" s="1">
        <v>51</v>
      </c>
      <c r="AA33" s="1"/>
      <c r="AB33" s="1"/>
      <c r="AC33" s="1">
        <v>1536</v>
      </c>
      <c r="AD33" s="1"/>
      <c r="AE33" s="1">
        <v>16</v>
      </c>
      <c r="AF33" s="1">
        <v>31</v>
      </c>
      <c r="AG33" s="1"/>
      <c r="AH33" s="1">
        <v>0</v>
      </c>
      <c r="AI33" s="1">
        <v>300</v>
      </c>
      <c r="AJ33" s="1"/>
      <c r="AK33" s="1">
        <v>5</v>
      </c>
      <c r="AL33" s="1">
        <v>69</v>
      </c>
      <c r="AM33" s="1"/>
      <c r="AN33" s="1">
        <v>0</v>
      </c>
      <c r="AO33" s="1">
        <v>156</v>
      </c>
      <c r="AP33" s="1"/>
      <c r="AQ33" s="1">
        <v>1</v>
      </c>
      <c r="AR33" s="1">
        <v>247</v>
      </c>
      <c r="AS33" s="1"/>
      <c r="AT33" s="1">
        <v>5</v>
      </c>
      <c r="AU33" s="1">
        <v>39</v>
      </c>
      <c r="AV33" s="1"/>
      <c r="AW33" s="1"/>
      <c r="AX33" s="1">
        <v>25</v>
      </c>
      <c r="AY33" s="1"/>
      <c r="AZ33" s="1"/>
      <c r="BA33" s="1">
        <v>228</v>
      </c>
      <c r="BB33" s="1"/>
      <c r="BC33" s="1">
        <v>1</v>
      </c>
      <c r="BD33" s="1">
        <v>32</v>
      </c>
      <c r="BE33" s="1"/>
      <c r="BF33" s="1">
        <v>0</v>
      </c>
      <c r="BG33" s="1"/>
      <c r="BH33" s="1"/>
      <c r="BI33" s="1"/>
      <c r="BJ33" s="1">
        <v>81</v>
      </c>
      <c r="BK33" s="1"/>
      <c r="BL33" s="1"/>
      <c r="BM33" s="1">
        <v>1165</v>
      </c>
      <c r="BN33" s="1"/>
      <c r="BO33" s="1">
        <v>48</v>
      </c>
      <c r="BP33" s="1">
        <v>22</v>
      </c>
      <c r="BQ33" s="1">
        <v>1</v>
      </c>
      <c r="BR33" s="1"/>
      <c r="BS33" s="1">
        <v>2283</v>
      </c>
      <c r="BT33" s="1"/>
      <c r="BU33" s="1">
        <v>28</v>
      </c>
      <c r="BV33" s="1">
        <v>628</v>
      </c>
      <c r="BW33" s="1"/>
      <c r="BX33" s="1">
        <v>13</v>
      </c>
      <c r="BY33" s="1">
        <v>53</v>
      </c>
      <c r="BZ33" s="1">
        <v>5</v>
      </c>
      <c r="CA33" s="1">
        <v>0</v>
      </c>
      <c r="CB33" s="1">
        <v>1076</v>
      </c>
      <c r="CC33" s="1"/>
      <c r="CD33" s="1">
        <v>6</v>
      </c>
      <c r="CE33" s="1"/>
      <c r="CF33" s="1"/>
      <c r="CG33" s="1"/>
      <c r="CH33" s="1">
        <v>9760</v>
      </c>
      <c r="CI33" s="1">
        <v>119</v>
      </c>
      <c r="CJ33" s="1">
        <v>143</v>
      </c>
    </row>
    <row r="34" spans="1:88">
      <c r="A34" s="49">
        <v>43914</v>
      </c>
      <c r="B34" s="1">
        <v>255</v>
      </c>
      <c r="C34" s="1"/>
      <c r="D34" s="1">
        <v>5</v>
      </c>
      <c r="E34" s="1">
        <v>104</v>
      </c>
      <c r="F34" s="1"/>
      <c r="G34" s="1">
        <v>1</v>
      </c>
      <c r="H34" s="1">
        <v>266</v>
      </c>
      <c r="I34" s="1"/>
      <c r="J34" s="1">
        <v>2</v>
      </c>
      <c r="K34" s="1">
        <v>8</v>
      </c>
      <c r="L34" s="1"/>
      <c r="M34" s="1"/>
      <c r="N34" s="1">
        <v>33</v>
      </c>
      <c r="O34" s="1"/>
      <c r="P34" s="1">
        <v>2</v>
      </c>
      <c r="Q34" s="1">
        <v>532</v>
      </c>
      <c r="R34" s="1"/>
      <c r="S34" s="1">
        <v>6</v>
      </c>
      <c r="T34" s="1">
        <v>306</v>
      </c>
      <c r="U34" s="1">
        <v>40</v>
      </c>
      <c r="V34" s="1">
        <v>4</v>
      </c>
      <c r="W34" s="1">
        <v>410</v>
      </c>
      <c r="X34" s="1">
        <v>105</v>
      </c>
      <c r="Y34" s="1">
        <v>5</v>
      </c>
      <c r="Z34" s="1">
        <v>51</v>
      </c>
      <c r="AA34" s="1"/>
      <c r="AB34" s="1"/>
      <c r="AC34" s="1">
        <v>1636</v>
      </c>
      <c r="AD34" s="1">
        <v>103</v>
      </c>
      <c r="AE34" s="1">
        <v>17</v>
      </c>
      <c r="AF34" s="1">
        <v>33</v>
      </c>
      <c r="AG34" s="1"/>
      <c r="AH34" s="1">
        <v>0</v>
      </c>
      <c r="AI34" s="1">
        <v>343</v>
      </c>
      <c r="AJ34" s="1"/>
      <c r="AK34" s="1">
        <v>6</v>
      </c>
      <c r="AL34" s="1">
        <v>82</v>
      </c>
      <c r="AM34" s="1"/>
      <c r="AN34" s="1">
        <v>0</v>
      </c>
      <c r="AO34" s="1">
        <v>205</v>
      </c>
      <c r="AP34" s="1"/>
      <c r="AQ34" s="1">
        <v>2</v>
      </c>
      <c r="AR34" s="1">
        <v>265</v>
      </c>
      <c r="AS34" s="1"/>
      <c r="AT34" s="1">
        <v>6</v>
      </c>
      <c r="AU34" s="1">
        <v>42</v>
      </c>
      <c r="AV34" s="1"/>
      <c r="AW34" s="1"/>
      <c r="AX34" s="1">
        <v>25</v>
      </c>
      <c r="AY34" s="1"/>
      <c r="AZ34" s="1"/>
      <c r="BA34" s="1"/>
      <c r="BB34" s="1"/>
      <c r="BC34" s="1"/>
      <c r="BD34" s="1">
        <v>34</v>
      </c>
      <c r="BE34" s="1"/>
      <c r="BF34" s="1">
        <v>0</v>
      </c>
      <c r="BG34" s="1">
        <v>97</v>
      </c>
      <c r="BH34" s="1">
        <v>10</v>
      </c>
      <c r="BI34" s="1">
        <v>0</v>
      </c>
      <c r="BJ34" s="1">
        <v>87</v>
      </c>
      <c r="BK34" s="1"/>
      <c r="BL34" s="1">
        <v>1</v>
      </c>
      <c r="BM34" s="1">
        <v>1211</v>
      </c>
      <c r="BN34" s="1"/>
      <c r="BO34" s="1">
        <v>53</v>
      </c>
      <c r="BP34" s="1">
        <v>25</v>
      </c>
      <c r="BQ34" s="1">
        <v>1</v>
      </c>
      <c r="BR34" s="1"/>
      <c r="BS34" s="1">
        <v>2548</v>
      </c>
      <c r="BT34" s="1"/>
      <c r="BU34" s="1">
        <v>32</v>
      </c>
      <c r="BV34" s="1">
        <v>728</v>
      </c>
      <c r="BW34" s="1"/>
      <c r="BX34" s="1">
        <v>14</v>
      </c>
      <c r="BY34" s="1">
        <v>72</v>
      </c>
      <c r="BZ34" s="1">
        <v>12</v>
      </c>
      <c r="CA34" s="1">
        <v>0</v>
      </c>
      <c r="CB34" s="1">
        <v>1224</v>
      </c>
      <c r="CC34" s="1"/>
      <c r="CD34" s="1">
        <v>8</v>
      </c>
      <c r="CE34" s="1"/>
      <c r="CF34" s="1"/>
      <c r="CG34" s="1"/>
      <c r="CH34" s="1">
        <v>10622</v>
      </c>
      <c r="CI34" s="1">
        <v>271</v>
      </c>
      <c r="CJ34" s="1">
        <v>164</v>
      </c>
    </row>
    <row r="35" spans="1:88">
      <c r="A35" s="49">
        <v>43915</v>
      </c>
      <c r="B35" s="1">
        <v>293</v>
      </c>
      <c r="C35" s="1"/>
      <c r="D35" s="1">
        <v>6</v>
      </c>
      <c r="E35" s="1">
        <v>129</v>
      </c>
      <c r="F35" s="1"/>
      <c r="G35" s="1">
        <v>1</v>
      </c>
      <c r="H35" s="1">
        <v>319</v>
      </c>
      <c r="I35" s="1"/>
      <c r="J35" s="1">
        <v>2</v>
      </c>
      <c r="K35" s="1">
        <v>9</v>
      </c>
      <c r="L35" s="1"/>
      <c r="M35" s="1"/>
      <c r="N35" s="1">
        <v>34</v>
      </c>
      <c r="O35" s="1"/>
      <c r="P35" s="1">
        <v>2</v>
      </c>
      <c r="Q35" s="1">
        <v>624</v>
      </c>
      <c r="R35" s="1"/>
      <c r="S35" s="1">
        <v>6</v>
      </c>
      <c r="T35" s="1">
        <v>341</v>
      </c>
      <c r="U35" s="1">
        <v>46</v>
      </c>
      <c r="V35" s="1">
        <v>5</v>
      </c>
      <c r="W35" s="1">
        <v>462</v>
      </c>
      <c r="X35" s="1">
        <v>128</v>
      </c>
      <c r="Y35" s="1">
        <v>8</v>
      </c>
      <c r="Z35" s="1">
        <v>53</v>
      </c>
      <c r="AA35" s="1"/>
      <c r="AB35" s="1"/>
      <c r="AC35" s="1">
        <v>1757</v>
      </c>
      <c r="AD35" s="1">
        <v>122</v>
      </c>
      <c r="AE35" s="1">
        <v>24</v>
      </c>
      <c r="AF35" s="1">
        <v>40</v>
      </c>
      <c r="AG35" s="1"/>
      <c r="AH35" s="1">
        <v>0</v>
      </c>
      <c r="AI35" s="1">
        <v>393</v>
      </c>
      <c r="AJ35" s="1"/>
      <c r="AK35" s="1">
        <v>8</v>
      </c>
      <c r="AL35" s="1">
        <v>92</v>
      </c>
      <c r="AM35" s="1"/>
      <c r="AN35" s="1">
        <v>0</v>
      </c>
      <c r="AO35" s="1">
        <v>228</v>
      </c>
      <c r="AP35" s="1"/>
      <c r="AQ35" s="1">
        <v>2</v>
      </c>
      <c r="AR35" s="1">
        <v>280</v>
      </c>
      <c r="AS35" s="1"/>
      <c r="AT35" s="1">
        <v>9</v>
      </c>
      <c r="AU35" s="1">
        <v>44</v>
      </c>
      <c r="AV35" s="1"/>
      <c r="AW35" s="1"/>
      <c r="AX35" s="1">
        <v>27</v>
      </c>
      <c r="AY35" s="1"/>
      <c r="AZ35" s="1"/>
      <c r="BA35" s="1">
        <v>228</v>
      </c>
      <c r="BB35" s="1"/>
      <c r="BC35" s="1">
        <v>1</v>
      </c>
      <c r="BD35" s="1">
        <v>35</v>
      </c>
      <c r="BE35" s="1"/>
      <c r="BF35" s="1">
        <v>0</v>
      </c>
      <c r="BG35" s="1"/>
      <c r="BH35" s="1">
        <v>10</v>
      </c>
      <c r="BI35" s="1">
        <v>0</v>
      </c>
      <c r="BJ35" s="1">
        <v>96</v>
      </c>
      <c r="BK35" s="1"/>
      <c r="BL35" s="1">
        <v>1</v>
      </c>
      <c r="BM35" s="1">
        <v>1354</v>
      </c>
      <c r="BN35" s="1"/>
      <c r="BO35" s="1">
        <v>60</v>
      </c>
      <c r="BP35" s="1"/>
      <c r="BQ35" s="1"/>
      <c r="BR35" s="1"/>
      <c r="BS35" s="1">
        <v>2740</v>
      </c>
      <c r="BT35" s="1"/>
      <c r="BU35" s="1">
        <v>40</v>
      </c>
      <c r="BV35" s="1">
        <v>793</v>
      </c>
      <c r="BW35" s="1"/>
      <c r="BX35" s="1">
        <v>15</v>
      </c>
      <c r="BY35" s="1">
        <v>80</v>
      </c>
      <c r="BZ35" s="1">
        <v>18</v>
      </c>
      <c r="CA35" s="1">
        <v>0</v>
      </c>
      <c r="CB35" s="1">
        <v>1371</v>
      </c>
      <c r="CC35" s="1"/>
      <c r="CD35" s="1">
        <v>10</v>
      </c>
      <c r="CE35" s="1"/>
      <c r="CF35" s="1"/>
      <c r="CG35" s="1"/>
      <c r="CH35" s="1">
        <v>11822</v>
      </c>
      <c r="CI35" s="1">
        <v>324</v>
      </c>
      <c r="CJ35" s="1">
        <v>200</v>
      </c>
    </row>
    <row r="36" spans="1:88">
      <c r="A36" s="49">
        <v>43916</v>
      </c>
      <c r="B36" s="1">
        <v>309</v>
      </c>
      <c r="C36" s="1"/>
      <c r="D36" s="1">
        <v>11</v>
      </c>
      <c r="E36" s="1">
        <v>141</v>
      </c>
      <c r="F36" s="1"/>
      <c r="G36" s="1">
        <v>1</v>
      </c>
      <c r="H36" s="1">
        <v>349</v>
      </c>
      <c r="I36" s="1"/>
      <c r="J36" s="1">
        <v>2</v>
      </c>
      <c r="K36" s="1">
        <v>11</v>
      </c>
      <c r="L36" s="1"/>
      <c r="M36" s="1"/>
      <c r="N36" s="1">
        <v>42</v>
      </c>
      <c r="O36" s="1"/>
      <c r="P36" s="1">
        <v>2</v>
      </c>
      <c r="Q36" s="1">
        <v>660</v>
      </c>
      <c r="R36" s="1"/>
      <c r="S36" s="1">
        <v>7</v>
      </c>
      <c r="T36" s="1">
        <v>422</v>
      </c>
      <c r="U36" s="1">
        <v>65</v>
      </c>
      <c r="V36" s="1">
        <v>5</v>
      </c>
      <c r="W36" s="1">
        <v>501</v>
      </c>
      <c r="X36" s="1">
        <v>155</v>
      </c>
      <c r="Y36" s="1">
        <v>12</v>
      </c>
      <c r="Z36" s="1">
        <v>56</v>
      </c>
      <c r="AA36" s="1"/>
      <c r="AB36" s="1"/>
      <c r="AC36" s="1">
        <v>1979</v>
      </c>
      <c r="AD36" s="1">
        <v>144</v>
      </c>
      <c r="AE36" s="1">
        <v>26</v>
      </c>
      <c r="AF36" s="1">
        <v>43</v>
      </c>
      <c r="AG36" s="1"/>
      <c r="AH36" s="1">
        <v>0</v>
      </c>
      <c r="AI36" s="1">
        <v>433</v>
      </c>
      <c r="AJ36" s="1"/>
      <c r="AK36" s="1">
        <v>8</v>
      </c>
      <c r="AL36" s="1">
        <v>100</v>
      </c>
      <c r="AM36" s="1"/>
      <c r="AN36" s="1">
        <v>0</v>
      </c>
      <c r="AO36" s="1">
        <v>253</v>
      </c>
      <c r="AP36" s="1"/>
      <c r="AQ36" s="1">
        <v>3</v>
      </c>
      <c r="AR36" s="1">
        <v>299</v>
      </c>
      <c r="AS36" s="1"/>
      <c r="AT36" s="1">
        <v>12</v>
      </c>
      <c r="AU36" s="1">
        <v>48</v>
      </c>
      <c r="AV36" s="1"/>
      <c r="AW36" s="1"/>
      <c r="AX36" s="1">
        <v>30</v>
      </c>
      <c r="AY36" s="1"/>
      <c r="AZ36" s="1"/>
      <c r="BA36" s="1">
        <v>306</v>
      </c>
      <c r="BB36" s="1"/>
      <c r="BC36" s="1">
        <v>2</v>
      </c>
      <c r="BD36" s="1">
        <v>36</v>
      </c>
      <c r="BE36" s="1"/>
      <c r="BF36" s="1">
        <v>0</v>
      </c>
      <c r="BG36" s="1">
        <v>107</v>
      </c>
      <c r="BH36" s="1">
        <v>20</v>
      </c>
      <c r="BI36" s="1">
        <v>0</v>
      </c>
      <c r="BJ36" s="1">
        <v>110</v>
      </c>
      <c r="BK36" s="1"/>
      <c r="BL36" s="1">
        <v>1</v>
      </c>
      <c r="BM36" s="1">
        <v>1401</v>
      </c>
      <c r="BN36" s="1"/>
      <c r="BO36" s="1">
        <v>67</v>
      </c>
      <c r="BP36" s="1">
        <v>38</v>
      </c>
      <c r="BQ36" s="1">
        <v>2</v>
      </c>
      <c r="BR36" s="1"/>
      <c r="BS36" s="1">
        <v>2945</v>
      </c>
      <c r="BT36" s="1"/>
      <c r="BU36" s="1">
        <v>57</v>
      </c>
      <c r="BV36" s="1">
        <v>874</v>
      </c>
      <c r="BW36" s="1"/>
      <c r="BX36" s="1">
        <v>17</v>
      </c>
      <c r="BY36" s="1">
        <v>87</v>
      </c>
      <c r="BZ36" s="1">
        <v>18</v>
      </c>
      <c r="CA36" s="1">
        <v>0</v>
      </c>
      <c r="CB36" s="1">
        <v>1503</v>
      </c>
      <c r="CC36" s="1"/>
      <c r="CD36" s="1">
        <v>13</v>
      </c>
      <c r="CE36" s="1"/>
      <c r="CF36" s="1"/>
      <c r="CG36" s="1"/>
      <c r="CH36" s="1">
        <v>13083</v>
      </c>
      <c r="CI36" s="1">
        <v>404</v>
      </c>
      <c r="CJ36" s="1">
        <v>246</v>
      </c>
    </row>
    <row r="37" spans="1:88">
      <c r="A37" s="49">
        <v>43917</v>
      </c>
      <c r="B37" s="1">
        <v>369</v>
      </c>
      <c r="C37" s="1"/>
      <c r="D37" s="1">
        <v>14</v>
      </c>
      <c r="E37" s="1">
        <v>157</v>
      </c>
      <c r="F37" s="1"/>
      <c r="G37" s="1">
        <v>1</v>
      </c>
      <c r="H37" s="1">
        <v>364</v>
      </c>
      <c r="I37" s="1"/>
      <c r="J37" s="1">
        <v>3</v>
      </c>
      <c r="K37" s="1">
        <v>12</v>
      </c>
      <c r="L37" s="1"/>
      <c r="M37" s="1"/>
      <c r="N37" s="1">
        <v>44</v>
      </c>
      <c r="O37" s="1"/>
      <c r="P37" s="1">
        <v>2</v>
      </c>
      <c r="Q37" s="1">
        <v>718</v>
      </c>
      <c r="R37" s="1"/>
      <c r="S37" s="1">
        <v>8</v>
      </c>
      <c r="T37" s="1">
        <v>466</v>
      </c>
      <c r="U37" s="1">
        <v>76</v>
      </c>
      <c r="V37" s="1">
        <v>5</v>
      </c>
      <c r="W37" s="1">
        <v>530</v>
      </c>
      <c r="X37" s="1">
        <v>191</v>
      </c>
      <c r="Y37" s="1">
        <v>13</v>
      </c>
      <c r="Z37" s="1">
        <v>60</v>
      </c>
      <c r="AA37" s="1"/>
      <c r="AB37" s="1"/>
      <c r="AC37" s="1">
        <v>2164</v>
      </c>
      <c r="AD37" s="1">
        <v>153</v>
      </c>
      <c r="AE37" s="1">
        <v>33</v>
      </c>
      <c r="AF37" s="1">
        <v>47</v>
      </c>
      <c r="AG37" s="1"/>
      <c r="AH37" s="1">
        <v>0</v>
      </c>
      <c r="AI37" s="1">
        <v>474</v>
      </c>
      <c r="AJ37" s="1"/>
      <c r="AK37" s="1">
        <v>9</v>
      </c>
      <c r="AL37" s="1">
        <v>114</v>
      </c>
      <c r="AM37" s="1"/>
      <c r="AN37" s="1">
        <v>0</v>
      </c>
      <c r="AO37" s="1">
        <v>287</v>
      </c>
      <c r="AP37" s="1"/>
      <c r="AQ37" s="1">
        <v>3</v>
      </c>
      <c r="AR37" s="1">
        <v>316</v>
      </c>
      <c r="AS37" s="1"/>
      <c r="AT37" s="1">
        <v>13</v>
      </c>
      <c r="AU37" s="1">
        <v>54</v>
      </c>
      <c r="AV37" s="1"/>
      <c r="AW37" s="1"/>
      <c r="AX37" s="1">
        <v>37</v>
      </c>
      <c r="AY37" s="1"/>
      <c r="AZ37" s="1"/>
      <c r="BA37" s="1"/>
      <c r="BB37" s="1"/>
      <c r="BC37" s="1"/>
      <c r="BD37" s="1">
        <v>37</v>
      </c>
      <c r="BE37" s="1"/>
      <c r="BF37" s="1">
        <v>0</v>
      </c>
      <c r="BG37" s="1">
        <v>119</v>
      </c>
      <c r="BH37" s="1">
        <v>32</v>
      </c>
      <c r="BI37" s="1">
        <v>1</v>
      </c>
      <c r="BJ37" s="1">
        <v>117</v>
      </c>
      <c r="BK37" s="1"/>
      <c r="BL37" s="1">
        <v>2</v>
      </c>
      <c r="BM37" s="1">
        <v>1688</v>
      </c>
      <c r="BN37" s="1"/>
      <c r="BO37" s="1">
        <v>76</v>
      </c>
      <c r="BP37" s="1">
        <v>40</v>
      </c>
      <c r="BQ37" s="1">
        <v>3</v>
      </c>
      <c r="BR37" s="1"/>
      <c r="BS37" s="1">
        <v>3179</v>
      </c>
      <c r="BT37" s="1"/>
      <c r="BU37" s="1">
        <v>61</v>
      </c>
      <c r="BV37" s="1">
        <v>968</v>
      </c>
      <c r="BW37" s="1"/>
      <c r="BX37" s="1">
        <v>21</v>
      </c>
      <c r="BY37" s="1">
        <v>94</v>
      </c>
      <c r="BZ37" s="1">
        <v>18</v>
      </c>
      <c r="CA37" s="1">
        <v>0</v>
      </c>
      <c r="CB37" s="1">
        <v>1630</v>
      </c>
      <c r="CC37" s="1"/>
      <c r="CD37" s="1">
        <v>15</v>
      </c>
      <c r="CE37" s="1"/>
      <c r="CF37" s="1"/>
      <c r="CG37" s="1"/>
      <c r="CH37" s="1">
        <v>14085</v>
      </c>
      <c r="CI37" s="1">
        <v>473</v>
      </c>
      <c r="CJ37" s="1">
        <v>280</v>
      </c>
    </row>
    <row r="38" spans="1:88">
      <c r="A38" s="49">
        <v>43918</v>
      </c>
      <c r="B38" s="1">
        <v>421</v>
      </c>
      <c r="C38" s="1"/>
      <c r="D38" s="1">
        <v>15</v>
      </c>
      <c r="E38" s="1">
        <v>173</v>
      </c>
      <c r="F38" s="1"/>
      <c r="G38" s="1">
        <v>1</v>
      </c>
      <c r="H38" s="1"/>
      <c r="I38" s="1"/>
      <c r="J38" s="1"/>
      <c r="K38" s="1">
        <v>13</v>
      </c>
      <c r="L38" s="1"/>
      <c r="M38" s="1"/>
      <c r="N38" s="1">
        <v>45</v>
      </c>
      <c r="O38" s="1"/>
      <c r="P38" s="1">
        <v>2</v>
      </c>
      <c r="Q38" s="1">
        <v>767</v>
      </c>
      <c r="R38" s="1"/>
      <c r="S38" s="1">
        <v>9</v>
      </c>
      <c r="T38" s="1">
        <v>502</v>
      </c>
      <c r="U38" s="1">
        <v>100</v>
      </c>
      <c r="V38" s="1">
        <v>6</v>
      </c>
      <c r="W38" s="1">
        <v>569</v>
      </c>
      <c r="X38" s="1">
        <v>211</v>
      </c>
      <c r="Y38" s="1">
        <v>13</v>
      </c>
      <c r="Z38" s="1">
        <v>61</v>
      </c>
      <c r="AA38" s="1"/>
      <c r="AB38" s="1"/>
      <c r="AC38" s="1">
        <v>2360</v>
      </c>
      <c r="AD38" s="1">
        <v>175</v>
      </c>
      <c r="AE38" s="1">
        <v>41</v>
      </c>
      <c r="AF38" s="1">
        <v>47</v>
      </c>
      <c r="AG38" s="1"/>
      <c r="AH38" s="1">
        <v>1</v>
      </c>
      <c r="AI38" s="1">
        <v>495</v>
      </c>
      <c r="AJ38" s="1"/>
      <c r="AK38" s="1">
        <v>12</v>
      </c>
      <c r="AL38" s="1">
        <v>119</v>
      </c>
      <c r="AM38" s="1"/>
      <c r="AN38" s="1">
        <v>0</v>
      </c>
      <c r="AO38" s="1">
        <v>317</v>
      </c>
      <c r="AP38" s="1"/>
      <c r="AQ38" s="1">
        <v>4</v>
      </c>
      <c r="AR38" s="1">
        <v>337</v>
      </c>
      <c r="AS38" s="1"/>
      <c r="AT38" s="1">
        <v>15</v>
      </c>
      <c r="AU38" s="1">
        <v>55</v>
      </c>
      <c r="AV38" s="1"/>
      <c r="AW38" s="1"/>
      <c r="AX38" s="1"/>
      <c r="AY38" s="1"/>
      <c r="AZ38" s="1"/>
      <c r="BA38" s="1">
        <v>339</v>
      </c>
      <c r="BB38" s="1"/>
      <c r="BC38" s="1">
        <v>5</v>
      </c>
      <c r="BD38" s="1">
        <v>40</v>
      </c>
      <c r="BE38" s="1"/>
      <c r="BF38" s="1">
        <v>0</v>
      </c>
      <c r="BG38" s="1">
        <v>122</v>
      </c>
      <c r="BH38" s="1">
        <v>33</v>
      </c>
      <c r="BI38" s="1">
        <v>1</v>
      </c>
      <c r="BJ38" s="1">
        <v>134</v>
      </c>
      <c r="BK38" s="1"/>
      <c r="BL38" s="1">
        <v>2</v>
      </c>
      <c r="BM38" s="1">
        <v>1727</v>
      </c>
      <c r="BN38" s="1"/>
      <c r="BO38" s="1">
        <v>87</v>
      </c>
      <c r="BP38" s="1">
        <v>48</v>
      </c>
      <c r="BQ38" s="1">
        <v>3</v>
      </c>
      <c r="BR38" s="1"/>
      <c r="BS38" s="1">
        <v>3310</v>
      </c>
      <c r="BT38" s="1"/>
      <c r="BU38" s="1">
        <v>72</v>
      </c>
      <c r="BV38" s="1">
        <v>1017</v>
      </c>
      <c r="BW38" s="1"/>
      <c r="BX38" s="1">
        <v>25</v>
      </c>
      <c r="BY38" s="1">
        <v>101</v>
      </c>
      <c r="BZ38" s="1">
        <v>21</v>
      </c>
      <c r="CA38" s="1">
        <v>1</v>
      </c>
      <c r="CB38" s="1">
        <v>1704</v>
      </c>
      <c r="CC38" s="1"/>
      <c r="CD38" s="1">
        <v>19</v>
      </c>
      <c r="CE38" s="1"/>
      <c r="CF38" s="1"/>
      <c r="CG38" s="1"/>
      <c r="CH38" s="1">
        <v>14823</v>
      </c>
      <c r="CI38" s="1">
        <v>543</v>
      </c>
      <c r="CJ38" s="1">
        <v>331</v>
      </c>
    </row>
    <row r="39" spans="1:88">
      <c r="A39" s="49">
        <v>43919</v>
      </c>
      <c r="B39" s="1">
        <v>442</v>
      </c>
      <c r="C39" s="1"/>
      <c r="D39" s="1">
        <v>15</v>
      </c>
      <c r="E39" s="1">
        <v>190</v>
      </c>
      <c r="F39" s="1"/>
      <c r="G39" s="1">
        <v>2</v>
      </c>
      <c r="H39" s="1"/>
      <c r="I39" s="1"/>
      <c r="J39" s="1"/>
      <c r="K39" s="1"/>
      <c r="L39" s="1"/>
      <c r="M39" s="1"/>
      <c r="N39" s="1">
        <v>48</v>
      </c>
      <c r="O39" s="1"/>
      <c r="P39" s="1">
        <v>2</v>
      </c>
      <c r="Q39" s="1">
        <v>798</v>
      </c>
      <c r="R39" s="1"/>
      <c r="S39" s="1">
        <v>10</v>
      </c>
      <c r="T39" s="1">
        <v>511</v>
      </c>
      <c r="U39" s="1">
        <v>115</v>
      </c>
      <c r="V39" s="1">
        <v>6</v>
      </c>
      <c r="W39" s="1">
        <v>605</v>
      </c>
      <c r="X39" s="1">
        <v>228</v>
      </c>
      <c r="Y39" s="1">
        <v>15</v>
      </c>
      <c r="Z39" s="1">
        <v>62</v>
      </c>
      <c r="AA39" s="1"/>
      <c r="AB39" s="1"/>
      <c r="AC39" s="1">
        <v>2466</v>
      </c>
      <c r="AD39" s="1">
        <v>193</v>
      </c>
      <c r="AE39" s="1">
        <v>49</v>
      </c>
      <c r="AF39" s="1">
        <v>50</v>
      </c>
      <c r="AG39" s="1"/>
      <c r="AH39" s="1">
        <v>1</v>
      </c>
      <c r="AI39" s="1">
        <v>519</v>
      </c>
      <c r="AJ39" s="1"/>
      <c r="AK39" s="1">
        <v>15</v>
      </c>
      <c r="AL39" s="1">
        <v>127</v>
      </c>
      <c r="AM39" s="1"/>
      <c r="AN39" s="1">
        <v>0</v>
      </c>
      <c r="AO39" s="1">
        <v>339</v>
      </c>
      <c r="AP39" s="1"/>
      <c r="AQ39" s="1">
        <v>5</v>
      </c>
      <c r="AR39" s="1">
        <v>346</v>
      </c>
      <c r="AS39" s="1"/>
      <c r="AT39" s="1">
        <v>18</v>
      </c>
      <c r="AU39" s="1">
        <v>59</v>
      </c>
      <c r="AV39" s="1"/>
      <c r="AW39" s="1"/>
      <c r="AX39" s="1"/>
      <c r="AY39" s="1"/>
      <c r="AZ39" s="1"/>
      <c r="BA39" s="1">
        <v>365</v>
      </c>
      <c r="BB39" s="1"/>
      <c r="BC39" s="1">
        <v>5</v>
      </c>
      <c r="BD39" s="1">
        <v>41</v>
      </c>
      <c r="BE39" s="1"/>
      <c r="BF39" s="1">
        <v>0</v>
      </c>
      <c r="BG39" s="1">
        <v>128</v>
      </c>
      <c r="BH39" s="1">
        <v>33</v>
      </c>
      <c r="BI39" s="1">
        <v>2</v>
      </c>
      <c r="BJ39" s="1">
        <v>138</v>
      </c>
      <c r="BK39" s="1"/>
      <c r="BL39" s="1">
        <v>2</v>
      </c>
      <c r="BM39" s="1">
        <v>1837</v>
      </c>
      <c r="BN39" s="1"/>
      <c r="BO39" s="1">
        <v>93</v>
      </c>
      <c r="BP39" s="1">
        <v>50</v>
      </c>
      <c r="BQ39" s="1">
        <v>3</v>
      </c>
      <c r="BR39" s="1"/>
      <c r="BS39" s="1">
        <v>3395</v>
      </c>
      <c r="BT39" s="1"/>
      <c r="BU39" s="1">
        <v>81</v>
      </c>
      <c r="BV39" s="1">
        <v>1055</v>
      </c>
      <c r="BW39" s="1"/>
      <c r="BX39" s="1">
        <v>31</v>
      </c>
      <c r="BY39" s="1">
        <v>101</v>
      </c>
      <c r="BZ39" s="1">
        <v>21</v>
      </c>
      <c r="CA39" s="1">
        <v>1</v>
      </c>
      <c r="CB39" s="1">
        <v>1736</v>
      </c>
      <c r="CC39" s="1"/>
      <c r="CD39" s="1">
        <v>22</v>
      </c>
      <c r="CE39" s="1"/>
      <c r="CF39" s="1"/>
      <c r="CG39" s="1"/>
      <c r="CH39" s="1">
        <v>15408</v>
      </c>
      <c r="CI39" s="1">
        <v>593</v>
      </c>
      <c r="CJ39" s="1">
        <v>375</v>
      </c>
    </row>
    <row r="40" spans="1:88">
      <c r="A40" s="49">
        <v>43920</v>
      </c>
      <c r="B40" s="1">
        <v>477</v>
      </c>
      <c r="C40" s="1"/>
      <c r="D40" s="1">
        <v>17</v>
      </c>
      <c r="E40" s="1"/>
      <c r="F40" s="1"/>
      <c r="G40" s="1"/>
      <c r="H40" s="1">
        <v>481</v>
      </c>
      <c r="I40" s="1"/>
      <c r="J40" s="1">
        <v>8</v>
      </c>
      <c r="K40" s="1">
        <v>14</v>
      </c>
      <c r="L40" s="1"/>
      <c r="M40" s="1"/>
      <c r="N40" s="1">
        <v>50</v>
      </c>
      <c r="O40" s="1"/>
      <c r="P40" s="1">
        <v>2</v>
      </c>
      <c r="Q40" s="1">
        <v>826</v>
      </c>
      <c r="R40" s="1"/>
      <c r="S40" s="1">
        <v>13</v>
      </c>
      <c r="T40" s="1">
        <v>539</v>
      </c>
      <c r="U40" s="1">
        <v>158</v>
      </c>
      <c r="V40" s="1">
        <v>7</v>
      </c>
      <c r="W40" s="1">
        <v>617</v>
      </c>
      <c r="X40" s="1">
        <v>263</v>
      </c>
      <c r="Y40" s="1">
        <v>15</v>
      </c>
      <c r="Z40" s="1">
        <v>64</v>
      </c>
      <c r="AA40" s="1"/>
      <c r="AB40" s="1"/>
      <c r="AC40" s="1">
        <v>2673</v>
      </c>
      <c r="AD40" s="1">
        <v>216</v>
      </c>
      <c r="AE40" s="1">
        <v>59</v>
      </c>
      <c r="AF40" s="1">
        <v>51</v>
      </c>
      <c r="AG40" s="1"/>
      <c r="AH40" s="1">
        <v>2</v>
      </c>
      <c r="AI40" s="1">
        <v>535</v>
      </c>
      <c r="AJ40" s="1"/>
      <c r="AK40" s="1">
        <v>19</v>
      </c>
      <c r="AL40" s="1">
        <v>128</v>
      </c>
      <c r="AM40" s="1"/>
      <c r="AN40" s="1">
        <v>0</v>
      </c>
      <c r="AO40" s="1">
        <v>351</v>
      </c>
      <c r="AP40" s="1"/>
      <c r="AQ40" s="1">
        <v>6</v>
      </c>
      <c r="AR40" s="1">
        <v>378</v>
      </c>
      <c r="AS40" s="1"/>
      <c r="AT40" s="1">
        <v>20</v>
      </c>
      <c r="AU40" s="1">
        <v>63</v>
      </c>
      <c r="AV40" s="1"/>
      <c r="AW40" s="1"/>
      <c r="AX40" s="1">
        <v>46</v>
      </c>
      <c r="AY40" s="1"/>
      <c r="AZ40" s="1"/>
      <c r="BA40" s="1">
        <v>389</v>
      </c>
      <c r="BB40" s="1"/>
      <c r="BC40" s="1">
        <v>5</v>
      </c>
      <c r="BD40" s="1">
        <v>42</v>
      </c>
      <c r="BE40" s="1"/>
      <c r="BF40" s="1">
        <v>0</v>
      </c>
      <c r="BG40" s="1">
        <v>135</v>
      </c>
      <c r="BH40" s="1">
        <v>33</v>
      </c>
      <c r="BI40" s="1">
        <v>2</v>
      </c>
      <c r="BJ40" s="1">
        <v>148</v>
      </c>
      <c r="BK40" s="1"/>
      <c r="BL40" s="1">
        <v>2</v>
      </c>
      <c r="BM40" s="1">
        <v>1962</v>
      </c>
      <c r="BN40" s="1"/>
      <c r="BO40" s="1">
        <v>105</v>
      </c>
      <c r="BP40" s="1">
        <v>53</v>
      </c>
      <c r="BQ40" s="1">
        <v>9</v>
      </c>
      <c r="BR40" s="1"/>
      <c r="BS40" s="1">
        <v>3607</v>
      </c>
      <c r="BT40" s="1"/>
      <c r="BU40" s="1">
        <v>93</v>
      </c>
      <c r="BV40" s="1">
        <v>1144</v>
      </c>
      <c r="BW40" s="1"/>
      <c r="BX40" s="1">
        <v>35</v>
      </c>
      <c r="BY40" s="1">
        <v>112</v>
      </c>
      <c r="BZ40" s="1">
        <v>29</v>
      </c>
      <c r="CA40" s="1">
        <v>1</v>
      </c>
      <c r="CB40" s="1">
        <v>1862</v>
      </c>
      <c r="CC40" s="1"/>
      <c r="CD40" s="1">
        <v>24</v>
      </c>
      <c r="CE40" s="1"/>
      <c r="CF40" s="1"/>
      <c r="CG40" s="1"/>
      <c r="CH40" s="1">
        <v>16747</v>
      </c>
      <c r="CI40" s="1">
        <v>708</v>
      </c>
      <c r="CJ40" s="1">
        <v>435</v>
      </c>
    </row>
    <row r="41" spans="1:88">
      <c r="A41" s="49">
        <v>43921</v>
      </c>
      <c r="B41" s="1">
        <v>491</v>
      </c>
      <c r="C41" s="1"/>
      <c r="D41" s="1">
        <v>20</v>
      </c>
      <c r="E41" s="1">
        <v>196</v>
      </c>
      <c r="F41" s="1"/>
      <c r="G41" s="1">
        <v>2</v>
      </c>
      <c r="H41" s="1">
        <v>499</v>
      </c>
      <c r="I41" s="1"/>
      <c r="J41" s="1">
        <v>11</v>
      </c>
      <c r="K41" s="1">
        <v>14</v>
      </c>
      <c r="L41" s="1"/>
      <c r="M41" s="1"/>
      <c r="N41" s="1">
        <v>58</v>
      </c>
      <c r="O41" s="1"/>
      <c r="P41" s="1">
        <v>2</v>
      </c>
      <c r="Q41" s="1">
        <v>856</v>
      </c>
      <c r="R41" s="1"/>
      <c r="S41" s="1">
        <v>16</v>
      </c>
      <c r="T41" s="1">
        <v>561</v>
      </c>
      <c r="U41" s="1">
        <v>242</v>
      </c>
      <c r="V41" s="1">
        <v>10</v>
      </c>
      <c r="W41" s="1">
        <v>653</v>
      </c>
      <c r="X41" s="1">
        <v>292</v>
      </c>
      <c r="Y41" s="1">
        <v>16</v>
      </c>
      <c r="Z41" s="1">
        <v>68</v>
      </c>
      <c r="AA41" s="1"/>
      <c r="AB41" s="1"/>
      <c r="AC41" s="1">
        <v>2902</v>
      </c>
      <c r="AD41" s="1">
        <v>241</v>
      </c>
      <c r="AE41" s="1">
        <v>67</v>
      </c>
      <c r="AF41" s="1">
        <v>53</v>
      </c>
      <c r="AG41" s="1"/>
      <c r="AH41" s="1">
        <v>2</v>
      </c>
      <c r="AI41" s="1">
        <v>547</v>
      </c>
      <c r="AJ41" s="1"/>
      <c r="AK41" s="1">
        <v>23</v>
      </c>
      <c r="AL41" s="1">
        <v>140</v>
      </c>
      <c r="AM41" s="1"/>
      <c r="AN41" s="1">
        <v>0</v>
      </c>
      <c r="AO41" s="1">
        <v>375</v>
      </c>
      <c r="AP41" s="1"/>
      <c r="AQ41" s="1">
        <v>7</v>
      </c>
      <c r="AR41" s="1">
        <v>402</v>
      </c>
      <c r="AS41" s="1"/>
      <c r="AT41" s="1">
        <v>22</v>
      </c>
      <c r="AU41" s="1">
        <v>70</v>
      </c>
      <c r="AV41" s="1"/>
      <c r="AW41" s="1"/>
      <c r="AX41" s="1">
        <v>46</v>
      </c>
      <c r="AY41" s="1"/>
      <c r="AZ41" s="1"/>
      <c r="BA41" s="1">
        <v>414</v>
      </c>
      <c r="BB41" s="1"/>
      <c r="BC41" s="1">
        <v>7</v>
      </c>
      <c r="BD41" s="1">
        <v>44</v>
      </c>
      <c r="BE41" s="1"/>
      <c r="BF41" s="1">
        <v>1</v>
      </c>
      <c r="BG41" s="1">
        <v>140</v>
      </c>
      <c r="BH41" s="1">
        <v>48</v>
      </c>
      <c r="BI41" s="1">
        <v>4</v>
      </c>
      <c r="BJ41" s="1">
        <v>154</v>
      </c>
      <c r="BK41" s="1"/>
      <c r="BL41" s="1">
        <v>3</v>
      </c>
      <c r="BM41" s="1">
        <v>2091</v>
      </c>
      <c r="BN41" s="1">
        <v>202</v>
      </c>
      <c r="BO41" s="1">
        <v>120</v>
      </c>
      <c r="BP41" s="1">
        <v>57</v>
      </c>
      <c r="BQ41" s="1">
        <v>11</v>
      </c>
      <c r="BR41" s="1"/>
      <c r="BS41" s="1">
        <v>3766</v>
      </c>
      <c r="BT41" s="1"/>
      <c r="BU41" s="1">
        <v>105</v>
      </c>
      <c r="BV41" s="1">
        <v>1211</v>
      </c>
      <c r="BW41" s="1"/>
      <c r="BX41" s="1">
        <v>37</v>
      </c>
      <c r="BY41" s="1">
        <v>114</v>
      </c>
      <c r="BZ41" s="1">
        <v>39</v>
      </c>
      <c r="CA41" s="1">
        <v>1</v>
      </c>
      <c r="CB41" s="1">
        <v>1953</v>
      </c>
      <c r="CC41" s="1"/>
      <c r="CD41" s="1">
        <v>27</v>
      </c>
      <c r="CE41" s="1"/>
      <c r="CF41" s="1"/>
      <c r="CG41" s="1"/>
      <c r="CH41" s="1">
        <v>17875</v>
      </c>
      <c r="CI41" s="1">
        <v>1075</v>
      </c>
      <c r="CJ41" s="1">
        <v>503</v>
      </c>
    </row>
    <row r="42" spans="1:88">
      <c r="A42" s="49">
        <v>43922</v>
      </c>
      <c r="B42" s="1">
        <v>525</v>
      </c>
      <c r="C42" s="1"/>
      <c r="D42" s="1">
        <v>23</v>
      </c>
      <c r="E42" s="1">
        <v>216</v>
      </c>
      <c r="F42" s="1"/>
      <c r="G42" s="1">
        <v>3</v>
      </c>
      <c r="H42" s="1">
        <v>549</v>
      </c>
      <c r="I42" s="1"/>
      <c r="J42" s="1">
        <v>11</v>
      </c>
      <c r="K42" s="1"/>
      <c r="L42" s="1"/>
      <c r="M42" s="1"/>
      <c r="N42" s="1">
        <v>61</v>
      </c>
      <c r="O42" s="1"/>
      <c r="P42" s="1">
        <v>3</v>
      </c>
      <c r="Q42" s="1">
        <v>909</v>
      </c>
      <c r="R42" s="1"/>
      <c r="S42" s="1">
        <v>20</v>
      </c>
      <c r="T42" s="1">
        <v>588</v>
      </c>
      <c r="U42" s="1">
        <v>249</v>
      </c>
      <c r="V42" s="1">
        <v>11</v>
      </c>
      <c r="W42" s="1">
        <v>687</v>
      </c>
      <c r="X42" s="1">
        <v>323</v>
      </c>
      <c r="Y42" s="1">
        <v>18</v>
      </c>
      <c r="Z42" s="1">
        <v>72</v>
      </c>
      <c r="AA42" s="1"/>
      <c r="AB42" s="1"/>
      <c r="AC42" s="1">
        <v>3059</v>
      </c>
      <c r="AD42" s="1">
        <v>260</v>
      </c>
      <c r="AE42" s="1">
        <v>76</v>
      </c>
      <c r="AF42" s="1">
        <v>56</v>
      </c>
      <c r="AG42" s="1"/>
      <c r="AH42" s="1">
        <v>2</v>
      </c>
      <c r="AI42" s="1">
        <v>592</v>
      </c>
      <c r="AJ42" s="1"/>
      <c r="AK42" s="1">
        <v>26</v>
      </c>
      <c r="AL42" s="1">
        <v>145</v>
      </c>
      <c r="AM42" s="1"/>
      <c r="AN42" s="1">
        <v>0</v>
      </c>
      <c r="AO42" s="1">
        <v>401</v>
      </c>
      <c r="AP42" s="1"/>
      <c r="AQ42" s="1">
        <v>7</v>
      </c>
      <c r="AR42" s="1">
        <v>420</v>
      </c>
      <c r="AS42" s="1"/>
      <c r="AT42" s="1">
        <v>24</v>
      </c>
      <c r="AU42" s="1">
        <v>70</v>
      </c>
      <c r="AV42" s="1"/>
      <c r="AW42" s="1"/>
      <c r="AX42" s="1">
        <v>48</v>
      </c>
      <c r="AY42" s="1"/>
      <c r="AZ42" s="1"/>
      <c r="BA42" s="1">
        <v>414</v>
      </c>
      <c r="BB42" s="1"/>
      <c r="BC42" s="1">
        <v>7</v>
      </c>
      <c r="BD42" s="1">
        <v>44</v>
      </c>
      <c r="BE42" s="1"/>
      <c r="BF42" s="1">
        <v>1</v>
      </c>
      <c r="BG42" s="1">
        <v>146</v>
      </c>
      <c r="BH42" s="1">
        <v>65</v>
      </c>
      <c r="BI42" s="1">
        <v>4</v>
      </c>
      <c r="BJ42" s="1">
        <v>166</v>
      </c>
      <c r="BK42" s="1"/>
      <c r="BL42" s="1">
        <v>4</v>
      </c>
      <c r="BM42" s="1">
        <v>2195</v>
      </c>
      <c r="BN42" s="1">
        <v>229</v>
      </c>
      <c r="BO42" s="1">
        <v>132</v>
      </c>
      <c r="BP42" s="1">
        <v>59</v>
      </c>
      <c r="BQ42" s="1">
        <v>13</v>
      </c>
      <c r="BR42" s="1">
        <v>1</v>
      </c>
      <c r="BS42" s="1">
        <v>3918</v>
      </c>
      <c r="BT42" s="1"/>
      <c r="BU42" s="1">
        <v>116</v>
      </c>
      <c r="BV42" s="1">
        <v>1281</v>
      </c>
      <c r="BW42" s="1">
        <v>70</v>
      </c>
      <c r="BX42" s="1">
        <v>40</v>
      </c>
      <c r="BY42" s="1">
        <v>125</v>
      </c>
      <c r="BZ42" s="1">
        <v>40</v>
      </c>
      <c r="CA42" s="1">
        <v>1</v>
      </c>
      <c r="CB42" s="1">
        <v>2142</v>
      </c>
      <c r="CC42" s="1"/>
      <c r="CD42" s="1">
        <v>36</v>
      </c>
      <c r="CE42" s="1"/>
      <c r="CF42" s="1"/>
      <c r="CG42" s="1"/>
      <c r="CH42" s="1">
        <v>18888</v>
      </c>
      <c r="CI42" s="1">
        <v>1249</v>
      </c>
      <c r="CJ42" s="1">
        <v>566</v>
      </c>
    </row>
    <row r="43" spans="1:88">
      <c r="A43" s="49">
        <v>43923</v>
      </c>
      <c r="B43" s="1">
        <v>550</v>
      </c>
      <c r="C43" s="1">
        <v>46</v>
      </c>
      <c r="D43" s="1">
        <v>26</v>
      </c>
      <c r="E43" s="1">
        <v>227</v>
      </c>
      <c r="F43" s="1"/>
      <c r="G43" s="1">
        <v>3</v>
      </c>
      <c r="H43" s="1">
        <v>592</v>
      </c>
      <c r="I43" s="1"/>
      <c r="J43" s="1">
        <v>12</v>
      </c>
      <c r="K43" s="1">
        <v>20</v>
      </c>
      <c r="L43" s="1"/>
      <c r="M43" s="1"/>
      <c r="N43" s="1">
        <v>64</v>
      </c>
      <c r="O43" s="1"/>
      <c r="P43" s="1">
        <v>3</v>
      </c>
      <c r="Q43" s="1">
        <v>1003</v>
      </c>
      <c r="R43" s="1"/>
      <c r="S43" s="1">
        <v>23</v>
      </c>
      <c r="T43" s="1">
        <v>610</v>
      </c>
      <c r="U43" s="1">
        <v>262</v>
      </c>
      <c r="V43" s="1">
        <v>12</v>
      </c>
      <c r="W43" s="1">
        <v>714</v>
      </c>
      <c r="X43" s="1">
        <v>350</v>
      </c>
      <c r="Y43" s="1">
        <v>19</v>
      </c>
      <c r="Z43" s="1">
        <v>75</v>
      </c>
      <c r="AA43" s="1"/>
      <c r="AB43" s="1"/>
      <c r="AC43" s="1">
        <v>3270</v>
      </c>
      <c r="AD43" s="1">
        <v>283</v>
      </c>
      <c r="AE43" s="1">
        <v>84</v>
      </c>
      <c r="AF43" s="1">
        <v>58</v>
      </c>
      <c r="AG43" s="1"/>
      <c r="AH43" s="1">
        <v>2</v>
      </c>
      <c r="AI43" s="1">
        <v>622</v>
      </c>
      <c r="AJ43" s="1"/>
      <c r="AK43" s="1">
        <v>28</v>
      </c>
      <c r="AL43" s="1">
        <v>149</v>
      </c>
      <c r="AM43" s="1"/>
      <c r="AN43" s="1">
        <v>0</v>
      </c>
      <c r="AO43" s="1">
        <v>422</v>
      </c>
      <c r="AP43" s="1"/>
      <c r="AQ43" s="1">
        <v>7</v>
      </c>
      <c r="AR43" s="1">
        <v>430</v>
      </c>
      <c r="AS43" s="1"/>
      <c r="AT43" s="1">
        <v>27</v>
      </c>
      <c r="AU43" s="1">
        <v>76</v>
      </c>
      <c r="AV43" s="1"/>
      <c r="AW43" s="1"/>
      <c r="AX43" s="1">
        <v>51</v>
      </c>
      <c r="AY43" s="1"/>
      <c r="AZ43" s="1"/>
      <c r="BA43" s="1">
        <v>480</v>
      </c>
      <c r="BB43" s="1">
        <v>49</v>
      </c>
      <c r="BC43" s="1">
        <v>8</v>
      </c>
      <c r="BD43" s="1">
        <v>47</v>
      </c>
      <c r="BE43" s="1"/>
      <c r="BF43" s="1">
        <v>1</v>
      </c>
      <c r="BG43" s="1">
        <v>155</v>
      </c>
      <c r="BH43" s="1">
        <v>65</v>
      </c>
      <c r="BI43" s="1">
        <v>4</v>
      </c>
      <c r="BJ43" s="1">
        <v>179</v>
      </c>
      <c r="BK43" s="1"/>
      <c r="BL43" s="1">
        <v>4</v>
      </c>
      <c r="BM43" s="1">
        <v>2271</v>
      </c>
      <c r="BN43" s="1">
        <v>263</v>
      </c>
      <c r="BO43" s="1">
        <v>141</v>
      </c>
      <c r="BP43" s="1">
        <v>60</v>
      </c>
      <c r="BQ43" s="1">
        <v>13</v>
      </c>
      <c r="BR43" s="1">
        <v>1</v>
      </c>
      <c r="BS43" s="1">
        <v>4052</v>
      </c>
      <c r="BT43" s="1"/>
      <c r="BU43" s="1">
        <v>135</v>
      </c>
      <c r="BV43" s="1">
        <v>1333</v>
      </c>
      <c r="BW43" s="1">
        <v>88</v>
      </c>
      <c r="BX43" s="1">
        <v>47</v>
      </c>
      <c r="BY43" s="1">
        <v>131</v>
      </c>
      <c r="BZ43" s="1">
        <v>41</v>
      </c>
      <c r="CA43" s="1">
        <v>1</v>
      </c>
      <c r="CB43" s="1">
        <v>2306</v>
      </c>
      <c r="CC43" s="1"/>
      <c r="CD43" s="1">
        <v>39</v>
      </c>
      <c r="CE43" s="1"/>
      <c r="CF43" s="1"/>
      <c r="CG43" s="1"/>
      <c r="CH43" s="1">
        <v>19947</v>
      </c>
      <c r="CI43" s="1">
        <v>1460</v>
      </c>
      <c r="CJ43" s="1">
        <v>627</v>
      </c>
    </row>
    <row r="44" spans="1:88">
      <c r="A44" s="49">
        <v>43924</v>
      </c>
      <c r="B44" s="1">
        <v>588</v>
      </c>
      <c r="C44" s="1">
        <v>46</v>
      </c>
      <c r="D44" s="1">
        <v>31</v>
      </c>
      <c r="E44" s="1">
        <v>237</v>
      </c>
      <c r="F44" s="1"/>
      <c r="G44" s="1">
        <v>3</v>
      </c>
      <c r="H44" s="1">
        <v>626</v>
      </c>
      <c r="I44" s="1"/>
      <c r="J44" s="1">
        <v>12</v>
      </c>
      <c r="K44" s="1">
        <v>20</v>
      </c>
      <c r="L44" s="1"/>
      <c r="M44" s="1"/>
      <c r="N44" s="1">
        <v>65</v>
      </c>
      <c r="O44" s="1"/>
      <c r="P44" s="1">
        <v>3</v>
      </c>
      <c r="Q44" s="1">
        <v>1073</v>
      </c>
      <c r="R44" s="1"/>
      <c r="S44" s="1">
        <v>26</v>
      </c>
      <c r="T44" s="1">
        <v>625</v>
      </c>
      <c r="U44" s="1">
        <v>266</v>
      </c>
      <c r="V44" s="1">
        <v>14</v>
      </c>
      <c r="W44" s="1">
        <v>754</v>
      </c>
      <c r="X44" s="1">
        <v>397</v>
      </c>
      <c r="Y44" s="1">
        <v>21</v>
      </c>
      <c r="Z44" s="1">
        <v>76</v>
      </c>
      <c r="AA44" s="1"/>
      <c r="AB44" s="1"/>
      <c r="AC44" s="1">
        <v>3456</v>
      </c>
      <c r="AD44" s="1">
        <v>284</v>
      </c>
      <c r="AE44" s="1">
        <v>91</v>
      </c>
      <c r="AF44" s="1">
        <v>59</v>
      </c>
      <c r="AG44" s="1"/>
      <c r="AH44" s="1">
        <v>2</v>
      </c>
      <c r="AI44" s="1">
        <v>649</v>
      </c>
      <c r="AJ44" s="1"/>
      <c r="AK44" s="1">
        <v>30</v>
      </c>
      <c r="AL44" s="1">
        <v>149</v>
      </c>
      <c r="AM44" s="1"/>
      <c r="AN44" s="1">
        <v>0</v>
      </c>
      <c r="AO44" s="1">
        <v>449</v>
      </c>
      <c r="AP44" s="1"/>
      <c r="AQ44" s="1">
        <v>7</v>
      </c>
      <c r="AR44" s="1">
        <v>444</v>
      </c>
      <c r="AS44" s="1"/>
      <c r="AT44" s="1">
        <v>28</v>
      </c>
      <c r="AU44" s="1">
        <v>79</v>
      </c>
      <c r="AV44" s="1"/>
      <c r="AW44" s="1"/>
      <c r="AX44" s="1">
        <v>56</v>
      </c>
      <c r="AY44" s="1"/>
      <c r="AZ44" s="1"/>
      <c r="BA44" s="1">
        <v>480</v>
      </c>
      <c r="BB44" s="1">
        <v>50</v>
      </c>
      <c r="BC44" s="1">
        <v>8</v>
      </c>
      <c r="BD44" s="1">
        <v>47</v>
      </c>
      <c r="BE44" s="1"/>
      <c r="BF44" s="1">
        <v>1</v>
      </c>
      <c r="BG44" s="1">
        <v>165</v>
      </c>
      <c r="BH44" s="1">
        <v>75</v>
      </c>
      <c r="BI44" s="1">
        <v>4</v>
      </c>
      <c r="BJ44" s="1">
        <v>198</v>
      </c>
      <c r="BK44" s="1"/>
      <c r="BL44" s="1">
        <v>5</v>
      </c>
      <c r="BM44" s="1">
        <v>2377</v>
      </c>
      <c r="BN44" s="1">
        <v>287</v>
      </c>
      <c r="BO44" s="1">
        <v>155</v>
      </c>
      <c r="BP44" s="1">
        <v>62</v>
      </c>
      <c r="BQ44" s="1">
        <v>26</v>
      </c>
      <c r="BR44" s="1">
        <v>1</v>
      </c>
      <c r="BS44" s="1">
        <v>4188</v>
      </c>
      <c r="BT44" s="1"/>
      <c r="BU44" s="1">
        <v>153</v>
      </c>
      <c r="BV44" s="1">
        <v>1382</v>
      </c>
      <c r="BW44" s="1">
        <v>91</v>
      </c>
      <c r="BX44" s="1">
        <v>51</v>
      </c>
      <c r="BY44" s="1">
        <v>138</v>
      </c>
      <c r="BZ44" s="1">
        <v>44</v>
      </c>
      <c r="CA44" s="1">
        <v>1</v>
      </c>
      <c r="CB44" s="1">
        <v>2434</v>
      </c>
      <c r="CC44" s="1"/>
      <c r="CD44" s="1">
        <v>41</v>
      </c>
      <c r="CE44" s="1"/>
      <c r="CF44" s="1"/>
      <c r="CG44" s="1"/>
      <c r="CH44" s="1">
        <v>20876</v>
      </c>
      <c r="CI44" s="1">
        <v>1566</v>
      </c>
      <c r="CJ44" s="1">
        <v>688</v>
      </c>
    </row>
    <row r="45" spans="1:88">
      <c r="A45" s="49">
        <v>43925</v>
      </c>
      <c r="B45" s="1">
        <v>638</v>
      </c>
      <c r="C45" s="1">
        <v>49</v>
      </c>
      <c r="D45" s="1">
        <v>37</v>
      </c>
      <c r="E45" s="1">
        <v>250</v>
      </c>
      <c r="F45" s="1"/>
      <c r="G45" s="1">
        <v>3</v>
      </c>
      <c r="H45" s="1"/>
      <c r="I45" s="1"/>
      <c r="J45" s="1"/>
      <c r="K45" s="1">
        <v>21</v>
      </c>
      <c r="L45" s="1"/>
      <c r="M45" s="1"/>
      <c r="N45" s="1">
        <v>66</v>
      </c>
      <c r="O45" s="1"/>
      <c r="P45" s="1">
        <v>3</v>
      </c>
      <c r="Q45" s="1">
        <v>1106</v>
      </c>
      <c r="R45" s="1"/>
      <c r="S45" s="1">
        <v>28</v>
      </c>
      <c r="T45" s="1">
        <v>656</v>
      </c>
      <c r="U45" s="1">
        <v>298</v>
      </c>
      <c r="V45" s="1">
        <v>19</v>
      </c>
      <c r="W45" s="1">
        <v>767</v>
      </c>
      <c r="X45" s="1">
        <v>434</v>
      </c>
      <c r="Y45" s="1">
        <v>24</v>
      </c>
      <c r="Z45" s="1">
        <v>77</v>
      </c>
      <c r="AA45" s="1"/>
      <c r="AB45" s="1">
        <v>1</v>
      </c>
      <c r="AC45" s="1">
        <v>3584</v>
      </c>
      <c r="AD45" s="1">
        <v>305</v>
      </c>
      <c r="AE45" s="1">
        <v>104</v>
      </c>
      <c r="AF45" s="1">
        <v>61</v>
      </c>
      <c r="AG45" s="1"/>
      <c r="AH45" s="1">
        <v>2</v>
      </c>
      <c r="AI45" s="1">
        <v>657</v>
      </c>
      <c r="AJ45" s="1"/>
      <c r="AK45" s="1">
        <v>30</v>
      </c>
      <c r="AL45" s="1">
        <v>154</v>
      </c>
      <c r="AM45" s="1"/>
      <c r="AN45" s="1">
        <v>0</v>
      </c>
      <c r="AO45" s="1">
        <v>469</v>
      </c>
      <c r="AP45" s="1"/>
      <c r="AQ45" s="1">
        <v>7</v>
      </c>
      <c r="AR45" s="1">
        <v>452</v>
      </c>
      <c r="AS45" s="1"/>
      <c r="AT45" s="1">
        <v>30</v>
      </c>
      <c r="AU45" s="1">
        <v>80</v>
      </c>
      <c r="AV45" s="1"/>
      <c r="AW45" s="1"/>
      <c r="AX45" s="1"/>
      <c r="AY45" s="1"/>
      <c r="AZ45" s="1"/>
      <c r="BA45" s="1">
        <v>504</v>
      </c>
      <c r="BB45" s="1">
        <v>62</v>
      </c>
      <c r="BC45" s="1">
        <v>9</v>
      </c>
      <c r="BD45" s="1">
        <v>47</v>
      </c>
      <c r="BE45" s="1"/>
      <c r="BF45" s="1">
        <v>1</v>
      </c>
      <c r="BG45" s="1">
        <v>168</v>
      </c>
      <c r="BH45" s="1">
        <v>92</v>
      </c>
      <c r="BI45" s="1">
        <v>5</v>
      </c>
      <c r="BJ45" s="1">
        <v>208</v>
      </c>
      <c r="BK45" s="1"/>
      <c r="BL45" s="1">
        <v>5</v>
      </c>
      <c r="BM45" s="1">
        <v>2442</v>
      </c>
      <c r="BN45" s="1">
        <v>314</v>
      </c>
      <c r="BO45" s="1">
        <v>165</v>
      </c>
      <c r="BP45" s="1">
        <v>66</v>
      </c>
      <c r="BQ45" s="1">
        <v>26</v>
      </c>
      <c r="BR45" s="1">
        <v>1</v>
      </c>
      <c r="BS45" s="1">
        <v>4260</v>
      </c>
      <c r="BT45" s="1"/>
      <c r="BU45" s="1">
        <v>164</v>
      </c>
      <c r="BV45" s="1">
        <v>1415</v>
      </c>
      <c r="BW45" s="1">
        <v>95</v>
      </c>
      <c r="BX45" s="1">
        <v>53</v>
      </c>
      <c r="BY45" s="1">
        <v>146</v>
      </c>
      <c r="BZ45" s="1">
        <v>46</v>
      </c>
      <c r="CA45" s="1">
        <v>2</v>
      </c>
      <c r="CB45" s="1">
        <v>2467</v>
      </c>
      <c r="CC45" s="1"/>
      <c r="CD45" s="1">
        <v>49</v>
      </c>
      <c r="CE45" s="1"/>
      <c r="CF45" s="1"/>
      <c r="CG45" s="1"/>
      <c r="CH45" s="1">
        <v>20761</v>
      </c>
      <c r="CI45" s="1">
        <v>1721</v>
      </c>
      <c r="CJ45" s="1">
        <v>742</v>
      </c>
    </row>
    <row r="46" spans="1:88">
      <c r="A46" s="49">
        <v>43926</v>
      </c>
      <c r="B46" s="1">
        <v>669</v>
      </c>
      <c r="C46" s="1">
        <v>55</v>
      </c>
      <c r="D46" s="1">
        <v>40</v>
      </c>
      <c r="E46" s="1">
        <v>258</v>
      </c>
      <c r="F46" s="1"/>
      <c r="G46" s="1">
        <v>3</v>
      </c>
      <c r="H46" s="1"/>
      <c r="I46" s="1"/>
      <c r="J46" s="1"/>
      <c r="K46" s="1"/>
      <c r="L46" s="1"/>
      <c r="M46" s="1"/>
      <c r="N46" s="1">
        <v>67</v>
      </c>
      <c r="O46" s="1"/>
      <c r="P46" s="1">
        <v>3</v>
      </c>
      <c r="Q46" s="1">
        <v>1137</v>
      </c>
      <c r="R46" s="1"/>
      <c r="S46" s="1">
        <v>28</v>
      </c>
      <c r="T46" s="1">
        <v>670</v>
      </c>
      <c r="U46" s="1">
        <v>369</v>
      </c>
      <c r="V46" s="1">
        <v>19</v>
      </c>
      <c r="W46" s="1">
        <v>789</v>
      </c>
      <c r="X46" s="1">
        <v>460</v>
      </c>
      <c r="Y46" s="1">
        <v>26</v>
      </c>
      <c r="Z46" s="1">
        <v>77</v>
      </c>
      <c r="AA46" s="1"/>
      <c r="AB46" s="1">
        <v>1</v>
      </c>
      <c r="AC46" s="1">
        <v>3649</v>
      </c>
      <c r="AD46" s="1">
        <v>327</v>
      </c>
      <c r="AE46" s="1">
        <v>111</v>
      </c>
      <c r="AF46" s="1">
        <v>63</v>
      </c>
      <c r="AG46" s="1"/>
      <c r="AH46" s="1">
        <v>2</v>
      </c>
      <c r="AI46" s="1">
        <v>668</v>
      </c>
      <c r="AJ46" s="1"/>
      <c r="AK46" s="1">
        <v>33</v>
      </c>
      <c r="AL46" s="1">
        <v>160</v>
      </c>
      <c r="AM46" s="1"/>
      <c r="AN46" s="1">
        <v>0</v>
      </c>
      <c r="AO46" s="1">
        <v>478</v>
      </c>
      <c r="AP46" s="1"/>
      <c r="AQ46" s="1">
        <v>9</v>
      </c>
      <c r="AR46" s="1">
        <v>464</v>
      </c>
      <c r="AS46" s="1"/>
      <c r="AT46" s="1">
        <v>30</v>
      </c>
      <c r="AU46" s="1">
        <v>80</v>
      </c>
      <c r="AV46" s="1"/>
      <c r="AW46" s="1"/>
      <c r="AX46" s="1"/>
      <c r="AY46" s="1"/>
      <c r="AZ46" s="1"/>
      <c r="BA46" s="1">
        <v>515</v>
      </c>
      <c r="BB46" s="1">
        <v>70</v>
      </c>
      <c r="BC46" s="1">
        <v>9</v>
      </c>
      <c r="BD46" s="1">
        <v>49</v>
      </c>
      <c r="BE46" s="1"/>
      <c r="BF46" s="1">
        <v>1</v>
      </c>
      <c r="BG46" s="1">
        <v>170</v>
      </c>
      <c r="BH46" s="1">
        <v>93</v>
      </c>
      <c r="BI46" s="1">
        <v>5</v>
      </c>
      <c r="BJ46" s="1">
        <v>213</v>
      </c>
      <c r="BK46" s="1"/>
      <c r="BL46" s="1">
        <v>7</v>
      </c>
      <c r="BM46" s="1">
        <v>2508</v>
      </c>
      <c r="BN46" s="1">
        <v>340</v>
      </c>
      <c r="BO46" s="1">
        <v>177</v>
      </c>
      <c r="BP46" s="1">
        <v>67</v>
      </c>
      <c r="BQ46" s="1">
        <v>26</v>
      </c>
      <c r="BR46" s="1">
        <v>2</v>
      </c>
      <c r="BS46" s="1">
        <v>4299</v>
      </c>
      <c r="BT46" s="1"/>
      <c r="BU46" s="1">
        <v>176</v>
      </c>
      <c r="BV46" s="1">
        <v>1430</v>
      </c>
      <c r="BW46" s="1"/>
      <c r="BX46" s="1">
        <v>57</v>
      </c>
      <c r="BY46" s="1">
        <v>146</v>
      </c>
      <c r="BZ46" s="1">
        <v>46</v>
      </c>
      <c r="CA46" s="1">
        <v>2</v>
      </c>
      <c r="CB46" s="1">
        <v>2497</v>
      </c>
      <c r="CC46" s="1"/>
      <c r="CD46" s="1">
        <v>53</v>
      </c>
      <c r="CE46" s="1"/>
      <c r="CF46" s="1"/>
      <c r="CG46" s="1"/>
      <c r="CH46" s="1">
        <v>21123</v>
      </c>
      <c r="CI46" s="1">
        <v>1786</v>
      </c>
      <c r="CJ46" s="1">
        <v>794</v>
      </c>
    </row>
    <row r="47" spans="1:88">
      <c r="A47" s="49">
        <v>43927</v>
      </c>
      <c r="B47" s="1">
        <v>689</v>
      </c>
      <c r="C47" s="1">
        <v>56</v>
      </c>
      <c r="D47" s="1">
        <v>41</v>
      </c>
      <c r="E47" s="1">
        <v>261</v>
      </c>
      <c r="F47" s="1"/>
      <c r="G47" s="1">
        <v>3</v>
      </c>
      <c r="H47" s="1">
        <v>727</v>
      </c>
      <c r="I47" s="1"/>
      <c r="J47" s="1">
        <v>13</v>
      </c>
      <c r="K47" s="1">
        <v>21</v>
      </c>
      <c r="L47" s="1"/>
      <c r="M47" s="1"/>
      <c r="N47" s="1">
        <v>69</v>
      </c>
      <c r="O47" s="1"/>
      <c r="P47" s="1">
        <v>3</v>
      </c>
      <c r="Q47" s="1">
        <v>1173</v>
      </c>
      <c r="R47" s="1"/>
      <c r="S47" s="1">
        <v>31</v>
      </c>
      <c r="T47" s="1">
        <v>682</v>
      </c>
      <c r="U47" s="1">
        <v>412</v>
      </c>
      <c r="V47" s="1">
        <v>19</v>
      </c>
      <c r="W47" s="1">
        <v>798</v>
      </c>
      <c r="X47" s="1">
        <v>481</v>
      </c>
      <c r="Y47" s="1">
        <v>26</v>
      </c>
      <c r="Z47" s="1"/>
      <c r="AA47" s="1"/>
      <c r="AB47" s="1"/>
      <c r="AC47" s="1">
        <v>3768</v>
      </c>
      <c r="AD47" s="1">
        <v>345</v>
      </c>
      <c r="AE47" s="1">
        <v>123</v>
      </c>
      <c r="AF47" s="1">
        <v>63</v>
      </c>
      <c r="AG47" s="1"/>
      <c r="AH47" s="1">
        <v>2</v>
      </c>
      <c r="AI47" s="1">
        <v>679</v>
      </c>
      <c r="AJ47" s="1"/>
      <c r="AK47" s="1">
        <v>34</v>
      </c>
      <c r="AL47" s="1">
        <v>164</v>
      </c>
      <c r="AM47" s="1"/>
      <c r="AN47" s="1">
        <v>0</v>
      </c>
      <c r="AO47" s="1">
        <v>497</v>
      </c>
      <c r="AP47" s="1"/>
      <c r="AQ47" s="1">
        <v>9</v>
      </c>
      <c r="AR47" s="1">
        <v>486</v>
      </c>
      <c r="AS47" s="1"/>
      <c r="AT47" s="1">
        <v>34</v>
      </c>
      <c r="AU47" s="1">
        <v>86</v>
      </c>
      <c r="AV47" s="1"/>
      <c r="AW47" s="1"/>
      <c r="AX47" s="1">
        <v>60</v>
      </c>
      <c r="AY47" s="1">
        <v>1</v>
      </c>
      <c r="AZ47" s="1">
        <v>0</v>
      </c>
      <c r="BA47" s="1">
        <v>532</v>
      </c>
      <c r="BB47" s="1">
        <v>75</v>
      </c>
      <c r="BC47" s="1">
        <v>11</v>
      </c>
      <c r="BD47" s="1">
        <v>50</v>
      </c>
      <c r="BE47" s="1"/>
      <c r="BF47" s="1">
        <v>1</v>
      </c>
      <c r="BG47" s="1">
        <v>178</v>
      </c>
      <c r="BH47" s="1">
        <v>93</v>
      </c>
      <c r="BI47" s="1">
        <v>6</v>
      </c>
      <c r="BJ47" s="1">
        <v>219</v>
      </c>
      <c r="BK47" s="1"/>
      <c r="BL47" s="1">
        <v>7</v>
      </c>
      <c r="BM47" s="1">
        <v>2546</v>
      </c>
      <c r="BN47" s="1">
        <v>350</v>
      </c>
      <c r="BO47" s="1">
        <v>189</v>
      </c>
      <c r="BP47" s="1">
        <v>67</v>
      </c>
      <c r="BQ47" s="1">
        <v>34</v>
      </c>
      <c r="BR47" s="1">
        <v>2</v>
      </c>
      <c r="BS47" s="1">
        <v>4417</v>
      </c>
      <c r="BT47" s="1"/>
      <c r="BU47" s="1">
        <v>192</v>
      </c>
      <c r="BV47" s="1">
        <v>1496</v>
      </c>
      <c r="BW47" s="1">
        <v>105</v>
      </c>
      <c r="BX47" s="1">
        <v>60</v>
      </c>
      <c r="BY47" s="1">
        <v>152</v>
      </c>
      <c r="BZ47" s="1">
        <v>52</v>
      </c>
      <c r="CA47" s="1">
        <v>3</v>
      </c>
      <c r="CB47" s="1">
        <v>2611</v>
      </c>
      <c r="CC47" s="1"/>
      <c r="CD47" s="1">
        <v>55</v>
      </c>
      <c r="CE47" s="1"/>
      <c r="CF47" s="1"/>
      <c r="CG47" s="1"/>
      <c r="CH47" s="1">
        <v>22491</v>
      </c>
      <c r="CI47" s="1">
        <v>2004</v>
      </c>
      <c r="CJ47" s="1">
        <v>864</v>
      </c>
    </row>
    <row r="48" spans="1:88">
      <c r="A48" s="49">
        <v>43928</v>
      </c>
      <c r="B48" s="1">
        <v>729</v>
      </c>
      <c r="C48" s="1">
        <v>73</v>
      </c>
      <c r="D48" s="1">
        <v>44</v>
      </c>
      <c r="E48" s="1">
        <v>264</v>
      </c>
      <c r="F48" s="1"/>
      <c r="G48" s="1">
        <v>3</v>
      </c>
      <c r="H48" s="1">
        <v>760</v>
      </c>
      <c r="I48" s="1">
        <v>170</v>
      </c>
      <c r="J48" s="1">
        <v>16</v>
      </c>
      <c r="K48" s="1">
        <v>21</v>
      </c>
      <c r="L48" s="1"/>
      <c r="M48" s="1"/>
      <c r="N48" s="1">
        <v>69</v>
      </c>
      <c r="O48" s="1"/>
      <c r="P48" s="1">
        <v>3</v>
      </c>
      <c r="Q48" s="1">
        <v>1228</v>
      </c>
      <c r="R48" s="1"/>
      <c r="S48" s="1">
        <v>33</v>
      </c>
      <c r="T48" s="1">
        <v>690</v>
      </c>
      <c r="U48" s="1">
        <v>452</v>
      </c>
      <c r="V48" s="1">
        <v>19</v>
      </c>
      <c r="W48" s="1">
        <v>808</v>
      </c>
      <c r="X48" s="1">
        <v>508</v>
      </c>
      <c r="Y48" s="1">
        <v>28</v>
      </c>
      <c r="Z48" s="1">
        <v>78</v>
      </c>
      <c r="AA48" s="1"/>
      <c r="AB48" s="1">
        <v>1</v>
      </c>
      <c r="AC48" s="1">
        <v>3928</v>
      </c>
      <c r="AD48" s="1">
        <v>374</v>
      </c>
      <c r="AE48" s="1">
        <v>134</v>
      </c>
      <c r="AF48" s="1">
        <v>63</v>
      </c>
      <c r="AG48" s="1"/>
      <c r="AH48" s="1">
        <v>2</v>
      </c>
      <c r="AI48" s="1">
        <v>684</v>
      </c>
      <c r="AJ48" s="1"/>
      <c r="AK48" s="1">
        <v>35</v>
      </c>
      <c r="AL48" s="1">
        <v>171</v>
      </c>
      <c r="AM48" s="1"/>
      <c r="AN48" s="1">
        <v>0</v>
      </c>
      <c r="AO48" s="1">
        <v>509</v>
      </c>
      <c r="AP48" s="1"/>
      <c r="AQ48" s="1">
        <v>9</v>
      </c>
      <c r="AR48" s="1">
        <v>510</v>
      </c>
      <c r="AS48" s="1"/>
      <c r="AT48" s="1">
        <v>37</v>
      </c>
      <c r="AU48" s="1">
        <v>87</v>
      </c>
      <c r="AV48" s="1"/>
      <c r="AW48" s="1"/>
      <c r="AX48" s="1">
        <v>60</v>
      </c>
      <c r="AY48" s="1"/>
      <c r="AZ48" s="1">
        <v>0</v>
      </c>
      <c r="BA48" s="1">
        <v>557</v>
      </c>
      <c r="BB48" s="1">
        <v>79</v>
      </c>
      <c r="BC48" s="1">
        <v>13</v>
      </c>
      <c r="BD48" s="1">
        <v>50</v>
      </c>
      <c r="BE48" s="1"/>
      <c r="BF48" s="1">
        <v>1</v>
      </c>
      <c r="BG48" s="1">
        <v>185</v>
      </c>
      <c r="BH48" s="1">
        <v>105</v>
      </c>
      <c r="BI48" s="1">
        <v>7</v>
      </c>
      <c r="BJ48" s="1">
        <v>221</v>
      </c>
      <c r="BK48" s="1"/>
      <c r="BL48" s="1">
        <v>8</v>
      </c>
      <c r="BM48" s="1">
        <v>2599</v>
      </c>
      <c r="BN48" s="1">
        <v>388</v>
      </c>
      <c r="BO48" s="1">
        <v>198</v>
      </c>
      <c r="BP48" s="1">
        <v>68</v>
      </c>
      <c r="BQ48" s="1">
        <v>42</v>
      </c>
      <c r="BR48" s="1">
        <v>2</v>
      </c>
      <c r="BS48" s="1">
        <v>4493</v>
      </c>
      <c r="BT48" s="1"/>
      <c r="BU48" s="1">
        <v>204</v>
      </c>
      <c r="BV48" s="1">
        <v>1535</v>
      </c>
      <c r="BW48" s="1">
        <v>123</v>
      </c>
      <c r="BX48" s="1">
        <v>68</v>
      </c>
      <c r="BY48" s="1">
        <v>157</v>
      </c>
      <c r="BZ48" s="1">
        <v>54</v>
      </c>
      <c r="CA48" s="1">
        <v>3</v>
      </c>
      <c r="CB48" s="1">
        <v>2695</v>
      </c>
      <c r="CC48" s="1"/>
      <c r="CD48" s="1">
        <v>57</v>
      </c>
      <c r="CE48" s="1"/>
      <c r="CF48" s="1"/>
      <c r="CG48" s="1"/>
      <c r="CH48" s="1">
        <v>23219</v>
      </c>
      <c r="CI48" s="1">
        <v>2368</v>
      </c>
      <c r="CJ48" s="1">
        <v>925</v>
      </c>
    </row>
    <row r="49" spans="1:88">
      <c r="A49" s="49">
        <v>43929</v>
      </c>
      <c r="B49" s="1">
        <v>756</v>
      </c>
      <c r="C49" s="1">
        <v>78</v>
      </c>
      <c r="D49" s="1">
        <v>45</v>
      </c>
      <c r="E49" s="1">
        <v>276</v>
      </c>
      <c r="F49" s="1"/>
      <c r="G49" s="1">
        <v>3</v>
      </c>
      <c r="H49" s="1">
        <v>788</v>
      </c>
      <c r="I49" s="1">
        <v>220</v>
      </c>
      <c r="J49" s="1">
        <v>16</v>
      </c>
      <c r="K49" s="1">
        <v>23</v>
      </c>
      <c r="L49" s="1"/>
      <c r="M49" s="1"/>
      <c r="N49" s="1">
        <v>72</v>
      </c>
      <c r="O49" s="1"/>
      <c r="P49" s="1">
        <v>3</v>
      </c>
      <c r="Q49" s="1">
        <v>1286</v>
      </c>
      <c r="R49" s="1"/>
      <c r="S49" s="1">
        <v>37</v>
      </c>
      <c r="T49" s="1">
        <v>694</v>
      </c>
      <c r="U49" s="1">
        <v>461</v>
      </c>
      <c r="V49" s="1">
        <v>21</v>
      </c>
      <c r="W49" s="1">
        <v>829</v>
      </c>
      <c r="X49" s="1">
        <v>535</v>
      </c>
      <c r="Y49" s="1">
        <v>31</v>
      </c>
      <c r="Z49" s="1"/>
      <c r="AA49" s="1"/>
      <c r="AB49" s="1"/>
      <c r="AC49" s="1">
        <v>4059</v>
      </c>
      <c r="AD49" s="1">
        <v>442</v>
      </c>
      <c r="AE49" s="1">
        <v>148</v>
      </c>
      <c r="AF49" s="1">
        <v>64</v>
      </c>
      <c r="AG49" s="1"/>
      <c r="AH49" s="1">
        <v>2</v>
      </c>
      <c r="AI49" s="1">
        <v>698</v>
      </c>
      <c r="AJ49" s="1"/>
      <c r="AK49" s="1">
        <v>35</v>
      </c>
      <c r="AL49" s="1">
        <v>174</v>
      </c>
      <c r="AM49" s="1"/>
      <c r="AN49" s="1">
        <v>1</v>
      </c>
      <c r="AO49" s="1">
        <v>527</v>
      </c>
      <c r="AP49" s="1"/>
      <c r="AQ49" s="1">
        <v>9</v>
      </c>
      <c r="AR49" s="1">
        <v>515</v>
      </c>
      <c r="AS49" s="1"/>
      <c r="AT49" s="1">
        <v>40</v>
      </c>
      <c r="AU49" s="1">
        <v>93</v>
      </c>
      <c r="AV49" s="1"/>
      <c r="AW49" s="1"/>
      <c r="AX49" s="1">
        <v>61</v>
      </c>
      <c r="AY49" s="1"/>
      <c r="AZ49" s="1">
        <v>0</v>
      </c>
      <c r="BA49" s="1">
        <v>578</v>
      </c>
      <c r="BB49" s="1">
        <v>89</v>
      </c>
      <c r="BC49" s="1">
        <v>15</v>
      </c>
      <c r="BD49" s="1">
        <v>50</v>
      </c>
      <c r="BE49" s="1"/>
      <c r="BF49" s="1">
        <v>1</v>
      </c>
      <c r="BG49" s="1">
        <v>196</v>
      </c>
      <c r="BH49" s="1">
        <v>107</v>
      </c>
      <c r="BI49" s="1">
        <v>7</v>
      </c>
      <c r="BJ49" s="1">
        <v>236</v>
      </c>
      <c r="BK49" s="1"/>
      <c r="BL49" s="1">
        <v>8</v>
      </c>
      <c r="BM49" s="1">
        <v>2659</v>
      </c>
      <c r="BN49" s="1">
        <v>420</v>
      </c>
      <c r="BO49" s="1">
        <v>211</v>
      </c>
      <c r="BP49" s="1">
        <v>72</v>
      </c>
      <c r="BQ49" s="1">
        <v>42</v>
      </c>
      <c r="BR49" s="1">
        <v>4</v>
      </c>
      <c r="BS49" s="1">
        <v>4584</v>
      </c>
      <c r="BT49" s="1"/>
      <c r="BU49" s="1">
        <v>216</v>
      </c>
      <c r="BV49" s="1">
        <v>1569</v>
      </c>
      <c r="BW49" s="1">
        <v>130</v>
      </c>
      <c r="BX49" s="1">
        <v>71</v>
      </c>
      <c r="BY49" s="1">
        <v>162</v>
      </c>
      <c r="BZ49" s="1">
        <v>61</v>
      </c>
      <c r="CA49" s="1">
        <v>3</v>
      </c>
      <c r="CB49" s="1">
        <v>2790</v>
      </c>
      <c r="CC49" s="1"/>
      <c r="CD49" s="1">
        <v>65</v>
      </c>
      <c r="CE49" s="1"/>
      <c r="CF49" s="1"/>
      <c r="CG49" s="1"/>
      <c r="CH49" s="1">
        <v>23811</v>
      </c>
      <c r="CI49" s="1">
        <v>2585</v>
      </c>
      <c r="CJ49" s="1">
        <v>992</v>
      </c>
    </row>
    <row r="50" spans="1:88">
      <c r="A50" s="49">
        <v>43930</v>
      </c>
      <c r="B50" s="1">
        <v>786</v>
      </c>
      <c r="C50" s="1">
        <v>84</v>
      </c>
      <c r="D50" s="1">
        <v>46</v>
      </c>
      <c r="E50" s="1">
        <v>282</v>
      </c>
      <c r="F50" s="1"/>
      <c r="G50" s="1">
        <v>5</v>
      </c>
      <c r="H50" s="1">
        <v>822</v>
      </c>
      <c r="I50" s="1">
        <v>250</v>
      </c>
      <c r="J50" s="1">
        <v>17</v>
      </c>
      <c r="K50" s="1">
        <v>24</v>
      </c>
      <c r="L50" s="1"/>
      <c r="M50" s="1"/>
      <c r="N50" s="1">
        <v>74</v>
      </c>
      <c r="O50" s="1"/>
      <c r="P50" s="1">
        <v>3</v>
      </c>
      <c r="Q50" s="1">
        <v>1335</v>
      </c>
      <c r="R50" s="1"/>
      <c r="S50" s="1">
        <v>38</v>
      </c>
      <c r="T50" s="1">
        <v>711</v>
      </c>
      <c r="U50" s="1">
        <v>485</v>
      </c>
      <c r="V50" s="1">
        <v>21</v>
      </c>
      <c r="W50" s="1">
        <v>841</v>
      </c>
      <c r="X50" s="1">
        <v>572</v>
      </c>
      <c r="Y50" s="1">
        <v>33</v>
      </c>
      <c r="Z50" s="1"/>
      <c r="AA50" s="1"/>
      <c r="AB50" s="1"/>
      <c r="AC50" s="1">
        <v>4152</v>
      </c>
      <c r="AD50" s="1"/>
      <c r="AE50" s="1">
        <v>157</v>
      </c>
      <c r="AF50" s="1">
        <v>67</v>
      </c>
      <c r="AG50" s="1"/>
      <c r="AH50" s="1">
        <v>2</v>
      </c>
      <c r="AI50" s="1">
        <v>719</v>
      </c>
      <c r="AJ50" s="1"/>
      <c r="AK50" s="1">
        <v>36</v>
      </c>
      <c r="AL50" s="1">
        <v>179</v>
      </c>
      <c r="AM50" s="1"/>
      <c r="AN50" s="1">
        <v>1</v>
      </c>
      <c r="AO50" s="1">
        <v>542</v>
      </c>
      <c r="AP50" s="1"/>
      <c r="AQ50" s="1">
        <v>9</v>
      </c>
      <c r="AR50" s="1">
        <v>547</v>
      </c>
      <c r="AS50" s="1"/>
      <c r="AT50" s="1">
        <v>42</v>
      </c>
      <c r="AU50" s="1">
        <v>96</v>
      </c>
      <c r="AV50" s="1"/>
      <c r="AW50" s="1"/>
      <c r="AX50" s="1">
        <v>62</v>
      </c>
      <c r="AY50" s="1"/>
      <c r="AZ50" s="1">
        <v>0</v>
      </c>
      <c r="BA50" s="1">
        <v>604</v>
      </c>
      <c r="BB50" s="1">
        <v>92</v>
      </c>
      <c r="BC50" s="1">
        <v>16</v>
      </c>
      <c r="BD50" s="1">
        <v>52</v>
      </c>
      <c r="BE50" s="1"/>
      <c r="BF50" s="1">
        <v>1</v>
      </c>
      <c r="BG50" s="1">
        <v>213</v>
      </c>
      <c r="BH50" s="1">
        <v>113</v>
      </c>
      <c r="BI50" s="1">
        <v>9</v>
      </c>
      <c r="BJ50" s="1">
        <v>255</v>
      </c>
      <c r="BK50" s="1"/>
      <c r="BL50" s="1">
        <v>8</v>
      </c>
      <c r="BM50" s="1">
        <v>2714</v>
      </c>
      <c r="BN50" s="1">
        <v>447</v>
      </c>
      <c r="BO50" s="1">
        <v>219</v>
      </c>
      <c r="BP50" s="1">
        <v>72</v>
      </c>
      <c r="BQ50" s="1">
        <v>45</v>
      </c>
      <c r="BR50" s="1">
        <v>4</v>
      </c>
      <c r="BS50" s="1">
        <v>4681</v>
      </c>
      <c r="BT50" s="1"/>
      <c r="BU50" s="1">
        <v>230</v>
      </c>
      <c r="BV50" s="1">
        <v>1597</v>
      </c>
      <c r="BW50" s="1">
        <v>136</v>
      </c>
      <c r="BX50" s="1">
        <v>77</v>
      </c>
      <c r="BY50" s="1">
        <v>165</v>
      </c>
      <c r="BZ50" s="1">
        <v>69</v>
      </c>
      <c r="CA50" s="1">
        <v>3</v>
      </c>
      <c r="CB50" s="1">
        <v>2887</v>
      </c>
      <c r="CC50" s="1"/>
      <c r="CD50" s="1">
        <v>66</v>
      </c>
      <c r="CE50" s="1"/>
      <c r="CF50" s="1"/>
      <c r="CG50" s="1"/>
      <c r="CH50" s="1">
        <v>24479</v>
      </c>
      <c r="CI50" s="1">
        <v>2293</v>
      </c>
      <c r="CJ50" s="1">
        <v>1043</v>
      </c>
    </row>
    <row r="51" spans="1:88">
      <c r="A51" s="49">
        <v>43931</v>
      </c>
      <c r="B51" s="1">
        <v>796</v>
      </c>
      <c r="C51" s="1">
        <v>88</v>
      </c>
      <c r="D51" s="1">
        <v>49</v>
      </c>
      <c r="E51" s="1">
        <v>294</v>
      </c>
      <c r="F51" s="1"/>
      <c r="G51" s="1">
        <v>5</v>
      </c>
      <c r="H51" s="1">
        <v>850</v>
      </c>
      <c r="I51" s="1"/>
      <c r="J51" s="1">
        <v>18</v>
      </c>
      <c r="K51" s="1"/>
      <c r="L51" s="1"/>
      <c r="M51" s="1"/>
      <c r="N51" s="1">
        <v>77</v>
      </c>
      <c r="O51" s="1"/>
      <c r="P51" s="1">
        <v>3</v>
      </c>
      <c r="Q51" s="1">
        <v>1375</v>
      </c>
      <c r="R51" s="1"/>
      <c r="S51" s="1">
        <v>42</v>
      </c>
      <c r="T51" s="1">
        <v>722</v>
      </c>
      <c r="U51" s="1">
        <v>502</v>
      </c>
      <c r="V51" s="1">
        <v>22</v>
      </c>
      <c r="W51" s="1">
        <v>854</v>
      </c>
      <c r="X51" s="1">
        <v>593</v>
      </c>
      <c r="Y51" s="1">
        <v>33</v>
      </c>
      <c r="Z51" s="1">
        <v>79</v>
      </c>
      <c r="AA51" s="1"/>
      <c r="AB51" s="1">
        <v>1</v>
      </c>
      <c r="AC51" s="1">
        <v>4194</v>
      </c>
      <c r="AD51" s="1">
        <v>448</v>
      </c>
      <c r="AE51" s="1">
        <v>168</v>
      </c>
      <c r="AF51" s="1">
        <v>76</v>
      </c>
      <c r="AG51" s="1"/>
      <c r="AH51" s="1">
        <v>2</v>
      </c>
      <c r="AI51" s="1">
        <v>730</v>
      </c>
      <c r="AJ51" s="1"/>
      <c r="AK51" s="1">
        <v>36</v>
      </c>
      <c r="AL51" s="1">
        <v>182</v>
      </c>
      <c r="AM51" s="1"/>
      <c r="AN51" s="1">
        <v>3</v>
      </c>
      <c r="AO51" s="1">
        <v>560</v>
      </c>
      <c r="AP51" s="1"/>
      <c r="AQ51" s="1">
        <v>9</v>
      </c>
      <c r="AR51" s="1">
        <v>567</v>
      </c>
      <c r="AS51" s="1"/>
      <c r="AT51" s="1">
        <v>42</v>
      </c>
      <c r="AU51" s="1">
        <v>100</v>
      </c>
      <c r="AV51" s="1"/>
      <c r="AW51" s="1"/>
      <c r="AX51" s="1"/>
      <c r="AY51" s="1"/>
      <c r="AZ51" s="1"/>
      <c r="BA51" s="1">
        <v>632</v>
      </c>
      <c r="BB51" s="1">
        <v>93</v>
      </c>
      <c r="BC51" s="1">
        <v>17</v>
      </c>
      <c r="BD51" s="1">
        <v>53</v>
      </c>
      <c r="BE51" s="1"/>
      <c r="BF51" s="1">
        <v>1</v>
      </c>
      <c r="BG51" s="1">
        <v>215</v>
      </c>
      <c r="BH51" s="1">
        <v>118</v>
      </c>
      <c r="BI51" s="1">
        <v>10</v>
      </c>
      <c r="BJ51" s="1">
        <v>264</v>
      </c>
      <c r="BK51" s="1"/>
      <c r="BL51" s="1">
        <v>8</v>
      </c>
      <c r="BM51" s="1">
        <v>2776</v>
      </c>
      <c r="BN51" s="1">
        <v>466</v>
      </c>
      <c r="BO51" s="1">
        <v>227</v>
      </c>
      <c r="BP51" s="1">
        <v>74</v>
      </c>
      <c r="BQ51" s="1">
        <v>49</v>
      </c>
      <c r="BR51" s="1">
        <v>4</v>
      </c>
      <c r="BS51" s="1">
        <v>4730</v>
      </c>
      <c r="BT51" s="1"/>
      <c r="BU51" s="1">
        <v>237</v>
      </c>
      <c r="BV51" s="1">
        <v>1626</v>
      </c>
      <c r="BW51" s="1">
        <v>136</v>
      </c>
      <c r="BX51" s="1">
        <v>83</v>
      </c>
      <c r="BY51" s="1">
        <v>168</v>
      </c>
      <c r="BZ51" s="1">
        <v>76</v>
      </c>
      <c r="CA51" s="1">
        <v>3</v>
      </c>
      <c r="CB51" s="1">
        <v>2927</v>
      </c>
      <c r="CC51" s="1"/>
      <c r="CD51" s="1">
        <v>71</v>
      </c>
      <c r="CE51" s="1"/>
      <c r="CF51" s="1"/>
      <c r="CG51" s="1"/>
      <c r="CH51" s="1">
        <v>24921</v>
      </c>
      <c r="CI51" s="1">
        <v>2569</v>
      </c>
      <c r="CJ51" s="1">
        <v>1094</v>
      </c>
    </row>
    <row r="52" spans="1:88">
      <c r="A52" s="49">
        <v>43932</v>
      </c>
      <c r="B52" s="1">
        <v>834</v>
      </c>
      <c r="C52" s="1">
        <v>93</v>
      </c>
      <c r="D52" s="1">
        <v>53</v>
      </c>
      <c r="E52" s="1">
        <v>306</v>
      </c>
      <c r="F52" s="1"/>
      <c r="G52" s="1">
        <v>6</v>
      </c>
      <c r="H52" s="1">
        <v>878</v>
      </c>
      <c r="I52" s="1">
        <v>300</v>
      </c>
      <c r="J52" s="1">
        <v>18</v>
      </c>
      <c r="K52" s="1">
        <v>24</v>
      </c>
      <c r="L52" s="1"/>
      <c r="M52" s="1"/>
      <c r="N52" s="1">
        <v>77</v>
      </c>
      <c r="O52" s="1"/>
      <c r="P52" s="1">
        <v>3</v>
      </c>
      <c r="Q52" s="1">
        <v>1419</v>
      </c>
      <c r="R52" s="1"/>
      <c r="S52" s="1">
        <v>44</v>
      </c>
      <c r="T52" s="1">
        <v>736</v>
      </c>
      <c r="U52" s="1">
        <v>527</v>
      </c>
      <c r="V52" s="1">
        <v>22</v>
      </c>
      <c r="W52" s="1">
        <v>861</v>
      </c>
      <c r="X52" s="1">
        <v>612</v>
      </c>
      <c r="Y52" s="1">
        <v>33</v>
      </c>
      <c r="Z52" s="1">
        <v>79</v>
      </c>
      <c r="AA52" s="1"/>
      <c r="AB52" s="1">
        <v>1</v>
      </c>
      <c r="AC52" s="1">
        <v>4243</v>
      </c>
      <c r="AD52" s="1">
        <v>463</v>
      </c>
      <c r="AE52" s="1">
        <v>176</v>
      </c>
      <c r="AF52" s="1">
        <v>91</v>
      </c>
      <c r="AG52" s="1"/>
      <c r="AH52" s="1">
        <v>2</v>
      </c>
      <c r="AI52" s="1">
        <v>743</v>
      </c>
      <c r="AJ52" s="1"/>
      <c r="AK52" s="1">
        <v>36</v>
      </c>
      <c r="AL52" s="1">
        <v>183</v>
      </c>
      <c r="AM52" s="1"/>
      <c r="AN52" s="1">
        <v>3</v>
      </c>
      <c r="AO52" s="1">
        <v>568</v>
      </c>
      <c r="AP52" s="1"/>
      <c r="AQ52" s="1">
        <v>10</v>
      </c>
      <c r="AR52" s="1">
        <v>576</v>
      </c>
      <c r="AS52" s="1"/>
      <c r="AT52" s="1">
        <v>44</v>
      </c>
      <c r="AU52" s="1">
        <v>103</v>
      </c>
      <c r="AV52" s="1"/>
      <c r="AW52" s="1">
        <v>1</v>
      </c>
      <c r="AX52" s="1"/>
      <c r="AY52" s="1"/>
      <c r="AZ52" s="1"/>
      <c r="BA52" s="1">
        <v>641</v>
      </c>
      <c r="BB52" s="1">
        <v>102</v>
      </c>
      <c r="BC52" s="1">
        <v>18</v>
      </c>
      <c r="BD52" s="1">
        <v>55</v>
      </c>
      <c r="BE52" s="1"/>
      <c r="BF52" s="1">
        <v>1</v>
      </c>
      <c r="BG52" s="1">
        <v>249</v>
      </c>
      <c r="BH52" s="1">
        <v>118</v>
      </c>
      <c r="BI52" s="1">
        <v>10</v>
      </c>
      <c r="BJ52" s="1">
        <v>274</v>
      </c>
      <c r="BK52" s="1"/>
      <c r="BL52" s="1">
        <v>8</v>
      </c>
      <c r="BM52" s="1">
        <v>2818</v>
      </c>
      <c r="BN52" s="1">
        <v>493</v>
      </c>
      <c r="BO52" s="1">
        <v>229</v>
      </c>
      <c r="BP52" s="1">
        <v>75</v>
      </c>
      <c r="BQ52" s="1">
        <v>50</v>
      </c>
      <c r="BR52" s="1">
        <v>4</v>
      </c>
      <c r="BS52" s="1">
        <v>4770</v>
      </c>
      <c r="BT52" s="1"/>
      <c r="BU52" s="1">
        <v>243</v>
      </c>
      <c r="BV52" s="1">
        <v>1652</v>
      </c>
      <c r="BW52" s="1">
        <v>148</v>
      </c>
      <c r="BX52" s="1">
        <v>85</v>
      </c>
      <c r="BY52" s="1">
        <v>168</v>
      </c>
      <c r="BZ52" s="1">
        <v>79</v>
      </c>
      <c r="CA52" s="1">
        <v>4</v>
      </c>
      <c r="CB52" s="1">
        <v>2985</v>
      </c>
      <c r="CC52" s="1"/>
      <c r="CD52" s="1">
        <v>77</v>
      </c>
      <c r="CE52" s="1"/>
      <c r="CF52" s="1"/>
      <c r="CG52" s="1"/>
      <c r="CH52" s="1">
        <v>25408</v>
      </c>
      <c r="CI52" s="1">
        <v>2985</v>
      </c>
      <c r="CJ52" s="1">
        <v>1131</v>
      </c>
    </row>
    <row r="53" spans="1:88">
      <c r="A53" s="49">
        <v>43933</v>
      </c>
      <c r="B53" s="1">
        <v>846</v>
      </c>
      <c r="C53" s="1">
        <v>97</v>
      </c>
      <c r="D53" s="1">
        <v>54</v>
      </c>
      <c r="E53" s="1">
        <v>315</v>
      </c>
      <c r="F53" s="1"/>
      <c r="G53" s="1">
        <v>7</v>
      </c>
      <c r="H53" s="1">
        <v>899</v>
      </c>
      <c r="I53" s="1"/>
      <c r="J53" s="1">
        <v>18</v>
      </c>
      <c r="K53" s="1"/>
      <c r="L53" s="1"/>
      <c r="M53" s="1"/>
      <c r="N53" s="1"/>
      <c r="O53" s="1"/>
      <c r="P53" s="1"/>
      <c r="Q53" s="1">
        <v>1441</v>
      </c>
      <c r="R53" s="1"/>
      <c r="S53" s="1">
        <v>49</v>
      </c>
      <c r="T53" s="1">
        <v>740</v>
      </c>
      <c r="U53" s="1">
        <v>554</v>
      </c>
      <c r="V53" s="1">
        <v>23</v>
      </c>
      <c r="W53" s="1">
        <v>877</v>
      </c>
      <c r="X53" s="1">
        <v>629</v>
      </c>
      <c r="Y53" s="1">
        <v>33</v>
      </c>
      <c r="Z53" s="1">
        <v>80</v>
      </c>
      <c r="AA53" s="1"/>
      <c r="AB53" s="1">
        <v>1</v>
      </c>
      <c r="AC53" s="1">
        <v>4265</v>
      </c>
      <c r="AD53" s="1">
        <v>479</v>
      </c>
      <c r="AE53" s="1">
        <v>183</v>
      </c>
      <c r="AF53" s="1">
        <v>91</v>
      </c>
      <c r="AG53" s="1"/>
      <c r="AH53" s="1">
        <v>2</v>
      </c>
      <c r="AI53" s="1">
        <v>747</v>
      </c>
      <c r="AJ53" s="1"/>
      <c r="AK53" s="1">
        <v>36</v>
      </c>
      <c r="AL53" s="1">
        <v>183</v>
      </c>
      <c r="AM53" s="1"/>
      <c r="AN53" s="1">
        <v>3</v>
      </c>
      <c r="AO53" s="1">
        <v>576</v>
      </c>
      <c r="AP53" s="1"/>
      <c r="AQ53" s="1">
        <v>10</v>
      </c>
      <c r="AR53" s="1">
        <v>586</v>
      </c>
      <c r="AS53" s="1"/>
      <c r="AT53" s="1">
        <v>49</v>
      </c>
      <c r="AU53" s="1">
        <v>104</v>
      </c>
      <c r="AV53" s="1"/>
      <c r="AW53" s="1">
        <v>1</v>
      </c>
      <c r="AX53" s="1"/>
      <c r="AY53" s="1"/>
      <c r="AZ53" s="1"/>
      <c r="BA53" s="1">
        <v>649</v>
      </c>
      <c r="BB53" s="1">
        <v>109</v>
      </c>
      <c r="BC53" s="1">
        <v>21</v>
      </c>
      <c r="BD53" s="1">
        <v>57</v>
      </c>
      <c r="BE53" s="1"/>
      <c r="BF53" s="1">
        <v>1</v>
      </c>
      <c r="BG53" s="1">
        <v>251</v>
      </c>
      <c r="BH53" s="1">
        <v>119</v>
      </c>
      <c r="BI53" s="1">
        <v>11</v>
      </c>
      <c r="BJ53" s="1">
        <v>285</v>
      </c>
      <c r="BK53" s="1"/>
      <c r="BL53" s="1">
        <v>8</v>
      </c>
      <c r="BM53" s="1">
        <v>2869</v>
      </c>
      <c r="BN53" s="1">
        <v>511</v>
      </c>
      <c r="BO53" s="1">
        <v>244</v>
      </c>
      <c r="BP53" s="1">
        <v>77</v>
      </c>
      <c r="BQ53" s="1">
        <v>52</v>
      </c>
      <c r="BR53" s="1">
        <v>4</v>
      </c>
      <c r="BS53" s="1">
        <v>4807</v>
      </c>
      <c r="BT53" s="1"/>
      <c r="BU53" s="1">
        <v>251</v>
      </c>
      <c r="BV53" s="1">
        <v>1665</v>
      </c>
      <c r="BW53" s="1">
        <v>157</v>
      </c>
      <c r="BX53" s="1">
        <v>91</v>
      </c>
      <c r="BY53" s="1">
        <v>168</v>
      </c>
      <c r="BZ53" s="1">
        <v>80</v>
      </c>
      <c r="CA53" s="1">
        <v>5</v>
      </c>
      <c r="CB53" s="1">
        <v>3002</v>
      </c>
      <c r="CC53" s="1"/>
      <c r="CD53" s="1">
        <v>79</v>
      </c>
      <c r="CE53" s="1"/>
      <c r="CF53" s="1"/>
      <c r="CG53" s="1"/>
      <c r="CH53" s="1">
        <v>25580</v>
      </c>
      <c r="CI53" s="1">
        <v>2787</v>
      </c>
      <c r="CJ53" s="1">
        <v>1184</v>
      </c>
    </row>
    <row r="54" spans="1:88">
      <c r="A54" s="49">
        <v>43934</v>
      </c>
      <c r="B54" s="1">
        <v>859</v>
      </c>
      <c r="C54" s="1">
        <v>97</v>
      </c>
      <c r="D54" s="1">
        <v>55</v>
      </c>
      <c r="E54" s="1">
        <v>321</v>
      </c>
      <c r="F54" s="1"/>
      <c r="G54" s="1">
        <v>7</v>
      </c>
      <c r="H54" s="1">
        <v>906</v>
      </c>
      <c r="I54" s="1"/>
      <c r="J54" s="1">
        <v>19</v>
      </c>
      <c r="K54" s="1">
        <v>24</v>
      </c>
      <c r="L54" s="1"/>
      <c r="M54" s="1"/>
      <c r="N54" s="1">
        <v>78</v>
      </c>
      <c r="O54" s="1"/>
      <c r="P54" s="1">
        <v>3</v>
      </c>
      <c r="Q54" s="1">
        <v>1456</v>
      </c>
      <c r="R54" s="1"/>
      <c r="S54" s="1">
        <v>49</v>
      </c>
      <c r="T54" s="1">
        <v>749</v>
      </c>
      <c r="U54" s="1">
        <v>570</v>
      </c>
      <c r="V54" s="1">
        <v>24</v>
      </c>
      <c r="W54" s="1">
        <v>888</v>
      </c>
      <c r="X54" s="1">
        <v>653</v>
      </c>
      <c r="Y54" s="1">
        <v>34</v>
      </c>
      <c r="Z54" s="1">
        <v>80</v>
      </c>
      <c r="AA54" s="1"/>
      <c r="AB54" s="1">
        <v>1</v>
      </c>
      <c r="AC54" s="1">
        <v>4315</v>
      </c>
      <c r="AD54" s="1">
        <v>490</v>
      </c>
      <c r="AE54" s="1">
        <v>186</v>
      </c>
      <c r="AF54" s="1">
        <v>92</v>
      </c>
      <c r="AG54" s="1"/>
      <c r="AH54" s="1">
        <v>2</v>
      </c>
      <c r="AI54" s="1">
        <v>750</v>
      </c>
      <c r="AJ54" s="1"/>
      <c r="AK54" s="1">
        <v>37</v>
      </c>
      <c r="AL54" s="1">
        <v>184</v>
      </c>
      <c r="AM54" s="1"/>
      <c r="AN54" s="1">
        <v>3</v>
      </c>
      <c r="AO54" s="1">
        <v>580</v>
      </c>
      <c r="AP54" s="1"/>
      <c r="AQ54" s="1">
        <v>10</v>
      </c>
      <c r="AR54" s="1">
        <v>592</v>
      </c>
      <c r="AS54" s="1"/>
      <c r="AT54" s="1">
        <v>51</v>
      </c>
      <c r="AU54" s="1">
        <v>104</v>
      </c>
      <c r="AV54" s="1"/>
      <c r="AW54" s="1">
        <v>1</v>
      </c>
      <c r="AX54" s="1"/>
      <c r="AY54" s="1"/>
      <c r="AZ54" s="1"/>
      <c r="BA54" s="1">
        <v>657</v>
      </c>
      <c r="BB54" s="1">
        <v>119</v>
      </c>
      <c r="BC54" s="1">
        <v>21</v>
      </c>
      <c r="BD54" s="1">
        <v>57</v>
      </c>
      <c r="BE54" s="1"/>
      <c r="BF54" s="1">
        <v>1</v>
      </c>
      <c r="BG54" s="1">
        <v>251</v>
      </c>
      <c r="BH54" s="1">
        <v>128</v>
      </c>
      <c r="BI54" s="1">
        <v>12</v>
      </c>
      <c r="BJ54" s="1">
        <v>292</v>
      </c>
      <c r="BK54" s="1"/>
      <c r="BL54" s="1">
        <v>8</v>
      </c>
      <c r="BM54" s="1">
        <v>2900</v>
      </c>
      <c r="BN54" s="1">
        <v>517</v>
      </c>
      <c r="BO54" s="1">
        <v>251</v>
      </c>
      <c r="BP54" s="1">
        <v>78</v>
      </c>
      <c r="BQ54" s="1">
        <v>52</v>
      </c>
      <c r="BR54" s="1">
        <v>4</v>
      </c>
      <c r="BS54" s="1">
        <v>4851</v>
      </c>
      <c r="BT54" s="1"/>
      <c r="BU54" s="1">
        <v>257</v>
      </c>
      <c r="BV54" s="1">
        <v>1679</v>
      </c>
      <c r="BW54" s="1">
        <v>157</v>
      </c>
      <c r="BX54" s="1">
        <v>93</v>
      </c>
      <c r="BY54" s="1">
        <v>170</v>
      </c>
      <c r="BZ54" s="1">
        <v>84</v>
      </c>
      <c r="CA54" s="1">
        <v>5</v>
      </c>
      <c r="CB54" s="1">
        <v>3019</v>
      </c>
      <c r="CC54" s="1"/>
      <c r="CD54" s="1">
        <v>83</v>
      </c>
      <c r="CE54" s="1"/>
      <c r="CF54" s="1"/>
      <c r="CG54" s="1"/>
      <c r="CH54" s="1">
        <v>25932</v>
      </c>
      <c r="CI54" s="1">
        <v>2867</v>
      </c>
      <c r="CJ54" s="1">
        <v>1217</v>
      </c>
    </row>
    <row r="55" spans="1:88">
      <c r="A55" s="49">
        <v>43935</v>
      </c>
      <c r="B55" s="1">
        <v>879</v>
      </c>
      <c r="C55" s="1">
        <v>98</v>
      </c>
      <c r="D55" s="1">
        <v>57</v>
      </c>
      <c r="E55" s="1">
        <v>325</v>
      </c>
      <c r="F55" s="1"/>
      <c r="G55" s="1">
        <v>8</v>
      </c>
      <c r="H55" s="1">
        <v>912</v>
      </c>
      <c r="I55" s="1">
        <v>400</v>
      </c>
      <c r="J55" s="1">
        <v>19</v>
      </c>
      <c r="K55" s="1">
        <v>24</v>
      </c>
      <c r="L55" s="1"/>
      <c r="M55" s="1"/>
      <c r="N55" s="1">
        <v>79</v>
      </c>
      <c r="O55" s="1"/>
      <c r="P55" s="1">
        <v>3</v>
      </c>
      <c r="Q55" s="1">
        <v>1470</v>
      </c>
      <c r="R55" s="1"/>
      <c r="S55" s="1">
        <v>49</v>
      </c>
      <c r="T55" s="1">
        <v>755</v>
      </c>
      <c r="U55" s="1">
        <v>597</v>
      </c>
      <c r="V55" s="1">
        <v>25</v>
      </c>
      <c r="W55" s="1">
        <v>894</v>
      </c>
      <c r="X55" s="1">
        <v>663</v>
      </c>
      <c r="Y55" s="1">
        <v>34</v>
      </c>
      <c r="Z55" s="1"/>
      <c r="AA55" s="1"/>
      <c r="AB55" s="1"/>
      <c r="AC55" s="1">
        <v>4368</v>
      </c>
      <c r="AD55" s="1">
        <v>490</v>
      </c>
      <c r="AE55" s="1">
        <v>191</v>
      </c>
      <c r="AF55" s="1">
        <v>105</v>
      </c>
      <c r="AG55" s="1"/>
      <c r="AH55" s="1">
        <v>2</v>
      </c>
      <c r="AI55" s="1">
        <v>753</v>
      </c>
      <c r="AJ55" s="1"/>
      <c r="AK55" s="1">
        <v>37</v>
      </c>
      <c r="AL55" s="1">
        <v>185</v>
      </c>
      <c r="AM55" s="1"/>
      <c r="AN55" s="1">
        <v>3</v>
      </c>
      <c r="AO55" s="1">
        <v>589</v>
      </c>
      <c r="AP55" s="1"/>
      <c r="AQ55" s="1">
        <v>11</v>
      </c>
      <c r="AR55" s="1">
        <v>603</v>
      </c>
      <c r="AS55" s="1"/>
      <c r="AT55" s="1">
        <v>54</v>
      </c>
      <c r="AU55" s="1">
        <v>105</v>
      </c>
      <c r="AV55" s="1"/>
      <c r="AW55" s="1">
        <v>1</v>
      </c>
      <c r="AX55" s="1">
        <v>64</v>
      </c>
      <c r="AY55" s="1"/>
      <c r="AZ55" s="1">
        <v>0</v>
      </c>
      <c r="BA55" s="1">
        <v>664</v>
      </c>
      <c r="BB55" s="1">
        <v>120</v>
      </c>
      <c r="BC55" s="1">
        <v>21</v>
      </c>
      <c r="BD55" s="1">
        <v>57</v>
      </c>
      <c r="BE55" s="1"/>
      <c r="BF55" s="1">
        <v>1</v>
      </c>
      <c r="BG55" s="1">
        <v>258</v>
      </c>
      <c r="BH55" s="1">
        <v>128</v>
      </c>
      <c r="BI55" s="1">
        <v>13</v>
      </c>
      <c r="BJ55" s="1">
        <v>296</v>
      </c>
      <c r="BK55" s="1"/>
      <c r="BL55" s="1">
        <v>10</v>
      </c>
      <c r="BM55" s="1">
        <v>2912</v>
      </c>
      <c r="BN55" s="1">
        <v>524</v>
      </c>
      <c r="BO55" s="1">
        <v>258</v>
      </c>
      <c r="BP55" s="1">
        <v>78</v>
      </c>
      <c r="BQ55" s="1">
        <v>56</v>
      </c>
      <c r="BR55" s="1">
        <v>4</v>
      </c>
      <c r="BS55" s="1">
        <v>4918</v>
      </c>
      <c r="BT55" s="1"/>
      <c r="BU55" s="1">
        <v>267</v>
      </c>
      <c r="BV55" s="1">
        <v>1706</v>
      </c>
      <c r="BW55" s="1">
        <v>165</v>
      </c>
      <c r="BX55" s="1">
        <v>94</v>
      </c>
      <c r="BY55" s="1">
        <v>171</v>
      </c>
      <c r="BZ55" s="1">
        <v>88</v>
      </c>
      <c r="CA55" s="1">
        <v>5</v>
      </c>
      <c r="CB55" s="1">
        <v>3066</v>
      </c>
      <c r="CC55" s="1"/>
      <c r="CD55" s="1">
        <v>87</v>
      </c>
      <c r="CE55" s="1"/>
      <c r="CF55" s="1"/>
      <c r="CG55" s="1"/>
      <c r="CH55" s="1">
        <v>26236</v>
      </c>
      <c r="CI55" s="1">
        <v>3329</v>
      </c>
      <c r="CJ55" s="1">
        <v>1254</v>
      </c>
    </row>
    <row r="56" spans="1:88">
      <c r="A56" s="49">
        <v>43936</v>
      </c>
      <c r="B56" s="1">
        <v>890</v>
      </c>
      <c r="C56" s="1">
        <v>105</v>
      </c>
      <c r="D56" s="1">
        <v>63</v>
      </c>
      <c r="E56" s="1">
        <v>329</v>
      </c>
      <c r="F56" s="1"/>
      <c r="G56" s="1">
        <v>8</v>
      </c>
      <c r="H56" s="1">
        <v>929</v>
      </c>
      <c r="I56" s="1">
        <v>450</v>
      </c>
      <c r="J56" s="1">
        <v>22</v>
      </c>
      <c r="K56" s="1">
        <v>24</v>
      </c>
      <c r="L56" s="1"/>
      <c r="M56" s="1"/>
      <c r="N56" s="1">
        <v>79</v>
      </c>
      <c r="O56" s="1"/>
      <c r="P56" s="1">
        <v>3</v>
      </c>
      <c r="Q56" s="1">
        <v>1489</v>
      </c>
      <c r="R56" s="1"/>
      <c r="S56" s="1">
        <v>53</v>
      </c>
      <c r="T56" s="1">
        <v>768</v>
      </c>
      <c r="U56" s="1">
        <v>610</v>
      </c>
      <c r="V56" s="1">
        <v>25</v>
      </c>
      <c r="W56" s="1">
        <v>904</v>
      </c>
      <c r="X56" s="1">
        <v>682</v>
      </c>
      <c r="Y56" s="1">
        <v>36</v>
      </c>
      <c r="Z56" s="1">
        <v>80</v>
      </c>
      <c r="AA56" s="1"/>
      <c r="AB56" s="1">
        <v>1</v>
      </c>
      <c r="AC56" s="1">
        <v>4432</v>
      </c>
      <c r="AD56" s="1">
        <v>502</v>
      </c>
      <c r="AE56" s="1">
        <v>196</v>
      </c>
      <c r="AF56" s="1">
        <v>105</v>
      </c>
      <c r="AG56" s="1"/>
      <c r="AH56" s="1">
        <v>2</v>
      </c>
      <c r="AI56" s="1">
        <v>759</v>
      </c>
      <c r="AJ56" s="1"/>
      <c r="AK56" s="1">
        <v>38</v>
      </c>
      <c r="AL56" s="1">
        <v>188</v>
      </c>
      <c r="AM56" s="1"/>
      <c r="AN56" s="1">
        <v>3</v>
      </c>
      <c r="AO56" s="1">
        <v>596</v>
      </c>
      <c r="AP56" s="1"/>
      <c r="AQ56" s="1">
        <v>12</v>
      </c>
      <c r="AR56" s="1">
        <v>616</v>
      </c>
      <c r="AS56" s="1"/>
      <c r="AT56" s="1">
        <v>55</v>
      </c>
      <c r="AU56" s="1">
        <v>106</v>
      </c>
      <c r="AV56" s="1"/>
      <c r="AW56" s="1">
        <v>2</v>
      </c>
      <c r="AX56" s="1">
        <v>64</v>
      </c>
      <c r="AY56" s="1"/>
      <c r="AZ56" s="1">
        <v>0</v>
      </c>
      <c r="BA56" s="1">
        <v>676</v>
      </c>
      <c r="BB56" s="1">
        <v>123</v>
      </c>
      <c r="BC56" s="1">
        <v>23</v>
      </c>
      <c r="BD56" s="1">
        <v>59</v>
      </c>
      <c r="BE56" s="1"/>
      <c r="BF56" s="1">
        <v>1</v>
      </c>
      <c r="BG56" s="1">
        <v>261</v>
      </c>
      <c r="BH56" s="1">
        <v>144</v>
      </c>
      <c r="BI56" s="1">
        <v>13</v>
      </c>
      <c r="BJ56" s="1">
        <v>302</v>
      </c>
      <c r="BK56" s="1"/>
      <c r="BL56" s="1">
        <v>11</v>
      </c>
      <c r="BM56" s="1">
        <v>2927</v>
      </c>
      <c r="BN56" s="1">
        <v>548</v>
      </c>
      <c r="BO56" s="1">
        <v>263</v>
      </c>
      <c r="BP56" s="1">
        <v>78</v>
      </c>
      <c r="BQ56" s="1">
        <v>62</v>
      </c>
      <c r="BR56" s="1">
        <v>4</v>
      </c>
      <c r="BS56" s="1">
        <v>4967</v>
      </c>
      <c r="BT56" s="1"/>
      <c r="BU56" s="1">
        <v>284</v>
      </c>
      <c r="BV56" s="1">
        <v>1722</v>
      </c>
      <c r="BW56" s="1">
        <v>175</v>
      </c>
      <c r="BX56" s="1">
        <v>94</v>
      </c>
      <c r="BY56" s="1">
        <v>171</v>
      </c>
      <c r="BZ56" s="1">
        <v>92</v>
      </c>
      <c r="CA56" s="1">
        <v>5</v>
      </c>
      <c r="CB56" s="1">
        <v>3113</v>
      </c>
      <c r="CC56" s="1"/>
      <c r="CD56" s="1">
        <v>91</v>
      </c>
      <c r="CE56" s="1"/>
      <c r="CF56" s="1"/>
      <c r="CG56" s="1"/>
      <c r="CH56" s="1">
        <v>26634</v>
      </c>
      <c r="CI56" s="1">
        <v>3493</v>
      </c>
      <c r="CJ56" s="1">
        <v>1308</v>
      </c>
    </row>
    <row r="57" spans="1:88">
      <c r="A57" s="49">
        <v>43937</v>
      </c>
      <c r="B57" s="1">
        <v>907</v>
      </c>
      <c r="C57" s="1">
        <v>105</v>
      </c>
      <c r="D57" s="1">
        <v>65</v>
      </c>
      <c r="E57" s="1">
        <v>343</v>
      </c>
      <c r="F57" s="1"/>
      <c r="G57" s="1">
        <v>8</v>
      </c>
      <c r="H57" s="1">
        <v>943</v>
      </c>
      <c r="I57" s="1">
        <v>500</v>
      </c>
      <c r="J57" s="1">
        <v>23</v>
      </c>
      <c r="K57" s="1">
        <v>24</v>
      </c>
      <c r="L57" s="1"/>
      <c r="M57" s="1"/>
      <c r="N57" s="1">
        <v>79</v>
      </c>
      <c r="O57" s="1"/>
      <c r="P57" s="1">
        <v>3</v>
      </c>
      <c r="Q57" s="1">
        <v>1515</v>
      </c>
      <c r="R57" s="1"/>
      <c r="S57" s="1">
        <v>55</v>
      </c>
      <c r="T57" s="1">
        <v>781</v>
      </c>
      <c r="U57" s="1">
        <v>623</v>
      </c>
      <c r="V57" s="1">
        <v>25</v>
      </c>
      <c r="W57" s="1">
        <v>912</v>
      </c>
      <c r="X57" s="1">
        <v>711</v>
      </c>
      <c r="Y57" s="1">
        <v>37</v>
      </c>
      <c r="Z57" s="1">
        <v>80</v>
      </c>
      <c r="AA57" s="1"/>
      <c r="AB57" s="1">
        <v>1</v>
      </c>
      <c r="AC57" s="1">
        <v>4497</v>
      </c>
      <c r="AD57" s="1">
        <v>520</v>
      </c>
      <c r="AE57" s="1">
        <v>202</v>
      </c>
      <c r="AF57" s="1">
        <v>106</v>
      </c>
      <c r="AG57" s="1"/>
      <c r="AH57" s="1">
        <v>3</v>
      </c>
      <c r="AI57" s="1">
        <v>764</v>
      </c>
      <c r="AJ57" s="1"/>
      <c r="AK57" s="1">
        <v>39</v>
      </c>
      <c r="AL57" s="1">
        <v>189</v>
      </c>
      <c r="AM57" s="1"/>
      <c r="AN57" s="1">
        <v>3</v>
      </c>
      <c r="AO57" s="1">
        <v>599</v>
      </c>
      <c r="AP57" s="1"/>
      <c r="AQ57" s="1">
        <v>13</v>
      </c>
      <c r="AR57" s="1">
        <v>625</v>
      </c>
      <c r="AS57" s="1"/>
      <c r="AT57" s="1">
        <v>56</v>
      </c>
      <c r="AU57" s="1">
        <v>106</v>
      </c>
      <c r="AV57" s="1"/>
      <c r="AW57" s="1">
        <v>2</v>
      </c>
      <c r="AX57" s="1">
        <v>65</v>
      </c>
      <c r="AY57" s="1"/>
      <c r="AZ57" s="1">
        <v>0</v>
      </c>
      <c r="BA57" s="1">
        <v>680</v>
      </c>
      <c r="BB57" s="1">
        <v>138</v>
      </c>
      <c r="BC57" s="1">
        <v>25</v>
      </c>
      <c r="BD57" s="1">
        <v>60</v>
      </c>
      <c r="BE57" s="1"/>
      <c r="BF57" s="1">
        <v>1</v>
      </c>
      <c r="BG57" s="1">
        <v>265</v>
      </c>
      <c r="BH57" s="1">
        <v>154</v>
      </c>
      <c r="BI57" s="1">
        <v>14</v>
      </c>
      <c r="BJ57" s="1">
        <v>308</v>
      </c>
      <c r="BK57" s="1"/>
      <c r="BL57" s="1">
        <v>11</v>
      </c>
      <c r="BM57" s="1">
        <v>2953</v>
      </c>
      <c r="BN57" s="1">
        <v>568</v>
      </c>
      <c r="BO57" s="1">
        <v>269</v>
      </c>
      <c r="BP57" s="1">
        <v>78</v>
      </c>
      <c r="BQ57" s="1">
        <v>62</v>
      </c>
      <c r="BR57" s="1">
        <v>5</v>
      </c>
      <c r="BS57" s="1">
        <v>4996</v>
      </c>
      <c r="BT57" s="1"/>
      <c r="BU57" s="1">
        <v>297</v>
      </c>
      <c r="BV57" s="1">
        <v>1739</v>
      </c>
      <c r="BW57" s="1">
        <v>178</v>
      </c>
      <c r="BX57" s="1">
        <v>95</v>
      </c>
      <c r="BY57" s="1">
        <v>171</v>
      </c>
      <c r="BZ57" s="1">
        <v>94</v>
      </c>
      <c r="CA57" s="1">
        <v>6</v>
      </c>
      <c r="CB57" s="1">
        <v>3148</v>
      </c>
      <c r="CC57" s="1"/>
      <c r="CD57" s="1">
        <v>95</v>
      </c>
      <c r="CE57" s="1"/>
      <c r="CF57" s="1"/>
      <c r="CG57" s="1"/>
      <c r="CH57" s="1">
        <v>26933</v>
      </c>
      <c r="CI57" s="1">
        <v>3653</v>
      </c>
      <c r="CJ57" s="1">
        <v>1353</v>
      </c>
    </row>
    <row r="58" spans="1:88">
      <c r="A58" s="49">
        <v>43938</v>
      </c>
      <c r="B58" s="1">
        <v>930</v>
      </c>
      <c r="C58" s="1">
        <v>106</v>
      </c>
      <c r="D58" s="1">
        <v>67</v>
      </c>
      <c r="E58" s="1">
        <v>350</v>
      </c>
      <c r="F58" s="1"/>
      <c r="G58" s="1">
        <v>9</v>
      </c>
      <c r="H58" s="1">
        <v>960</v>
      </c>
      <c r="I58" s="1">
        <v>540</v>
      </c>
      <c r="J58" s="1">
        <v>24</v>
      </c>
      <c r="K58" s="1">
        <v>24</v>
      </c>
      <c r="L58" s="1"/>
      <c r="M58" s="1"/>
      <c r="N58" s="1">
        <v>82</v>
      </c>
      <c r="O58" s="1"/>
      <c r="P58" s="1">
        <v>3</v>
      </c>
      <c r="Q58" s="1">
        <v>1553</v>
      </c>
      <c r="R58" s="1"/>
      <c r="S58" s="1">
        <v>67</v>
      </c>
      <c r="T58" s="1">
        <v>794</v>
      </c>
      <c r="U58" s="1">
        <v>632</v>
      </c>
      <c r="V58" s="1">
        <v>25</v>
      </c>
      <c r="W58" s="1">
        <v>918</v>
      </c>
      <c r="X58" s="1">
        <v>720</v>
      </c>
      <c r="Y58" s="1">
        <v>37</v>
      </c>
      <c r="Z58" s="1">
        <v>81</v>
      </c>
      <c r="AA58" s="1"/>
      <c r="AB58" s="1">
        <v>1</v>
      </c>
      <c r="AC58" s="1">
        <v>4557</v>
      </c>
      <c r="AD58" s="1">
        <v>532</v>
      </c>
      <c r="AE58" s="1">
        <v>208</v>
      </c>
      <c r="AF58" s="1">
        <v>108</v>
      </c>
      <c r="AG58" s="1"/>
      <c r="AH58" s="1">
        <v>3</v>
      </c>
      <c r="AI58" s="1">
        <v>770</v>
      </c>
      <c r="AJ58" s="1"/>
      <c r="AK58" s="1">
        <v>40</v>
      </c>
      <c r="AL58" s="1">
        <v>191</v>
      </c>
      <c r="AM58" s="1"/>
      <c r="AN58" s="1">
        <v>3</v>
      </c>
      <c r="AO58" s="1">
        <v>607</v>
      </c>
      <c r="AP58" s="1"/>
      <c r="AQ58" s="1">
        <v>14</v>
      </c>
      <c r="AR58" s="1">
        <v>636</v>
      </c>
      <c r="AS58" s="1"/>
      <c r="AT58" s="1">
        <v>59</v>
      </c>
      <c r="AU58" s="1">
        <v>107</v>
      </c>
      <c r="AV58" s="1"/>
      <c r="AW58" s="1">
        <v>3</v>
      </c>
      <c r="AX58" s="1">
        <v>66</v>
      </c>
      <c r="AY58" s="1"/>
      <c r="AZ58" s="1">
        <v>0</v>
      </c>
      <c r="BA58" s="1">
        <v>683</v>
      </c>
      <c r="BB58" s="1">
        <v>144</v>
      </c>
      <c r="BC58" s="1">
        <v>27</v>
      </c>
      <c r="BD58" s="1">
        <v>60</v>
      </c>
      <c r="BE58" s="1"/>
      <c r="BF58" s="1">
        <v>1</v>
      </c>
      <c r="BG58" s="1">
        <v>266</v>
      </c>
      <c r="BH58" s="1">
        <v>161</v>
      </c>
      <c r="BI58" s="1">
        <v>14</v>
      </c>
      <c r="BJ58" s="1">
        <v>321</v>
      </c>
      <c r="BK58" s="1"/>
      <c r="BL58" s="1">
        <v>12</v>
      </c>
      <c r="BM58" s="1">
        <v>2977</v>
      </c>
      <c r="BN58" s="1">
        <v>580</v>
      </c>
      <c r="BO58" s="1">
        <v>270</v>
      </c>
      <c r="BP58" s="1">
        <v>78</v>
      </c>
      <c r="BQ58" s="1">
        <v>66</v>
      </c>
      <c r="BR58" s="1">
        <v>5</v>
      </c>
      <c r="BS58" s="1">
        <v>5028</v>
      </c>
      <c r="BT58" s="1"/>
      <c r="BU58" s="1">
        <v>302</v>
      </c>
      <c r="BV58" s="1">
        <v>1758</v>
      </c>
      <c r="BW58" s="1">
        <v>184</v>
      </c>
      <c r="BX58" s="1">
        <v>99</v>
      </c>
      <c r="BY58" s="1">
        <v>172</v>
      </c>
      <c r="BZ58" s="1">
        <v>96</v>
      </c>
      <c r="CA58" s="1">
        <v>6</v>
      </c>
      <c r="CB58" s="1">
        <v>3171</v>
      </c>
      <c r="CC58" s="1"/>
      <c r="CD58" s="1">
        <v>99</v>
      </c>
      <c r="CE58" s="1"/>
      <c r="CF58" s="1"/>
      <c r="CG58" s="1"/>
      <c r="CH58" s="1">
        <v>27248</v>
      </c>
      <c r="CI58" s="1">
        <v>3761</v>
      </c>
      <c r="CJ58" s="1">
        <v>1398</v>
      </c>
    </row>
    <row r="59" spans="1:88">
      <c r="A59" s="49">
        <v>43939</v>
      </c>
      <c r="B59" s="1">
        <v>956</v>
      </c>
      <c r="C59" s="1">
        <v>109</v>
      </c>
      <c r="D59" s="1">
        <v>69</v>
      </c>
      <c r="E59" s="1">
        <v>353</v>
      </c>
      <c r="F59" s="1"/>
      <c r="G59" s="1">
        <v>10</v>
      </c>
      <c r="H59" s="1">
        <v>987</v>
      </c>
      <c r="I59" s="1"/>
      <c r="J59" s="1">
        <v>25</v>
      </c>
      <c r="K59" s="1"/>
      <c r="L59" s="1"/>
      <c r="M59" s="1"/>
      <c r="N59" s="1"/>
      <c r="O59" s="1"/>
      <c r="P59" s="1"/>
      <c r="Q59" s="1">
        <v>1586</v>
      </c>
      <c r="R59" s="1"/>
      <c r="S59" s="1">
        <v>69</v>
      </c>
      <c r="T59" s="1">
        <v>798</v>
      </c>
      <c r="U59" s="1">
        <v>636</v>
      </c>
      <c r="V59" s="1">
        <v>25</v>
      </c>
      <c r="W59" s="1">
        <v>924</v>
      </c>
      <c r="X59" s="1">
        <v>753</v>
      </c>
      <c r="Y59" s="1">
        <v>40</v>
      </c>
      <c r="Z59" s="1">
        <v>81</v>
      </c>
      <c r="AA59" s="1"/>
      <c r="AB59" s="1">
        <v>1</v>
      </c>
      <c r="AC59" s="1">
        <v>4606</v>
      </c>
      <c r="AD59" s="1">
        <v>553</v>
      </c>
      <c r="AE59" s="1">
        <v>212</v>
      </c>
      <c r="AF59" s="1">
        <v>111</v>
      </c>
      <c r="AG59" s="1"/>
      <c r="AH59" s="1">
        <v>3</v>
      </c>
      <c r="AI59" s="1">
        <v>773</v>
      </c>
      <c r="AJ59" s="1"/>
      <c r="AK59" s="1">
        <v>40</v>
      </c>
      <c r="AL59" s="1">
        <v>192</v>
      </c>
      <c r="AM59" s="1"/>
      <c r="AN59" s="1">
        <v>3</v>
      </c>
      <c r="AO59" s="1">
        <v>623</v>
      </c>
      <c r="AP59" s="1"/>
      <c r="AQ59" s="1">
        <v>15</v>
      </c>
      <c r="AR59" s="1">
        <v>639</v>
      </c>
      <c r="AS59" s="1"/>
      <c r="AT59" s="1">
        <v>59</v>
      </c>
      <c r="AU59" s="1">
        <v>108</v>
      </c>
      <c r="AV59" s="1"/>
      <c r="AW59" s="1">
        <v>3</v>
      </c>
      <c r="AX59" s="1"/>
      <c r="AY59" s="1"/>
      <c r="AZ59" s="1"/>
      <c r="BA59" s="1">
        <v>699</v>
      </c>
      <c r="BB59" s="1">
        <v>150</v>
      </c>
      <c r="BC59" s="1">
        <v>27</v>
      </c>
      <c r="BD59" s="1">
        <v>61</v>
      </c>
      <c r="BE59" s="1"/>
      <c r="BF59" s="1">
        <v>1</v>
      </c>
      <c r="BG59" s="1">
        <v>266</v>
      </c>
      <c r="BH59" s="1">
        <v>176</v>
      </c>
      <c r="BI59" s="1">
        <v>14</v>
      </c>
      <c r="BJ59" s="1">
        <v>332</v>
      </c>
      <c r="BK59" s="1"/>
      <c r="BL59" s="1">
        <v>13</v>
      </c>
      <c r="BM59" s="1">
        <v>2994</v>
      </c>
      <c r="BN59" s="1">
        <v>606</v>
      </c>
      <c r="BO59" s="1">
        <v>277</v>
      </c>
      <c r="BP59" s="1">
        <v>78</v>
      </c>
      <c r="BQ59" s="1">
        <v>69</v>
      </c>
      <c r="BR59" s="1">
        <v>5</v>
      </c>
      <c r="BS59" s="1">
        <v>5050</v>
      </c>
      <c r="BT59" s="1"/>
      <c r="BU59" s="1">
        <v>310</v>
      </c>
      <c r="BV59" s="1">
        <v>1767</v>
      </c>
      <c r="BW59" s="1">
        <v>185</v>
      </c>
      <c r="BX59" s="1">
        <v>104</v>
      </c>
      <c r="BY59" s="1">
        <v>174</v>
      </c>
      <c r="BZ59" s="1">
        <v>99</v>
      </c>
      <c r="CA59" s="1">
        <v>7</v>
      </c>
      <c r="CB59" s="1">
        <v>3211</v>
      </c>
      <c r="CC59" s="1"/>
      <c r="CD59" s="1">
        <v>105</v>
      </c>
      <c r="CE59" s="1"/>
      <c r="CF59" s="1"/>
      <c r="CG59" s="1"/>
      <c r="CH59" s="1">
        <v>27369</v>
      </c>
      <c r="CI59" s="1">
        <v>3336</v>
      </c>
      <c r="CJ59" s="1">
        <v>1437</v>
      </c>
    </row>
    <row r="60" spans="1:88">
      <c r="A60" s="49">
        <v>43940</v>
      </c>
      <c r="B60" s="1">
        <v>980</v>
      </c>
      <c r="C60" s="1">
        <v>113</v>
      </c>
      <c r="D60" s="1">
        <v>71</v>
      </c>
      <c r="E60" s="1">
        <v>355</v>
      </c>
      <c r="F60" s="1"/>
      <c r="G60" s="1">
        <v>11</v>
      </c>
      <c r="H60" s="1">
        <v>1003</v>
      </c>
      <c r="I60" s="1"/>
      <c r="J60" s="1">
        <v>25</v>
      </c>
      <c r="K60" s="1">
        <v>24</v>
      </c>
      <c r="L60" s="1"/>
      <c r="M60" s="1"/>
      <c r="N60" s="1"/>
      <c r="O60" s="1"/>
      <c r="P60" s="1"/>
      <c r="Q60" s="1">
        <v>1599</v>
      </c>
      <c r="R60" s="1"/>
      <c r="S60" s="1">
        <v>69</v>
      </c>
      <c r="T60" s="1">
        <v>803</v>
      </c>
      <c r="U60" s="1">
        <v>653</v>
      </c>
      <c r="V60" s="1">
        <v>25</v>
      </c>
      <c r="W60" s="1">
        <v>927</v>
      </c>
      <c r="X60" s="1">
        <v>764</v>
      </c>
      <c r="Y60" s="1">
        <v>40</v>
      </c>
      <c r="Z60" s="1">
        <v>81</v>
      </c>
      <c r="AA60" s="1"/>
      <c r="AB60" s="1">
        <v>1</v>
      </c>
      <c r="AC60" s="1">
        <v>4617</v>
      </c>
      <c r="AD60" s="1">
        <v>558</v>
      </c>
      <c r="AE60" s="1">
        <v>215</v>
      </c>
      <c r="AF60" s="1">
        <v>111</v>
      </c>
      <c r="AG60" s="1"/>
      <c r="AH60" s="1">
        <v>3</v>
      </c>
      <c r="AI60" s="1">
        <v>778</v>
      </c>
      <c r="AJ60" s="1"/>
      <c r="AK60" s="1">
        <v>41</v>
      </c>
      <c r="AL60" s="1">
        <v>192</v>
      </c>
      <c r="AM60" s="1"/>
      <c r="AN60" s="1">
        <v>5</v>
      </c>
      <c r="AO60" s="1">
        <v>626</v>
      </c>
      <c r="AP60" s="1"/>
      <c r="AQ60" s="1">
        <v>15</v>
      </c>
      <c r="AR60" s="1">
        <v>640</v>
      </c>
      <c r="AS60" s="1"/>
      <c r="AT60" s="1">
        <v>60</v>
      </c>
      <c r="AU60" s="1">
        <v>108</v>
      </c>
      <c r="AV60" s="1"/>
      <c r="AW60" s="1">
        <v>3</v>
      </c>
      <c r="AX60" s="1"/>
      <c r="AY60" s="1"/>
      <c r="AZ60" s="1"/>
      <c r="BA60" s="1">
        <v>705</v>
      </c>
      <c r="BB60" s="1">
        <v>150</v>
      </c>
      <c r="BC60" s="1">
        <v>27</v>
      </c>
      <c r="BD60" s="1">
        <v>62</v>
      </c>
      <c r="BE60" s="1"/>
      <c r="BF60" s="1">
        <v>1</v>
      </c>
      <c r="BG60" s="1">
        <v>268</v>
      </c>
      <c r="BH60" s="1">
        <v>180</v>
      </c>
      <c r="BI60" s="1">
        <v>15</v>
      </c>
      <c r="BJ60" s="1">
        <v>333</v>
      </c>
      <c r="BK60" s="1"/>
      <c r="BL60" s="1">
        <v>13</v>
      </c>
      <c r="BM60" s="1">
        <v>3032</v>
      </c>
      <c r="BN60" s="1">
        <v>616</v>
      </c>
      <c r="BO60" s="1">
        <v>281</v>
      </c>
      <c r="BP60" s="1">
        <v>78</v>
      </c>
      <c r="BQ60" s="1">
        <v>69</v>
      </c>
      <c r="BR60" s="1">
        <v>5</v>
      </c>
      <c r="BS60" s="1">
        <v>5061</v>
      </c>
      <c r="BT60" s="1"/>
      <c r="BU60" s="1">
        <v>315</v>
      </c>
      <c r="BV60" s="1">
        <v>1774</v>
      </c>
      <c r="BW60" s="1">
        <v>204</v>
      </c>
      <c r="BX60" s="1">
        <v>107</v>
      </c>
      <c r="BY60" s="1">
        <v>175</v>
      </c>
      <c r="BZ60" s="1">
        <v>99</v>
      </c>
      <c r="CA60" s="1">
        <v>7</v>
      </c>
      <c r="CB60" s="1">
        <v>3238</v>
      </c>
      <c r="CC60" s="1"/>
      <c r="CD60" s="1">
        <v>105</v>
      </c>
      <c r="CE60" s="1"/>
      <c r="CF60" s="1"/>
      <c r="CG60" s="1"/>
      <c r="CH60" s="1">
        <v>27570</v>
      </c>
      <c r="CI60" s="1">
        <v>3406</v>
      </c>
      <c r="CJ60" s="1">
        <v>1460</v>
      </c>
    </row>
    <row r="61" spans="1:88">
      <c r="A61" s="49">
        <v>43941</v>
      </c>
      <c r="B61" s="1">
        <v>989</v>
      </c>
      <c r="C61" s="1">
        <v>113</v>
      </c>
      <c r="D61" s="1">
        <v>72</v>
      </c>
      <c r="E61" s="1">
        <v>355</v>
      </c>
      <c r="F61" s="1"/>
      <c r="G61" s="1">
        <v>11</v>
      </c>
      <c r="H61" s="1">
        <v>1012</v>
      </c>
      <c r="I61" s="1">
        <v>640</v>
      </c>
      <c r="J61" s="1">
        <v>28</v>
      </c>
      <c r="K61" s="1">
        <v>24</v>
      </c>
      <c r="L61" s="1"/>
      <c r="M61" s="1"/>
      <c r="N61" s="1">
        <v>86</v>
      </c>
      <c r="O61" s="1"/>
      <c r="P61" s="1">
        <v>3</v>
      </c>
      <c r="Q61" s="1">
        <v>1613</v>
      </c>
      <c r="R61" s="1"/>
      <c r="S61" s="1">
        <v>73</v>
      </c>
      <c r="T61" s="1">
        <v>806</v>
      </c>
      <c r="U61" s="1">
        <v>664</v>
      </c>
      <c r="V61" s="1">
        <v>25</v>
      </c>
      <c r="W61" s="1">
        <v>928</v>
      </c>
      <c r="X61" s="1">
        <v>770</v>
      </c>
      <c r="Y61" s="1">
        <v>42</v>
      </c>
      <c r="Z61" s="1">
        <v>81</v>
      </c>
      <c r="AA61" s="1"/>
      <c r="AB61" s="1">
        <v>1</v>
      </c>
      <c r="AC61" s="1">
        <v>4644</v>
      </c>
      <c r="AD61" s="1">
        <v>561</v>
      </c>
      <c r="AE61" s="1">
        <v>217</v>
      </c>
      <c r="AF61" s="1">
        <v>114</v>
      </c>
      <c r="AG61" s="1"/>
      <c r="AH61" s="1">
        <v>5</v>
      </c>
      <c r="AI61" s="1">
        <v>785</v>
      </c>
      <c r="AJ61" s="1"/>
      <c r="AK61" s="1">
        <v>42</v>
      </c>
      <c r="AL61" s="1">
        <v>195</v>
      </c>
      <c r="AM61" s="1"/>
      <c r="AN61" s="1">
        <v>6</v>
      </c>
      <c r="AO61" s="1">
        <v>633</v>
      </c>
      <c r="AP61" s="1"/>
      <c r="AQ61" s="1">
        <v>15</v>
      </c>
      <c r="AR61" s="1">
        <v>651</v>
      </c>
      <c r="AS61" s="1"/>
      <c r="AT61" s="1">
        <v>62</v>
      </c>
      <c r="AU61" s="1">
        <v>108</v>
      </c>
      <c r="AV61" s="1"/>
      <c r="AW61" s="1">
        <v>3</v>
      </c>
      <c r="AX61" s="1">
        <v>67</v>
      </c>
      <c r="AY61" s="1"/>
      <c r="AZ61" s="1">
        <v>0</v>
      </c>
      <c r="BA61" s="1">
        <v>711</v>
      </c>
      <c r="BB61" s="1">
        <v>159</v>
      </c>
      <c r="BC61" s="1">
        <v>27</v>
      </c>
      <c r="BD61" s="1">
        <v>63</v>
      </c>
      <c r="BE61" s="1"/>
      <c r="BF61" s="1">
        <v>1</v>
      </c>
      <c r="BG61" s="1">
        <v>272</v>
      </c>
      <c r="BH61" s="1">
        <v>180</v>
      </c>
      <c r="BI61" s="1">
        <v>15</v>
      </c>
      <c r="BJ61" s="1">
        <v>335</v>
      </c>
      <c r="BK61" s="1"/>
      <c r="BL61" s="1">
        <v>13</v>
      </c>
      <c r="BM61" s="1">
        <v>3058</v>
      </c>
      <c r="BN61" s="1">
        <v>621</v>
      </c>
      <c r="BO61" s="1">
        <v>288</v>
      </c>
      <c r="BP61" s="1">
        <v>78</v>
      </c>
      <c r="BQ61" s="1">
        <v>69</v>
      </c>
      <c r="BR61" s="1">
        <v>5</v>
      </c>
      <c r="BS61" s="1">
        <v>5093</v>
      </c>
      <c r="BT61" s="1"/>
      <c r="BU61" s="1">
        <v>326</v>
      </c>
      <c r="BV61" s="1">
        <v>1791</v>
      </c>
      <c r="BW61" s="1">
        <v>206</v>
      </c>
      <c r="BX61" s="1">
        <v>110</v>
      </c>
      <c r="BY61" s="1">
        <v>175</v>
      </c>
      <c r="BZ61" s="1">
        <v>99</v>
      </c>
      <c r="CA61" s="1">
        <v>7</v>
      </c>
      <c r="CB61" s="1">
        <v>3254</v>
      </c>
      <c r="CC61" s="1"/>
      <c r="CD61" s="1">
        <v>107</v>
      </c>
      <c r="CE61" s="1"/>
      <c r="CF61" s="1"/>
      <c r="CG61" s="1"/>
      <c r="CH61" s="1">
        <v>27921</v>
      </c>
      <c r="CI61" s="1">
        <v>4082</v>
      </c>
      <c r="CJ61" s="1">
        <v>1504</v>
      </c>
    </row>
    <row r="62" spans="1:88">
      <c r="A62" s="49">
        <v>43942</v>
      </c>
      <c r="B62" s="1">
        <v>995</v>
      </c>
      <c r="C62" s="1">
        <v>115</v>
      </c>
      <c r="D62" s="1">
        <v>74</v>
      </c>
      <c r="E62" s="1">
        <v>359</v>
      </c>
      <c r="F62" s="1"/>
      <c r="G62" s="1">
        <v>11</v>
      </c>
      <c r="H62" s="1">
        <v>1017</v>
      </c>
      <c r="I62" s="1">
        <v>680</v>
      </c>
      <c r="J62" s="1">
        <v>29</v>
      </c>
      <c r="K62" s="1">
        <v>24</v>
      </c>
      <c r="L62" s="1"/>
      <c r="M62" s="1"/>
      <c r="N62" s="1">
        <v>86</v>
      </c>
      <c r="O62" s="1"/>
      <c r="P62" s="1">
        <v>3</v>
      </c>
      <c r="Q62" s="1">
        <v>1622</v>
      </c>
      <c r="R62" s="1"/>
      <c r="S62" s="1">
        <v>77</v>
      </c>
      <c r="T62" s="1">
        <v>809</v>
      </c>
      <c r="U62" s="1">
        <v>679</v>
      </c>
      <c r="V62" s="1">
        <v>26</v>
      </c>
      <c r="W62" s="1">
        <v>928</v>
      </c>
      <c r="X62" s="1">
        <v>781</v>
      </c>
      <c r="Y62" s="1">
        <v>44</v>
      </c>
      <c r="Z62" s="1">
        <v>81</v>
      </c>
      <c r="AA62" s="1"/>
      <c r="AB62" s="1">
        <v>1</v>
      </c>
      <c r="AC62" s="1">
        <v>4670</v>
      </c>
      <c r="AD62" s="1">
        <v>581</v>
      </c>
      <c r="AE62" s="1">
        <v>222</v>
      </c>
      <c r="AF62" s="1">
        <v>115</v>
      </c>
      <c r="AG62" s="1"/>
      <c r="AH62" s="1">
        <v>6</v>
      </c>
      <c r="AI62" s="1">
        <v>787</v>
      </c>
      <c r="AJ62" s="1"/>
      <c r="AK62" s="1">
        <v>43</v>
      </c>
      <c r="AL62" s="1">
        <v>195</v>
      </c>
      <c r="AM62" s="1"/>
      <c r="AN62" s="1">
        <v>6</v>
      </c>
      <c r="AO62" s="1">
        <v>643</v>
      </c>
      <c r="AP62" s="1"/>
      <c r="AQ62" s="1">
        <v>15</v>
      </c>
      <c r="AR62" s="1">
        <v>656</v>
      </c>
      <c r="AS62" s="1"/>
      <c r="AT62" s="1">
        <v>63</v>
      </c>
      <c r="AU62" s="1">
        <v>108</v>
      </c>
      <c r="AV62" s="1"/>
      <c r="AW62" s="1">
        <v>3</v>
      </c>
      <c r="AX62" s="1">
        <v>67</v>
      </c>
      <c r="AY62" s="1"/>
      <c r="AZ62" s="1">
        <v>0</v>
      </c>
      <c r="BA62" s="1">
        <v>718</v>
      </c>
      <c r="BB62" s="1">
        <v>159</v>
      </c>
      <c r="BC62" s="1">
        <v>29</v>
      </c>
      <c r="BD62" s="1">
        <v>63</v>
      </c>
      <c r="BE62" s="1"/>
      <c r="BF62" s="1">
        <v>2</v>
      </c>
      <c r="BG62" s="1">
        <v>276</v>
      </c>
      <c r="BH62" s="1">
        <v>192</v>
      </c>
      <c r="BI62" s="1">
        <v>16</v>
      </c>
      <c r="BJ62" s="1">
        <v>339</v>
      </c>
      <c r="BK62" s="1"/>
      <c r="BL62" s="1">
        <v>13</v>
      </c>
      <c r="BM62" s="1">
        <v>3065</v>
      </c>
      <c r="BN62" s="1">
        <v>639</v>
      </c>
      <c r="BO62" s="1">
        <v>291</v>
      </c>
      <c r="BP62" s="1">
        <v>78</v>
      </c>
      <c r="BQ62" s="1">
        <v>69</v>
      </c>
      <c r="BR62" s="1">
        <v>5</v>
      </c>
      <c r="BS62" s="1">
        <v>5125</v>
      </c>
      <c r="BT62" s="1"/>
      <c r="BU62" s="1">
        <v>334</v>
      </c>
      <c r="BV62" s="1">
        <v>1798</v>
      </c>
      <c r="BW62" s="1">
        <v>210</v>
      </c>
      <c r="BX62" s="1">
        <v>115</v>
      </c>
      <c r="BY62" s="1">
        <v>176</v>
      </c>
      <c r="BZ62" s="1">
        <v>99</v>
      </c>
      <c r="CA62" s="1">
        <v>8</v>
      </c>
      <c r="CB62" s="1">
        <v>3280</v>
      </c>
      <c r="CC62" s="1"/>
      <c r="CD62" s="1">
        <v>109</v>
      </c>
      <c r="CE62" s="1"/>
      <c r="CF62" s="1"/>
      <c r="CG62" s="1"/>
      <c r="CH62" s="1">
        <v>28080</v>
      </c>
      <c r="CI62" s="1">
        <v>4204</v>
      </c>
      <c r="CJ62" s="1">
        <v>1545</v>
      </c>
    </row>
    <row r="63" spans="1:88">
      <c r="A63" s="49">
        <v>43943</v>
      </c>
      <c r="B63" s="1">
        <v>1006</v>
      </c>
      <c r="C63" s="1">
        <v>116</v>
      </c>
      <c r="D63" s="1">
        <v>76</v>
      </c>
      <c r="E63" s="1">
        <v>368</v>
      </c>
      <c r="F63" s="1"/>
      <c r="G63" s="1">
        <v>11</v>
      </c>
      <c r="H63" s="1">
        <v>1026</v>
      </c>
      <c r="I63" s="1">
        <v>710</v>
      </c>
      <c r="J63" s="1">
        <v>31</v>
      </c>
      <c r="K63" s="1">
        <v>24</v>
      </c>
      <c r="L63" s="1"/>
      <c r="M63" s="1"/>
      <c r="N63" s="1">
        <v>87</v>
      </c>
      <c r="O63" s="1"/>
      <c r="P63" s="1">
        <v>3</v>
      </c>
      <c r="Q63" s="1">
        <v>1643</v>
      </c>
      <c r="R63" s="1"/>
      <c r="S63" s="1">
        <v>77</v>
      </c>
      <c r="T63" s="1">
        <v>811</v>
      </c>
      <c r="U63" s="1">
        <v>683</v>
      </c>
      <c r="V63" s="1">
        <v>26</v>
      </c>
      <c r="W63" s="1">
        <v>928</v>
      </c>
      <c r="X63" s="1">
        <v>786</v>
      </c>
      <c r="Y63" s="1">
        <v>45</v>
      </c>
      <c r="Z63" s="1">
        <v>81</v>
      </c>
      <c r="AA63" s="1"/>
      <c r="AB63" s="1">
        <v>1</v>
      </c>
      <c r="AC63" s="1">
        <v>4691</v>
      </c>
      <c r="AD63" s="1">
        <v>589</v>
      </c>
      <c r="AE63" s="1">
        <v>227</v>
      </c>
      <c r="AF63" s="1">
        <v>117</v>
      </c>
      <c r="AG63" s="1"/>
      <c r="AH63" s="1">
        <v>6</v>
      </c>
      <c r="AI63" s="1">
        <v>791</v>
      </c>
      <c r="AJ63" s="1"/>
      <c r="AK63" s="1">
        <v>43</v>
      </c>
      <c r="AL63" s="1">
        <v>196</v>
      </c>
      <c r="AM63" s="1"/>
      <c r="AN63" s="1">
        <v>6</v>
      </c>
      <c r="AO63" s="1">
        <v>648</v>
      </c>
      <c r="AP63" s="1"/>
      <c r="AQ63" s="1">
        <v>15</v>
      </c>
      <c r="AR63" s="1">
        <v>663</v>
      </c>
      <c r="AS63" s="1"/>
      <c r="AT63" s="1">
        <v>65</v>
      </c>
      <c r="AU63" s="1">
        <v>108</v>
      </c>
      <c r="AV63" s="1"/>
      <c r="AW63" s="1">
        <v>3</v>
      </c>
      <c r="AX63" s="1">
        <v>67</v>
      </c>
      <c r="AY63" s="1"/>
      <c r="AZ63" s="1">
        <v>0</v>
      </c>
      <c r="BA63" s="1">
        <v>724</v>
      </c>
      <c r="BB63" s="1">
        <v>162</v>
      </c>
      <c r="BC63" s="1">
        <v>29</v>
      </c>
      <c r="BD63" s="1">
        <v>63</v>
      </c>
      <c r="BE63" s="1"/>
      <c r="BF63" s="1">
        <v>3</v>
      </c>
      <c r="BG63" s="1">
        <v>282</v>
      </c>
      <c r="BH63" s="1">
        <v>194</v>
      </c>
      <c r="BI63" s="1">
        <v>16</v>
      </c>
      <c r="BJ63" s="1">
        <v>340</v>
      </c>
      <c r="BK63" s="1"/>
      <c r="BL63" s="1">
        <v>14</v>
      </c>
      <c r="BM63" s="1">
        <v>3089</v>
      </c>
      <c r="BN63" s="1">
        <v>661</v>
      </c>
      <c r="BO63" s="1">
        <v>295</v>
      </c>
      <c r="BP63" s="1">
        <v>78</v>
      </c>
      <c r="BQ63" s="1">
        <v>69</v>
      </c>
      <c r="BR63" s="1">
        <v>5</v>
      </c>
      <c r="BS63" s="1">
        <v>5146</v>
      </c>
      <c r="BT63" s="1"/>
      <c r="BU63" s="1">
        <v>338</v>
      </c>
      <c r="BV63" s="1">
        <v>1804</v>
      </c>
      <c r="BW63" s="1">
        <v>210</v>
      </c>
      <c r="BX63" s="1">
        <v>118</v>
      </c>
      <c r="BY63" s="1">
        <v>176</v>
      </c>
      <c r="BZ63" s="1">
        <v>131</v>
      </c>
      <c r="CA63" s="1">
        <v>8</v>
      </c>
      <c r="CB63" s="1">
        <v>3320</v>
      </c>
      <c r="CC63" s="1"/>
      <c r="CD63" s="1">
        <v>110</v>
      </c>
      <c r="CE63" s="1"/>
      <c r="CF63" s="1"/>
      <c r="CG63" s="1"/>
      <c r="CH63" s="1">
        <v>28277</v>
      </c>
      <c r="CI63" s="1">
        <v>4311</v>
      </c>
      <c r="CJ63" s="1">
        <v>1571</v>
      </c>
    </row>
    <row r="64" spans="1:88">
      <c r="A64" s="49">
        <v>43944</v>
      </c>
      <c r="B64" s="1">
        <v>1014</v>
      </c>
      <c r="C64" s="1">
        <v>118</v>
      </c>
      <c r="D64" s="1">
        <v>76</v>
      </c>
      <c r="E64" s="1">
        <v>375</v>
      </c>
      <c r="F64" s="1"/>
      <c r="G64" s="1">
        <v>12</v>
      </c>
      <c r="H64" s="1">
        <v>1037</v>
      </c>
      <c r="I64" s="1">
        <v>750</v>
      </c>
      <c r="J64" s="1">
        <v>31</v>
      </c>
      <c r="K64" s="1">
        <v>25</v>
      </c>
      <c r="L64" s="1"/>
      <c r="M64" s="1"/>
      <c r="N64" s="1">
        <v>88</v>
      </c>
      <c r="O64" s="1"/>
      <c r="P64" s="1">
        <v>3</v>
      </c>
      <c r="Q64" s="1">
        <v>1670</v>
      </c>
      <c r="R64" s="1"/>
      <c r="S64" s="1">
        <v>79</v>
      </c>
      <c r="T64" s="1">
        <v>811</v>
      </c>
      <c r="U64" s="1">
        <v>692</v>
      </c>
      <c r="V64" s="1">
        <v>26</v>
      </c>
      <c r="W64" s="1">
        <v>931</v>
      </c>
      <c r="X64" s="1">
        <v>793</v>
      </c>
      <c r="Y64" s="1">
        <v>45</v>
      </c>
      <c r="Z64" s="1">
        <v>81</v>
      </c>
      <c r="AA64" s="1"/>
      <c r="AB64" s="1">
        <v>1</v>
      </c>
      <c r="AC64" s="1">
        <v>4721</v>
      </c>
      <c r="AD64" s="1">
        <v>592</v>
      </c>
      <c r="AE64" s="1">
        <v>231</v>
      </c>
      <c r="AF64" s="1">
        <v>117</v>
      </c>
      <c r="AG64" s="1"/>
      <c r="AH64" s="1">
        <v>6</v>
      </c>
      <c r="AI64" s="1">
        <v>794</v>
      </c>
      <c r="AJ64" s="1"/>
      <c r="AK64" s="1">
        <v>43</v>
      </c>
      <c r="AL64" s="1">
        <v>196</v>
      </c>
      <c r="AM64" s="1"/>
      <c r="AN64" s="1">
        <v>6</v>
      </c>
      <c r="AO64" s="1">
        <v>654</v>
      </c>
      <c r="AP64" s="1"/>
      <c r="AQ64" s="1">
        <v>15</v>
      </c>
      <c r="AR64" s="1">
        <v>670</v>
      </c>
      <c r="AS64" s="1"/>
      <c r="AT64" s="1"/>
      <c r="AU64" s="1">
        <v>108</v>
      </c>
      <c r="AV64" s="1"/>
      <c r="AW64" s="1">
        <v>3</v>
      </c>
      <c r="AX64" s="1">
        <v>68</v>
      </c>
      <c r="AY64" s="1"/>
      <c r="AZ64" s="1">
        <v>0</v>
      </c>
      <c r="BA64" s="1">
        <v>736</v>
      </c>
      <c r="BB64" s="1">
        <v>170</v>
      </c>
      <c r="BC64" s="1">
        <v>31</v>
      </c>
      <c r="BD64" s="1">
        <v>65</v>
      </c>
      <c r="BE64" s="1"/>
      <c r="BF64" s="1">
        <v>3</v>
      </c>
      <c r="BG64" s="1">
        <v>282</v>
      </c>
      <c r="BH64" s="1">
        <v>198</v>
      </c>
      <c r="BI64" s="1">
        <v>16</v>
      </c>
      <c r="BJ64" s="1">
        <v>353</v>
      </c>
      <c r="BK64" s="1"/>
      <c r="BL64" s="1">
        <v>14</v>
      </c>
      <c r="BM64" s="1">
        <v>3106</v>
      </c>
      <c r="BN64" s="1">
        <v>676</v>
      </c>
      <c r="BO64" s="1">
        <v>298</v>
      </c>
      <c r="BP64" s="1">
        <v>78</v>
      </c>
      <c r="BQ64" s="1">
        <v>69</v>
      </c>
      <c r="BR64" s="1">
        <v>5</v>
      </c>
      <c r="BS64" s="1">
        <v>5180</v>
      </c>
      <c r="BT64" s="1"/>
      <c r="BU64" s="1">
        <v>347</v>
      </c>
      <c r="BV64" s="1">
        <v>1820</v>
      </c>
      <c r="BW64" s="1">
        <v>211</v>
      </c>
      <c r="BX64" s="1">
        <v>123</v>
      </c>
      <c r="BY64" s="1">
        <v>178</v>
      </c>
      <c r="BZ64" s="1">
        <v>133</v>
      </c>
      <c r="CA64" s="1">
        <v>8</v>
      </c>
      <c r="CB64" s="1">
        <v>3337</v>
      </c>
      <c r="CC64" s="1"/>
      <c r="CD64" s="1">
        <v>113</v>
      </c>
      <c r="CE64" s="1"/>
      <c r="CF64" s="1"/>
      <c r="CG64" s="1"/>
      <c r="CH64" s="1">
        <v>28495</v>
      </c>
      <c r="CI64" s="1">
        <v>4402</v>
      </c>
      <c r="CJ64" s="1">
        <v>1535</v>
      </c>
    </row>
    <row r="65" spans="1:88">
      <c r="A65" s="49">
        <v>43945</v>
      </c>
      <c r="B65" s="1">
        <v>1021</v>
      </c>
      <c r="C65" s="1">
        <v>119</v>
      </c>
      <c r="D65" s="1">
        <v>76</v>
      </c>
      <c r="E65" s="1">
        <v>376</v>
      </c>
      <c r="F65" s="1"/>
      <c r="G65" s="1">
        <v>14</v>
      </c>
      <c r="H65" s="1">
        <v>1052</v>
      </c>
      <c r="I65" s="1">
        <v>780</v>
      </c>
      <c r="J65" s="1">
        <v>31</v>
      </c>
      <c r="K65" s="1">
        <v>25</v>
      </c>
      <c r="L65" s="1"/>
      <c r="M65" s="1"/>
      <c r="N65" s="1">
        <v>88</v>
      </c>
      <c r="O65" s="1"/>
      <c r="P65" s="1">
        <v>3</v>
      </c>
      <c r="Q65" s="1">
        <v>1694</v>
      </c>
      <c r="R65" s="1"/>
      <c r="S65" s="1">
        <v>82</v>
      </c>
      <c r="T65" s="1">
        <v>813</v>
      </c>
      <c r="U65" s="1">
        <v>698</v>
      </c>
      <c r="V65" s="1">
        <v>30</v>
      </c>
      <c r="W65" s="1">
        <v>936</v>
      </c>
      <c r="X65" s="1">
        <v>800</v>
      </c>
      <c r="Y65" s="1">
        <v>46</v>
      </c>
      <c r="Z65" s="1">
        <v>82</v>
      </c>
      <c r="AA65" s="1"/>
      <c r="AB65" s="1">
        <v>1</v>
      </c>
      <c r="AC65" s="1">
        <v>4741</v>
      </c>
      <c r="AD65" s="1">
        <v>600</v>
      </c>
      <c r="AE65" s="1">
        <v>236</v>
      </c>
      <c r="AF65" s="1">
        <v>117</v>
      </c>
      <c r="AG65" s="1"/>
      <c r="AH65" s="1">
        <v>7</v>
      </c>
      <c r="AI65" s="1">
        <v>799</v>
      </c>
      <c r="AJ65" s="1"/>
      <c r="AK65" s="1">
        <v>44</v>
      </c>
      <c r="AL65" s="1">
        <v>196</v>
      </c>
      <c r="AM65" s="1"/>
      <c r="AN65" s="1">
        <v>6</v>
      </c>
      <c r="AO65" s="1">
        <v>660</v>
      </c>
      <c r="AP65" s="1"/>
      <c r="AQ65" s="1">
        <v>16</v>
      </c>
      <c r="AR65" s="1">
        <v>673</v>
      </c>
      <c r="AS65" s="1"/>
      <c r="AT65" s="1"/>
      <c r="AU65" s="1">
        <v>108</v>
      </c>
      <c r="AV65" s="1"/>
      <c r="AW65" s="1">
        <v>3</v>
      </c>
      <c r="AX65" s="1">
        <v>71</v>
      </c>
      <c r="AY65" s="1"/>
      <c r="AZ65" s="1">
        <v>0</v>
      </c>
      <c r="BA65" s="1">
        <v>745</v>
      </c>
      <c r="BB65" s="1">
        <v>175</v>
      </c>
      <c r="BC65" s="1">
        <v>31</v>
      </c>
      <c r="BD65" s="1">
        <v>70</v>
      </c>
      <c r="BE65" s="1"/>
      <c r="BF65" s="1">
        <v>3</v>
      </c>
      <c r="BG65" s="1">
        <v>284</v>
      </c>
      <c r="BH65" s="1">
        <v>206</v>
      </c>
      <c r="BI65" s="1">
        <v>16</v>
      </c>
      <c r="BJ65" s="1">
        <v>358</v>
      </c>
      <c r="BK65" s="1"/>
      <c r="BL65" s="1">
        <v>14</v>
      </c>
      <c r="BM65" s="1">
        <v>3121</v>
      </c>
      <c r="BN65" s="1">
        <v>682</v>
      </c>
      <c r="BO65" s="1">
        <v>299</v>
      </c>
      <c r="BP65" s="1">
        <v>78</v>
      </c>
      <c r="BQ65" s="1">
        <v>69</v>
      </c>
      <c r="BR65" s="1">
        <v>5</v>
      </c>
      <c r="BS65" s="1">
        <v>5201</v>
      </c>
      <c r="BT65" s="1"/>
      <c r="BU65" s="1">
        <v>349</v>
      </c>
      <c r="BV65" s="1">
        <v>1829</v>
      </c>
      <c r="BW65" s="1">
        <v>218</v>
      </c>
      <c r="BX65" s="1">
        <v>127</v>
      </c>
      <c r="BY65" s="1">
        <v>180</v>
      </c>
      <c r="BZ65" s="1">
        <v>133</v>
      </c>
      <c r="CA65" s="1">
        <v>8</v>
      </c>
      <c r="CB65" s="1">
        <v>3366</v>
      </c>
      <c r="CC65" s="1"/>
      <c r="CD65" s="1">
        <v>114</v>
      </c>
      <c r="CE65" s="1"/>
      <c r="CF65" s="1"/>
      <c r="CG65" s="1"/>
      <c r="CH65" s="1">
        <v>28684</v>
      </c>
      <c r="CI65" s="1">
        <v>4480</v>
      </c>
      <c r="CJ65" s="1">
        <v>1561</v>
      </c>
    </row>
    <row r="66" spans="1:88">
      <c r="A66" s="49">
        <v>43946</v>
      </c>
      <c r="B66" s="1">
        <v>1029</v>
      </c>
      <c r="C66" s="1">
        <v>119</v>
      </c>
      <c r="D66" s="1">
        <v>76</v>
      </c>
      <c r="E66" s="1">
        <v>379</v>
      </c>
      <c r="F66" s="1"/>
      <c r="G66" s="1">
        <v>14</v>
      </c>
      <c r="H66" s="1"/>
      <c r="I66" s="1"/>
      <c r="J66" s="1"/>
      <c r="K66" s="1">
        <v>25</v>
      </c>
      <c r="L66" s="1"/>
      <c r="M66" s="1"/>
      <c r="N66" s="1"/>
      <c r="O66" s="1"/>
      <c r="P66" s="1"/>
      <c r="Q66" s="1">
        <v>1708</v>
      </c>
      <c r="R66" s="1"/>
      <c r="S66" s="1">
        <v>83</v>
      </c>
      <c r="T66" s="1">
        <v>816</v>
      </c>
      <c r="U66" s="1">
        <v>710</v>
      </c>
      <c r="V66" s="1">
        <v>30</v>
      </c>
      <c r="W66" s="1">
        <v>938</v>
      </c>
      <c r="X66" s="1"/>
      <c r="Y66" s="1">
        <v>46</v>
      </c>
      <c r="Z66" s="1">
        <v>82</v>
      </c>
      <c r="AA66" s="1"/>
      <c r="AB66" s="1">
        <v>1</v>
      </c>
      <c r="AC66" s="1">
        <v>4754</v>
      </c>
      <c r="AD66" s="1"/>
      <c r="AE66" s="1">
        <v>237</v>
      </c>
      <c r="AF66" s="1">
        <v>120</v>
      </c>
      <c r="AG66" s="1"/>
      <c r="AH66" s="1">
        <v>7</v>
      </c>
      <c r="AI66" s="1">
        <v>800</v>
      </c>
      <c r="AJ66" s="1"/>
      <c r="AK66" s="1">
        <v>44</v>
      </c>
      <c r="AL66" s="1">
        <v>196</v>
      </c>
      <c r="AM66" s="1"/>
      <c r="AN66" s="1">
        <v>6</v>
      </c>
      <c r="AO66" s="1">
        <v>667</v>
      </c>
      <c r="AP66" s="1"/>
      <c r="AQ66" s="1">
        <v>16</v>
      </c>
      <c r="AR66" s="1">
        <v>674</v>
      </c>
      <c r="AS66" s="1"/>
      <c r="AT66" s="1"/>
      <c r="AU66" s="1">
        <v>108</v>
      </c>
      <c r="AV66" s="1"/>
      <c r="AW66" s="1">
        <v>3</v>
      </c>
      <c r="AX66" s="1"/>
      <c r="AY66" s="1"/>
      <c r="AZ66" s="1"/>
      <c r="BA66" s="1">
        <v>753</v>
      </c>
      <c r="BB66" s="1"/>
      <c r="BC66" s="1">
        <v>31</v>
      </c>
      <c r="BD66" s="1">
        <v>71</v>
      </c>
      <c r="BE66" s="1"/>
      <c r="BF66" s="1">
        <v>5</v>
      </c>
      <c r="BG66" s="1">
        <v>287</v>
      </c>
      <c r="BH66" s="1">
        <v>215</v>
      </c>
      <c r="BI66" s="1">
        <v>17</v>
      </c>
      <c r="BJ66" s="1">
        <v>359</v>
      </c>
      <c r="BK66" s="1"/>
      <c r="BL66" s="1">
        <v>14</v>
      </c>
      <c r="BM66" s="1">
        <v>3142</v>
      </c>
      <c r="BN66" s="1">
        <v>698</v>
      </c>
      <c r="BO66" s="1">
        <v>304</v>
      </c>
      <c r="BP66" s="1">
        <v>78</v>
      </c>
      <c r="BQ66" s="1">
        <v>69</v>
      </c>
      <c r="BR66" s="1">
        <v>5</v>
      </c>
      <c r="BS66" s="1">
        <v>5212</v>
      </c>
      <c r="BT66" s="1"/>
      <c r="BU66" s="1">
        <v>354</v>
      </c>
      <c r="BV66" s="1">
        <v>1834</v>
      </c>
      <c r="BW66" s="1">
        <v>218</v>
      </c>
      <c r="BX66" s="1">
        <v>129</v>
      </c>
      <c r="BY66" s="1">
        <v>181</v>
      </c>
      <c r="BZ66" s="1">
        <v>133</v>
      </c>
      <c r="CA66" s="1">
        <v>8</v>
      </c>
      <c r="CB66" s="1">
        <v>3397</v>
      </c>
      <c r="CC66" s="1"/>
      <c r="CD66" s="1">
        <v>115</v>
      </c>
      <c r="CE66" s="1"/>
      <c r="CF66" s="1"/>
      <c r="CG66" s="1"/>
      <c r="CH66" s="1">
        <v>27610</v>
      </c>
      <c r="CI66" s="1">
        <v>2162</v>
      </c>
      <c r="CJ66" s="1">
        <v>1545</v>
      </c>
    </row>
    <row r="67" spans="1:88">
      <c r="A67" s="49">
        <v>43947</v>
      </c>
      <c r="B67" s="1">
        <v>1033</v>
      </c>
      <c r="C67" s="1">
        <v>120</v>
      </c>
      <c r="D67" s="1">
        <v>77</v>
      </c>
      <c r="E67" s="1">
        <v>380</v>
      </c>
      <c r="F67" s="1"/>
      <c r="G67" s="1">
        <v>15</v>
      </c>
      <c r="H67" s="1"/>
      <c r="I67" s="1"/>
      <c r="J67" s="1"/>
      <c r="K67" s="1"/>
      <c r="L67" s="1"/>
      <c r="M67" s="1"/>
      <c r="N67" s="1"/>
      <c r="O67" s="1"/>
      <c r="P67" s="1"/>
      <c r="Q67" s="1">
        <v>1714</v>
      </c>
      <c r="R67" s="1"/>
      <c r="S67" s="1">
        <v>83</v>
      </c>
      <c r="T67" s="1">
        <v>816</v>
      </c>
      <c r="U67" s="1">
        <v>724</v>
      </c>
      <c r="V67" s="1">
        <v>30</v>
      </c>
      <c r="W67" s="1">
        <v>940</v>
      </c>
      <c r="X67" s="1"/>
      <c r="Y67" s="1">
        <v>46</v>
      </c>
      <c r="Z67" s="1">
        <v>82</v>
      </c>
      <c r="AA67" s="1"/>
      <c r="AB67" s="1">
        <v>1</v>
      </c>
      <c r="AC67" s="1">
        <v>4760</v>
      </c>
      <c r="AD67" s="1">
        <v>610</v>
      </c>
      <c r="AE67" s="1">
        <v>239</v>
      </c>
      <c r="AF67" s="1">
        <v>120</v>
      </c>
      <c r="AG67" s="1"/>
      <c r="AH67" s="1">
        <v>7</v>
      </c>
      <c r="AI67" s="1">
        <v>802</v>
      </c>
      <c r="AJ67" s="1"/>
      <c r="AK67" s="1">
        <v>44</v>
      </c>
      <c r="AL67" s="1">
        <v>196</v>
      </c>
      <c r="AM67" s="1"/>
      <c r="AN67" s="1">
        <v>6</v>
      </c>
      <c r="AO67" s="1">
        <v>670</v>
      </c>
      <c r="AP67" s="1"/>
      <c r="AQ67" s="1">
        <v>16</v>
      </c>
      <c r="AR67" s="1"/>
      <c r="AS67" s="1"/>
      <c r="AT67" s="1"/>
      <c r="AU67" s="1">
        <v>110</v>
      </c>
      <c r="AV67" s="1"/>
      <c r="AW67" s="1">
        <v>3</v>
      </c>
      <c r="AX67" s="1"/>
      <c r="AY67" s="1"/>
      <c r="AZ67" s="1"/>
      <c r="BA67" s="1">
        <v>761</v>
      </c>
      <c r="BB67" s="1">
        <v>176</v>
      </c>
      <c r="BC67" s="1">
        <v>31</v>
      </c>
      <c r="BD67" s="1">
        <v>72</v>
      </c>
      <c r="BE67" s="1"/>
      <c r="BF67" s="1">
        <v>5</v>
      </c>
      <c r="BG67" s="1">
        <v>293</v>
      </c>
      <c r="BH67" s="1">
        <v>216</v>
      </c>
      <c r="BI67" s="1">
        <v>18</v>
      </c>
      <c r="BJ67" s="1">
        <v>360</v>
      </c>
      <c r="BK67" s="1"/>
      <c r="BL67" s="1">
        <v>16</v>
      </c>
      <c r="BM67" s="1">
        <v>3161</v>
      </c>
      <c r="BN67" s="1">
        <v>704</v>
      </c>
      <c r="BO67" s="1">
        <v>306</v>
      </c>
      <c r="BP67" s="1">
        <v>80</v>
      </c>
      <c r="BQ67" s="1">
        <v>69</v>
      </c>
      <c r="BR67" s="1">
        <v>5</v>
      </c>
      <c r="BS67" s="1">
        <v>5212</v>
      </c>
      <c r="BT67" s="1"/>
      <c r="BU67" s="1">
        <v>355</v>
      </c>
      <c r="BV67" s="1">
        <v>1836</v>
      </c>
      <c r="BW67" s="1">
        <v>218</v>
      </c>
      <c r="BX67" s="1">
        <v>131</v>
      </c>
      <c r="BY67" s="1">
        <v>181</v>
      </c>
      <c r="BZ67" s="1">
        <v>133</v>
      </c>
      <c r="CA67" s="1">
        <v>8</v>
      </c>
      <c r="CB67" s="1">
        <v>3400</v>
      </c>
      <c r="CC67" s="1"/>
      <c r="CD67" s="1">
        <v>115</v>
      </c>
      <c r="CE67" s="1"/>
      <c r="CF67" s="1"/>
      <c r="CG67" s="1"/>
      <c r="CH67" s="1">
        <v>26979</v>
      </c>
      <c r="CI67" s="1">
        <v>2970</v>
      </c>
      <c r="CJ67" s="1">
        <v>1557</v>
      </c>
    </row>
    <row r="68" spans="1:88">
      <c r="A68" s="49">
        <v>43948</v>
      </c>
      <c r="B68" s="1">
        <v>1040</v>
      </c>
      <c r="C68" s="1">
        <v>120</v>
      </c>
      <c r="D68" s="1">
        <v>78</v>
      </c>
      <c r="E68" s="1">
        <v>382</v>
      </c>
      <c r="F68" s="1"/>
      <c r="G68" s="1">
        <v>15</v>
      </c>
      <c r="H68" s="1">
        <v>1088</v>
      </c>
      <c r="I68" s="1">
        <v>830</v>
      </c>
      <c r="J68" s="1">
        <v>33</v>
      </c>
      <c r="K68" s="1">
        <v>25</v>
      </c>
      <c r="L68" s="1"/>
      <c r="M68" s="1"/>
      <c r="N68" s="1">
        <v>94</v>
      </c>
      <c r="O68" s="1"/>
      <c r="P68" s="1">
        <v>3</v>
      </c>
      <c r="Q68" s="1">
        <v>1722</v>
      </c>
      <c r="R68" s="1"/>
      <c r="S68" s="1">
        <v>83</v>
      </c>
      <c r="T68" s="1">
        <v>816</v>
      </c>
      <c r="U68" s="1">
        <v>738</v>
      </c>
      <c r="V68" s="1">
        <v>30</v>
      </c>
      <c r="W68" s="1">
        <v>941</v>
      </c>
      <c r="X68" s="1">
        <v>815</v>
      </c>
      <c r="Y68" s="1">
        <v>46</v>
      </c>
      <c r="Z68" s="1">
        <v>82</v>
      </c>
      <c r="AA68" s="1"/>
      <c r="AB68" s="1"/>
      <c r="AC68" s="1"/>
      <c r="AD68" s="1">
        <v>610</v>
      </c>
      <c r="AE68" s="1"/>
      <c r="AF68" s="1">
        <v>121</v>
      </c>
      <c r="AG68" s="1"/>
      <c r="AH68" s="1">
        <v>7</v>
      </c>
      <c r="AI68" s="1">
        <v>806</v>
      </c>
      <c r="AJ68" s="1"/>
      <c r="AK68" s="1">
        <v>44</v>
      </c>
      <c r="AL68" s="1">
        <v>196</v>
      </c>
      <c r="AM68" s="1"/>
      <c r="AN68" s="1">
        <v>7</v>
      </c>
      <c r="AO68" s="1">
        <v>674</v>
      </c>
      <c r="AP68" s="1"/>
      <c r="AQ68" s="1">
        <v>16</v>
      </c>
      <c r="AR68" s="1"/>
      <c r="AS68" s="1"/>
      <c r="AT68" s="1"/>
      <c r="AU68" s="1">
        <v>110</v>
      </c>
      <c r="AV68" s="1"/>
      <c r="AW68" s="1">
        <v>3</v>
      </c>
      <c r="AX68" s="1">
        <v>75</v>
      </c>
      <c r="AY68" s="1"/>
      <c r="AZ68" s="1">
        <v>0</v>
      </c>
      <c r="BA68" s="1">
        <v>767</v>
      </c>
      <c r="BB68" s="1">
        <v>176</v>
      </c>
      <c r="BC68" s="1">
        <v>31</v>
      </c>
      <c r="BD68" s="1">
        <v>73</v>
      </c>
      <c r="BE68" s="1"/>
      <c r="BF68" s="1">
        <v>5</v>
      </c>
      <c r="BG68" s="1">
        <v>293</v>
      </c>
      <c r="BH68" s="1">
        <v>216</v>
      </c>
      <c r="BI68" s="1">
        <v>18</v>
      </c>
      <c r="BJ68" s="1">
        <v>360</v>
      </c>
      <c r="BK68" s="1"/>
      <c r="BL68" s="1">
        <v>17</v>
      </c>
      <c r="BM68" s="1">
        <v>3169</v>
      </c>
      <c r="BN68" s="1">
        <v>709</v>
      </c>
      <c r="BO68" s="1">
        <v>311</v>
      </c>
      <c r="BP68" s="1">
        <v>83</v>
      </c>
      <c r="BQ68" s="1">
        <v>69</v>
      </c>
      <c r="BR68" s="1">
        <v>5</v>
      </c>
      <c r="BS68" s="1"/>
      <c r="BT68" s="1"/>
      <c r="BU68" s="1"/>
      <c r="BV68" s="1">
        <v>1836</v>
      </c>
      <c r="BW68" s="1">
        <v>220</v>
      </c>
      <c r="BX68" s="1">
        <v>132</v>
      </c>
      <c r="BY68" s="1">
        <v>185</v>
      </c>
      <c r="BZ68" s="1">
        <v>134</v>
      </c>
      <c r="CA68" s="1">
        <v>8</v>
      </c>
      <c r="CB68" s="1">
        <v>3418</v>
      </c>
      <c r="CC68" s="1"/>
      <c r="CD68" s="1">
        <v>115</v>
      </c>
      <c r="CE68" s="1"/>
      <c r="CF68" s="1"/>
      <c r="CG68" s="1"/>
      <c r="CH68" s="1">
        <v>18356</v>
      </c>
      <c r="CI68" s="1">
        <v>4637</v>
      </c>
      <c r="CJ68" s="1">
        <v>1007</v>
      </c>
    </row>
    <row r="69" spans="1:88">
      <c r="A69" s="49">
        <v>43949</v>
      </c>
      <c r="B69" s="1">
        <v>1044</v>
      </c>
      <c r="C69" s="1">
        <v>121</v>
      </c>
      <c r="D69" s="1">
        <v>78</v>
      </c>
      <c r="E69" s="1">
        <v>383</v>
      </c>
      <c r="F69" s="1"/>
      <c r="G69" s="1">
        <v>15</v>
      </c>
      <c r="H69" s="1"/>
      <c r="I69" s="1"/>
      <c r="J69" s="1"/>
      <c r="K69" s="1"/>
      <c r="L69" s="1"/>
      <c r="M69" s="1"/>
      <c r="N69" s="1">
        <v>94</v>
      </c>
      <c r="O69" s="1"/>
      <c r="P69" s="1">
        <v>3</v>
      </c>
      <c r="Q69" s="1">
        <v>1733</v>
      </c>
      <c r="R69" s="1"/>
      <c r="S69" s="1">
        <v>83</v>
      </c>
      <c r="T69" s="1"/>
      <c r="U69" s="1"/>
      <c r="V69" s="1"/>
      <c r="W69" s="1">
        <v>943</v>
      </c>
      <c r="X69" s="1">
        <v>821</v>
      </c>
      <c r="Y69" s="1">
        <v>49</v>
      </c>
      <c r="Z69" s="1"/>
      <c r="AA69" s="1"/>
      <c r="AB69" s="1"/>
      <c r="AC69" s="1"/>
      <c r="AD69" s="1"/>
      <c r="AE69" s="1"/>
      <c r="AF69" s="1"/>
      <c r="AG69" s="1"/>
      <c r="AH69" s="1"/>
      <c r="AI69" s="1"/>
      <c r="AJ69" s="1"/>
      <c r="AK69" s="1"/>
      <c r="AL69" s="1"/>
      <c r="AM69" s="1"/>
      <c r="AN69" s="1"/>
      <c r="AO69" s="1">
        <v>677</v>
      </c>
      <c r="AP69" s="1"/>
      <c r="AQ69" s="1">
        <v>17</v>
      </c>
      <c r="AR69" s="1"/>
      <c r="AS69" s="1"/>
      <c r="AT69" s="1"/>
      <c r="AU69" s="1"/>
      <c r="AV69" s="1"/>
      <c r="AW69" s="1"/>
      <c r="AX69" s="1"/>
      <c r="AY69" s="1"/>
      <c r="AZ69" s="1"/>
      <c r="BA69" s="1">
        <v>775</v>
      </c>
      <c r="BB69" s="1">
        <v>176</v>
      </c>
      <c r="BC69" s="1">
        <v>33</v>
      </c>
      <c r="BD69" s="1">
        <v>74</v>
      </c>
      <c r="BE69" s="1"/>
      <c r="BF69" s="1">
        <v>6</v>
      </c>
      <c r="BG69" s="1"/>
      <c r="BH69" s="1"/>
      <c r="BI69" s="1"/>
      <c r="BJ69" s="1"/>
      <c r="BK69" s="1"/>
      <c r="BL69" s="1"/>
      <c r="BM69" s="1">
        <v>3176</v>
      </c>
      <c r="BN69" s="1">
        <v>709</v>
      </c>
      <c r="BO69" s="1">
        <v>316</v>
      </c>
      <c r="BP69" s="1"/>
      <c r="BQ69" s="1"/>
      <c r="BR69" s="1"/>
      <c r="BS69" s="1"/>
      <c r="BT69" s="1"/>
      <c r="BU69" s="1"/>
      <c r="BV69" s="1"/>
      <c r="BW69" s="1"/>
      <c r="BX69" s="1"/>
      <c r="BY69" s="1">
        <v>185</v>
      </c>
      <c r="BZ69" s="1">
        <v>134</v>
      </c>
      <c r="CA69" s="1">
        <v>8</v>
      </c>
      <c r="CB69" s="1"/>
      <c r="CC69" s="1"/>
      <c r="CD69" s="1"/>
      <c r="CE69" s="1"/>
      <c r="CF69" s="1"/>
      <c r="CG69" s="1"/>
      <c r="CH69" s="1">
        <v>9084</v>
      </c>
      <c r="CI69" s="1">
        <v>1961</v>
      </c>
      <c r="CJ69" s="1">
        <v>608</v>
      </c>
    </row>
    <row r="70" spans="1:88">
      <c r="A70" s="18" t="s">
        <v>405</v>
      </c>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row>
    <row r="71" spans="1:88">
      <c r="A71" s="18" t="s">
        <v>320</v>
      </c>
      <c r="B71" s="1">
        <v>28251</v>
      </c>
      <c r="C71" s="1">
        <v>2559</v>
      </c>
      <c r="D71" s="1">
        <v>1733</v>
      </c>
      <c r="E71" s="1">
        <v>10214</v>
      </c>
      <c r="F71" s="1"/>
      <c r="G71" s="1">
        <v>236</v>
      </c>
      <c r="H71" s="1">
        <v>23765</v>
      </c>
      <c r="I71" s="1">
        <v>7245</v>
      </c>
      <c r="J71" s="1">
        <v>522</v>
      </c>
      <c r="K71" s="1">
        <v>588</v>
      </c>
      <c r="L71" s="1"/>
      <c r="M71" s="1"/>
      <c r="N71" s="1">
        <v>2184</v>
      </c>
      <c r="O71" s="1"/>
      <c r="P71" s="1">
        <v>87</v>
      </c>
      <c r="Q71" s="1">
        <v>47980</v>
      </c>
      <c r="R71" s="1"/>
      <c r="S71" s="1">
        <v>1618</v>
      </c>
      <c r="T71" s="1">
        <v>25484</v>
      </c>
      <c r="U71" s="1">
        <v>15749</v>
      </c>
      <c r="V71" s="1">
        <v>700</v>
      </c>
      <c r="W71" s="1">
        <v>31165</v>
      </c>
      <c r="X71" s="1">
        <v>18358</v>
      </c>
      <c r="Y71" s="1">
        <v>1127</v>
      </c>
      <c r="Z71" s="1">
        <v>2549</v>
      </c>
      <c r="AA71" s="1">
        <v>7</v>
      </c>
      <c r="AB71" s="1">
        <v>19</v>
      </c>
      <c r="AC71" s="1">
        <v>137350</v>
      </c>
      <c r="AD71" s="1">
        <v>13145</v>
      </c>
      <c r="AE71" s="1">
        <v>4968</v>
      </c>
      <c r="AF71" s="1">
        <v>3041</v>
      </c>
      <c r="AG71" s="1"/>
      <c r="AH71" s="1">
        <v>99</v>
      </c>
      <c r="AI71" s="1">
        <v>25117</v>
      </c>
      <c r="AJ71" s="1"/>
      <c r="AK71" s="1">
        <v>1134</v>
      </c>
      <c r="AL71" s="1">
        <v>6246</v>
      </c>
      <c r="AM71" s="1"/>
      <c r="AN71" s="1">
        <v>83</v>
      </c>
      <c r="AO71" s="1">
        <v>19052</v>
      </c>
      <c r="AP71" s="1"/>
      <c r="AQ71" s="1">
        <v>368</v>
      </c>
      <c r="AR71" s="1">
        <v>18755</v>
      </c>
      <c r="AS71" s="1"/>
      <c r="AT71" s="1">
        <v>1148</v>
      </c>
      <c r="AU71" s="1">
        <v>3329</v>
      </c>
      <c r="AV71" s="1"/>
      <c r="AW71" s="1">
        <v>41</v>
      </c>
      <c r="AX71" s="1">
        <v>1309</v>
      </c>
      <c r="AY71" s="1">
        <v>1</v>
      </c>
      <c r="AZ71" s="1">
        <v>0</v>
      </c>
      <c r="BA71" s="1">
        <v>20618</v>
      </c>
      <c r="BB71" s="1">
        <v>3167</v>
      </c>
      <c r="BC71" s="1">
        <v>622</v>
      </c>
      <c r="BD71" s="1">
        <v>2076</v>
      </c>
      <c r="BE71" s="1"/>
      <c r="BF71" s="1">
        <v>53</v>
      </c>
      <c r="BG71" s="1">
        <v>7287</v>
      </c>
      <c r="BH71" s="1">
        <v>4070</v>
      </c>
      <c r="BI71" s="1">
        <v>319</v>
      </c>
      <c r="BJ71" s="1">
        <v>9059</v>
      </c>
      <c r="BK71" s="1"/>
      <c r="BL71" s="1">
        <v>287</v>
      </c>
      <c r="BM71" s="1">
        <v>99779</v>
      </c>
      <c r="BN71" s="1">
        <v>14768</v>
      </c>
      <c r="BO71" s="1">
        <v>7717</v>
      </c>
      <c r="BP71" s="1">
        <v>2362</v>
      </c>
      <c r="BQ71" s="1">
        <v>1439</v>
      </c>
      <c r="BR71" s="1">
        <v>102</v>
      </c>
      <c r="BS71" s="1">
        <v>164432</v>
      </c>
      <c r="BT71" s="1"/>
      <c r="BU71" s="1">
        <v>7448</v>
      </c>
      <c r="BV71" s="1">
        <v>56074</v>
      </c>
      <c r="BW71" s="1">
        <v>4241</v>
      </c>
      <c r="BX71" s="1">
        <v>2710</v>
      </c>
      <c r="BY71" s="1">
        <v>5826</v>
      </c>
      <c r="BZ71" s="1">
        <v>2676</v>
      </c>
      <c r="CA71" s="1">
        <v>147</v>
      </c>
      <c r="CB71" s="1">
        <v>99860</v>
      </c>
      <c r="CC71" s="1"/>
      <c r="CD71" s="1">
        <v>2418</v>
      </c>
      <c r="CE71" s="1"/>
      <c r="CF71" s="1"/>
      <c r="CG71" s="1"/>
      <c r="CH71" s="1">
        <v>853752</v>
      </c>
      <c r="CI71" s="1">
        <v>87425</v>
      </c>
      <c r="CJ71" s="1">
        <v>35706</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F972D-0B3E-4092-BD86-0F51E3C7EA42}">
  <dimension ref="A3:AE69"/>
  <sheetViews>
    <sheetView workbookViewId="0">
      <selection activeCell="A4" sqref="A4"/>
    </sheetView>
  </sheetViews>
  <sheetFormatPr baseColWidth="10" defaultRowHeight="14.5"/>
  <cols>
    <col min="1" max="1" width="26.36328125" bestFit="1" customWidth="1"/>
    <col min="2" max="2" width="22" bestFit="1" customWidth="1"/>
    <col min="3" max="3" width="3.08984375" bestFit="1" customWidth="1"/>
    <col min="4" max="4" width="3.26953125" bestFit="1" customWidth="1"/>
    <col min="5" max="5" width="2.54296875" bestFit="1" customWidth="1"/>
    <col min="6" max="6" width="3.08984375" bestFit="1" customWidth="1"/>
    <col min="7" max="7" width="2.90625" bestFit="1" customWidth="1"/>
    <col min="8" max="9" width="2.81640625" bestFit="1" customWidth="1"/>
    <col min="10" max="10" width="2.54296875" bestFit="1" customWidth="1"/>
    <col min="11" max="11" width="3.81640625" bestFit="1" customWidth="1"/>
    <col min="12" max="12" width="2.90625" bestFit="1" customWidth="1"/>
    <col min="13" max="13" width="3.1796875" bestFit="1" customWidth="1"/>
    <col min="14" max="14" width="2.7265625" bestFit="1" customWidth="1"/>
    <col min="15" max="15" width="2.90625" bestFit="1" customWidth="1"/>
    <col min="16" max="16" width="3.08984375" bestFit="1" customWidth="1"/>
    <col min="17" max="17" width="3.90625" bestFit="1" customWidth="1"/>
    <col min="18" max="18" width="4" bestFit="1" customWidth="1"/>
    <col min="19" max="20" width="3" bestFit="1" customWidth="1"/>
    <col min="21" max="21" width="2.81640625" bestFit="1" customWidth="1"/>
    <col min="22" max="22" width="3.08984375" bestFit="1" customWidth="1"/>
    <col min="23" max="23" width="3.81640625" bestFit="1" customWidth="1"/>
    <col min="24" max="24" width="3.1796875" bestFit="1" customWidth="1"/>
    <col min="25" max="26" width="3.81640625" bestFit="1" customWidth="1"/>
    <col min="27" max="27" width="3.08984375" bestFit="1" customWidth="1"/>
    <col min="28" max="28" width="3.81640625" bestFit="1" customWidth="1"/>
    <col min="29" max="29" width="5.6328125" bestFit="1" customWidth="1"/>
    <col min="30" max="30" width="14.36328125" bestFit="1" customWidth="1"/>
    <col min="31" max="31" width="27.36328125" bestFit="1" customWidth="1"/>
    <col min="32" max="32" width="26.36328125" bestFit="1" customWidth="1"/>
    <col min="33" max="33" width="27.36328125" bestFit="1" customWidth="1"/>
    <col min="34" max="34" width="26.36328125" bestFit="1" customWidth="1"/>
    <col min="35" max="35" width="27.36328125" bestFit="1" customWidth="1"/>
    <col min="36" max="36" width="26.36328125" bestFit="1" customWidth="1"/>
    <col min="37" max="37" width="27.36328125" bestFit="1" customWidth="1"/>
    <col min="38" max="38" width="26.36328125" bestFit="1" customWidth="1"/>
    <col min="39" max="39" width="27.36328125" bestFit="1" customWidth="1"/>
    <col min="40" max="40" width="26.36328125" bestFit="1" customWidth="1"/>
    <col min="41" max="41" width="27.36328125" bestFit="1" customWidth="1"/>
    <col min="42" max="42" width="26.36328125" bestFit="1" customWidth="1"/>
    <col min="43" max="43" width="27.36328125" bestFit="1" customWidth="1"/>
    <col min="44" max="44" width="26.36328125" bestFit="1" customWidth="1"/>
    <col min="45" max="45" width="27.36328125" bestFit="1" customWidth="1"/>
    <col min="46" max="46" width="26.36328125" bestFit="1" customWidth="1"/>
    <col min="47" max="47" width="27.36328125" bestFit="1" customWidth="1"/>
    <col min="48" max="48" width="26.36328125" bestFit="1" customWidth="1"/>
    <col min="49" max="49" width="27.36328125" bestFit="1" customWidth="1"/>
    <col min="50" max="50" width="26.36328125" bestFit="1" customWidth="1"/>
    <col min="51" max="51" width="27.36328125" bestFit="1" customWidth="1"/>
    <col min="52" max="52" width="26.36328125" bestFit="1" customWidth="1"/>
    <col min="53" max="53" width="27.36328125" bestFit="1" customWidth="1"/>
    <col min="54" max="54" width="26.36328125" bestFit="1" customWidth="1"/>
    <col min="55" max="55" width="27.36328125" bestFit="1" customWidth="1"/>
    <col min="56" max="56" width="26.36328125" bestFit="1" customWidth="1"/>
    <col min="57" max="57" width="27.36328125" bestFit="1" customWidth="1"/>
    <col min="58" max="58" width="33.90625" bestFit="1" customWidth="1"/>
    <col min="59" max="59" width="34.90625" bestFit="1" customWidth="1"/>
    <col min="60" max="72" width="2.81640625" bestFit="1" customWidth="1"/>
    <col min="73" max="73" width="5.6328125" bestFit="1" customWidth="1"/>
    <col min="74" max="74" width="10.81640625" bestFit="1" customWidth="1"/>
    <col min="75" max="75" width="5.6328125" bestFit="1" customWidth="1"/>
    <col min="76" max="76" width="10.08984375" bestFit="1" customWidth="1"/>
    <col min="77" max="77" width="4.90625" bestFit="1" customWidth="1"/>
    <col min="78" max="79" width="1.81640625" bestFit="1" customWidth="1"/>
    <col min="80" max="80" width="5.6328125" bestFit="1" customWidth="1"/>
    <col min="81" max="81" width="10.6328125" bestFit="1" customWidth="1"/>
    <col min="82" max="82" width="4.7265625" bestFit="1" customWidth="1"/>
    <col min="83" max="89" width="1.81640625" bestFit="1" customWidth="1"/>
    <col min="90" max="112" width="2.81640625" bestFit="1" customWidth="1"/>
    <col min="113" max="113" width="5.6328125" bestFit="1" customWidth="1"/>
    <col min="114" max="114" width="10.453125" bestFit="1" customWidth="1"/>
    <col min="115" max="115" width="4.54296875" bestFit="1" customWidth="1"/>
    <col min="116" max="121" width="1.81640625" bestFit="1" customWidth="1"/>
    <col min="122" max="133" width="2.81640625" bestFit="1" customWidth="1"/>
    <col min="134" max="134" width="5.6328125" bestFit="1" customWidth="1"/>
    <col min="135" max="135" width="10.26953125" bestFit="1" customWidth="1"/>
    <col min="136" max="136" width="4.6328125" bestFit="1" customWidth="1"/>
    <col min="137" max="139" width="1.81640625" bestFit="1" customWidth="1"/>
    <col min="140" max="159" width="2.81640625" bestFit="1" customWidth="1"/>
    <col min="160" max="160" width="5.6328125" bestFit="1" customWidth="1"/>
    <col min="161" max="161" width="10.36328125" bestFit="1" customWidth="1"/>
    <col min="162" max="162" width="4.36328125" bestFit="1" customWidth="1"/>
    <col min="163" max="163" width="5.6328125" bestFit="1" customWidth="1"/>
    <col min="164" max="164" width="10.08984375" bestFit="1" customWidth="1"/>
    <col min="165" max="165" width="4.90625" bestFit="1" customWidth="1"/>
    <col min="166" max="172" width="1.81640625" bestFit="1" customWidth="1"/>
    <col min="173" max="185" width="2.81640625" bestFit="1" customWidth="1"/>
    <col min="186" max="205" width="3.81640625" bestFit="1" customWidth="1"/>
    <col min="206" max="206" width="5.6328125" bestFit="1" customWidth="1"/>
    <col min="207" max="207" width="10.6328125" bestFit="1" customWidth="1"/>
    <col min="208" max="208" width="4.7265625" bestFit="1" customWidth="1"/>
    <col min="209" max="214" width="1.81640625" bestFit="1" customWidth="1"/>
    <col min="215" max="215" width="10.453125" bestFit="1" customWidth="1"/>
    <col min="216" max="216" width="5" bestFit="1" customWidth="1"/>
    <col min="217" max="223" width="1.81640625" bestFit="1" customWidth="1"/>
    <col min="224" max="241" width="2.81640625" bestFit="1" customWidth="1"/>
    <col min="242" max="242" width="10.7265625" bestFit="1" customWidth="1"/>
    <col min="243" max="243" width="4.54296875" bestFit="1" customWidth="1"/>
    <col min="244" max="247" width="1.81640625" bestFit="1" customWidth="1"/>
    <col min="248" max="248" width="10.26953125" bestFit="1" customWidth="1"/>
    <col min="249" max="249" width="4.7265625" bestFit="1" customWidth="1"/>
    <col min="250" max="256" width="1.81640625" bestFit="1" customWidth="1"/>
    <col min="257" max="263" width="2.81640625" bestFit="1" customWidth="1"/>
    <col min="264" max="264" width="5.6328125" bestFit="1" customWidth="1"/>
    <col min="265" max="265" width="10.453125" bestFit="1" customWidth="1"/>
    <col min="266" max="266" width="4.90625" bestFit="1" customWidth="1"/>
    <col min="267" max="272" width="1.81640625" bestFit="1" customWidth="1"/>
    <col min="273" max="297" width="2.81640625" bestFit="1" customWidth="1"/>
    <col min="298" max="298" width="5.6328125" bestFit="1" customWidth="1"/>
    <col min="299" max="299" width="10.6328125" bestFit="1" customWidth="1"/>
    <col min="300" max="300" width="5.7265625" bestFit="1" customWidth="1"/>
    <col min="301" max="302" width="1.81640625" bestFit="1" customWidth="1"/>
    <col min="303" max="303" width="5.6328125" bestFit="1" customWidth="1"/>
    <col min="304" max="304" width="11.453125" bestFit="1" customWidth="1"/>
    <col min="305" max="305" width="5.81640625" bestFit="1" customWidth="1"/>
    <col min="306" max="306" width="5.6328125" bestFit="1" customWidth="1"/>
    <col min="307" max="307" width="11.54296875" bestFit="1" customWidth="1"/>
    <col min="308" max="308" width="4.81640625" bestFit="1" customWidth="1"/>
    <col min="309" max="313" width="1.81640625" bestFit="1" customWidth="1"/>
    <col min="314" max="325" width="2.81640625" bestFit="1" customWidth="1"/>
    <col min="326" max="326" width="5.6328125" bestFit="1" customWidth="1"/>
    <col min="327" max="327" width="10.54296875" bestFit="1" customWidth="1"/>
    <col min="328" max="328" width="4.81640625" bestFit="1" customWidth="1"/>
    <col min="329" max="332" width="1.81640625" bestFit="1" customWidth="1"/>
    <col min="333" max="333" width="10.54296875" bestFit="1" customWidth="1"/>
    <col min="334" max="334" width="4.54296875" bestFit="1" customWidth="1"/>
    <col min="335" max="341" width="1.81640625" bestFit="1" customWidth="1"/>
    <col min="342" max="350" width="2.81640625" bestFit="1" customWidth="1"/>
    <col min="351" max="351" width="5.6328125" bestFit="1" customWidth="1"/>
    <col min="352" max="352" width="10.26953125" bestFit="1" customWidth="1"/>
    <col min="353" max="353" width="4.90625" bestFit="1" customWidth="1"/>
    <col min="354" max="359" width="1.81640625" bestFit="1" customWidth="1"/>
    <col min="360" max="366" width="2.81640625" bestFit="1" customWidth="1"/>
    <col min="367" max="367" width="5.6328125" bestFit="1" customWidth="1"/>
    <col min="368" max="368" width="10.6328125" bestFit="1" customWidth="1"/>
    <col min="369" max="369" width="4.1796875" bestFit="1" customWidth="1"/>
    <col min="370" max="372" width="1.81640625" bestFit="1" customWidth="1"/>
    <col min="373" max="385" width="2.81640625" bestFit="1" customWidth="1"/>
    <col min="386" max="414" width="3.81640625" bestFit="1" customWidth="1"/>
    <col min="415" max="415" width="5.6328125" bestFit="1" customWidth="1"/>
    <col min="416" max="416" width="9.90625" bestFit="1" customWidth="1"/>
    <col min="417" max="417" width="5" bestFit="1" customWidth="1"/>
    <col min="418" max="420" width="1.81640625" bestFit="1" customWidth="1"/>
    <col min="421" max="421" width="5.6328125" bestFit="1" customWidth="1"/>
    <col min="422" max="422" width="10.7265625" bestFit="1" customWidth="1"/>
    <col min="423" max="423" width="5.08984375" bestFit="1" customWidth="1"/>
    <col min="424" max="428" width="1.81640625" bestFit="1" customWidth="1"/>
    <col min="429" max="441" width="2.81640625" bestFit="1" customWidth="1"/>
    <col min="442" max="468" width="3.81640625" bestFit="1" customWidth="1"/>
    <col min="469" max="469" width="5.6328125" bestFit="1" customWidth="1"/>
    <col min="470" max="470" width="10.81640625" bestFit="1" customWidth="1"/>
    <col min="471" max="471" width="4.7265625" bestFit="1" customWidth="1"/>
    <col min="472" max="477" width="1.81640625" bestFit="1" customWidth="1"/>
    <col min="478" max="504" width="2.81640625" bestFit="1" customWidth="1"/>
    <col min="505" max="513" width="3.81640625" bestFit="1" customWidth="1"/>
    <col min="514" max="514" width="10.453125" bestFit="1" customWidth="1"/>
    <col min="515" max="515" width="4.90625" bestFit="1" customWidth="1"/>
    <col min="516" max="523" width="1.81640625" bestFit="1" customWidth="1"/>
    <col min="524" max="524" width="10.6328125" bestFit="1" customWidth="1"/>
    <col min="525" max="525" width="4.90625" bestFit="1" customWidth="1"/>
    <col min="526" max="531" width="1.81640625" bestFit="1" customWidth="1"/>
    <col min="532" max="555" width="2.81640625" bestFit="1" customWidth="1"/>
    <col min="556" max="562" width="3.81640625" bestFit="1" customWidth="1"/>
    <col min="563" max="563" width="5.6328125" bestFit="1" customWidth="1"/>
    <col min="564" max="564" width="10.6328125" bestFit="1" customWidth="1"/>
    <col min="565" max="565" width="7.453125" bestFit="1" customWidth="1"/>
    <col min="566" max="566" width="13.1796875" bestFit="1" customWidth="1"/>
    <col min="567" max="567" width="14.36328125" bestFit="1" customWidth="1"/>
  </cols>
  <sheetData>
    <row r="3" spans="1:30">
      <c r="A3" s="17" t="s">
        <v>408</v>
      </c>
      <c r="B3" s="17" t="s">
        <v>321</v>
      </c>
    </row>
    <row r="4" spans="1:30">
      <c r="A4" s="17" t="s">
        <v>319</v>
      </c>
      <c r="B4" t="s">
        <v>56</v>
      </c>
      <c r="C4" t="s">
        <v>83</v>
      </c>
      <c r="D4" t="s">
        <v>34</v>
      </c>
      <c r="E4" t="s">
        <v>38</v>
      </c>
      <c r="F4" t="s">
        <v>41</v>
      </c>
      <c r="G4" t="s">
        <v>44</v>
      </c>
      <c r="H4" t="s">
        <v>47</v>
      </c>
      <c r="I4" t="s">
        <v>50</v>
      </c>
      <c r="J4" t="s">
        <v>53</v>
      </c>
      <c r="K4" t="s">
        <v>58</v>
      </c>
      <c r="L4" t="s">
        <v>61</v>
      </c>
      <c r="M4" t="s">
        <v>63</v>
      </c>
      <c r="N4" t="s">
        <v>66</v>
      </c>
      <c r="O4" t="s">
        <v>68</v>
      </c>
      <c r="P4" t="s">
        <v>71</v>
      </c>
      <c r="Q4" t="s">
        <v>73</v>
      </c>
      <c r="R4" t="s">
        <v>75</v>
      </c>
      <c r="S4" t="s">
        <v>78</v>
      </c>
      <c r="T4" t="s">
        <v>81</v>
      </c>
      <c r="U4" t="s">
        <v>86</v>
      </c>
      <c r="V4" t="s">
        <v>88</v>
      </c>
      <c r="W4" t="s">
        <v>91</v>
      </c>
      <c r="X4" t="s">
        <v>94</v>
      </c>
      <c r="Y4" t="s">
        <v>97</v>
      </c>
      <c r="Z4" t="s">
        <v>100</v>
      </c>
      <c r="AA4" t="s">
        <v>102</v>
      </c>
      <c r="AB4" t="s">
        <v>104</v>
      </c>
      <c r="AC4" t="s">
        <v>405</v>
      </c>
      <c r="AD4" t="s">
        <v>320</v>
      </c>
    </row>
    <row r="5" spans="1:30">
      <c r="A5" s="49">
        <v>43895</v>
      </c>
      <c r="B5" s="1"/>
      <c r="C5" s="1"/>
      <c r="D5" s="1"/>
      <c r="E5" s="1"/>
      <c r="F5" s="1"/>
      <c r="G5" s="1"/>
      <c r="H5" s="1"/>
      <c r="I5" s="1"/>
      <c r="J5" s="1"/>
      <c r="K5" s="1">
        <v>0</v>
      </c>
      <c r="L5" s="1"/>
      <c r="M5" s="1"/>
      <c r="N5" s="1">
        <v>0</v>
      </c>
      <c r="O5" s="1"/>
      <c r="P5" s="1"/>
      <c r="Q5" s="1"/>
      <c r="R5" s="1"/>
      <c r="S5" s="1"/>
      <c r="T5" s="1"/>
      <c r="U5" s="1"/>
      <c r="V5" s="1"/>
      <c r="W5" s="1"/>
      <c r="X5" s="1"/>
      <c r="Y5" s="1"/>
      <c r="Z5" s="1">
        <v>0</v>
      </c>
      <c r="AA5" s="1">
        <v>0</v>
      </c>
      <c r="AB5" s="1"/>
      <c r="AC5" s="1"/>
      <c r="AD5" s="1">
        <v>0</v>
      </c>
    </row>
    <row r="6" spans="1:30">
      <c r="A6" s="49">
        <v>43896</v>
      </c>
      <c r="B6" s="1"/>
      <c r="C6" s="1"/>
      <c r="D6" s="1"/>
      <c r="E6" s="1"/>
      <c r="F6" s="1"/>
      <c r="G6" s="1"/>
      <c r="H6" s="1"/>
      <c r="I6" s="1"/>
      <c r="J6" s="1"/>
      <c r="K6" s="1">
        <v>0</v>
      </c>
      <c r="L6" s="1"/>
      <c r="M6" s="1"/>
      <c r="N6" s="1">
        <v>0</v>
      </c>
      <c r="O6" s="1"/>
      <c r="P6" s="1"/>
      <c r="Q6" s="1"/>
      <c r="R6" s="1"/>
      <c r="S6" s="1"/>
      <c r="T6" s="1"/>
      <c r="U6" s="1"/>
      <c r="V6" s="1"/>
      <c r="W6" s="1"/>
      <c r="X6" s="1"/>
      <c r="Y6" s="1">
        <v>1</v>
      </c>
      <c r="Z6" s="1">
        <v>0</v>
      </c>
      <c r="AA6" s="1">
        <v>0</v>
      </c>
      <c r="AB6" s="1"/>
      <c r="AC6" s="1"/>
      <c r="AD6" s="1">
        <v>1</v>
      </c>
    </row>
    <row r="7" spans="1:30">
      <c r="A7" s="49">
        <v>43897</v>
      </c>
      <c r="B7" s="1"/>
      <c r="C7" s="1"/>
      <c r="D7" s="1"/>
      <c r="E7" s="1"/>
      <c r="F7" s="1"/>
      <c r="G7" s="1"/>
      <c r="H7" s="1"/>
      <c r="I7" s="1"/>
      <c r="J7" s="1"/>
      <c r="K7" s="1">
        <v>0</v>
      </c>
      <c r="L7" s="1"/>
      <c r="M7" s="1"/>
      <c r="N7" s="1">
        <v>0</v>
      </c>
      <c r="O7" s="1"/>
      <c r="P7" s="1"/>
      <c r="Q7" s="1"/>
      <c r="R7" s="1"/>
      <c r="S7" s="1"/>
      <c r="T7" s="1"/>
      <c r="U7" s="1"/>
      <c r="V7" s="1"/>
      <c r="W7" s="1"/>
      <c r="X7" s="1"/>
      <c r="Y7" s="1">
        <v>1</v>
      </c>
      <c r="Z7" s="1">
        <v>0</v>
      </c>
      <c r="AA7" s="1">
        <v>0</v>
      </c>
      <c r="AB7" s="1"/>
      <c r="AC7" s="1"/>
      <c r="AD7" s="1">
        <v>1</v>
      </c>
    </row>
    <row r="8" spans="1:30">
      <c r="A8" s="49">
        <v>43898</v>
      </c>
      <c r="B8" s="1"/>
      <c r="C8" s="1"/>
      <c r="D8" s="1"/>
      <c r="E8" s="1"/>
      <c r="F8" s="1"/>
      <c r="G8" s="1"/>
      <c r="H8" s="1">
        <v>1</v>
      </c>
      <c r="I8" s="1"/>
      <c r="J8" s="1"/>
      <c r="K8" s="1">
        <v>0</v>
      </c>
      <c r="L8" s="1"/>
      <c r="M8" s="1"/>
      <c r="N8" s="1">
        <v>0</v>
      </c>
      <c r="O8" s="1"/>
      <c r="P8" s="1"/>
      <c r="Q8" s="1"/>
      <c r="R8" s="1"/>
      <c r="S8" s="1"/>
      <c r="T8" s="1"/>
      <c r="U8" s="1"/>
      <c r="V8" s="1"/>
      <c r="W8" s="1"/>
      <c r="X8" s="1"/>
      <c r="Y8" s="1">
        <v>1</v>
      </c>
      <c r="Z8" s="1">
        <v>0</v>
      </c>
      <c r="AA8" s="1">
        <v>0</v>
      </c>
      <c r="AB8" s="1"/>
      <c r="AC8" s="1"/>
      <c r="AD8" s="1">
        <v>2</v>
      </c>
    </row>
    <row r="9" spans="1:30">
      <c r="A9" s="49">
        <v>43899</v>
      </c>
      <c r="B9" s="1"/>
      <c r="C9" s="1"/>
      <c r="D9" s="1"/>
      <c r="E9" s="1"/>
      <c r="F9" s="1"/>
      <c r="G9" s="1"/>
      <c r="H9" s="1">
        <v>1</v>
      </c>
      <c r="I9" s="1"/>
      <c r="J9" s="1"/>
      <c r="K9" s="1">
        <v>0</v>
      </c>
      <c r="L9" s="1"/>
      <c r="M9" s="1"/>
      <c r="N9" s="1">
        <v>0</v>
      </c>
      <c r="O9" s="1"/>
      <c r="P9" s="1"/>
      <c r="Q9" s="1"/>
      <c r="R9" s="1"/>
      <c r="S9" s="1"/>
      <c r="T9" s="1"/>
      <c r="U9" s="1"/>
      <c r="V9" s="1"/>
      <c r="W9" s="1"/>
      <c r="X9" s="1"/>
      <c r="Y9" s="1">
        <v>1</v>
      </c>
      <c r="Z9" s="1">
        <v>0</v>
      </c>
      <c r="AA9" s="1">
        <v>0</v>
      </c>
      <c r="AB9" s="1"/>
      <c r="AC9" s="1"/>
      <c r="AD9" s="1">
        <v>2</v>
      </c>
    </row>
    <row r="10" spans="1:30">
      <c r="A10" s="49">
        <v>43900</v>
      </c>
      <c r="B10" s="1"/>
      <c r="C10" s="1"/>
      <c r="D10" s="1"/>
      <c r="E10" s="1"/>
      <c r="F10" s="1"/>
      <c r="G10" s="1"/>
      <c r="H10" s="1">
        <v>1</v>
      </c>
      <c r="I10" s="1"/>
      <c r="J10" s="1"/>
      <c r="K10" s="1">
        <v>1</v>
      </c>
      <c r="L10" s="1">
        <v>0</v>
      </c>
      <c r="M10" s="1"/>
      <c r="N10" s="1">
        <v>0</v>
      </c>
      <c r="O10" s="1"/>
      <c r="P10" s="1"/>
      <c r="Q10" s="1"/>
      <c r="R10" s="1"/>
      <c r="S10" s="1"/>
      <c r="T10" s="1"/>
      <c r="U10" s="1"/>
      <c r="V10" s="1"/>
      <c r="W10" s="1">
        <v>1</v>
      </c>
      <c r="X10" s="1"/>
      <c r="Y10" s="1">
        <v>1</v>
      </c>
      <c r="Z10" s="1">
        <v>0</v>
      </c>
      <c r="AA10" s="1">
        <v>0</v>
      </c>
      <c r="AB10" s="1"/>
      <c r="AC10" s="1"/>
      <c r="AD10" s="1">
        <v>4</v>
      </c>
    </row>
    <row r="11" spans="1:30">
      <c r="A11" s="49">
        <v>43901</v>
      </c>
      <c r="B11" s="1">
        <v>0</v>
      </c>
      <c r="C11" s="1"/>
      <c r="D11" s="1"/>
      <c r="E11" s="1"/>
      <c r="F11" s="1"/>
      <c r="G11" s="1"/>
      <c r="H11" s="1">
        <v>2</v>
      </c>
      <c r="I11" s="1"/>
      <c r="J11" s="1"/>
      <c r="K11" s="1">
        <v>1</v>
      </c>
      <c r="L11" s="1">
        <v>0</v>
      </c>
      <c r="M11" s="1"/>
      <c r="N11" s="1">
        <v>0</v>
      </c>
      <c r="O11" s="1"/>
      <c r="P11" s="1"/>
      <c r="Q11" s="1"/>
      <c r="R11" s="1"/>
      <c r="S11" s="1"/>
      <c r="T11" s="1">
        <v>0</v>
      </c>
      <c r="U11" s="1"/>
      <c r="V11" s="1"/>
      <c r="W11" s="1"/>
      <c r="X11" s="1"/>
      <c r="Y11" s="1">
        <v>1</v>
      </c>
      <c r="Z11" s="1">
        <v>0</v>
      </c>
      <c r="AA11" s="1">
        <v>0</v>
      </c>
      <c r="AB11" s="1"/>
      <c r="AC11" s="1"/>
      <c r="AD11" s="1">
        <v>4</v>
      </c>
    </row>
    <row r="12" spans="1:30">
      <c r="A12" s="49">
        <v>43902</v>
      </c>
      <c r="B12" s="1">
        <v>0</v>
      </c>
      <c r="C12" s="1"/>
      <c r="D12" s="1"/>
      <c r="E12" s="1"/>
      <c r="F12" s="1"/>
      <c r="G12" s="1"/>
      <c r="H12" s="1">
        <v>2</v>
      </c>
      <c r="I12" s="1">
        <v>1</v>
      </c>
      <c r="J12" s="1"/>
      <c r="K12" s="1">
        <v>2</v>
      </c>
      <c r="L12" s="1">
        <v>0</v>
      </c>
      <c r="M12" s="1"/>
      <c r="N12" s="1">
        <v>0</v>
      </c>
      <c r="O12" s="1"/>
      <c r="P12" s="1"/>
      <c r="Q12" s="1"/>
      <c r="R12" s="1"/>
      <c r="S12" s="1"/>
      <c r="T12" s="1">
        <v>0</v>
      </c>
      <c r="U12" s="1"/>
      <c r="V12" s="1"/>
      <c r="W12" s="1"/>
      <c r="X12" s="1"/>
      <c r="Y12" s="1">
        <v>3</v>
      </c>
      <c r="Z12" s="1">
        <v>0</v>
      </c>
      <c r="AA12" s="1">
        <v>0</v>
      </c>
      <c r="AB12" s="1"/>
      <c r="AC12" s="1"/>
      <c r="AD12" s="1">
        <v>8</v>
      </c>
    </row>
    <row r="13" spans="1:30">
      <c r="A13" s="49">
        <v>43903</v>
      </c>
      <c r="B13" s="1">
        <v>0</v>
      </c>
      <c r="C13" s="1"/>
      <c r="D13" s="1"/>
      <c r="E13" s="1"/>
      <c r="F13" s="1"/>
      <c r="G13" s="1"/>
      <c r="H13" s="1">
        <v>2</v>
      </c>
      <c r="I13" s="1">
        <v>1</v>
      </c>
      <c r="J13" s="1"/>
      <c r="K13" s="1">
        <v>2</v>
      </c>
      <c r="L13" s="1">
        <v>0</v>
      </c>
      <c r="M13" s="1"/>
      <c r="N13" s="1">
        <v>0</v>
      </c>
      <c r="O13" s="1"/>
      <c r="P13" s="1"/>
      <c r="Q13" s="1"/>
      <c r="R13" s="1"/>
      <c r="S13" s="1"/>
      <c r="T13" s="1">
        <v>0</v>
      </c>
      <c r="U13" s="1"/>
      <c r="V13" s="1"/>
      <c r="W13" s="1"/>
      <c r="X13" s="1"/>
      <c r="Y13" s="1">
        <v>3</v>
      </c>
      <c r="Z13" s="1">
        <v>1</v>
      </c>
      <c r="AA13" s="1">
        <v>0</v>
      </c>
      <c r="AB13" s="1"/>
      <c r="AC13" s="1"/>
      <c r="AD13" s="1">
        <v>9</v>
      </c>
    </row>
    <row r="14" spans="1:30">
      <c r="A14" s="49">
        <v>43904</v>
      </c>
      <c r="B14" s="1">
        <v>0</v>
      </c>
      <c r="C14" s="1"/>
      <c r="D14" s="1"/>
      <c r="E14" s="1"/>
      <c r="F14" s="1"/>
      <c r="G14" s="1"/>
      <c r="H14" s="1">
        <v>2</v>
      </c>
      <c r="I14" s="1">
        <v>1</v>
      </c>
      <c r="J14" s="1"/>
      <c r="K14" s="1">
        <v>2</v>
      </c>
      <c r="L14" s="1">
        <v>0</v>
      </c>
      <c r="M14" s="1"/>
      <c r="N14" s="1">
        <v>0</v>
      </c>
      <c r="O14" s="1"/>
      <c r="P14" s="1"/>
      <c r="Q14" s="1"/>
      <c r="R14" s="1"/>
      <c r="S14" s="1"/>
      <c r="T14" s="1">
        <v>0</v>
      </c>
      <c r="U14" s="1"/>
      <c r="V14" s="1"/>
      <c r="W14" s="1">
        <v>3</v>
      </c>
      <c r="X14" s="1"/>
      <c r="Y14" s="1">
        <v>4</v>
      </c>
      <c r="Z14" s="1">
        <v>1</v>
      </c>
      <c r="AA14" s="1">
        <v>0</v>
      </c>
      <c r="AB14" s="1"/>
      <c r="AC14" s="1"/>
      <c r="AD14" s="1">
        <v>13</v>
      </c>
    </row>
    <row r="15" spans="1:30">
      <c r="A15" s="49">
        <v>43905</v>
      </c>
      <c r="B15" s="1">
        <v>0</v>
      </c>
      <c r="C15" s="1"/>
      <c r="D15" s="1"/>
      <c r="E15" s="1"/>
      <c r="F15" s="1"/>
      <c r="G15" s="1"/>
      <c r="H15" s="1">
        <v>2</v>
      </c>
      <c r="I15" s="1"/>
      <c r="J15" s="1"/>
      <c r="K15" s="1">
        <v>4</v>
      </c>
      <c r="L15" s="1">
        <v>0</v>
      </c>
      <c r="M15" s="1"/>
      <c r="N15" s="1">
        <v>0</v>
      </c>
      <c r="O15" s="1"/>
      <c r="P15" s="1"/>
      <c r="Q15" s="1"/>
      <c r="R15" s="1"/>
      <c r="S15" s="1"/>
      <c r="T15" s="1">
        <v>0</v>
      </c>
      <c r="U15" s="1"/>
      <c r="V15" s="1"/>
      <c r="W15" s="1">
        <v>6</v>
      </c>
      <c r="X15" s="1"/>
      <c r="Y15" s="1">
        <v>5</v>
      </c>
      <c r="Z15" s="1">
        <v>2</v>
      </c>
      <c r="AA15" s="1">
        <v>0</v>
      </c>
      <c r="AB15" s="1">
        <v>1</v>
      </c>
      <c r="AC15" s="1"/>
      <c r="AD15" s="1">
        <v>20</v>
      </c>
    </row>
    <row r="16" spans="1:30">
      <c r="A16" s="49">
        <v>43906</v>
      </c>
      <c r="B16" s="1">
        <v>0</v>
      </c>
      <c r="C16" s="1"/>
      <c r="D16" s="1"/>
      <c r="E16" s="1"/>
      <c r="F16" s="1"/>
      <c r="G16" s="1">
        <v>1</v>
      </c>
      <c r="H16" s="1">
        <v>2</v>
      </c>
      <c r="I16" s="1">
        <v>4</v>
      </c>
      <c r="J16" s="1"/>
      <c r="K16" s="1">
        <v>4</v>
      </c>
      <c r="L16" s="1">
        <v>0</v>
      </c>
      <c r="M16" s="1"/>
      <c r="N16" s="1">
        <v>0</v>
      </c>
      <c r="O16" s="1"/>
      <c r="P16" s="1"/>
      <c r="Q16" s="1"/>
      <c r="R16" s="1"/>
      <c r="S16" s="1"/>
      <c r="T16" s="1">
        <v>0</v>
      </c>
      <c r="U16" s="1"/>
      <c r="V16" s="1"/>
      <c r="W16" s="1">
        <v>8</v>
      </c>
      <c r="X16" s="1"/>
      <c r="Y16" s="1">
        <v>7</v>
      </c>
      <c r="Z16" s="1">
        <v>3</v>
      </c>
      <c r="AA16" s="1">
        <v>0</v>
      </c>
      <c r="AB16" s="1">
        <v>1</v>
      </c>
      <c r="AC16" s="1"/>
      <c r="AD16" s="1">
        <v>30</v>
      </c>
    </row>
    <row r="17" spans="1:30">
      <c r="A17" s="49">
        <v>43907</v>
      </c>
      <c r="B17" s="1">
        <v>0</v>
      </c>
      <c r="C17" s="1"/>
      <c r="D17" s="1"/>
      <c r="E17" s="1"/>
      <c r="F17" s="1"/>
      <c r="G17" s="1"/>
      <c r="H17" s="1">
        <v>2</v>
      </c>
      <c r="I17" s="1">
        <v>4</v>
      </c>
      <c r="J17" s="1"/>
      <c r="K17" s="1">
        <v>5</v>
      </c>
      <c r="L17" s="1">
        <v>0</v>
      </c>
      <c r="M17" s="1">
        <v>1</v>
      </c>
      <c r="N17" s="1">
        <v>0</v>
      </c>
      <c r="O17" s="1"/>
      <c r="P17" s="1">
        <v>1</v>
      </c>
      <c r="Q17" s="1"/>
      <c r="R17" s="1"/>
      <c r="S17" s="1"/>
      <c r="T17" s="1">
        <v>0</v>
      </c>
      <c r="U17" s="1"/>
      <c r="V17" s="1"/>
      <c r="W17" s="1">
        <v>10</v>
      </c>
      <c r="X17" s="1"/>
      <c r="Y17" s="1">
        <v>9</v>
      </c>
      <c r="Z17" s="1">
        <v>3</v>
      </c>
      <c r="AA17" s="1">
        <v>0</v>
      </c>
      <c r="AB17" s="1">
        <v>1</v>
      </c>
      <c r="AC17" s="1"/>
      <c r="AD17" s="1">
        <v>36</v>
      </c>
    </row>
    <row r="18" spans="1:30">
      <c r="A18" s="49">
        <v>43908</v>
      </c>
      <c r="B18" s="1">
        <v>0</v>
      </c>
      <c r="C18" s="1"/>
      <c r="D18" s="1"/>
      <c r="E18" s="1"/>
      <c r="F18" s="1"/>
      <c r="G18" s="1">
        <v>1</v>
      </c>
      <c r="H18" s="1">
        <v>2</v>
      </c>
      <c r="I18" s="1">
        <v>4</v>
      </c>
      <c r="J18" s="1"/>
      <c r="K18" s="1">
        <v>6</v>
      </c>
      <c r="L18" s="1">
        <v>0</v>
      </c>
      <c r="M18" s="1">
        <v>1</v>
      </c>
      <c r="N18" s="1">
        <v>0</v>
      </c>
      <c r="O18" s="1"/>
      <c r="P18" s="1">
        <v>2</v>
      </c>
      <c r="Q18" s="1"/>
      <c r="R18" s="1"/>
      <c r="S18" s="1"/>
      <c r="T18" s="1">
        <v>0</v>
      </c>
      <c r="U18" s="1"/>
      <c r="V18" s="1"/>
      <c r="W18" s="1">
        <v>14</v>
      </c>
      <c r="X18" s="1"/>
      <c r="Y18" s="1">
        <v>12</v>
      </c>
      <c r="Z18" s="1">
        <v>4</v>
      </c>
      <c r="AA18" s="1">
        <v>0</v>
      </c>
      <c r="AB18" s="1">
        <v>2</v>
      </c>
      <c r="AC18" s="1"/>
      <c r="AD18" s="1">
        <v>48</v>
      </c>
    </row>
    <row r="19" spans="1:30">
      <c r="A19" s="49">
        <v>43909</v>
      </c>
      <c r="B19" s="1">
        <v>1</v>
      </c>
      <c r="C19" s="1"/>
      <c r="D19" s="1"/>
      <c r="E19" s="1"/>
      <c r="F19" s="1"/>
      <c r="G19" s="1">
        <v>1</v>
      </c>
      <c r="H19" s="1">
        <v>2</v>
      </c>
      <c r="I19" s="1">
        <v>4</v>
      </c>
      <c r="J19" s="1"/>
      <c r="K19" s="1">
        <v>7</v>
      </c>
      <c r="L19" s="1">
        <v>0</v>
      </c>
      <c r="M19" s="1">
        <v>2</v>
      </c>
      <c r="N19" s="1">
        <v>0</v>
      </c>
      <c r="O19" s="1"/>
      <c r="P19" s="1">
        <v>3</v>
      </c>
      <c r="Q19" s="1"/>
      <c r="R19" s="1"/>
      <c r="S19" s="1"/>
      <c r="T19" s="1">
        <v>0</v>
      </c>
      <c r="U19" s="1"/>
      <c r="V19" s="1"/>
      <c r="W19" s="1">
        <v>15</v>
      </c>
      <c r="X19" s="1"/>
      <c r="Y19" s="1">
        <v>13</v>
      </c>
      <c r="Z19" s="1">
        <v>6</v>
      </c>
      <c r="AA19" s="1">
        <v>0</v>
      </c>
      <c r="AB19" s="1">
        <v>3</v>
      </c>
      <c r="AC19" s="1"/>
      <c r="AD19" s="1">
        <v>57</v>
      </c>
    </row>
    <row r="20" spans="1:30">
      <c r="A20" s="49">
        <v>43910</v>
      </c>
      <c r="B20" s="1">
        <v>1</v>
      </c>
      <c r="C20" s="1"/>
      <c r="D20" s="1">
        <v>1</v>
      </c>
      <c r="E20" s="1"/>
      <c r="F20" s="1"/>
      <c r="G20" s="1">
        <v>2</v>
      </c>
      <c r="H20" s="1">
        <v>3</v>
      </c>
      <c r="I20" s="1">
        <v>4</v>
      </c>
      <c r="J20" s="1"/>
      <c r="K20" s="1">
        <v>9</v>
      </c>
      <c r="L20" s="1">
        <v>0</v>
      </c>
      <c r="M20" s="1">
        <v>3</v>
      </c>
      <c r="N20" s="1">
        <v>0</v>
      </c>
      <c r="O20" s="1"/>
      <c r="P20" s="1">
        <v>3</v>
      </c>
      <c r="Q20" s="1"/>
      <c r="R20" s="1"/>
      <c r="S20" s="1"/>
      <c r="T20" s="1">
        <v>0</v>
      </c>
      <c r="U20" s="1"/>
      <c r="V20" s="1"/>
      <c r="W20" s="1">
        <v>22</v>
      </c>
      <c r="X20" s="1"/>
      <c r="Y20" s="1">
        <v>19</v>
      </c>
      <c r="Z20" s="1">
        <v>7</v>
      </c>
      <c r="AA20" s="1">
        <v>0</v>
      </c>
      <c r="AB20" s="1">
        <v>4</v>
      </c>
      <c r="AC20" s="1"/>
      <c r="AD20" s="1">
        <v>78</v>
      </c>
    </row>
    <row r="21" spans="1:30">
      <c r="A21" s="49">
        <v>43911</v>
      </c>
      <c r="B21" s="1">
        <v>2</v>
      </c>
      <c r="C21" s="1"/>
      <c r="D21" s="1"/>
      <c r="E21" s="1"/>
      <c r="F21" s="1">
        <v>1</v>
      </c>
      <c r="G21" s="1">
        <v>3</v>
      </c>
      <c r="H21" s="1">
        <v>3</v>
      </c>
      <c r="I21" s="1">
        <v>5</v>
      </c>
      <c r="J21" s="1"/>
      <c r="K21" s="1">
        <v>9</v>
      </c>
      <c r="L21" s="1">
        <v>0</v>
      </c>
      <c r="M21" s="1">
        <v>4</v>
      </c>
      <c r="N21" s="1">
        <v>0</v>
      </c>
      <c r="O21" s="1">
        <v>1</v>
      </c>
      <c r="P21" s="1">
        <v>4</v>
      </c>
      <c r="Q21" s="1"/>
      <c r="R21" s="1"/>
      <c r="S21" s="1"/>
      <c r="T21" s="1">
        <v>0</v>
      </c>
      <c r="U21" s="1"/>
      <c r="V21" s="1"/>
      <c r="W21" s="1">
        <v>28</v>
      </c>
      <c r="X21" s="1"/>
      <c r="Y21" s="1">
        <v>22</v>
      </c>
      <c r="Z21" s="1">
        <v>10</v>
      </c>
      <c r="AA21" s="1">
        <v>0</v>
      </c>
      <c r="AB21" s="1">
        <v>5</v>
      </c>
      <c r="AC21" s="1"/>
      <c r="AD21" s="1">
        <v>97</v>
      </c>
    </row>
    <row r="22" spans="1:30">
      <c r="A22" s="49">
        <v>43912</v>
      </c>
      <c r="B22" s="1">
        <v>3</v>
      </c>
      <c r="C22" s="1"/>
      <c r="D22" s="1">
        <v>1</v>
      </c>
      <c r="E22" s="1"/>
      <c r="F22" s="1"/>
      <c r="G22" s="1"/>
      <c r="H22" s="1">
        <v>3</v>
      </c>
      <c r="I22" s="1">
        <v>5</v>
      </c>
      <c r="J22" s="1"/>
      <c r="K22" s="1">
        <v>10</v>
      </c>
      <c r="L22" s="1">
        <v>0</v>
      </c>
      <c r="M22" s="1">
        <v>4</v>
      </c>
      <c r="N22" s="1">
        <v>0</v>
      </c>
      <c r="O22" s="1">
        <v>1</v>
      </c>
      <c r="P22" s="1">
        <v>4</v>
      </c>
      <c r="Q22" s="1"/>
      <c r="R22" s="1"/>
      <c r="S22" s="1"/>
      <c r="T22" s="1">
        <v>0</v>
      </c>
      <c r="U22" s="1"/>
      <c r="V22" s="1"/>
      <c r="W22" s="1">
        <v>37</v>
      </c>
      <c r="X22" s="1"/>
      <c r="Y22" s="1">
        <v>24</v>
      </c>
      <c r="Z22" s="1">
        <v>11</v>
      </c>
      <c r="AA22" s="1">
        <v>0</v>
      </c>
      <c r="AB22" s="1">
        <v>6</v>
      </c>
      <c r="AC22" s="1"/>
      <c r="AD22" s="1">
        <v>109</v>
      </c>
    </row>
    <row r="23" spans="1:30">
      <c r="A23" s="49">
        <v>43913</v>
      </c>
      <c r="B23" s="1">
        <v>4</v>
      </c>
      <c r="C23" s="1">
        <v>1</v>
      </c>
      <c r="D23" s="1">
        <v>1</v>
      </c>
      <c r="E23" s="1"/>
      <c r="F23" s="1">
        <v>1</v>
      </c>
      <c r="G23" s="1">
        <v>5</v>
      </c>
      <c r="H23" s="1">
        <v>3</v>
      </c>
      <c r="I23" s="1">
        <v>5</v>
      </c>
      <c r="J23" s="1"/>
      <c r="K23" s="1">
        <v>16</v>
      </c>
      <c r="L23" s="1">
        <v>0</v>
      </c>
      <c r="M23" s="1">
        <v>5</v>
      </c>
      <c r="N23" s="1">
        <v>0</v>
      </c>
      <c r="O23" s="1">
        <v>1</v>
      </c>
      <c r="P23" s="1">
        <v>5</v>
      </c>
      <c r="Q23" s="1"/>
      <c r="R23" s="1"/>
      <c r="S23" s="1">
        <v>1</v>
      </c>
      <c r="T23" s="1">
        <v>0</v>
      </c>
      <c r="U23" s="1"/>
      <c r="V23" s="1"/>
      <c r="W23" s="1">
        <v>48</v>
      </c>
      <c r="X23" s="1"/>
      <c r="Y23" s="1">
        <v>28</v>
      </c>
      <c r="Z23" s="1">
        <v>13</v>
      </c>
      <c r="AA23" s="1">
        <v>0</v>
      </c>
      <c r="AB23" s="1">
        <v>6</v>
      </c>
      <c r="AC23" s="1"/>
      <c r="AD23" s="1">
        <v>143</v>
      </c>
    </row>
    <row r="24" spans="1:30">
      <c r="A24" s="49">
        <v>43914</v>
      </c>
      <c r="B24" s="1">
        <v>5</v>
      </c>
      <c r="C24" s="1">
        <v>1</v>
      </c>
      <c r="D24" s="1">
        <v>2</v>
      </c>
      <c r="E24" s="1"/>
      <c r="F24" s="1">
        <v>2</v>
      </c>
      <c r="G24" s="1">
        <v>6</v>
      </c>
      <c r="H24" s="1">
        <v>4</v>
      </c>
      <c r="I24" s="1">
        <v>5</v>
      </c>
      <c r="J24" s="1"/>
      <c r="K24" s="1">
        <v>17</v>
      </c>
      <c r="L24" s="1">
        <v>0</v>
      </c>
      <c r="M24" s="1">
        <v>6</v>
      </c>
      <c r="N24" s="1">
        <v>0</v>
      </c>
      <c r="O24" s="1">
        <v>2</v>
      </c>
      <c r="P24" s="1">
        <v>6</v>
      </c>
      <c r="Q24" s="1"/>
      <c r="R24" s="1"/>
      <c r="S24" s="1"/>
      <c r="T24" s="1">
        <v>0</v>
      </c>
      <c r="U24" s="1">
        <v>0</v>
      </c>
      <c r="V24" s="1">
        <v>1</v>
      </c>
      <c r="W24" s="1">
        <v>53</v>
      </c>
      <c r="X24" s="1"/>
      <c r="Y24" s="1">
        <v>32</v>
      </c>
      <c r="Z24" s="1">
        <v>14</v>
      </c>
      <c r="AA24" s="1">
        <v>0</v>
      </c>
      <c r="AB24" s="1">
        <v>8</v>
      </c>
      <c r="AC24" s="1"/>
      <c r="AD24" s="1">
        <v>164</v>
      </c>
    </row>
    <row r="25" spans="1:30">
      <c r="A25" s="49">
        <v>43915</v>
      </c>
      <c r="B25" s="1">
        <v>6</v>
      </c>
      <c r="C25" s="1">
        <v>1</v>
      </c>
      <c r="D25" s="1">
        <v>2</v>
      </c>
      <c r="E25" s="1"/>
      <c r="F25" s="1">
        <v>2</v>
      </c>
      <c r="G25" s="1">
        <v>6</v>
      </c>
      <c r="H25" s="1">
        <v>5</v>
      </c>
      <c r="I25" s="1">
        <v>8</v>
      </c>
      <c r="J25" s="1"/>
      <c r="K25" s="1">
        <v>24</v>
      </c>
      <c r="L25" s="1">
        <v>0</v>
      </c>
      <c r="M25" s="1">
        <v>8</v>
      </c>
      <c r="N25" s="1">
        <v>0</v>
      </c>
      <c r="O25" s="1">
        <v>2</v>
      </c>
      <c r="P25" s="1">
        <v>9</v>
      </c>
      <c r="Q25" s="1"/>
      <c r="R25" s="1"/>
      <c r="S25" s="1">
        <v>1</v>
      </c>
      <c r="T25" s="1">
        <v>0</v>
      </c>
      <c r="U25" s="1">
        <v>0</v>
      </c>
      <c r="V25" s="1">
        <v>1</v>
      </c>
      <c r="W25" s="1">
        <v>60</v>
      </c>
      <c r="X25" s="1"/>
      <c r="Y25" s="1">
        <v>40</v>
      </c>
      <c r="Z25" s="1">
        <v>15</v>
      </c>
      <c r="AA25" s="1">
        <v>0</v>
      </c>
      <c r="AB25" s="1">
        <v>10</v>
      </c>
      <c r="AC25" s="1"/>
      <c r="AD25" s="1">
        <v>200</v>
      </c>
    </row>
    <row r="26" spans="1:30">
      <c r="A26" s="49">
        <v>43916</v>
      </c>
      <c r="B26" s="1">
        <v>11</v>
      </c>
      <c r="C26" s="1">
        <v>1</v>
      </c>
      <c r="D26" s="1">
        <v>2</v>
      </c>
      <c r="E26" s="1"/>
      <c r="F26" s="1">
        <v>2</v>
      </c>
      <c r="G26" s="1">
        <v>7</v>
      </c>
      <c r="H26" s="1">
        <v>5</v>
      </c>
      <c r="I26" s="1">
        <v>12</v>
      </c>
      <c r="J26" s="1"/>
      <c r="K26" s="1">
        <v>26</v>
      </c>
      <c r="L26" s="1">
        <v>0</v>
      </c>
      <c r="M26" s="1">
        <v>8</v>
      </c>
      <c r="N26" s="1">
        <v>0</v>
      </c>
      <c r="O26" s="1">
        <v>3</v>
      </c>
      <c r="P26" s="1">
        <v>12</v>
      </c>
      <c r="Q26" s="1"/>
      <c r="R26" s="1"/>
      <c r="S26" s="1">
        <v>2</v>
      </c>
      <c r="T26" s="1">
        <v>0</v>
      </c>
      <c r="U26" s="1">
        <v>0</v>
      </c>
      <c r="V26" s="1">
        <v>1</v>
      </c>
      <c r="W26" s="1">
        <v>67</v>
      </c>
      <c r="X26" s="1"/>
      <c r="Y26" s="1">
        <v>57</v>
      </c>
      <c r="Z26" s="1">
        <v>17</v>
      </c>
      <c r="AA26" s="1">
        <v>0</v>
      </c>
      <c r="AB26" s="1">
        <v>13</v>
      </c>
      <c r="AC26" s="1"/>
      <c r="AD26" s="1">
        <v>246</v>
      </c>
    </row>
    <row r="27" spans="1:30">
      <c r="A27" s="49">
        <v>43917</v>
      </c>
      <c r="B27" s="1">
        <v>14</v>
      </c>
      <c r="C27" s="1">
        <v>1</v>
      </c>
      <c r="D27" s="1">
        <v>3</v>
      </c>
      <c r="E27" s="1"/>
      <c r="F27" s="1">
        <v>2</v>
      </c>
      <c r="G27" s="1">
        <v>8</v>
      </c>
      <c r="H27" s="1">
        <v>5</v>
      </c>
      <c r="I27" s="1">
        <v>13</v>
      </c>
      <c r="J27" s="1"/>
      <c r="K27" s="1">
        <v>33</v>
      </c>
      <c r="L27" s="1">
        <v>0</v>
      </c>
      <c r="M27" s="1">
        <v>9</v>
      </c>
      <c r="N27" s="1">
        <v>0</v>
      </c>
      <c r="O27" s="1">
        <v>3</v>
      </c>
      <c r="P27" s="1">
        <v>13</v>
      </c>
      <c r="Q27" s="1"/>
      <c r="R27" s="1"/>
      <c r="S27" s="1"/>
      <c r="T27" s="1">
        <v>0</v>
      </c>
      <c r="U27" s="1">
        <v>1</v>
      </c>
      <c r="V27" s="1">
        <v>2</v>
      </c>
      <c r="W27" s="1">
        <v>76</v>
      </c>
      <c r="X27" s="1"/>
      <c r="Y27" s="1">
        <v>61</v>
      </c>
      <c r="Z27" s="1">
        <v>21</v>
      </c>
      <c r="AA27" s="1">
        <v>0</v>
      </c>
      <c r="AB27" s="1">
        <v>15</v>
      </c>
      <c r="AC27" s="1"/>
      <c r="AD27" s="1">
        <v>280</v>
      </c>
    </row>
    <row r="28" spans="1:30">
      <c r="A28" s="49">
        <v>43918</v>
      </c>
      <c r="B28" s="1">
        <v>15</v>
      </c>
      <c r="C28" s="1">
        <v>1</v>
      </c>
      <c r="D28" s="1"/>
      <c r="E28" s="1"/>
      <c r="F28" s="1">
        <v>2</v>
      </c>
      <c r="G28" s="1">
        <v>9</v>
      </c>
      <c r="H28" s="1">
        <v>6</v>
      </c>
      <c r="I28" s="1">
        <v>13</v>
      </c>
      <c r="J28" s="1"/>
      <c r="K28" s="1">
        <v>41</v>
      </c>
      <c r="L28" s="1">
        <v>1</v>
      </c>
      <c r="M28" s="1">
        <v>12</v>
      </c>
      <c r="N28" s="1">
        <v>0</v>
      </c>
      <c r="O28" s="1">
        <v>4</v>
      </c>
      <c r="P28" s="1">
        <v>15</v>
      </c>
      <c r="Q28" s="1"/>
      <c r="R28" s="1"/>
      <c r="S28" s="1">
        <v>5</v>
      </c>
      <c r="T28" s="1">
        <v>0</v>
      </c>
      <c r="U28" s="1">
        <v>1</v>
      </c>
      <c r="V28" s="1">
        <v>2</v>
      </c>
      <c r="W28" s="1">
        <v>87</v>
      </c>
      <c r="X28" s="1"/>
      <c r="Y28" s="1">
        <v>72</v>
      </c>
      <c r="Z28" s="1">
        <v>25</v>
      </c>
      <c r="AA28" s="1">
        <v>1</v>
      </c>
      <c r="AB28" s="1">
        <v>19</v>
      </c>
      <c r="AC28" s="1"/>
      <c r="AD28" s="1">
        <v>331</v>
      </c>
    </row>
    <row r="29" spans="1:30">
      <c r="A29" s="49">
        <v>43919</v>
      </c>
      <c r="B29" s="1">
        <v>15</v>
      </c>
      <c r="C29" s="1">
        <v>2</v>
      </c>
      <c r="D29" s="1"/>
      <c r="E29" s="1"/>
      <c r="F29" s="1">
        <v>2</v>
      </c>
      <c r="G29" s="1">
        <v>10</v>
      </c>
      <c r="H29" s="1">
        <v>6</v>
      </c>
      <c r="I29" s="1">
        <v>15</v>
      </c>
      <c r="J29" s="1"/>
      <c r="K29" s="1">
        <v>49</v>
      </c>
      <c r="L29" s="1">
        <v>1</v>
      </c>
      <c r="M29" s="1">
        <v>15</v>
      </c>
      <c r="N29" s="1">
        <v>0</v>
      </c>
      <c r="O29" s="1">
        <v>5</v>
      </c>
      <c r="P29" s="1">
        <v>18</v>
      </c>
      <c r="Q29" s="1"/>
      <c r="R29" s="1"/>
      <c r="S29" s="1">
        <v>5</v>
      </c>
      <c r="T29" s="1">
        <v>0</v>
      </c>
      <c r="U29" s="1">
        <v>2</v>
      </c>
      <c r="V29" s="1">
        <v>2</v>
      </c>
      <c r="W29" s="1">
        <v>93</v>
      </c>
      <c r="X29" s="1"/>
      <c r="Y29" s="1">
        <v>81</v>
      </c>
      <c r="Z29" s="1">
        <v>31</v>
      </c>
      <c r="AA29" s="1">
        <v>1</v>
      </c>
      <c r="AB29" s="1">
        <v>22</v>
      </c>
      <c r="AC29" s="1"/>
      <c r="AD29" s="1">
        <v>375</v>
      </c>
    </row>
    <row r="30" spans="1:30">
      <c r="A30" s="49">
        <v>43920</v>
      </c>
      <c r="B30" s="1">
        <v>17</v>
      </c>
      <c r="C30" s="1"/>
      <c r="D30" s="1">
        <v>8</v>
      </c>
      <c r="E30" s="1"/>
      <c r="F30" s="1">
        <v>2</v>
      </c>
      <c r="G30" s="1">
        <v>13</v>
      </c>
      <c r="H30" s="1">
        <v>7</v>
      </c>
      <c r="I30" s="1">
        <v>15</v>
      </c>
      <c r="J30" s="1"/>
      <c r="K30" s="1">
        <v>59</v>
      </c>
      <c r="L30" s="1">
        <v>2</v>
      </c>
      <c r="M30" s="1">
        <v>19</v>
      </c>
      <c r="N30" s="1">
        <v>0</v>
      </c>
      <c r="O30" s="1">
        <v>6</v>
      </c>
      <c r="P30" s="1">
        <v>20</v>
      </c>
      <c r="Q30" s="1"/>
      <c r="R30" s="1"/>
      <c r="S30" s="1">
        <v>5</v>
      </c>
      <c r="T30" s="1">
        <v>0</v>
      </c>
      <c r="U30" s="1">
        <v>2</v>
      </c>
      <c r="V30" s="1">
        <v>2</v>
      </c>
      <c r="W30" s="1">
        <v>105</v>
      </c>
      <c r="X30" s="1"/>
      <c r="Y30" s="1">
        <v>93</v>
      </c>
      <c r="Z30" s="1">
        <v>35</v>
      </c>
      <c r="AA30" s="1">
        <v>1</v>
      </c>
      <c r="AB30" s="1">
        <v>24</v>
      </c>
      <c r="AC30" s="1"/>
      <c r="AD30" s="1">
        <v>435</v>
      </c>
    </row>
    <row r="31" spans="1:30">
      <c r="A31" s="49">
        <v>43921</v>
      </c>
      <c r="B31" s="1">
        <v>20</v>
      </c>
      <c r="C31" s="1">
        <v>2</v>
      </c>
      <c r="D31" s="1">
        <v>11</v>
      </c>
      <c r="E31" s="1"/>
      <c r="F31" s="1">
        <v>2</v>
      </c>
      <c r="G31" s="1">
        <v>16</v>
      </c>
      <c r="H31" s="1">
        <v>10</v>
      </c>
      <c r="I31" s="1">
        <v>16</v>
      </c>
      <c r="J31" s="1"/>
      <c r="K31" s="1">
        <v>67</v>
      </c>
      <c r="L31" s="1">
        <v>2</v>
      </c>
      <c r="M31" s="1">
        <v>23</v>
      </c>
      <c r="N31" s="1">
        <v>0</v>
      </c>
      <c r="O31" s="1">
        <v>7</v>
      </c>
      <c r="P31" s="1">
        <v>22</v>
      </c>
      <c r="Q31" s="1"/>
      <c r="R31" s="1"/>
      <c r="S31" s="1">
        <v>7</v>
      </c>
      <c r="T31" s="1">
        <v>1</v>
      </c>
      <c r="U31" s="1">
        <v>4</v>
      </c>
      <c r="V31" s="1">
        <v>3</v>
      </c>
      <c r="W31" s="1">
        <v>120</v>
      </c>
      <c r="X31" s="1"/>
      <c r="Y31" s="1">
        <v>105</v>
      </c>
      <c r="Z31" s="1">
        <v>37</v>
      </c>
      <c r="AA31" s="1">
        <v>1</v>
      </c>
      <c r="AB31" s="1">
        <v>27</v>
      </c>
      <c r="AC31" s="1"/>
      <c r="AD31" s="1">
        <v>503</v>
      </c>
    </row>
    <row r="32" spans="1:30">
      <c r="A32" s="49">
        <v>43922</v>
      </c>
      <c r="B32" s="1">
        <v>23</v>
      </c>
      <c r="C32" s="1">
        <v>3</v>
      </c>
      <c r="D32" s="1">
        <v>11</v>
      </c>
      <c r="E32" s="1"/>
      <c r="F32" s="1">
        <v>3</v>
      </c>
      <c r="G32" s="1">
        <v>20</v>
      </c>
      <c r="H32" s="1">
        <v>11</v>
      </c>
      <c r="I32" s="1">
        <v>18</v>
      </c>
      <c r="J32" s="1"/>
      <c r="K32" s="1">
        <v>76</v>
      </c>
      <c r="L32" s="1">
        <v>2</v>
      </c>
      <c r="M32" s="1">
        <v>26</v>
      </c>
      <c r="N32" s="1">
        <v>0</v>
      </c>
      <c r="O32" s="1">
        <v>7</v>
      </c>
      <c r="P32" s="1">
        <v>24</v>
      </c>
      <c r="Q32" s="1"/>
      <c r="R32" s="1"/>
      <c r="S32" s="1">
        <v>7</v>
      </c>
      <c r="T32" s="1">
        <v>1</v>
      </c>
      <c r="U32" s="1">
        <v>4</v>
      </c>
      <c r="V32" s="1">
        <v>4</v>
      </c>
      <c r="W32" s="1">
        <v>132</v>
      </c>
      <c r="X32" s="1">
        <v>1</v>
      </c>
      <c r="Y32" s="1">
        <v>116</v>
      </c>
      <c r="Z32" s="1">
        <v>40</v>
      </c>
      <c r="AA32" s="1">
        <v>1</v>
      </c>
      <c r="AB32" s="1">
        <v>36</v>
      </c>
      <c r="AC32" s="1"/>
      <c r="AD32" s="1">
        <v>566</v>
      </c>
    </row>
    <row r="33" spans="1:30">
      <c r="A33" s="49">
        <v>43923</v>
      </c>
      <c r="B33" s="1">
        <v>26</v>
      </c>
      <c r="C33" s="1">
        <v>3</v>
      </c>
      <c r="D33" s="1">
        <v>12</v>
      </c>
      <c r="E33" s="1"/>
      <c r="F33" s="1">
        <v>3</v>
      </c>
      <c r="G33" s="1">
        <v>23</v>
      </c>
      <c r="H33" s="1">
        <v>12</v>
      </c>
      <c r="I33" s="1">
        <v>19</v>
      </c>
      <c r="J33" s="1"/>
      <c r="K33" s="1">
        <v>84</v>
      </c>
      <c r="L33" s="1">
        <v>2</v>
      </c>
      <c r="M33" s="1">
        <v>28</v>
      </c>
      <c r="N33" s="1">
        <v>0</v>
      </c>
      <c r="O33" s="1">
        <v>7</v>
      </c>
      <c r="P33" s="1">
        <v>27</v>
      </c>
      <c r="Q33" s="1"/>
      <c r="R33" s="1"/>
      <c r="S33" s="1">
        <v>8</v>
      </c>
      <c r="T33" s="1">
        <v>1</v>
      </c>
      <c r="U33" s="1">
        <v>4</v>
      </c>
      <c r="V33" s="1">
        <v>4</v>
      </c>
      <c r="W33" s="1">
        <v>141</v>
      </c>
      <c r="X33" s="1">
        <v>1</v>
      </c>
      <c r="Y33" s="1">
        <v>135</v>
      </c>
      <c r="Z33" s="1">
        <v>47</v>
      </c>
      <c r="AA33" s="1">
        <v>1</v>
      </c>
      <c r="AB33" s="1">
        <v>39</v>
      </c>
      <c r="AC33" s="1"/>
      <c r="AD33" s="1">
        <v>627</v>
      </c>
    </row>
    <row r="34" spans="1:30">
      <c r="A34" s="49">
        <v>43924</v>
      </c>
      <c r="B34" s="1">
        <v>31</v>
      </c>
      <c r="C34" s="1">
        <v>3</v>
      </c>
      <c r="D34" s="1">
        <v>12</v>
      </c>
      <c r="E34" s="1"/>
      <c r="F34" s="1">
        <v>3</v>
      </c>
      <c r="G34" s="1">
        <v>26</v>
      </c>
      <c r="H34" s="1">
        <v>14</v>
      </c>
      <c r="I34" s="1">
        <v>21</v>
      </c>
      <c r="J34" s="1"/>
      <c r="K34" s="1">
        <v>91</v>
      </c>
      <c r="L34" s="1">
        <v>2</v>
      </c>
      <c r="M34" s="1">
        <v>30</v>
      </c>
      <c r="N34" s="1">
        <v>0</v>
      </c>
      <c r="O34" s="1">
        <v>7</v>
      </c>
      <c r="P34" s="1">
        <v>28</v>
      </c>
      <c r="Q34" s="1"/>
      <c r="R34" s="1"/>
      <c r="S34" s="1">
        <v>8</v>
      </c>
      <c r="T34" s="1">
        <v>1</v>
      </c>
      <c r="U34" s="1">
        <v>4</v>
      </c>
      <c r="V34" s="1">
        <v>5</v>
      </c>
      <c r="W34" s="1">
        <v>155</v>
      </c>
      <c r="X34" s="1">
        <v>1</v>
      </c>
      <c r="Y34" s="1">
        <v>153</v>
      </c>
      <c r="Z34" s="1">
        <v>51</v>
      </c>
      <c r="AA34" s="1">
        <v>1</v>
      </c>
      <c r="AB34" s="1">
        <v>41</v>
      </c>
      <c r="AC34" s="1"/>
      <c r="AD34" s="1">
        <v>688</v>
      </c>
    </row>
    <row r="35" spans="1:30">
      <c r="A35" s="49">
        <v>43925</v>
      </c>
      <c r="B35" s="1">
        <v>37</v>
      </c>
      <c r="C35" s="1">
        <v>3</v>
      </c>
      <c r="D35" s="1"/>
      <c r="E35" s="1"/>
      <c r="F35" s="1">
        <v>3</v>
      </c>
      <c r="G35" s="1">
        <v>28</v>
      </c>
      <c r="H35" s="1">
        <v>19</v>
      </c>
      <c r="I35" s="1">
        <v>24</v>
      </c>
      <c r="J35" s="1">
        <v>1</v>
      </c>
      <c r="K35" s="1">
        <v>104</v>
      </c>
      <c r="L35" s="1">
        <v>2</v>
      </c>
      <c r="M35" s="1">
        <v>30</v>
      </c>
      <c r="N35" s="1">
        <v>0</v>
      </c>
      <c r="O35" s="1">
        <v>7</v>
      </c>
      <c r="P35" s="1">
        <v>30</v>
      </c>
      <c r="Q35" s="1"/>
      <c r="R35" s="1"/>
      <c r="S35" s="1">
        <v>9</v>
      </c>
      <c r="T35" s="1">
        <v>1</v>
      </c>
      <c r="U35" s="1">
        <v>5</v>
      </c>
      <c r="V35" s="1">
        <v>5</v>
      </c>
      <c r="W35" s="1">
        <v>165</v>
      </c>
      <c r="X35" s="1">
        <v>1</v>
      </c>
      <c r="Y35" s="1">
        <v>164</v>
      </c>
      <c r="Z35" s="1">
        <v>53</v>
      </c>
      <c r="AA35" s="1">
        <v>2</v>
      </c>
      <c r="AB35" s="1">
        <v>49</v>
      </c>
      <c r="AC35" s="1"/>
      <c r="AD35" s="1">
        <v>742</v>
      </c>
    </row>
    <row r="36" spans="1:30">
      <c r="A36" s="49">
        <v>43926</v>
      </c>
      <c r="B36" s="1">
        <v>40</v>
      </c>
      <c r="C36" s="1">
        <v>3</v>
      </c>
      <c r="D36" s="1"/>
      <c r="E36" s="1"/>
      <c r="F36" s="1">
        <v>3</v>
      </c>
      <c r="G36" s="1">
        <v>28</v>
      </c>
      <c r="H36" s="1">
        <v>19</v>
      </c>
      <c r="I36" s="1">
        <v>26</v>
      </c>
      <c r="J36" s="1">
        <v>1</v>
      </c>
      <c r="K36" s="1">
        <v>111</v>
      </c>
      <c r="L36" s="1">
        <v>2</v>
      </c>
      <c r="M36" s="1">
        <v>33</v>
      </c>
      <c r="N36" s="1">
        <v>0</v>
      </c>
      <c r="O36" s="1">
        <v>9</v>
      </c>
      <c r="P36" s="1">
        <v>30</v>
      </c>
      <c r="Q36" s="1"/>
      <c r="R36" s="1"/>
      <c r="S36" s="1">
        <v>9</v>
      </c>
      <c r="T36" s="1">
        <v>1</v>
      </c>
      <c r="U36" s="1">
        <v>5</v>
      </c>
      <c r="V36" s="1">
        <v>7</v>
      </c>
      <c r="W36" s="1">
        <v>177</v>
      </c>
      <c r="X36" s="1">
        <v>2</v>
      </c>
      <c r="Y36" s="1">
        <v>176</v>
      </c>
      <c r="Z36" s="1">
        <v>57</v>
      </c>
      <c r="AA36" s="1">
        <v>2</v>
      </c>
      <c r="AB36" s="1">
        <v>53</v>
      </c>
      <c r="AC36" s="1"/>
      <c r="AD36" s="1">
        <v>794</v>
      </c>
    </row>
    <row r="37" spans="1:30">
      <c r="A37" s="49">
        <v>43927</v>
      </c>
      <c r="B37" s="1">
        <v>41</v>
      </c>
      <c r="C37" s="1">
        <v>3</v>
      </c>
      <c r="D37" s="1">
        <v>13</v>
      </c>
      <c r="E37" s="1"/>
      <c r="F37" s="1">
        <v>3</v>
      </c>
      <c r="G37" s="1">
        <v>31</v>
      </c>
      <c r="H37" s="1">
        <v>19</v>
      </c>
      <c r="I37" s="1">
        <v>26</v>
      </c>
      <c r="J37" s="1"/>
      <c r="K37" s="1">
        <v>123</v>
      </c>
      <c r="L37" s="1">
        <v>2</v>
      </c>
      <c r="M37" s="1">
        <v>34</v>
      </c>
      <c r="N37" s="1">
        <v>0</v>
      </c>
      <c r="O37" s="1">
        <v>9</v>
      </c>
      <c r="P37" s="1">
        <v>34</v>
      </c>
      <c r="Q37" s="1"/>
      <c r="R37" s="1">
        <v>0</v>
      </c>
      <c r="S37" s="1">
        <v>11</v>
      </c>
      <c r="T37" s="1">
        <v>1</v>
      </c>
      <c r="U37" s="1">
        <v>6</v>
      </c>
      <c r="V37" s="1">
        <v>7</v>
      </c>
      <c r="W37" s="1">
        <v>189</v>
      </c>
      <c r="X37" s="1">
        <v>2</v>
      </c>
      <c r="Y37" s="1">
        <v>192</v>
      </c>
      <c r="Z37" s="1">
        <v>60</v>
      </c>
      <c r="AA37" s="1">
        <v>3</v>
      </c>
      <c r="AB37" s="1">
        <v>55</v>
      </c>
      <c r="AC37" s="1"/>
      <c r="AD37" s="1">
        <v>864</v>
      </c>
    </row>
    <row r="38" spans="1:30">
      <c r="A38" s="49">
        <v>43928</v>
      </c>
      <c r="B38" s="1">
        <v>44</v>
      </c>
      <c r="C38" s="1">
        <v>3</v>
      </c>
      <c r="D38" s="1">
        <v>16</v>
      </c>
      <c r="E38" s="1"/>
      <c r="F38" s="1">
        <v>3</v>
      </c>
      <c r="G38" s="1">
        <v>33</v>
      </c>
      <c r="H38" s="1">
        <v>19</v>
      </c>
      <c r="I38" s="1">
        <v>28</v>
      </c>
      <c r="J38" s="1">
        <v>1</v>
      </c>
      <c r="K38" s="1">
        <v>134</v>
      </c>
      <c r="L38" s="1">
        <v>2</v>
      </c>
      <c r="M38" s="1">
        <v>35</v>
      </c>
      <c r="N38" s="1">
        <v>0</v>
      </c>
      <c r="O38" s="1">
        <v>9</v>
      </c>
      <c r="P38" s="1">
        <v>37</v>
      </c>
      <c r="Q38" s="1"/>
      <c r="R38" s="1">
        <v>0</v>
      </c>
      <c r="S38" s="1">
        <v>13</v>
      </c>
      <c r="T38" s="1">
        <v>1</v>
      </c>
      <c r="U38" s="1">
        <v>7</v>
      </c>
      <c r="V38" s="1">
        <v>8</v>
      </c>
      <c r="W38" s="1">
        <v>198</v>
      </c>
      <c r="X38" s="1">
        <v>2</v>
      </c>
      <c r="Y38" s="1">
        <v>204</v>
      </c>
      <c r="Z38" s="1">
        <v>68</v>
      </c>
      <c r="AA38" s="1">
        <v>3</v>
      </c>
      <c r="AB38" s="1">
        <v>57</v>
      </c>
      <c r="AC38" s="1"/>
      <c r="AD38" s="1">
        <v>925</v>
      </c>
    </row>
    <row r="39" spans="1:30">
      <c r="A39" s="49">
        <v>43929</v>
      </c>
      <c r="B39" s="1">
        <v>45</v>
      </c>
      <c r="C39" s="1">
        <v>3</v>
      </c>
      <c r="D39" s="1">
        <v>16</v>
      </c>
      <c r="E39" s="1"/>
      <c r="F39" s="1">
        <v>3</v>
      </c>
      <c r="G39" s="1">
        <v>37</v>
      </c>
      <c r="H39" s="1">
        <v>21</v>
      </c>
      <c r="I39" s="1">
        <v>31</v>
      </c>
      <c r="J39" s="1"/>
      <c r="K39" s="1">
        <v>148</v>
      </c>
      <c r="L39" s="1">
        <v>2</v>
      </c>
      <c r="M39" s="1">
        <v>35</v>
      </c>
      <c r="N39" s="1">
        <v>1</v>
      </c>
      <c r="O39" s="1">
        <v>9</v>
      </c>
      <c r="P39" s="1">
        <v>40</v>
      </c>
      <c r="Q39" s="1"/>
      <c r="R39" s="1">
        <v>0</v>
      </c>
      <c r="S39" s="1">
        <v>15</v>
      </c>
      <c r="T39" s="1">
        <v>1</v>
      </c>
      <c r="U39" s="1">
        <v>7</v>
      </c>
      <c r="V39" s="1">
        <v>8</v>
      </c>
      <c r="W39" s="1">
        <v>211</v>
      </c>
      <c r="X39" s="1">
        <v>4</v>
      </c>
      <c r="Y39" s="1">
        <v>216</v>
      </c>
      <c r="Z39" s="1">
        <v>71</v>
      </c>
      <c r="AA39" s="1">
        <v>3</v>
      </c>
      <c r="AB39" s="1">
        <v>65</v>
      </c>
      <c r="AC39" s="1"/>
      <c r="AD39" s="1">
        <v>992</v>
      </c>
    </row>
    <row r="40" spans="1:30">
      <c r="A40" s="49">
        <v>43930</v>
      </c>
      <c r="B40" s="1">
        <v>46</v>
      </c>
      <c r="C40" s="1">
        <v>5</v>
      </c>
      <c r="D40" s="1">
        <v>17</v>
      </c>
      <c r="E40" s="1"/>
      <c r="F40" s="1">
        <v>3</v>
      </c>
      <c r="G40" s="1">
        <v>38</v>
      </c>
      <c r="H40" s="1">
        <v>21</v>
      </c>
      <c r="I40" s="1">
        <v>33</v>
      </c>
      <c r="J40" s="1"/>
      <c r="K40" s="1">
        <v>157</v>
      </c>
      <c r="L40" s="1">
        <v>2</v>
      </c>
      <c r="M40" s="1">
        <v>36</v>
      </c>
      <c r="N40" s="1">
        <v>1</v>
      </c>
      <c r="O40" s="1">
        <v>9</v>
      </c>
      <c r="P40" s="1">
        <v>42</v>
      </c>
      <c r="Q40" s="1"/>
      <c r="R40" s="1">
        <v>0</v>
      </c>
      <c r="S40" s="1">
        <v>16</v>
      </c>
      <c r="T40" s="1">
        <v>1</v>
      </c>
      <c r="U40" s="1">
        <v>9</v>
      </c>
      <c r="V40" s="1">
        <v>8</v>
      </c>
      <c r="W40" s="1">
        <v>219</v>
      </c>
      <c r="X40" s="1">
        <v>4</v>
      </c>
      <c r="Y40" s="1">
        <v>230</v>
      </c>
      <c r="Z40" s="1">
        <v>77</v>
      </c>
      <c r="AA40" s="1">
        <v>3</v>
      </c>
      <c r="AB40" s="1">
        <v>66</v>
      </c>
      <c r="AC40" s="1"/>
      <c r="AD40" s="1">
        <v>1043</v>
      </c>
    </row>
    <row r="41" spans="1:30">
      <c r="A41" s="49">
        <v>43931</v>
      </c>
      <c r="B41" s="1">
        <v>49</v>
      </c>
      <c r="C41" s="1">
        <v>5</v>
      </c>
      <c r="D41" s="1">
        <v>18</v>
      </c>
      <c r="E41" s="1"/>
      <c r="F41" s="1">
        <v>3</v>
      </c>
      <c r="G41" s="1">
        <v>42</v>
      </c>
      <c r="H41" s="1">
        <v>22</v>
      </c>
      <c r="I41" s="1">
        <v>33</v>
      </c>
      <c r="J41" s="1">
        <v>1</v>
      </c>
      <c r="K41" s="1">
        <v>168</v>
      </c>
      <c r="L41" s="1">
        <v>2</v>
      </c>
      <c r="M41" s="1">
        <v>36</v>
      </c>
      <c r="N41" s="1">
        <v>3</v>
      </c>
      <c r="O41" s="1">
        <v>9</v>
      </c>
      <c r="P41" s="1">
        <v>42</v>
      </c>
      <c r="Q41" s="1"/>
      <c r="R41" s="1"/>
      <c r="S41" s="1">
        <v>17</v>
      </c>
      <c r="T41" s="1">
        <v>1</v>
      </c>
      <c r="U41" s="1">
        <v>10</v>
      </c>
      <c r="V41" s="1">
        <v>8</v>
      </c>
      <c r="W41" s="1">
        <v>227</v>
      </c>
      <c r="X41" s="1">
        <v>4</v>
      </c>
      <c r="Y41" s="1">
        <v>237</v>
      </c>
      <c r="Z41" s="1">
        <v>83</v>
      </c>
      <c r="AA41" s="1">
        <v>3</v>
      </c>
      <c r="AB41" s="1">
        <v>71</v>
      </c>
      <c r="AC41" s="1"/>
      <c r="AD41" s="1">
        <v>1094</v>
      </c>
    </row>
    <row r="42" spans="1:30">
      <c r="A42" s="49">
        <v>43932</v>
      </c>
      <c r="B42" s="1">
        <v>53</v>
      </c>
      <c r="C42" s="1">
        <v>6</v>
      </c>
      <c r="D42" s="1">
        <v>18</v>
      </c>
      <c r="E42" s="1"/>
      <c r="F42" s="1">
        <v>3</v>
      </c>
      <c r="G42" s="1">
        <v>44</v>
      </c>
      <c r="H42" s="1">
        <v>22</v>
      </c>
      <c r="I42" s="1">
        <v>33</v>
      </c>
      <c r="J42" s="1">
        <v>1</v>
      </c>
      <c r="K42" s="1">
        <v>176</v>
      </c>
      <c r="L42" s="1">
        <v>2</v>
      </c>
      <c r="M42" s="1">
        <v>36</v>
      </c>
      <c r="N42" s="1">
        <v>3</v>
      </c>
      <c r="O42" s="1">
        <v>10</v>
      </c>
      <c r="P42" s="1">
        <v>44</v>
      </c>
      <c r="Q42" s="1">
        <v>1</v>
      </c>
      <c r="R42" s="1"/>
      <c r="S42" s="1">
        <v>18</v>
      </c>
      <c r="T42" s="1">
        <v>1</v>
      </c>
      <c r="U42" s="1">
        <v>10</v>
      </c>
      <c r="V42" s="1">
        <v>8</v>
      </c>
      <c r="W42" s="1">
        <v>229</v>
      </c>
      <c r="X42" s="1">
        <v>4</v>
      </c>
      <c r="Y42" s="1">
        <v>243</v>
      </c>
      <c r="Z42" s="1">
        <v>85</v>
      </c>
      <c r="AA42" s="1">
        <v>4</v>
      </c>
      <c r="AB42" s="1">
        <v>77</v>
      </c>
      <c r="AC42" s="1"/>
      <c r="AD42" s="1">
        <v>1131</v>
      </c>
    </row>
    <row r="43" spans="1:30">
      <c r="A43" s="49">
        <v>43933</v>
      </c>
      <c r="B43" s="1">
        <v>54</v>
      </c>
      <c r="C43" s="1">
        <v>7</v>
      </c>
      <c r="D43" s="1">
        <v>18</v>
      </c>
      <c r="E43" s="1"/>
      <c r="F43" s="1"/>
      <c r="G43" s="1">
        <v>49</v>
      </c>
      <c r="H43" s="1">
        <v>23</v>
      </c>
      <c r="I43" s="1">
        <v>33</v>
      </c>
      <c r="J43" s="1">
        <v>1</v>
      </c>
      <c r="K43" s="1">
        <v>183</v>
      </c>
      <c r="L43" s="1">
        <v>2</v>
      </c>
      <c r="M43" s="1">
        <v>36</v>
      </c>
      <c r="N43" s="1">
        <v>3</v>
      </c>
      <c r="O43" s="1">
        <v>10</v>
      </c>
      <c r="P43" s="1">
        <v>49</v>
      </c>
      <c r="Q43" s="1">
        <v>1</v>
      </c>
      <c r="R43" s="1"/>
      <c r="S43" s="1">
        <v>21</v>
      </c>
      <c r="T43" s="1">
        <v>1</v>
      </c>
      <c r="U43" s="1">
        <v>11</v>
      </c>
      <c r="V43" s="1">
        <v>8</v>
      </c>
      <c r="W43" s="1">
        <v>244</v>
      </c>
      <c r="X43" s="1">
        <v>4</v>
      </c>
      <c r="Y43" s="1">
        <v>251</v>
      </c>
      <c r="Z43" s="1">
        <v>91</v>
      </c>
      <c r="AA43" s="1">
        <v>5</v>
      </c>
      <c r="AB43" s="1">
        <v>79</v>
      </c>
      <c r="AC43" s="1"/>
      <c r="AD43" s="1">
        <v>1184</v>
      </c>
    </row>
    <row r="44" spans="1:30">
      <c r="A44" s="49">
        <v>43934</v>
      </c>
      <c r="B44" s="1">
        <v>55</v>
      </c>
      <c r="C44" s="1">
        <v>7</v>
      </c>
      <c r="D44" s="1">
        <v>19</v>
      </c>
      <c r="E44" s="1"/>
      <c r="F44" s="1">
        <v>3</v>
      </c>
      <c r="G44" s="1">
        <v>49</v>
      </c>
      <c r="H44" s="1">
        <v>24</v>
      </c>
      <c r="I44" s="1">
        <v>34</v>
      </c>
      <c r="J44" s="1">
        <v>1</v>
      </c>
      <c r="K44" s="1">
        <v>186</v>
      </c>
      <c r="L44" s="1">
        <v>2</v>
      </c>
      <c r="M44" s="1">
        <v>37</v>
      </c>
      <c r="N44" s="1">
        <v>3</v>
      </c>
      <c r="O44" s="1">
        <v>10</v>
      </c>
      <c r="P44" s="1">
        <v>51</v>
      </c>
      <c r="Q44" s="1">
        <v>1</v>
      </c>
      <c r="R44" s="1"/>
      <c r="S44" s="1">
        <v>21</v>
      </c>
      <c r="T44" s="1">
        <v>1</v>
      </c>
      <c r="U44" s="1">
        <v>12</v>
      </c>
      <c r="V44" s="1">
        <v>8</v>
      </c>
      <c r="W44" s="1">
        <v>251</v>
      </c>
      <c r="X44" s="1">
        <v>4</v>
      </c>
      <c r="Y44" s="1">
        <v>257</v>
      </c>
      <c r="Z44" s="1">
        <v>93</v>
      </c>
      <c r="AA44" s="1">
        <v>5</v>
      </c>
      <c r="AB44" s="1">
        <v>83</v>
      </c>
      <c r="AC44" s="1"/>
      <c r="AD44" s="1">
        <v>1217</v>
      </c>
    </row>
    <row r="45" spans="1:30">
      <c r="A45" s="49">
        <v>43935</v>
      </c>
      <c r="B45" s="1">
        <v>57</v>
      </c>
      <c r="C45" s="1">
        <v>8</v>
      </c>
      <c r="D45" s="1">
        <v>19</v>
      </c>
      <c r="E45" s="1"/>
      <c r="F45" s="1">
        <v>3</v>
      </c>
      <c r="G45" s="1">
        <v>49</v>
      </c>
      <c r="H45" s="1">
        <v>25</v>
      </c>
      <c r="I45" s="1">
        <v>34</v>
      </c>
      <c r="J45" s="1"/>
      <c r="K45" s="1">
        <v>191</v>
      </c>
      <c r="L45" s="1">
        <v>2</v>
      </c>
      <c r="M45" s="1">
        <v>37</v>
      </c>
      <c r="N45" s="1">
        <v>3</v>
      </c>
      <c r="O45" s="1">
        <v>11</v>
      </c>
      <c r="P45" s="1">
        <v>54</v>
      </c>
      <c r="Q45" s="1">
        <v>1</v>
      </c>
      <c r="R45" s="1">
        <v>0</v>
      </c>
      <c r="S45" s="1">
        <v>21</v>
      </c>
      <c r="T45" s="1">
        <v>1</v>
      </c>
      <c r="U45" s="1">
        <v>13</v>
      </c>
      <c r="V45" s="1">
        <v>10</v>
      </c>
      <c r="W45" s="1">
        <v>258</v>
      </c>
      <c r="X45" s="1">
        <v>4</v>
      </c>
      <c r="Y45" s="1">
        <v>267</v>
      </c>
      <c r="Z45" s="1">
        <v>94</v>
      </c>
      <c r="AA45" s="1">
        <v>5</v>
      </c>
      <c r="AB45" s="1">
        <v>87</v>
      </c>
      <c r="AC45" s="1"/>
      <c r="AD45" s="1">
        <v>1254</v>
      </c>
    </row>
    <row r="46" spans="1:30">
      <c r="A46" s="49">
        <v>43936</v>
      </c>
      <c r="B46" s="1">
        <v>63</v>
      </c>
      <c r="C46" s="1">
        <v>8</v>
      </c>
      <c r="D46" s="1">
        <v>22</v>
      </c>
      <c r="E46" s="1"/>
      <c r="F46" s="1">
        <v>3</v>
      </c>
      <c r="G46" s="1">
        <v>53</v>
      </c>
      <c r="H46" s="1">
        <v>25</v>
      </c>
      <c r="I46" s="1">
        <v>36</v>
      </c>
      <c r="J46" s="1">
        <v>1</v>
      </c>
      <c r="K46" s="1">
        <v>196</v>
      </c>
      <c r="L46" s="1">
        <v>2</v>
      </c>
      <c r="M46" s="1">
        <v>38</v>
      </c>
      <c r="N46" s="1">
        <v>3</v>
      </c>
      <c r="O46" s="1">
        <v>12</v>
      </c>
      <c r="P46" s="1">
        <v>55</v>
      </c>
      <c r="Q46" s="1">
        <v>2</v>
      </c>
      <c r="R46" s="1">
        <v>0</v>
      </c>
      <c r="S46" s="1">
        <v>23</v>
      </c>
      <c r="T46" s="1">
        <v>1</v>
      </c>
      <c r="U46" s="1">
        <v>13</v>
      </c>
      <c r="V46" s="1">
        <v>11</v>
      </c>
      <c r="W46" s="1">
        <v>263</v>
      </c>
      <c r="X46" s="1">
        <v>4</v>
      </c>
      <c r="Y46" s="1">
        <v>284</v>
      </c>
      <c r="Z46" s="1">
        <v>94</v>
      </c>
      <c r="AA46" s="1">
        <v>5</v>
      </c>
      <c r="AB46" s="1">
        <v>91</v>
      </c>
      <c r="AC46" s="1"/>
      <c r="AD46" s="1">
        <v>1308</v>
      </c>
    </row>
    <row r="47" spans="1:30">
      <c r="A47" s="49">
        <v>43937</v>
      </c>
      <c r="B47" s="1">
        <v>65</v>
      </c>
      <c r="C47" s="1">
        <v>8</v>
      </c>
      <c r="D47" s="1">
        <v>23</v>
      </c>
      <c r="E47" s="1"/>
      <c r="F47" s="1">
        <v>3</v>
      </c>
      <c r="G47" s="1">
        <v>55</v>
      </c>
      <c r="H47" s="1">
        <v>25</v>
      </c>
      <c r="I47" s="1">
        <v>37</v>
      </c>
      <c r="J47" s="1">
        <v>1</v>
      </c>
      <c r="K47" s="1">
        <v>202</v>
      </c>
      <c r="L47" s="1">
        <v>3</v>
      </c>
      <c r="M47" s="1">
        <v>39</v>
      </c>
      <c r="N47" s="1">
        <v>3</v>
      </c>
      <c r="O47" s="1">
        <v>13</v>
      </c>
      <c r="P47" s="1">
        <v>56</v>
      </c>
      <c r="Q47" s="1">
        <v>2</v>
      </c>
      <c r="R47" s="1">
        <v>0</v>
      </c>
      <c r="S47" s="1">
        <v>25</v>
      </c>
      <c r="T47" s="1">
        <v>1</v>
      </c>
      <c r="U47" s="1">
        <v>14</v>
      </c>
      <c r="V47" s="1">
        <v>11</v>
      </c>
      <c r="W47" s="1">
        <v>269</v>
      </c>
      <c r="X47" s="1">
        <v>5</v>
      </c>
      <c r="Y47" s="1">
        <v>297</v>
      </c>
      <c r="Z47" s="1">
        <v>95</v>
      </c>
      <c r="AA47" s="1">
        <v>6</v>
      </c>
      <c r="AB47" s="1">
        <v>95</v>
      </c>
      <c r="AC47" s="1"/>
      <c r="AD47" s="1">
        <v>1353</v>
      </c>
    </row>
    <row r="48" spans="1:30">
      <c r="A48" s="49">
        <v>43938</v>
      </c>
      <c r="B48" s="1">
        <v>67</v>
      </c>
      <c r="C48" s="1">
        <v>9</v>
      </c>
      <c r="D48" s="1">
        <v>24</v>
      </c>
      <c r="E48" s="1"/>
      <c r="F48" s="1">
        <v>3</v>
      </c>
      <c r="G48" s="1">
        <v>67</v>
      </c>
      <c r="H48" s="1">
        <v>25</v>
      </c>
      <c r="I48" s="1">
        <v>37</v>
      </c>
      <c r="J48" s="1">
        <v>1</v>
      </c>
      <c r="K48" s="1">
        <v>208</v>
      </c>
      <c r="L48" s="1">
        <v>3</v>
      </c>
      <c r="M48" s="1">
        <v>40</v>
      </c>
      <c r="N48" s="1">
        <v>3</v>
      </c>
      <c r="O48" s="1">
        <v>14</v>
      </c>
      <c r="P48" s="1">
        <v>59</v>
      </c>
      <c r="Q48" s="1">
        <v>3</v>
      </c>
      <c r="R48" s="1">
        <v>0</v>
      </c>
      <c r="S48" s="1">
        <v>27</v>
      </c>
      <c r="T48" s="1">
        <v>1</v>
      </c>
      <c r="U48" s="1">
        <v>14</v>
      </c>
      <c r="V48" s="1">
        <v>12</v>
      </c>
      <c r="W48" s="1">
        <v>270</v>
      </c>
      <c r="X48" s="1">
        <v>5</v>
      </c>
      <c r="Y48" s="1">
        <v>302</v>
      </c>
      <c r="Z48" s="1">
        <v>99</v>
      </c>
      <c r="AA48" s="1">
        <v>6</v>
      </c>
      <c r="AB48" s="1">
        <v>99</v>
      </c>
      <c r="AC48" s="1"/>
      <c r="AD48" s="1">
        <v>1398</v>
      </c>
    </row>
    <row r="49" spans="1:30">
      <c r="A49" s="49">
        <v>43939</v>
      </c>
      <c r="B49" s="1">
        <v>69</v>
      </c>
      <c r="C49" s="1">
        <v>10</v>
      </c>
      <c r="D49" s="1">
        <v>25</v>
      </c>
      <c r="E49" s="1"/>
      <c r="F49" s="1"/>
      <c r="G49" s="1">
        <v>69</v>
      </c>
      <c r="H49" s="1">
        <v>25</v>
      </c>
      <c r="I49" s="1">
        <v>40</v>
      </c>
      <c r="J49" s="1">
        <v>1</v>
      </c>
      <c r="K49" s="1">
        <v>212</v>
      </c>
      <c r="L49" s="1">
        <v>3</v>
      </c>
      <c r="M49" s="1">
        <v>40</v>
      </c>
      <c r="N49" s="1">
        <v>3</v>
      </c>
      <c r="O49" s="1">
        <v>15</v>
      </c>
      <c r="P49" s="1">
        <v>59</v>
      </c>
      <c r="Q49" s="1">
        <v>3</v>
      </c>
      <c r="R49" s="1"/>
      <c r="S49" s="1">
        <v>27</v>
      </c>
      <c r="T49" s="1">
        <v>1</v>
      </c>
      <c r="U49" s="1">
        <v>14</v>
      </c>
      <c r="V49" s="1">
        <v>13</v>
      </c>
      <c r="W49" s="1">
        <v>277</v>
      </c>
      <c r="X49" s="1">
        <v>5</v>
      </c>
      <c r="Y49" s="1">
        <v>310</v>
      </c>
      <c r="Z49" s="1">
        <v>104</v>
      </c>
      <c r="AA49" s="1">
        <v>7</v>
      </c>
      <c r="AB49" s="1">
        <v>105</v>
      </c>
      <c r="AC49" s="1"/>
      <c r="AD49" s="1">
        <v>1437</v>
      </c>
    </row>
    <row r="50" spans="1:30">
      <c r="A50" s="49">
        <v>43940</v>
      </c>
      <c r="B50" s="1">
        <v>71</v>
      </c>
      <c r="C50" s="1">
        <v>11</v>
      </c>
      <c r="D50" s="1">
        <v>25</v>
      </c>
      <c r="E50" s="1"/>
      <c r="F50" s="1"/>
      <c r="G50" s="1">
        <v>69</v>
      </c>
      <c r="H50" s="1">
        <v>25</v>
      </c>
      <c r="I50" s="1">
        <v>40</v>
      </c>
      <c r="J50" s="1">
        <v>1</v>
      </c>
      <c r="K50" s="1">
        <v>215</v>
      </c>
      <c r="L50" s="1">
        <v>3</v>
      </c>
      <c r="M50" s="1">
        <v>41</v>
      </c>
      <c r="N50" s="1">
        <v>5</v>
      </c>
      <c r="O50" s="1">
        <v>15</v>
      </c>
      <c r="P50" s="1">
        <v>60</v>
      </c>
      <c r="Q50" s="1">
        <v>3</v>
      </c>
      <c r="R50" s="1"/>
      <c r="S50" s="1">
        <v>27</v>
      </c>
      <c r="T50" s="1">
        <v>1</v>
      </c>
      <c r="U50" s="1">
        <v>15</v>
      </c>
      <c r="V50" s="1">
        <v>13</v>
      </c>
      <c r="W50" s="1">
        <v>281</v>
      </c>
      <c r="X50" s="1">
        <v>5</v>
      </c>
      <c r="Y50" s="1">
        <v>315</v>
      </c>
      <c r="Z50" s="1">
        <v>107</v>
      </c>
      <c r="AA50" s="1">
        <v>7</v>
      </c>
      <c r="AB50" s="1">
        <v>105</v>
      </c>
      <c r="AC50" s="1"/>
      <c r="AD50" s="1">
        <v>1460</v>
      </c>
    </row>
    <row r="51" spans="1:30">
      <c r="A51" s="49">
        <v>43941</v>
      </c>
      <c r="B51" s="1">
        <v>72</v>
      </c>
      <c r="C51" s="1">
        <v>11</v>
      </c>
      <c r="D51" s="1">
        <v>28</v>
      </c>
      <c r="E51" s="1"/>
      <c r="F51" s="1">
        <v>3</v>
      </c>
      <c r="G51" s="1">
        <v>73</v>
      </c>
      <c r="H51" s="1">
        <v>25</v>
      </c>
      <c r="I51" s="1">
        <v>42</v>
      </c>
      <c r="J51" s="1">
        <v>1</v>
      </c>
      <c r="K51" s="1">
        <v>217</v>
      </c>
      <c r="L51" s="1">
        <v>5</v>
      </c>
      <c r="M51" s="1">
        <v>42</v>
      </c>
      <c r="N51" s="1">
        <v>6</v>
      </c>
      <c r="O51" s="1">
        <v>15</v>
      </c>
      <c r="P51" s="1">
        <v>62</v>
      </c>
      <c r="Q51" s="1">
        <v>3</v>
      </c>
      <c r="R51" s="1">
        <v>0</v>
      </c>
      <c r="S51" s="1">
        <v>27</v>
      </c>
      <c r="T51" s="1">
        <v>1</v>
      </c>
      <c r="U51" s="1">
        <v>15</v>
      </c>
      <c r="V51" s="1">
        <v>13</v>
      </c>
      <c r="W51" s="1">
        <v>288</v>
      </c>
      <c r="X51" s="1">
        <v>5</v>
      </c>
      <c r="Y51" s="1">
        <v>326</v>
      </c>
      <c r="Z51" s="1">
        <v>110</v>
      </c>
      <c r="AA51" s="1">
        <v>7</v>
      </c>
      <c r="AB51" s="1">
        <v>107</v>
      </c>
      <c r="AC51" s="1"/>
      <c r="AD51" s="1">
        <v>1504</v>
      </c>
    </row>
    <row r="52" spans="1:30">
      <c r="A52" s="49">
        <v>43942</v>
      </c>
      <c r="B52" s="1">
        <v>74</v>
      </c>
      <c r="C52" s="1">
        <v>11</v>
      </c>
      <c r="D52" s="1">
        <v>29</v>
      </c>
      <c r="E52" s="1"/>
      <c r="F52" s="1">
        <v>3</v>
      </c>
      <c r="G52" s="1">
        <v>77</v>
      </c>
      <c r="H52" s="1">
        <v>26</v>
      </c>
      <c r="I52" s="1">
        <v>44</v>
      </c>
      <c r="J52" s="1">
        <v>1</v>
      </c>
      <c r="K52" s="1">
        <v>222</v>
      </c>
      <c r="L52" s="1">
        <v>6</v>
      </c>
      <c r="M52" s="1">
        <v>43</v>
      </c>
      <c r="N52" s="1">
        <v>6</v>
      </c>
      <c r="O52" s="1">
        <v>15</v>
      </c>
      <c r="P52" s="1">
        <v>63</v>
      </c>
      <c r="Q52" s="1">
        <v>3</v>
      </c>
      <c r="R52" s="1">
        <v>0</v>
      </c>
      <c r="S52" s="1">
        <v>29</v>
      </c>
      <c r="T52" s="1">
        <v>2</v>
      </c>
      <c r="U52" s="1">
        <v>16</v>
      </c>
      <c r="V52" s="1">
        <v>13</v>
      </c>
      <c r="W52" s="1">
        <v>291</v>
      </c>
      <c r="X52" s="1">
        <v>5</v>
      </c>
      <c r="Y52" s="1">
        <v>334</v>
      </c>
      <c r="Z52" s="1">
        <v>115</v>
      </c>
      <c r="AA52" s="1">
        <v>8</v>
      </c>
      <c r="AB52" s="1">
        <v>109</v>
      </c>
      <c r="AC52" s="1"/>
      <c r="AD52" s="1">
        <v>1545</v>
      </c>
    </row>
    <row r="53" spans="1:30">
      <c r="A53" s="49">
        <v>43943</v>
      </c>
      <c r="B53" s="1">
        <v>76</v>
      </c>
      <c r="C53" s="1">
        <v>11</v>
      </c>
      <c r="D53" s="1">
        <v>31</v>
      </c>
      <c r="E53" s="1"/>
      <c r="F53" s="1">
        <v>3</v>
      </c>
      <c r="G53" s="1">
        <v>77</v>
      </c>
      <c r="H53" s="1">
        <v>26</v>
      </c>
      <c r="I53" s="1">
        <v>45</v>
      </c>
      <c r="J53" s="1">
        <v>1</v>
      </c>
      <c r="K53" s="1">
        <v>227</v>
      </c>
      <c r="L53" s="1">
        <v>6</v>
      </c>
      <c r="M53" s="1">
        <v>43</v>
      </c>
      <c r="N53" s="1">
        <v>6</v>
      </c>
      <c r="O53" s="1">
        <v>15</v>
      </c>
      <c r="P53" s="1">
        <v>65</v>
      </c>
      <c r="Q53" s="1">
        <v>3</v>
      </c>
      <c r="R53" s="1">
        <v>0</v>
      </c>
      <c r="S53" s="1">
        <v>29</v>
      </c>
      <c r="T53" s="1">
        <v>3</v>
      </c>
      <c r="U53" s="1">
        <v>16</v>
      </c>
      <c r="V53" s="1">
        <v>14</v>
      </c>
      <c r="W53" s="1">
        <v>295</v>
      </c>
      <c r="X53" s="1">
        <v>5</v>
      </c>
      <c r="Y53" s="1">
        <v>338</v>
      </c>
      <c r="Z53" s="1">
        <v>118</v>
      </c>
      <c r="AA53" s="1">
        <v>8</v>
      </c>
      <c r="AB53" s="1">
        <v>110</v>
      </c>
      <c r="AC53" s="1"/>
      <c r="AD53" s="1">
        <v>1571</v>
      </c>
    </row>
    <row r="54" spans="1:30">
      <c r="A54" s="49">
        <v>43944</v>
      </c>
      <c r="B54" s="1">
        <v>76</v>
      </c>
      <c r="C54" s="1">
        <v>12</v>
      </c>
      <c r="D54" s="1">
        <v>31</v>
      </c>
      <c r="E54" s="1"/>
      <c r="F54" s="1">
        <v>3</v>
      </c>
      <c r="G54" s="1">
        <v>79</v>
      </c>
      <c r="H54" s="1">
        <v>26</v>
      </c>
      <c r="I54" s="1">
        <v>45</v>
      </c>
      <c r="J54" s="1">
        <v>1</v>
      </c>
      <c r="K54" s="1">
        <v>231</v>
      </c>
      <c r="L54" s="1">
        <v>6</v>
      </c>
      <c r="M54" s="1">
        <v>43</v>
      </c>
      <c r="N54" s="1">
        <v>6</v>
      </c>
      <c r="O54" s="1">
        <v>15</v>
      </c>
      <c r="P54" s="1"/>
      <c r="Q54" s="1">
        <v>3</v>
      </c>
      <c r="R54" s="1">
        <v>0</v>
      </c>
      <c r="S54" s="1">
        <v>31</v>
      </c>
      <c r="T54" s="1">
        <v>3</v>
      </c>
      <c r="U54" s="1">
        <v>16</v>
      </c>
      <c r="V54" s="1">
        <v>14</v>
      </c>
      <c r="W54" s="1">
        <v>298</v>
      </c>
      <c r="X54" s="1">
        <v>5</v>
      </c>
      <c r="Y54" s="1">
        <v>347</v>
      </c>
      <c r="Z54" s="1">
        <v>123</v>
      </c>
      <c r="AA54" s="1">
        <v>8</v>
      </c>
      <c r="AB54" s="1">
        <v>113</v>
      </c>
      <c r="AC54" s="1"/>
      <c r="AD54" s="1">
        <v>1535</v>
      </c>
    </row>
    <row r="55" spans="1:30">
      <c r="A55" s="49">
        <v>43945</v>
      </c>
      <c r="B55" s="1">
        <v>76</v>
      </c>
      <c r="C55" s="1">
        <v>14</v>
      </c>
      <c r="D55" s="1">
        <v>31</v>
      </c>
      <c r="E55" s="1"/>
      <c r="F55" s="1">
        <v>3</v>
      </c>
      <c r="G55" s="1">
        <v>82</v>
      </c>
      <c r="H55" s="1">
        <v>30</v>
      </c>
      <c r="I55" s="1">
        <v>46</v>
      </c>
      <c r="J55" s="1">
        <v>1</v>
      </c>
      <c r="K55" s="1">
        <v>236</v>
      </c>
      <c r="L55" s="1">
        <v>7</v>
      </c>
      <c r="M55" s="1">
        <v>44</v>
      </c>
      <c r="N55" s="1">
        <v>6</v>
      </c>
      <c r="O55" s="1">
        <v>16</v>
      </c>
      <c r="P55" s="1"/>
      <c r="Q55" s="1">
        <v>3</v>
      </c>
      <c r="R55" s="1">
        <v>0</v>
      </c>
      <c r="S55" s="1">
        <v>31</v>
      </c>
      <c r="T55" s="1">
        <v>3</v>
      </c>
      <c r="U55" s="1">
        <v>16</v>
      </c>
      <c r="V55" s="1">
        <v>14</v>
      </c>
      <c r="W55" s="1">
        <v>299</v>
      </c>
      <c r="X55" s="1">
        <v>5</v>
      </c>
      <c r="Y55" s="1">
        <v>349</v>
      </c>
      <c r="Z55" s="1">
        <v>127</v>
      </c>
      <c r="AA55" s="1">
        <v>8</v>
      </c>
      <c r="AB55" s="1">
        <v>114</v>
      </c>
      <c r="AC55" s="1"/>
      <c r="AD55" s="1">
        <v>1561</v>
      </c>
    </row>
    <row r="56" spans="1:30">
      <c r="A56" s="49">
        <v>43946</v>
      </c>
      <c r="B56" s="1">
        <v>76</v>
      </c>
      <c r="C56" s="1">
        <v>14</v>
      </c>
      <c r="D56" s="1"/>
      <c r="E56" s="1"/>
      <c r="F56" s="1"/>
      <c r="G56" s="1">
        <v>83</v>
      </c>
      <c r="H56" s="1">
        <v>30</v>
      </c>
      <c r="I56" s="1">
        <v>46</v>
      </c>
      <c r="J56" s="1">
        <v>1</v>
      </c>
      <c r="K56" s="1">
        <v>237</v>
      </c>
      <c r="L56" s="1">
        <v>7</v>
      </c>
      <c r="M56" s="1">
        <v>44</v>
      </c>
      <c r="N56" s="1">
        <v>6</v>
      </c>
      <c r="O56" s="1">
        <v>16</v>
      </c>
      <c r="P56" s="1"/>
      <c r="Q56" s="1">
        <v>3</v>
      </c>
      <c r="R56" s="1"/>
      <c r="S56" s="1">
        <v>31</v>
      </c>
      <c r="T56" s="1">
        <v>5</v>
      </c>
      <c r="U56" s="1">
        <v>17</v>
      </c>
      <c r="V56" s="1">
        <v>14</v>
      </c>
      <c r="W56" s="1">
        <v>304</v>
      </c>
      <c r="X56" s="1">
        <v>5</v>
      </c>
      <c r="Y56" s="1">
        <v>354</v>
      </c>
      <c r="Z56" s="1">
        <v>129</v>
      </c>
      <c r="AA56" s="1">
        <v>8</v>
      </c>
      <c r="AB56" s="1">
        <v>115</v>
      </c>
      <c r="AC56" s="1"/>
      <c r="AD56" s="1">
        <v>1545</v>
      </c>
    </row>
    <row r="57" spans="1:30">
      <c r="A57" s="49">
        <v>43947</v>
      </c>
      <c r="B57" s="1">
        <v>77</v>
      </c>
      <c r="C57" s="1">
        <v>15</v>
      </c>
      <c r="D57" s="1"/>
      <c r="E57" s="1"/>
      <c r="F57" s="1"/>
      <c r="G57" s="1">
        <v>83</v>
      </c>
      <c r="H57" s="1">
        <v>30</v>
      </c>
      <c r="I57" s="1">
        <v>46</v>
      </c>
      <c r="J57" s="1">
        <v>1</v>
      </c>
      <c r="K57" s="1">
        <v>239</v>
      </c>
      <c r="L57" s="1">
        <v>7</v>
      </c>
      <c r="M57" s="1">
        <v>44</v>
      </c>
      <c r="N57" s="1">
        <v>6</v>
      </c>
      <c r="O57" s="1">
        <v>16</v>
      </c>
      <c r="P57" s="1"/>
      <c r="Q57" s="1">
        <v>3</v>
      </c>
      <c r="R57" s="1"/>
      <c r="S57" s="1">
        <v>31</v>
      </c>
      <c r="T57" s="1">
        <v>5</v>
      </c>
      <c r="U57" s="1">
        <v>18</v>
      </c>
      <c r="V57" s="1">
        <v>16</v>
      </c>
      <c r="W57" s="1">
        <v>306</v>
      </c>
      <c r="X57" s="1">
        <v>5</v>
      </c>
      <c r="Y57" s="1">
        <v>355</v>
      </c>
      <c r="Z57" s="1">
        <v>131</v>
      </c>
      <c r="AA57" s="1">
        <v>8</v>
      </c>
      <c r="AB57" s="1">
        <v>115</v>
      </c>
      <c r="AC57" s="1"/>
      <c r="AD57" s="1">
        <v>1557</v>
      </c>
    </row>
    <row r="58" spans="1:30">
      <c r="A58" s="49">
        <v>43948</v>
      </c>
      <c r="B58" s="1">
        <v>78</v>
      </c>
      <c r="C58" s="1">
        <v>15</v>
      </c>
      <c r="D58" s="1">
        <v>33</v>
      </c>
      <c r="E58" s="1"/>
      <c r="F58" s="1">
        <v>3</v>
      </c>
      <c r="G58" s="1">
        <v>83</v>
      </c>
      <c r="H58" s="1">
        <v>30</v>
      </c>
      <c r="I58" s="1">
        <v>46</v>
      </c>
      <c r="J58" s="1"/>
      <c r="K58" s="1"/>
      <c r="L58" s="1">
        <v>7</v>
      </c>
      <c r="M58" s="1">
        <v>44</v>
      </c>
      <c r="N58" s="1">
        <v>7</v>
      </c>
      <c r="O58" s="1">
        <v>16</v>
      </c>
      <c r="P58" s="1"/>
      <c r="Q58" s="1">
        <v>3</v>
      </c>
      <c r="R58" s="1">
        <v>0</v>
      </c>
      <c r="S58" s="1">
        <v>31</v>
      </c>
      <c r="T58" s="1">
        <v>5</v>
      </c>
      <c r="U58" s="1">
        <v>18</v>
      </c>
      <c r="V58" s="1">
        <v>17</v>
      </c>
      <c r="W58" s="1">
        <v>311</v>
      </c>
      <c r="X58" s="1">
        <v>5</v>
      </c>
      <c r="Y58" s="1"/>
      <c r="Z58" s="1">
        <v>132</v>
      </c>
      <c r="AA58" s="1">
        <v>8</v>
      </c>
      <c r="AB58" s="1">
        <v>115</v>
      </c>
      <c r="AC58" s="1"/>
      <c r="AD58" s="1">
        <v>1007</v>
      </c>
    </row>
    <row r="59" spans="1:30">
      <c r="A59" s="49">
        <v>43949</v>
      </c>
      <c r="B59" s="1">
        <v>78</v>
      </c>
      <c r="C59" s="1">
        <v>15</v>
      </c>
      <c r="D59" s="1"/>
      <c r="E59" s="1"/>
      <c r="F59" s="1">
        <v>3</v>
      </c>
      <c r="G59" s="1">
        <v>83</v>
      </c>
      <c r="H59" s="1"/>
      <c r="I59" s="1">
        <v>49</v>
      </c>
      <c r="J59" s="1"/>
      <c r="K59" s="1"/>
      <c r="L59" s="1"/>
      <c r="M59" s="1"/>
      <c r="N59" s="1"/>
      <c r="O59" s="1">
        <v>17</v>
      </c>
      <c r="P59" s="1"/>
      <c r="Q59" s="1"/>
      <c r="R59" s="1"/>
      <c r="S59" s="1">
        <v>33</v>
      </c>
      <c r="T59" s="1">
        <v>6</v>
      </c>
      <c r="U59" s="1"/>
      <c r="V59" s="1"/>
      <c r="W59" s="1">
        <v>316</v>
      </c>
      <c r="X59" s="1"/>
      <c r="Y59" s="1"/>
      <c r="Z59" s="1"/>
      <c r="AA59" s="1">
        <v>8</v>
      </c>
      <c r="AB59" s="1"/>
      <c r="AC59" s="1"/>
      <c r="AD59" s="1">
        <v>608</v>
      </c>
    </row>
    <row r="60" spans="1:30">
      <c r="A60" s="18" t="s">
        <v>405</v>
      </c>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row>
    <row r="68" spans="31:31">
      <c r="AE68" s="46" t="s">
        <v>412</v>
      </c>
    </row>
    <row r="69" spans="31:31">
      <c r="AE69" s="47">
        <f>MAX(AD:AD)</f>
        <v>1571</v>
      </c>
    </row>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AC869-7734-49F6-AFC0-7591D7A644DE}">
  <dimension ref="A1:AF28"/>
  <sheetViews>
    <sheetView workbookViewId="0">
      <selection sqref="A1:AF28"/>
    </sheetView>
  </sheetViews>
  <sheetFormatPr baseColWidth="10" defaultRowHeight="14.5"/>
  <cols>
    <col min="1" max="2" width="14.90625" bestFit="1" customWidth="1"/>
    <col min="3" max="3" width="9.54296875" bestFit="1" customWidth="1"/>
    <col min="4" max="4" width="20.6328125" bestFit="1" customWidth="1"/>
    <col min="5" max="5" width="21.36328125" bestFit="1" customWidth="1"/>
    <col min="6" max="6" width="16.54296875" bestFit="1" customWidth="1"/>
    <col min="7" max="7" width="9.81640625" bestFit="1" customWidth="1"/>
    <col min="8" max="8" width="8.81640625" bestFit="1" customWidth="1"/>
    <col min="9" max="9" width="17.1796875" bestFit="1" customWidth="1"/>
    <col min="10" max="10" width="28.90625" bestFit="1" customWidth="1"/>
    <col min="11" max="11" width="20.1796875" bestFit="1" customWidth="1"/>
    <col min="12" max="12" width="11.7265625" bestFit="1" customWidth="1"/>
    <col min="13" max="13" width="18.26953125" bestFit="1" customWidth="1"/>
    <col min="14" max="14" width="32.26953125" bestFit="1" customWidth="1"/>
    <col min="15" max="15" width="17.6328125" bestFit="1" customWidth="1"/>
    <col min="16" max="16" width="10.1796875" bestFit="1" customWidth="1"/>
    <col min="17" max="17" width="18.7265625" bestFit="1" customWidth="1"/>
    <col min="18" max="18" width="8.81640625" bestFit="1" customWidth="1"/>
    <col min="19" max="19" width="15.1796875" bestFit="1" customWidth="1"/>
    <col min="20" max="20" width="14" bestFit="1" customWidth="1"/>
    <col min="21" max="21" width="31.26953125" bestFit="1" customWidth="1"/>
    <col min="22" max="22" width="26.7265625" bestFit="1" customWidth="1"/>
    <col min="23" max="23" width="15.7265625" bestFit="1" customWidth="1"/>
    <col min="24" max="24" width="16.6328125" bestFit="1" customWidth="1"/>
    <col min="25" max="25" width="12.81640625" bestFit="1" customWidth="1"/>
    <col min="26" max="26" width="19.7265625" bestFit="1" customWidth="1"/>
    <col min="27" max="27" width="13.36328125" bestFit="1" customWidth="1"/>
    <col min="28" max="28" width="27.90625" bestFit="1" customWidth="1"/>
    <col min="29" max="29" width="23.6328125" bestFit="1" customWidth="1"/>
    <col min="30" max="30" width="80.7265625" bestFit="1" customWidth="1"/>
    <col min="31" max="31" width="10.54296875" bestFit="1" customWidth="1"/>
    <col min="32" max="32" width="5.08984375" bestFit="1" customWidth="1"/>
    <col min="33" max="33" width="17.7265625" bestFit="1" customWidth="1"/>
    <col min="34" max="34" width="10.54296875" bestFit="1" customWidth="1"/>
    <col min="35" max="35" width="18.1796875" bestFit="1" customWidth="1"/>
    <col min="36" max="36" width="21.36328125" bestFit="1" customWidth="1"/>
    <col min="37" max="37" width="14.1796875" bestFit="1" customWidth="1"/>
    <col min="38" max="38" width="18.453125" bestFit="1" customWidth="1"/>
    <col min="39" max="39" width="17.453125" bestFit="1" customWidth="1"/>
    <col min="40" max="40" width="14.7265625" bestFit="1" customWidth="1"/>
    <col min="41" max="41" width="26.26953125" bestFit="1" customWidth="1"/>
    <col min="42" max="42" width="17.6328125" bestFit="1" customWidth="1"/>
    <col min="43" max="43" width="11.54296875" bestFit="1" customWidth="1"/>
    <col min="44" max="44" width="15.6328125" bestFit="1" customWidth="1"/>
    <col min="45" max="45" width="29.54296875" bestFit="1" customWidth="1"/>
    <col min="46" max="46" width="15.1796875" bestFit="1" customWidth="1"/>
    <col min="47" max="47" width="11.54296875" bestFit="1" customWidth="1"/>
    <col min="48" max="48" width="16.36328125" bestFit="1" customWidth="1"/>
    <col min="49" max="49" width="11.54296875" bestFit="1" customWidth="1"/>
    <col min="50" max="50" width="12.81640625" bestFit="1" customWidth="1"/>
    <col min="51" max="51" width="11.6328125" bestFit="1" customWidth="1"/>
    <col min="52" max="52" width="28.90625" bestFit="1" customWidth="1"/>
    <col min="53" max="53" width="24.26953125" bestFit="1" customWidth="1"/>
    <col min="54" max="54" width="13.1796875" bestFit="1" customWidth="1"/>
    <col min="55" max="55" width="14.1796875" bestFit="1" customWidth="1"/>
    <col min="56" max="56" width="11.54296875" bestFit="1" customWidth="1"/>
    <col min="57" max="57" width="17.36328125" bestFit="1" customWidth="1"/>
    <col min="58" max="58" width="11.54296875" bestFit="1" customWidth="1"/>
    <col min="59" max="59" width="25.26953125" bestFit="1" customWidth="1"/>
    <col min="60" max="60" width="21.08984375" bestFit="1" customWidth="1"/>
    <col min="61" max="61" width="80.7265625" bestFit="1" customWidth="1"/>
    <col min="62" max="63" width="11.54296875" bestFit="1" customWidth="1"/>
    <col min="64" max="64" width="7.1796875" bestFit="1" customWidth="1"/>
    <col min="65" max="66" width="4.1796875" bestFit="1" customWidth="1"/>
    <col min="67" max="67" width="8.7265625" bestFit="1" customWidth="1"/>
    <col min="68" max="69" width="11.6328125" bestFit="1" customWidth="1"/>
    <col min="70" max="70" width="6.1796875" bestFit="1" customWidth="1"/>
    <col min="71" max="74" width="11.6328125" bestFit="1" customWidth="1"/>
    <col min="75" max="75" width="10.6328125" bestFit="1" customWidth="1"/>
    <col min="76" max="77" width="5.1796875" bestFit="1" customWidth="1"/>
    <col min="78" max="78" width="11.6328125" bestFit="1" customWidth="1"/>
    <col min="79" max="79" width="6.1796875" bestFit="1" customWidth="1"/>
    <col min="80" max="80" width="11.6328125" bestFit="1" customWidth="1"/>
    <col min="81" max="82" width="10.90625" bestFit="1" customWidth="1"/>
    <col min="83" max="83" width="80.7265625" bestFit="1" customWidth="1"/>
    <col min="84" max="85" width="5.1796875" bestFit="1" customWidth="1"/>
    <col min="86" max="86" width="10.6328125" bestFit="1" customWidth="1"/>
    <col min="87" max="87" width="9.6328125" bestFit="1" customWidth="1"/>
    <col min="88" max="88" width="10.54296875" bestFit="1" customWidth="1"/>
    <col min="89" max="89" width="7.08984375" bestFit="1" customWidth="1"/>
    <col min="90" max="90" width="9.08984375" bestFit="1" customWidth="1"/>
    <col min="91" max="91" width="10.54296875" customWidth="1"/>
    <col min="92" max="92" width="5.08984375" bestFit="1" customWidth="1"/>
    <col min="93" max="93" width="8.6328125" bestFit="1" customWidth="1"/>
    <col min="94" max="94" width="7.6328125" bestFit="1" customWidth="1"/>
    <col min="95" max="95" width="6.08984375" bestFit="1" customWidth="1"/>
    <col min="96" max="96" width="4.08984375" bestFit="1" customWidth="1"/>
    <col min="97" max="105" width="5.08984375" bestFit="1" customWidth="1"/>
    <col min="106" max="106" width="6.08984375" bestFit="1" customWidth="1"/>
    <col min="107" max="108" width="11.6328125" bestFit="1" customWidth="1"/>
    <col min="109" max="109" width="80.7265625" bestFit="1" customWidth="1"/>
    <col min="110" max="111" width="5.08984375" bestFit="1" customWidth="1"/>
  </cols>
  <sheetData>
    <row r="1" spans="1:32">
      <c r="A1" t="s">
        <v>1</v>
      </c>
      <c r="B1" t="s">
        <v>17</v>
      </c>
      <c r="C1" t="s">
        <v>2</v>
      </c>
      <c r="D1" t="s">
        <v>18</v>
      </c>
      <c r="E1" t="s">
        <v>19</v>
      </c>
      <c r="F1" t="s">
        <v>20</v>
      </c>
      <c r="G1" t="s">
        <v>21</v>
      </c>
      <c r="H1" t="s">
        <v>22</v>
      </c>
      <c r="I1" t="s">
        <v>3</v>
      </c>
      <c r="J1" t="s">
        <v>23</v>
      </c>
      <c r="K1" t="s">
        <v>24</v>
      </c>
      <c r="L1" t="s">
        <v>300</v>
      </c>
      <c r="M1" t="s">
        <v>9</v>
      </c>
      <c r="N1" t="s">
        <v>26</v>
      </c>
      <c r="O1" t="s">
        <v>27</v>
      </c>
      <c r="P1" t="s">
        <v>12</v>
      </c>
      <c r="Q1" t="s">
        <v>28</v>
      </c>
      <c r="R1" t="s">
        <v>13</v>
      </c>
      <c r="S1" t="s">
        <v>11</v>
      </c>
      <c r="T1" t="s">
        <v>29</v>
      </c>
      <c r="U1" t="s">
        <v>30</v>
      </c>
      <c r="V1" t="s">
        <v>337</v>
      </c>
      <c r="W1" t="s">
        <v>301</v>
      </c>
      <c r="X1" t="s">
        <v>31</v>
      </c>
      <c r="Y1" t="s">
        <v>32</v>
      </c>
      <c r="Z1" t="s">
        <v>25</v>
      </c>
      <c r="AA1" t="s">
        <v>325</v>
      </c>
      <c r="AB1" t="s">
        <v>14</v>
      </c>
      <c r="AC1" t="s">
        <v>15</v>
      </c>
      <c r="AD1" t="s">
        <v>33</v>
      </c>
      <c r="AE1" t="s">
        <v>413</v>
      </c>
      <c r="AF1" t="s">
        <v>417</v>
      </c>
    </row>
    <row r="2" spans="1:32">
      <c r="A2" s="3">
        <v>43950.669606481482</v>
      </c>
      <c r="B2" s="3">
        <v>43950.53125</v>
      </c>
      <c r="C2" s="1" t="s">
        <v>16</v>
      </c>
      <c r="D2" s="1" t="s">
        <v>34</v>
      </c>
      <c r="E2" s="1" t="s">
        <v>35</v>
      </c>
      <c r="F2">
        <v>1</v>
      </c>
      <c r="G2">
        <v>47.409660000000002</v>
      </c>
      <c r="H2">
        <v>8.1568799999999992</v>
      </c>
      <c r="J2">
        <v>1099</v>
      </c>
      <c r="K2">
        <v>1099</v>
      </c>
      <c r="L2">
        <v>-1</v>
      </c>
      <c r="M2">
        <v>38</v>
      </c>
      <c r="N2">
        <v>163.79</v>
      </c>
      <c r="O2">
        <v>4.9180000000000001</v>
      </c>
      <c r="P2">
        <v>850</v>
      </c>
      <c r="Q2">
        <v>0</v>
      </c>
      <c r="R2">
        <v>33</v>
      </c>
      <c r="S2">
        <v>10</v>
      </c>
      <c r="T2">
        <v>9</v>
      </c>
      <c r="V2" s="1" t="s">
        <v>36</v>
      </c>
      <c r="W2" s="1" t="s">
        <v>36</v>
      </c>
      <c r="X2" s="1" t="s">
        <v>36</v>
      </c>
      <c r="Z2">
        <v>6</v>
      </c>
      <c r="AA2">
        <v>0</v>
      </c>
      <c r="AB2">
        <v>50.423225000000002</v>
      </c>
      <c r="AC2">
        <v>55.433719000000004</v>
      </c>
      <c r="AD2" s="1" t="s">
        <v>423</v>
      </c>
      <c r="AE2" s="1" t="s">
        <v>36</v>
      </c>
      <c r="AF2" s="1" t="s">
        <v>36</v>
      </c>
    </row>
    <row r="3" spans="1:32">
      <c r="A3" s="3">
        <v>43950.669606481482</v>
      </c>
      <c r="B3" s="3">
        <v>43950.375</v>
      </c>
      <c r="C3" s="1" t="s">
        <v>16</v>
      </c>
      <c r="D3" s="1" t="s">
        <v>38</v>
      </c>
      <c r="E3" s="1" t="s">
        <v>39</v>
      </c>
      <c r="F3">
        <v>16</v>
      </c>
      <c r="G3">
        <v>47.317264000000002</v>
      </c>
      <c r="H3">
        <v>9.4167539999999992</v>
      </c>
      <c r="J3">
        <v>25</v>
      </c>
      <c r="K3">
        <v>25</v>
      </c>
      <c r="L3">
        <v>0</v>
      </c>
      <c r="M3">
        <v>1</v>
      </c>
      <c r="N3">
        <v>155.28</v>
      </c>
      <c r="Q3">
        <v>0</v>
      </c>
      <c r="V3" s="1" t="s">
        <v>36</v>
      </c>
      <c r="W3" s="1" t="s">
        <v>36</v>
      </c>
      <c r="X3" s="1" t="s">
        <v>36</v>
      </c>
      <c r="Z3">
        <v>0</v>
      </c>
      <c r="AC3">
        <v>0</v>
      </c>
      <c r="AD3" s="1" t="s">
        <v>40</v>
      </c>
      <c r="AE3" s="1" t="s">
        <v>36</v>
      </c>
      <c r="AF3" s="1" t="s">
        <v>36</v>
      </c>
    </row>
    <row r="4" spans="1:32">
      <c r="A4" s="3">
        <v>43950.669606481482</v>
      </c>
      <c r="B4" s="3">
        <v>43950.347222222219</v>
      </c>
      <c r="C4" s="1" t="s">
        <v>16</v>
      </c>
      <c r="D4" s="1" t="s">
        <v>41</v>
      </c>
      <c r="E4" s="1" t="s">
        <v>42</v>
      </c>
      <c r="F4">
        <v>15</v>
      </c>
      <c r="G4">
        <v>47.416351999999996</v>
      </c>
      <c r="H4">
        <v>9.3679100000000002</v>
      </c>
      <c r="J4">
        <v>94</v>
      </c>
      <c r="K4">
        <v>94</v>
      </c>
      <c r="L4">
        <v>-2</v>
      </c>
      <c r="M4">
        <v>2</v>
      </c>
      <c r="N4">
        <v>170.29</v>
      </c>
      <c r="O4">
        <v>5.4349999999999996</v>
      </c>
      <c r="Q4">
        <v>0</v>
      </c>
      <c r="R4">
        <v>3</v>
      </c>
      <c r="S4">
        <v>2</v>
      </c>
      <c r="V4" s="1" t="s">
        <v>36</v>
      </c>
      <c r="W4" s="1" t="s">
        <v>36</v>
      </c>
      <c r="X4" s="1" t="s">
        <v>36</v>
      </c>
      <c r="Z4">
        <v>0</v>
      </c>
      <c r="AA4">
        <v>0</v>
      </c>
      <c r="AB4">
        <v>44.784666000000001</v>
      </c>
      <c r="AD4" s="1" t="s">
        <v>43</v>
      </c>
      <c r="AE4" s="1" t="s">
        <v>36</v>
      </c>
      <c r="AF4" s="1" t="s">
        <v>36</v>
      </c>
    </row>
    <row r="5" spans="1:32">
      <c r="A5" s="3">
        <v>43950.669606481482</v>
      </c>
      <c r="B5" s="3">
        <v>43950.25</v>
      </c>
      <c r="C5" s="1" t="s">
        <v>16</v>
      </c>
      <c r="D5" s="1" t="s">
        <v>44</v>
      </c>
      <c r="E5" s="1" t="s">
        <v>45</v>
      </c>
      <c r="F5">
        <v>2</v>
      </c>
      <c r="G5">
        <v>46.823608</v>
      </c>
      <c r="H5">
        <v>7.6366670000000001</v>
      </c>
      <c r="J5">
        <v>1741</v>
      </c>
      <c r="K5">
        <v>1741</v>
      </c>
      <c r="L5">
        <v>-3</v>
      </c>
      <c r="M5">
        <v>44</v>
      </c>
      <c r="N5">
        <v>168.85</v>
      </c>
      <c r="O5">
        <v>8.0500000000000007</v>
      </c>
      <c r="Q5">
        <v>0</v>
      </c>
      <c r="R5">
        <v>83</v>
      </c>
      <c r="S5">
        <v>10</v>
      </c>
      <c r="T5">
        <v>10</v>
      </c>
      <c r="V5" s="1" t="s">
        <v>36</v>
      </c>
      <c r="W5" s="1" t="s">
        <v>36</v>
      </c>
      <c r="X5" s="1" t="s">
        <v>36</v>
      </c>
      <c r="Z5">
        <v>8</v>
      </c>
      <c r="AA5">
        <v>0</v>
      </c>
      <c r="AB5">
        <v>126.638935</v>
      </c>
      <c r="AC5">
        <v>285.91971100000001</v>
      </c>
      <c r="AD5" s="1" t="s">
        <v>46</v>
      </c>
      <c r="AE5" s="1" t="s">
        <v>36</v>
      </c>
      <c r="AF5" s="1" t="s">
        <v>36</v>
      </c>
    </row>
    <row r="6" spans="1:32">
      <c r="A6" s="3">
        <v>43950.669606481482</v>
      </c>
      <c r="B6" s="3">
        <v>43950.041666666664</v>
      </c>
      <c r="C6" s="1" t="s">
        <v>16</v>
      </c>
      <c r="D6" s="1" t="s">
        <v>47</v>
      </c>
      <c r="E6" s="1" t="s">
        <v>48</v>
      </c>
      <c r="F6">
        <v>13</v>
      </c>
      <c r="G6">
        <v>47.45176</v>
      </c>
      <c r="H6">
        <v>7.7024140000000001</v>
      </c>
      <c r="J6">
        <v>822</v>
      </c>
      <c r="K6">
        <v>822</v>
      </c>
      <c r="L6">
        <v>-3</v>
      </c>
      <c r="M6">
        <v>12</v>
      </c>
      <c r="N6">
        <v>286.41000000000003</v>
      </c>
      <c r="O6">
        <v>10.452999999999999</v>
      </c>
      <c r="P6">
        <v>752</v>
      </c>
      <c r="Q6">
        <v>0</v>
      </c>
      <c r="R6">
        <v>30</v>
      </c>
      <c r="S6">
        <v>1</v>
      </c>
      <c r="T6">
        <v>1</v>
      </c>
      <c r="V6" s="1" t="s">
        <v>36</v>
      </c>
      <c r="W6" s="1" t="s">
        <v>36</v>
      </c>
      <c r="X6" s="1" t="s">
        <v>36</v>
      </c>
      <c r="Z6">
        <v>4</v>
      </c>
      <c r="AA6">
        <v>0</v>
      </c>
      <c r="AB6">
        <v>314.80116500000003</v>
      </c>
      <c r="AD6" s="1" t="s">
        <v>49</v>
      </c>
      <c r="AE6" s="1" t="s">
        <v>36</v>
      </c>
      <c r="AF6" s="1" t="s">
        <v>36</v>
      </c>
    </row>
    <row r="7" spans="1:32">
      <c r="A7" s="3">
        <v>43950.669606481482</v>
      </c>
      <c r="B7" s="3">
        <v>43950.354166666664</v>
      </c>
      <c r="C7" s="1" t="s">
        <v>16</v>
      </c>
      <c r="D7" s="1" t="s">
        <v>50</v>
      </c>
      <c r="E7" s="1" t="s">
        <v>51</v>
      </c>
      <c r="F7">
        <v>12</v>
      </c>
      <c r="G7">
        <v>47.564869000000002</v>
      </c>
      <c r="H7">
        <v>7.615259</v>
      </c>
      <c r="I7">
        <v>235</v>
      </c>
      <c r="J7">
        <v>946</v>
      </c>
      <c r="K7">
        <v>946</v>
      </c>
      <c r="L7">
        <v>-2</v>
      </c>
      <c r="M7">
        <v>26</v>
      </c>
      <c r="N7">
        <v>487.88</v>
      </c>
      <c r="O7">
        <v>25.271000000000001</v>
      </c>
      <c r="P7">
        <v>810</v>
      </c>
      <c r="Q7">
        <v>0</v>
      </c>
      <c r="R7">
        <v>49</v>
      </c>
      <c r="S7">
        <v>7</v>
      </c>
      <c r="U7">
        <v>516</v>
      </c>
      <c r="V7" s="1" t="s">
        <v>424</v>
      </c>
      <c r="W7" s="1" t="s">
        <v>36</v>
      </c>
      <c r="X7" s="1" t="s">
        <v>36</v>
      </c>
      <c r="Z7">
        <v>3</v>
      </c>
      <c r="AA7">
        <v>0</v>
      </c>
      <c r="AB7">
        <v>326.12267900000001</v>
      </c>
      <c r="AC7">
        <v>54.855905999999997</v>
      </c>
      <c r="AD7" s="1" t="s">
        <v>425</v>
      </c>
      <c r="AE7" s="1" t="s">
        <v>36</v>
      </c>
      <c r="AF7" s="1" t="s">
        <v>36</v>
      </c>
    </row>
    <row r="8" spans="1:32">
      <c r="A8" s="3">
        <v>43950.669606481482</v>
      </c>
      <c r="B8" s="3">
        <v>43949.041666666664</v>
      </c>
      <c r="C8" s="1" t="s">
        <v>16</v>
      </c>
      <c r="D8" s="1" t="s">
        <v>53</v>
      </c>
      <c r="E8" s="1" t="s">
        <v>54</v>
      </c>
      <c r="F8">
        <v>0</v>
      </c>
      <c r="G8">
        <v>47.166666999999997</v>
      </c>
      <c r="H8">
        <v>9.509722</v>
      </c>
      <c r="I8">
        <v>900</v>
      </c>
      <c r="J8">
        <v>82</v>
      </c>
      <c r="K8">
        <v>82</v>
      </c>
      <c r="N8">
        <v>212.44</v>
      </c>
      <c r="O8">
        <v>2.5910000000000002</v>
      </c>
      <c r="P8">
        <v>1</v>
      </c>
      <c r="Q8">
        <v>0</v>
      </c>
      <c r="R8">
        <v>1</v>
      </c>
      <c r="V8" s="1" t="s">
        <v>36</v>
      </c>
      <c r="W8" s="1" t="s">
        <v>36</v>
      </c>
      <c r="X8" s="1" t="s">
        <v>36</v>
      </c>
      <c r="Z8">
        <v>0</v>
      </c>
      <c r="AA8">
        <v>0</v>
      </c>
      <c r="AB8">
        <v>282.45393200000001</v>
      </c>
      <c r="AD8" s="1" t="s">
        <v>426</v>
      </c>
      <c r="AE8" s="1" t="s">
        <v>36</v>
      </c>
      <c r="AF8" s="1" t="s">
        <v>36</v>
      </c>
    </row>
    <row r="9" spans="1:32">
      <c r="A9" s="3">
        <v>43950.669606481482</v>
      </c>
      <c r="B9" s="3">
        <v>43949.041666666664</v>
      </c>
      <c r="C9" s="1" t="s">
        <v>16</v>
      </c>
      <c r="D9" s="1" t="s">
        <v>56</v>
      </c>
      <c r="E9" s="1" t="s">
        <v>57</v>
      </c>
      <c r="F9">
        <v>10</v>
      </c>
      <c r="G9">
        <v>46.718390999999997</v>
      </c>
      <c r="H9">
        <v>7.0740080000000001</v>
      </c>
      <c r="I9">
        <v>30</v>
      </c>
      <c r="J9">
        <v>1044</v>
      </c>
      <c r="K9">
        <v>1044</v>
      </c>
      <c r="L9">
        <v>-6</v>
      </c>
      <c r="M9">
        <v>49</v>
      </c>
      <c r="N9">
        <v>331.32</v>
      </c>
      <c r="O9">
        <v>24.754000000000001</v>
      </c>
      <c r="P9">
        <v>121</v>
      </c>
      <c r="Q9">
        <v>0</v>
      </c>
      <c r="R9">
        <v>78</v>
      </c>
      <c r="S9">
        <v>5</v>
      </c>
      <c r="V9" s="1" t="s">
        <v>36</v>
      </c>
      <c r="W9" s="1" t="s">
        <v>36</v>
      </c>
      <c r="X9" s="1" t="s">
        <v>36</v>
      </c>
      <c r="Z9">
        <v>4</v>
      </c>
      <c r="AA9">
        <v>0</v>
      </c>
      <c r="AB9">
        <v>118.866321</v>
      </c>
      <c r="AC9">
        <v>133.42332999999999</v>
      </c>
      <c r="AD9" s="1" t="s">
        <v>420</v>
      </c>
      <c r="AE9" s="1" t="s">
        <v>36</v>
      </c>
      <c r="AF9" s="1" t="s">
        <v>36</v>
      </c>
    </row>
    <row r="10" spans="1:32">
      <c r="A10" s="3">
        <v>43950.669606481482</v>
      </c>
      <c r="B10" s="3">
        <v>43948.416666666664</v>
      </c>
      <c r="C10" s="1" t="s">
        <v>16</v>
      </c>
      <c r="D10" s="1" t="s">
        <v>58</v>
      </c>
      <c r="E10" s="1" t="s">
        <v>59</v>
      </c>
      <c r="F10">
        <v>25</v>
      </c>
      <c r="G10">
        <v>46.220528000000002</v>
      </c>
      <c r="H10">
        <v>6.1329349999999998</v>
      </c>
      <c r="I10">
        <v>24255</v>
      </c>
      <c r="J10">
        <v>4760</v>
      </c>
      <c r="K10">
        <v>4760</v>
      </c>
      <c r="L10">
        <v>-1</v>
      </c>
      <c r="M10">
        <v>270</v>
      </c>
      <c r="N10">
        <v>961.23</v>
      </c>
      <c r="O10">
        <v>48.262999999999998</v>
      </c>
      <c r="P10">
        <v>610</v>
      </c>
      <c r="Q10">
        <v>0</v>
      </c>
      <c r="R10">
        <v>239</v>
      </c>
      <c r="S10">
        <v>26</v>
      </c>
      <c r="T10">
        <v>24</v>
      </c>
      <c r="V10" s="1" t="s">
        <v>36</v>
      </c>
      <c r="W10" s="1" t="s">
        <v>36</v>
      </c>
      <c r="X10" s="1" t="s">
        <v>36</v>
      </c>
      <c r="Y10">
        <v>15</v>
      </c>
      <c r="Z10">
        <v>0</v>
      </c>
      <c r="AA10">
        <v>0</v>
      </c>
      <c r="AB10">
        <v>237.34846400000001</v>
      </c>
      <c r="AC10">
        <v>67.278161999999995</v>
      </c>
      <c r="AD10" s="1" t="s">
        <v>60</v>
      </c>
      <c r="AE10" s="1" t="s">
        <v>36</v>
      </c>
      <c r="AF10" s="1" t="s">
        <v>36</v>
      </c>
    </row>
    <row r="11" spans="1:32">
      <c r="A11" s="3">
        <v>43950.669606481482</v>
      </c>
      <c r="B11" s="3">
        <v>43950.479166666664</v>
      </c>
      <c r="C11" s="1" t="s">
        <v>16</v>
      </c>
      <c r="D11" s="1" t="s">
        <v>61</v>
      </c>
      <c r="E11" s="1" t="s">
        <v>62</v>
      </c>
      <c r="F11">
        <v>8</v>
      </c>
      <c r="G11">
        <v>46.931042000000005</v>
      </c>
      <c r="H11">
        <v>9.0657510000000006</v>
      </c>
      <c r="J11">
        <v>122</v>
      </c>
      <c r="K11">
        <v>122</v>
      </c>
      <c r="L11">
        <v>0</v>
      </c>
      <c r="M11">
        <v>3</v>
      </c>
      <c r="N11">
        <v>302.73</v>
      </c>
      <c r="O11">
        <v>22.332999999999998</v>
      </c>
      <c r="Q11">
        <v>0</v>
      </c>
      <c r="R11">
        <v>9</v>
      </c>
      <c r="V11" s="1" t="s">
        <v>36</v>
      </c>
      <c r="W11" s="1" t="s">
        <v>36</v>
      </c>
      <c r="X11" s="1" t="s">
        <v>36</v>
      </c>
      <c r="Z11">
        <v>1</v>
      </c>
      <c r="AA11">
        <v>1</v>
      </c>
      <c r="AB11">
        <v>82.819002999999995</v>
      </c>
      <c r="AC11">
        <v>13.790437000000001</v>
      </c>
      <c r="AD11" s="1" t="s">
        <v>387</v>
      </c>
      <c r="AE11" s="1" t="s">
        <v>36</v>
      </c>
      <c r="AF11" s="1" t="s">
        <v>36</v>
      </c>
    </row>
    <row r="12" spans="1:32">
      <c r="A12" s="3">
        <v>43950.669606481482</v>
      </c>
      <c r="B12" s="3">
        <v>43949.041666666664</v>
      </c>
      <c r="C12" s="1" t="s">
        <v>16</v>
      </c>
      <c r="D12" s="1" t="s">
        <v>63</v>
      </c>
      <c r="E12" s="1" t="s">
        <v>64</v>
      </c>
      <c r="F12">
        <v>1</v>
      </c>
      <c r="G12">
        <v>46.656247999999998</v>
      </c>
      <c r="H12">
        <v>9.6281979999999994</v>
      </c>
      <c r="J12">
        <v>809</v>
      </c>
      <c r="K12">
        <v>809</v>
      </c>
      <c r="L12">
        <v>-2</v>
      </c>
      <c r="M12">
        <v>27</v>
      </c>
      <c r="N12">
        <v>408.79</v>
      </c>
      <c r="O12">
        <v>22.739000000000001</v>
      </c>
      <c r="Q12">
        <v>0</v>
      </c>
      <c r="R12">
        <v>45</v>
      </c>
      <c r="V12" s="1" t="s">
        <v>36</v>
      </c>
      <c r="W12" s="1" t="s">
        <v>36</v>
      </c>
      <c r="X12" s="1" t="s">
        <v>36</v>
      </c>
      <c r="Z12">
        <v>2</v>
      </c>
      <c r="AA12">
        <v>0</v>
      </c>
      <c r="AB12">
        <v>185.18041700000001</v>
      </c>
      <c r="AC12">
        <v>76.233059999999995</v>
      </c>
      <c r="AD12" s="1" t="s">
        <v>65</v>
      </c>
      <c r="AE12" s="1" t="s">
        <v>36</v>
      </c>
      <c r="AF12" s="1" t="s">
        <v>36</v>
      </c>
    </row>
    <row r="13" spans="1:32">
      <c r="A13" s="3">
        <v>43950.669606481482</v>
      </c>
      <c r="B13" s="3">
        <v>43949.041666666664</v>
      </c>
      <c r="C13" s="1" t="s">
        <v>16</v>
      </c>
      <c r="D13" s="1" t="s">
        <v>66</v>
      </c>
      <c r="E13" s="1" t="s">
        <v>67</v>
      </c>
      <c r="F13">
        <v>26</v>
      </c>
      <c r="G13">
        <v>47.350743999999999</v>
      </c>
      <c r="H13">
        <v>7.1561070000000004</v>
      </c>
      <c r="J13">
        <v>197</v>
      </c>
      <c r="K13">
        <v>197</v>
      </c>
      <c r="L13">
        <v>0</v>
      </c>
      <c r="M13">
        <v>9</v>
      </c>
      <c r="N13">
        <v>268.76</v>
      </c>
      <c r="O13">
        <v>9.5500000000000007</v>
      </c>
      <c r="Q13">
        <v>0</v>
      </c>
      <c r="R13">
        <v>7</v>
      </c>
      <c r="S13">
        <v>4</v>
      </c>
      <c r="V13" s="1" t="s">
        <v>36</v>
      </c>
      <c r="W13" s="1" t="s">
        <v>36</v>
      </c>
      <c r="X13" s="1" t="s">
        <v>36</v>
      </c>
      <c r="Z13">
        <v>1</v>
      </c>
      <c r="AA13">
        <v>0</v>
      </c>
      <c r="AB13">
        <v>681.01563499999997</v>
      </c>
      <c r="AC13">
        <v>22.482780999999999</v>
      </c>
      <c r="AD13" s="1" t="s">
        <v>427</v>
      </c>
      <c r="AE13" s="1" t="s">
        <v>36</v>
      </c>
      <c r="AF13" s="1" t="s">
        <v>36</v>
      </c>
    </row>
    <row r="14" spans="1:32">
      <c r="A14" s="3">
        <v>43950.669606481482</v>
      </c>
      <c r="B14" s="3">
        <v>43950.041666666664</v>
      </c>
      <c r="C14" s="1" t="s">
        <v>16</v>
      </c>
      <c r="D14" s="1" t="s">
        <v>68</v>
      </c>
      <c r="E14" s="1" t="s">
        <v>69</v>
      </c>
      <c r="F14">
        <v>3</v>
      </c>
      <c r="G14">
        <v>47.067762999999999</v>
      </c>
      <c r="H14">
        <v>8.1102000000000007</v>
      </c>
      <c r="J14">
        <v>687</v>
      </c>
      <c r="K14">
        <v>687</v>
      </c>
      <c r="L14">
        <v>2</v>
      </c>
      <c r="M14">
        <v>31</v>
      </c>
      <c r="N14">
        <v>169</v>
      </c>
      <c r="O14">
        <v>4.1820000000000004</v>
      </c>
      <c r="Q14">
        <v>0</v>
      </c>
      <c r="R14">
        <v>17</v>
      </c>
      <c r="S14">
        <v>8</v>
      </c>
      <c r="V14" s="1" t="s">
        <v>36</v>
      </c>
      <c r="W14" s="1" t="s">
        <v>36</v>
      </c>
      <c r="X14" s="1" t="s">
        <v>36</v>
      </c>
      <c r="Z14">
        <v>10</v>
      </c>
      <c r="AA14">
        <v>0</v>
      </c>
      <c r="AB14">
        <v>86.439277000000004</v>
      </c>
      <c r="AC14">
        <v>57.167133999999997</v>
      </c>
      <c r="AD14" s="1" t="s">
        <v>70</v>
      </c>
      <c r="AE14" s="1" t="s">
        <v>36</v>
      </c>
      <c r="AF14" s="1" t="s">
        <v>36</v>
      </c>
    </row>
    <row r="15" spans="1:32">
      <c r="A15" s="3">
        <v>43950.669606481482</v>
      </c>
      <c r="B15" s="3">
        <v>43949.041666666664</v>
      </c>
      <c r="C15" s="1" t="s">
        <v>16</v>
      </c>
      <c r="D15" s="1" t="s">
        <v>71</v>
      </c>
      <c r="E15" s="1" t="s">
        <v>72</v>
      </c>
      <c r="F15">
        <v>24</v>
      </c>
      <c r="G15">
        <v>46.995533999999999</v>
      </c>
      <c r="H15">
        <v>6.7801260000000001</v>
      </c>
      <c r="J15">
        <v>675</v>
      </c>
      <c r="K15">
        <v>675</v>
      </c>
      <c r="L15">
        <v>-2</v>
      </c>
      <c r="M15">
        <v>26</v>
      </c>
      <c r="N15">
        <v>379.21</v>
      </c>
      <c r="O15">
        <v>39.326000000000001</v>
      </c>
      <c r="Q15">
        <v>0</v>
      </c>
      <c r="R15">
        <v>70</v>
      </c>
      <c r="S15">
        <v>3</v>
      </c>
      <c r="T15">
        <v>3</v>
      </c>
      <c r="V15" s="1" t="s">
        <v>36</v>
      </c>
      <c r="W15" s="1" t="s">
        <v>36</v>
      </c>
      <c r="X15" s="1" t="s">
        <v>36</v>
      </c>
      <c r="Z15">
        <v>0</v>
      </c>
      <c r="AA15">
        <v>0</v>
      </c>
      <c r="AB15">
        <v>290.68515500000001</v>
      </c>
      <c r="AC15">
        <v>58.900517999999998</v>
      </c>
      <c r="AD15" s="1" t="s">
        <v>377</v>
      </c>
      <c r="AE15" s="1" t="s">
        <v>36</v>
      </c>
      <c r="AF15" s="1" t="s">
        <v>36</v>
      </c>
    </row>
    <row r="16" spans="1:32">
      <c r="A16" s="3">
        <v>43950.669606481482</v>
      </c>
      <c r="B16" s="3">
        <v>43949.041666666664</v>
      </c>
      <c r="C16" s="1" t="s">
        <v>16</v>
      </c>
      <c r="D16" s="1" t="s">
        <v>73</v>
      </c>
      <c r="E16" s="1" t="s">
        <v>74</v>
      </c>
      <c r="F16">
        <v>7</v>
      </c>
      <c r="G16">
        <v>46.926755</v>
      </c>
      <c r="H16">
        <v>8.4053020000000007</v>
      </c>
      <c r="J16">
        <v>111</v>
      </c>
      <c r="K16">
        <v>111</v>
      </c>
      <c r="L16">
        <v>0</v>
      </c>
      <c r="M16">
        <v>2</v>
      </c>
      <c r="N16">
        <v>258.14</v>
      </c>
      <c r="O16">
        <v>6.9770000000000003</v>
      </c>
      <c r="Q16">
        <v>0</v>
      </c>
      <c r="R16">
        <v>3</v>
      </c>
      <c r="S16">
        <v>0</v>
      </c>
      <c r="V16" s="1" t="s">
        <v>36</v>
      </c>
      <c r="W16" s="1" t="s">
        <v>36</v>
      </c>
      <c r="X16" s="1" t="s">
        <v>36</v>
      </c>
      <c r="Z16">
        <v>1</v>
      </c>
      <c r="AA16">
        <v>0</v>
      </c>
      <c r="AB16">
        <v>126.49144699999999</v>
      </c>
      <c r="AD16" s="1" t="s">
        <v>357</v>
      </c>
      <c r="AE16" s="1" t="s">
        <v>36</v>
      </c>
      <c r="AF16" s="1" t="s">
        <v>36</v>
      </c>
    </row>
    <row r="17" spans="1:32">
      <c r="A17" s="3">
        <v>43950.669606481482</v>
      </c>
      <c r="B17" s="3">
        <v>43950.552083333336</v>
      </c>
      <c r="C17" s="1" t="s">
        <v>16</v>
      </c>
      <c r="D17" s="1" t="s">
        <v>75</v>
      </c>
      <c r="E17" s="1" t="s">
        <v>76</v>
      </c>
      <c r="F17">
        <v>6</v>
      </c>
      <c r="G17">
        <v>46.804527</v>
      </c>
      <c r="H17">
        <v>8.1443170000000009</v>
      </c>
      <c r="I17">
        <v>6</v>
      </c>
      <c r="J17">
        <v>78</v>
      </c>
      <c r="K17">
        <v>78</v>
      </c>
      <c r="L17">
        <v>1</v>
      </c>
      <c r="M17">
        <v>2</v>
      </c>
      <c r="N17">
        <v>207.45</v>
      </c>
      <c r="O17">
        <v>0</v>
      </c>
      <c r="P17">
        <v>1</v>
      </c>
      <c r="Q17">
        <v>0</v>
      </c>
      <c r="R17">
        <v>0</v>
      </c>
      <c r="V17" s="1" t="s">
        <v>36</v>
      </c>
      <c r="W17" s="1" t="s">
        <v>36</v>
      </c>
      <c r="X17" s="1" t="s">
        <v>36</v>
      </c>
      <c r="Z17">
        <v>0</v>
      </c>
      <c r="AA17">
        <v>0</v>
      </c>
      <c r="AB17">
        <v>22.798463000000002</v>
      </c>
      <c r="AC17">
        <v>0</v>
      </c>
      <c r="AD17" s="1" t="s">
        <v>77</v>
      </c>
      <c r="AE17" s="1" t="s">
        <v>36</v>
      </c>
      <c r="AF17" s="1" t="s">
        <v>36</v>
      </c>
    </row>
    <row r="18" spans="1:32">
      <c r="A18" s="3">
        <v>43950.669606481482</v>
      </c>
      <c r="B18" s="3">
        <v>43950.041666666664</v>
      </c>
      <c r="C18" s="1" t="s">
        <v>16</v>
      </c>
      <c r="D18" s="1" t="s">
        <v>78</v>
      </c>
      <c r="E18" s="1" t="s">
        <v>79</v>
      </c>
      <c r="F18">
        <v>17</v>
      </c>
      <c r="G18">
        <v>47.183199999999999</v>
      </c>
      <c r="H18">
        <v>9.2747440000000001</v>
      </c>
      <c r="J18">
        <v>776</v>
      </c>
      <c r="K18">
        <v>776</v>
      </c>
      <c r="L18">
        <v>0</v>
      </c>
      <c r="M18">
        <v>44</v>
      </c>
      <c r="N18">
        <v>153.75</v>
      </c>
      <c r="O18">
        <v>6.5389999999999997</v>
      </c>
      <c r="P18">
        <v>176</v>
      </c>
      <c r="Q18">
        <v>0</v>
      </c>
      <c r="R18">
        <v>33</v>
      </c>
      <c r="S18">
        <v>10</v>
      </c>
      <c r="V18" s="1" t="s">
        <v>36</v>
      </c>
      <c r="W18" s="1" t="s">
        <v>36</v>
      </c>
      <c r="X18" s="1" t="s">
        <v>36</v>
      </c>
      <c r="Z18">
        <v>1</v>
      </c>
      <c r="AA18">
        <v>0</v>
      </c>
      <c r="AB18">
        <v>85.010553999999999</v>
      </c>
      <c r="AC18">
        <v>55.433719000000004</v>
      </c>
      <c r="AD18" s="1" t="s">
        <v>80</v>
      </c>
      <c r="AE18" s="1" t="s">
        <v>36</v>
      </c>
      <c r="AF18" s="1" t="s">
        <v>36</v>
      </c>
    </row>
    <row r="19" spans="1:32">
      <c r="A19" s="3">
        <v>43950.669606481482</v>
      </c>
      <c r="B19" s="3">
        <v>43950.3125</v>
      </c>
      <c r="C19" s="1" t="s">
        <v>16</v>
      </c>
      <c r="D19" s="1" t="s">
        <v>81</v>
      </c>
      <c r="E19" s="1" t="s">
        <v>82</v>
      </c>
      <c r="F19">
        <v>14</v>
      </c>
      <c r="G19">
        <v>47.713569999999997</v>
      </c>
      <c r="H19">
        <v>8.5916700000000006</v>
      </c>
      <c r="J19">
        <v>74</v>
      </c>
      <c r="K19">
        <v>74</v>
      </c>
      <c r="L19">
        <v>2</v>
      </c>
      <c r="M19">
        <v>12</v>
      </c>
      <c r="N19">
        <v>90.91</v>
      </c>
      <c r="O19">
        <v>7.3710000000000004</v>
      </c>
      <c r="Q19">
        <v>0</v>
      </c>
      <c r="R19">
        <v>6</v>
      </c>
      <c r="S19">
        <v>2</v>
      </c>
      <c r="V19" s="1" t="s">
        <v>36</v>
      </c>
      <c r="W19" s="1" t="s">
        <v>36</v>
      </c>
      <c r="X19" s="1" t="s">
        <v>36</v>
      </c>
      <c r="Z19">
        <v>0</v>
      </c>
      <c r="AA19">
        <v>0</v>
      </c>
      <c r="AB19">
        <v>62.367198000000002</v>
      </c>
      <c r="AC19">
        <v>5</v>
      </c>
      <c r="AD19" s="1" t="s">
        <v>428</v>
      </c>
      <c r="AE19" s="1" t="s">
        <v>36</v>
      </c>
      <c r="AF19" s="1" t="s">
        <v>36</v>
      </c>
    </row>
    <row r="20" spans="1:32">
      <c r="A20" s="3">
        <v>43950.669606481482</v>
      </c>
      <c r="B20" s="3">
        <v>43950.041666666664</v>
      </c>
      <c r="C20" s="1" t="s">
        <v>16</v>
      </c>
      <c r="D20" s="1" t="s">
        <v>83</v>
      </c>
      <c r="E20" s="1" t="s">
        <v>84</v>
      </c>
      <c r="F20">
        <v>11</v>
      </c>
      <c r="G20">
        <v>47.304135000000002</v>
      </c>
      <c r="H20">
        <v>7.6393880000000003</v>
      </c>
      <c r="J20">
        <v>384</v>
      </c>
      <c r="K20">
        <v>384</v>
      </c>
      <c r="L20">
        <v>-1</v>
      </c>
      <c r="M20">
        <v>12</v>
      </c>
      <c r="N20">
        <v>141.49</v>
      </c>
      <c r="O20">
        <v>5.5270000000000001</v>
      </c>
      <c r="Q20">
        <v>0</v>
      </c>
      <c r="R20">
        <v>15</v>
      </c>
      <c r="V20" s="1" t="s">
        <v>36</v>
      </c>
      <c r="W20" s="1" t="s">
        <v>36</v>
      </c>
      <c r="X20" s="1" t="s">
        <v>36</v>
      </c>
      <c r="Z20">
        <v>1</v>
      </c>
      <c r="AA20">
        <v>0</v>
      </c>
      <c r="AB20">
        <v>164.61637500000001</v>
      </c>
      <c r="AC20">
        <v>50.233246000000001</v>
      </c>
      <c r="AD20" s="1" t="s">
        <v>388</v>
      </c>
      <c r="AE20" s="1" t="s">
        <v>36</v>
      </c>
      <c r="AF20" s="1" t="s">
        <v>36</v>
      </c>
    </row>
    <row r="21" spans="1:32">
      <c r="A21" s="3">
        <v>43950.669606481482</v>
      </c>
      <c r="B21" s="3">
        <v>43950.333333333336</v>
      </c>
      <c r="C21" s="1" t="s">
        <v>16</v>
      </c>
      <c r="D21" s="1" t="s">
        <v>86</v>
      </c>
      <c r="E21" s="1" t="s">
        <v>87</v>
      </c>
      <c r="F21">
        <v>5</v>
      </c>
      <c r="G21">
        <v>47.061787000000002</v>
      </c>
      <c r="H21">
        <v>8.7565849999999994</v>
      </c>
      <c r="I21">
        <v>10</v>
      </c>
      <c r="J21">
        <v>295</v>
      </c>
      <c r="K21">
        <v>295</v>
      </c>
      <c r="L21">
        <v>0</v>
      </c>
      <c r="M21">
        <v>1</v>
      </c>
      <c r="N21">
        <v>187.54</v>
      </c>
      <c r="O21">
        <v>12.715</v>
      </c>
      <c r="P21">
        <v>224</v>
      </c>
      <c r="Q21">
        <v>0</v>
      </c>
      <c r="R21">
        <v>20</v>
      </c>
      <c r="V21" s="1" t="s">
        <v>36</v>
      </c>
      <c r="W21" s="1" t="s">
        <v>36</v>
      </c>
      <c r="X21" s="1" t="s">
        <v>36</v>
      </c>
      <c r="Z21">
        <v>0</v>
      </c>
      <c r="AA21">
        <v>0</v>
      </c>
      <c r="AB21">
        <v>91.200892999999994</v>
      </c>
      <c r="AC21">
        <v>15.531419</v>
      </c>
      <c r="AD21" s="1" t="s">
        <v>398</v>
      </c>
      <c r="AE21" s="1" t="s">
        <v>36</v>
      </c>
      <c r="AF21" s="1" t="s">
        <v>36</v>
      </c>
    </row>
    <row r="22" spans="1:32">
      <c r="A22" s="3">
        <v>43950.669606481482</v>
      </c>
      <c r="B22" s="3">
        <v>43950.041666666664</v>
      </c>
      <c r="C22" s="1" t="s">
        <v>16</v>
      </c>
      <c r="D22" s="1" t="s">
        <v>88</v>
      </c>
      <c r="E22" s="1" t="s">
        <v>89</v>
      </c>
      <c r="F22">
        <v>1</v>
      </c>
      <c r="G22">
        <v>47.568714999999997</v>
      </c>
      <c r="H22">
        <v>9.0919570000000007</v>
      </c>
      <c r="I22">
        <v>276</v>
      </c>
      <c r="J22">
        <v>363</v>
      </c>
      <c r="K22">
        <v>363</v>
      </c>
      <c r="L22">
        <v>-6</v>
      </c>
      <c r="M22">
        <v>15</v>
      </c>
      <c r="N22">
        <v>132.58000000000001</v>
      </c>
      <c r="O22">
        <v>6.2089999999999996</v>
      </c>
      <c r="Q22">
        <v>0</v>
      </c>
      <c r="R22">
        <v>17</v>
      </c>
      <c r="S22">
        <v>7</v>
      </c>
      <c r="V22" s="1" t="s">
        <v>36</v>
      </c>
      <c r="W22" s="1" t="s">
        <v>36</v>
      </c>
      <c r="X22" s="1" t="s">
        <v>36</v>
      </c>
      <c r="Z22">
        <v>1</v>
      </c>
      <c r="AA22">
        <v>0</v>
      </c>
      <c r="AB22">
        <v>312.77946500000002</v>
      </c>
      <c r="AC22">
        <v>17.850263000000002</v>
      </c>
      <c r="AD22" s="1" t="s">
        <v>90</v>
      </c>
      <c r="AE22" s="1" t="s">
        <v>36</v>
      </c>
      <c r="AF22" s="1" t="s">
        <v>36</v>
      </c>
    </row>
    <row r="23" spans="1:32">
      <c r="A23" s="3">
        <v>43950.669606481482</v>
      </c>
      <c r="B23" s="3">
        <v>43950.25</v>
      </c>
      <c r="C23" s="1" t="s">
        <v>16</v>
      </c>
      <c r="D23" s="1" t="s">
        <v>91</v>
      </c>
      <c r="E23" s="1" t="s">
        <v>92</v>
      </c>
      <c r="F23">
        <v>21</v>
      </c>
      <c r="G23">
        <v>46.295617</v>
      </c>
      <c r="H23">
        <v>8.8089239999999993</v>
      </c>
      <c r="J23">
        <v>3191</v>
      </c>
      <c r="K23">
        <v>3191</v>
      </c>
      <c r="L23">
        <v>0</v>
      </c>
      <c r="M23">
        <v>186</v>
      </c>
      <c r="N23">
        <v>902.18</v>
      </c>
      <c r="O23">
        <v>89.906999999999996</v>
      </c>
      <c r="P23">
        <v>712</v>
      </c>
      <c r="Q23">
        <v>0</v>
      </c>
      <c r="R23">
        <v>318</v>
      </c>
      <c r="S23">
        <v>30</v>
      </c>
      <c r="T23">
        <v>22</v>
      </c>
      <c r="V23" s="1" t="s">
        <v>36</v>
      </c>
      <c r="W23" s="1" t="s">
        <v>36</v>
      </c>
      <c r="X23" s="1" t="s">
        <v>36</v>
      </c>
      <c r="Z23">
        <v>15</v>
      </c>
      <c r="AA23">
        <v>2</v>
      </c>
      <c r="AB23">
        <v>156.248773</v>
      </c>
      <c r="AC23">
        <v>56.254815000000001</v>
      </c>
      <c r="AD23" s="1" t="s">
        <v>429</v>
      </c>
      <c r="AE23" s="1" t="s">
        <v>36</v>
      </c>
      <c r="AF23" s="1" t="s">
        <v>36</v>
      </c>
    </row>
    <row r="24" spans="1:32">
      <c r="A24" s="3">
        <v>43950.669606481482</v>
      </c>
      <c r="B24" s="3">
        <v>43950.5</v>
      </c>
      <c r="C24" s="1" t="s">
        <v>16</v>
      </c>
      <c r="D24" s="1" t="s">
        <v>94</v>
      </c>
      <c r="E24" s="1" t="s">
        <v>95</v>
      </c>
      <c r="F24">
        <v>4</v>
      </c>
      <c r="G24">
        <v>46.771849000000003</v>
      </c>
      <c r="H24">
        <v>8.6285860000000003</v>
      </c>
      <c r="I24">
        <v>85</v>
      </c>
      <c r="J24">
        <v>85</v>
      </c>
      <c r="K24">
        <v>85</v>
      </c>
      <c r="L24">
        <v>0</v>
      </c>
      <c r="M24">
        <v>5</v>
      </c>
      <c r="N24">
        <v>234.16</v>
      </c>
      <c r="O24">
        <v>13.773999999999999</v>
      </c>
      <c r="P24">
        <v>71</v>
      </c>
      <c r="Q24">
        <v>0</v>
      </c>
      <c r="R24">
        <v>5</v>
      </c>
      <c r="V24" s="1" t="s">
        <v>36</v>
      </c>
      <c r="W24" s="1" t="s">
        <v>36</v>
      </c>
      <c r="X24" s="1" t="s">
        <v>36</v>
      </c>
      <c r="Z24">
        <v>0</v>
      </c>
      <c r="AA24">
        <v>0</v>
      </c>
      <c r="AB24">
        <v>40.326250000000002</v>
      </c>
      <c r="AD24" s="1" t="s">
        <v>96</v>
      </c>
      <c r="AE24" s="1" t="s">
        <v>36</v>
      </c>
      <c r="AF24" s="1" t="s">
        <v>36</v>
      </c>
    </row>
    <row r="25" spans="1:32">
      <c r="A25" s="3">
        <v>43950.669606481482</v>
      </c>
      <c r="B25" s="3">
        <v>43948.041666666664</v>
      </c>
      <c r="C25" s="1" t="s">
        <v>16</v>
      </c>
      <c r="D25" s="1" t="s">
        <v>97</v>
      </c>
      <c r="E25" s="1" t="s">
        <v>98</v>
      </c>
      <c r="F25">
        <v>22</v>
      </c>
      <c r="G25">
        <v>46.570090999999998</v>
      </c>
      <c r="H25">
        <v>6.5578090000000007</v>
      </c>
      <c r="J25">
        <v>5227</v>
      </c>
      <c r="K25">
        <v>5227</v>
      </c>
      <c r="L25">
        <v>-8</v>
      </c>
      <c r="M25">
        <v>188</v>
      </c>
      <c r="N25">
        <v>659.06</v>
      </c>
      <c r="O25">
        <v>45.896000000000001</v>
      </c>
      <c r="Q25">
        <v>0</v>
      </c>
      <c r="R25">
        <v>364</v>
      </c>
      <c r="S25">
        <v>36</v>
      </c>
      <c r="V25" s="1" t="s">
        <v>36</v>
      </c>
      <c r="W25" s="1" t="s">
        <v>36</v>
      </c>
      <c r="X25" s="1" t="s">
        <v>36</v>
      </c>
      <c r="Z25">
        <v>1</v>
      </c>
      <c r="AA25">
        <v>2</v>
      </c>
      <c r="AB25">
        <v>224.705197</v>
      </c>
      <c r="AC25">
        <v>48.707698999999998</v>
      </c>
      <c r="AD25" s="1" t="s">
        <v>99</v>
      </c>
      <c r="AE25" s="1" t="s">
        <v>36</v>
      </c>
      <c r="AF25" s="1" t="s">
        <v>36</v>
      </c>
    </row>
    <row r="26" spans="1:32">
      <c r="A26" s="3">
        <v>43950.669606481482</v>
      </c>
      <c r="B26" s="3">
        <v>43950.041666666664</v>
      </c>
      <c r="C26" s="1" t="s">
        <v>16</v>
      </c>
      <c r="D26" s="1" t="s">
        <v>100</v>
      </c>
      <c r="E26" s="1" t="s">
        <v>101</v>
      </c>
      <c r="F26">
        <v>23</v>
      </c>
      <c r="G26">
        <v>46.209567</v>
      </c>
      <c r="H26">
        <v>7.6046589999999998</v>
      </c>
      <c r="J26">
        <v>1853</v>
      </c>
      <c r="K26">
        <v>1853</v>
      </c>
      <c r="L26">
        <v>0</v>
      </c>
      <c r="M26">
        <v>56</v>
      </c>
      <c r="N26">
        <v>542.61</v>
      </c>
      <c r="O26">
        <v>39.823999999999998</v>
      </c>
      <c r="P26">
        <v>237</v>
      </c>
      <c r="Q26">
        <v>0</v>
      </c>
      <c r="R26">
        <v>136</v>
      </c>
      <c r="S26">
        <v>11</v>
      </c>
      <c r="T26">
        <v>9</v>
      </c>
      <c r="V26" s="1" t="s">
        <v>36</v>
      </c>
      <c r="W26" s="1" t="s">
        <v>36</v>
      </c>
      <c r="X26" s="1" t="s">
        <v>36</v>
      </c>
      <c r="Z26">
        <v>1</v>
      </c>
      <c r="AA26">
        <v>1</v>
      </c>
      <c r="AB26">
        <v>277.481291</v>
      </c>
      <c r="AC26">
        <v>50.618479999999998</v>
      </c>
      <c r="AD26" s="1" t="s">
        <v>430</v>
      </c>
      <c r="AE26" s="1" t="s">
        <v>36</v>
      </c>
      <c r="AF26" s="1" t="s">
        <v>36</v>
      </c>
    </row>
    <row r="27" spans="1:32">
      <c r="A27" s="3">
        <v>43950.669606481482</v>
      </c>
      <c r="B27" s="3">
        <v>43950.25</v>
      </c>
      <c r="C27" s="1" t="s">
        <v>16</v>
      </c>
      <c r="D27" s="1" t="s">
        <v>102</v>
      </c>
      <c r="E27" s="1" t="s">
        <v>103</v>
      </c>
      <c r="F27">
        <v>9</v>
      </c>
      <c r="G27">
        <v>47.157296000000002</v>
      </c>
      <c r="H27">
        <v>8.5372939999999993</v>
      </c>
      <c r="J27">
        <v>185</v>
      </c>
      <c r="K27">
        <v>185</v>
      </c>
      <c r="L27">
        <v>-1</v>
      </c>
      <c r="M27">
        <v>6</v>
      </c>
      <c r="N27">
        <v>147.53</v>
      </c>
      <c r="O27">
        <v>6.38</v>
      </c>
      <c r="P27">
        <v>135</v>
      </c>
      <c r="Q27">
        <v>0</v>
      </c>
      <c r="R27">
        <v>8</v>
      </c>
      <c r="S27">
        <v>3</v>
      </c>
      <c r="V27" s="1" t="s">
        <v>36</v>
      </c>
      <c r="W27" s="1" t="s">
        <v>36</v>
      </c>
      <c r="X27" s="1" t="s">
        <v>36</v>
      </c>
      <c r="Z27">
        <v>0</v>
      </c>
      <c r="AA27">
        <v>0</v>
      </c>
      <c r="AB27">
        <v>126.49144699999999</v>
      </c>
      <c r="AD27" s="1" t="s">
        <v>381</v>
      </c>
      <c r="AE27" s="1" t="s">
        <v>36</v>
      </c>
      <c r="AF27" s="1" t="s">
        <v>36</v>
      </c>
    </row>
    <row r="28" spans="1:32">
      <c r="A28" s="3">
        <v>43950.669606481482</v>
      </c>
      <c r="B28" s="3">
        <v>43950.520833333336</v>
      </c>
      <c r="C28" s="1" t="s">
        <v>16</v>
      </c>
      <c r="D28" s="1" t="s">
        <v>104</v>
      </c>
      <c r="E28" s="1" t="s">
        <v>105</v>
      </c>
      <c r="F28">
        <v>1</v>
      </c>
      <c r="G28">
        <v>47.412750000000003</v>
      </c>
      <c r="H28">
        <v>8.6550799999999999</v>
      </c>
      <c r="J28">
        <v>3462</v>
      </c>
      <c r="K28">
        <v>3462</v>
      </c>
      <c r="L28">
        <v>-2</v>
      </c>
      <c r="M28">
        <v>82</v>
      </c>
      <c r="N28">
        <v>230.14</v>
      </c>
      <c r="O28">
        <v>7.9109999999999996</v>
      </c>
      <c r="Q28">
        <v>0</v>
      </c>
      <c r="R28">
        <v>119</v>
      </c>
      <c r="S28">
        <v>19</v>
      </c>
      <c r="T28">
        <v>19</v>
      </c>
      <c r="V28" s="1" t="s">
        <v>36</v>
      </c>
      <c r="W28" s="1" t="s">
        <v>36</v>
      </c>
      <c r="X28" s="1" t="s">
        <v>36</v>
      </c>
      <c r="Z28">
        <v>29</v>
      </c>
      <c r="AA28">
        <v>0</v>
      </c>
      <c r="AB28">
        <v>123.24211099999999</v>
      </c>
      <c r="AC28">
        <v>80.739249999999998</v>
      </c>
      <c r="AD28" s="1" t="s">
        <v>106</v>
      </c>
      <c r="AE28" s="1" t="s">
        <v>36</v>
      </c>
      <c r="AF28" s="1" t="s">
        <v>36</v>
      </c>
    </row>
  </sheetData>
  <phoneticPr fontId="27" type="noConversion"/>
  <pageMargins left="0.7" right="0.7" top="0.78740157499999996" bottom="0.78740157499999996"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21494E-C381-4567-A473-CAF48053BEF2}">
  <dimension ref="A1:K1372"/>
  <sheetViews>
    <sheetView workbookViewId="0">
      <selection sqref="A1:XFD1048576"/>
    </sheetView>
  </sheetViews>
  <sheetFormatPr baseColWidth="10" defaultRowHeight="14.5"/>
  <cols>
    <col min="1" max="1" width="8.36328125" style="50" bestFit="1" customWidth="1"/>
    <col min="2" max="2" width="6.90625" style="50" bestFit="1" customWidth="1"/>
    <col min="3" max="3" width="27" style="50" bestFit="1" customWidth="1"/>
    <col min="4" max="4" width="15.6328125" style="50" bestFit="1" customWidth="1"/>
    <col min="5" max="5" width="13.90625" style="50" bestFit="1" customWidth="1"/>
    <col min="6" max="6" width="14.36328125" style="50" bestFit="1" customWidth="1"/>
    <col min="7" max="7" width="13.1796875" style="50" bestFit="1" customWidth="1"/>
    <col min="8" max="8" width="14" style="50" bestFit="1" customWidth="1"/>
    <col min="9" max="9" width="17.36328125" style="50" bestFit="1" customWidth="1"/>
    <col min="10" max="10" width="18.1796875" style="50" bestFit="1" customWidth="1"/>
    <col min="11" max="11" width="80.7265625" style="50" bestFit="1" customWidth="1"/>
    <col min="12" max="16384" width="10.90625" style="50"/>
  </cols>
  <sheetData>
    <row r="1" spans="1:11">
      <c r="A1" s="50" t="s">
        <v>0</v>
      </c>
      <c r="B1" s="50" t="s">
        <v>107</v>
      </c>
      <c r="C1" s="50" t="s">
        <v>393</v>
      </c>
      <c r="D1" s="50" t="s">
        <v>394</v>
      </c>
      <c r="E1" s="50" t="s">
        <v>395</v>
      </c>
      <c r="F1" s="50" t="s">
        <v>403</v>
      </c>
      <c r="G1" s="50" t="s">
        <v>404</v>
      </c>
      <c r="H1" s="50" t="s">
        <v>29</v>
      </c>
      <c r="I1" s="50" t="s">
        <v>396</v>
      </c>
      <c r="J1" s="50" t="s">
        <v>397</v>
      </c>
      <c r="K1" s="50" t="s">
        <v>33</v>
      </c>
    </row>
    <row r="2" spans="1:11">
      <c r="A2" s="50">
        <v>43886</v>
      </c>
      <c r="C2" s="50" t="s">
        <v>58</v>
      </c>
      <c r="D2" s="50">
        <v>72</v>
      </c>
      <c r="E2" s="50">
        <v>0</v>
      </c>
      <c r="F2" s="50">
        <v>0</v>
      </c>
      <c r="G2" s="50">
        <v>0</v>
      </c>
      <c r="H2" s="50">
        <v>0</v>
      </c>
      <c r="J2" s="50">
        <v>0</v>
      </c>
      <c r="K2" s="50" t="s">
        <v>60</v>
      </c>
    </row>
    <row r="3" spans="1:11">
      <c r="A3" s="50">
        <v>43886</v>
      </c>
      <c r="C3" s="50" t="s">
        <v>91</v>
      </c>
      <c r="E3" s="50">
        <v>1</v>
      </c>
      <c r="K3" s="50" t="s">
        <v>108</v>
      </c>
    </row>
    <row r="4" spans="1:11">
      <c r="A4" s="50">
        <v>43887</v>
      </c>
      <c r="C4" s="50" t="s">
        <v>58</v>
      </c>
      <c r="D4" s="50">
        <v>177</v>
      </c>
      <c r="E4" s="50">
        <v>1</v>
      </c>
      <c r="F4" s="50">
        <v>1</v>
      </c>
      <c r="G4" s="50">
        <v>0</v>
      </c>
      <c r="H4" s="50">
        <v>0</v>
      </c>
      <c r="J4" s="50">
        <v>0</v>
      </c>
      <c r="K4" s="50" t="s">
        <v>60</v>
      </c>
    </row>
    <row r="5" spans="1:11">
      <c r="A5" s="50">
        <v>43887</v>
      </c>
      <c r="C5" s="50" t="s">
        <v>91</v>
      </c>
      <c r="K5" s="50" t="s">
        <v>36</v>
      </c>
    </row>
    <row r="6" spans="1:11">
      <c r="A6" s="50">
        <v>43888</v>
      </c>
      <c r="C6" s="50" t="s">
        <v>53</v>
      </c>
      <c r="D6" s="50">
        <v>3</v>
      </c>
      <c r="K6" s="50" t="s">
        <v>110</v>
      </c>
    </row>
    <row r="7" spans="1:11">
      <c r="A7" s="50">
        <v>43888</v>
      </c>
      <c r="C7" s="50" t="s">
        <v>58</v>
      </c>
      <c r="D7" s="50">
        <v>325</v>
      </c>
      <c r="E7" s="50">
        <v>1</v>
      </c>
      <c r="F7" s="50">
        <v>1</v>
      </c>
      <c r="G7" s="50">
        <v>0</v>
      </c>
      <c r="H7" s="50">
        <v>0</v>
      </c>
      <c r="J7" s="50">
        <v>0</v>
      </c>
      <c r="K7" s="50" t="s">
        <v>60</v>
      </c>
    </row>
    <row r="8" spans="1:11">
      <c r="A8" s="50">
        <v>43888</v>
      </c>
      <c r="C8" s="50" t="s">
        <v>66</v>
      </c>
      <c r="E8" s="50">
        <v>1</v>
      </c>
      <c r="F8" s="50">
        <v>1</v>
      </c>
      <c r="G8" s="50">
        <v>0</v>
      </c>
      <c r="J8" s="50">
        <v>0</v>
      </c>
      <c r="K8" s="50" t="s">
        <v>427</v>
      </c>
    </row>
    <row r="9" spans="1:11">
      <c r="A9" s="50">
        <v>43888</v>
      </c>
      <c r="C9" s="50" t="s">
        <v>91</v>
      </c>
      <c r="K9" s="50" t="s">
        <v>36</v>
      </c>
    </row>
    <row r="10" spans="1:11">
      <c r="A10" s="50">
        <v>43888</v>
      </c>
      <c r="B10" s="50">
        <v>0.60416666666666663</v>
      </c>
      <c r="C10" s="50" t="s">
        <v>104</v>
      </c>
      <c r="E10" s="50">
        <v>2</v>
      </c>
      <c r="K10" s="50" t="s">
        <v>106</v>
      </c>
    </row>
    <row r="11" spans="1:11">
      <c r="A11" s="50">
        <v>43888</v>
      </c>
      <c r="B11" s="50">
        <v>0.80347222222222225</v>
      </c>
      <c r="C11" s="50" t="s">
        <v>50</v>
      </c>
      <c r="E11" s="50">
        <v>1</v>
      </c>
      <c r="K11" s="50" t="s">
        <v>109</v>
      </c>
    </row>
    <row r="12" spans="1:11">
      <c r="A12" s="50">
        <v>43889</v>
      </c>
      <c r="C12" s="50" t="s">
        <v>44</v>
      </c>
      <c r="E12" s="50">
        <v>1</v>
      </c>
      <c r="K12" s="50" t="s">
        <v>112</v>
      </c>
    </row>
    <row r="13" spans="1:11">
      <c r="A13" s="50">
        <v>43889</v>
      </c>
      <c r="C13" s="50" t="s">
        <v>47</v>
      </c>
      <c r="E13" s="50">
        <v>1</v>
      </c>
      <c r="K13" s="50" t="s">
        <v>113</v>
      </c>
    </row>
    <row r="14" spans="1:11">
      <c r="A14" s="50">
        <v>43889</v>
      </c>
      <c r="C14" s="50" t="s">
        <v>58</v>
      </c>
      <c r="D14" s="50">
        <v>532</v>
      </c>
      <c r="E14" s="50">
        <v>4</v>
      </c>
      <c r="F14" s="50">
        <v>2</v>
      </c>
      <c r="G14" s="50">
        <v>0</v>
      </c>
      <c r="H14" s="50">
        <v>0</v>
      </c>
      <c r="J14" s="50">
        <v>0</v>
      </c>
      <c r="K14" s="50" t="s">
        <v>60</v>
      </c>
    </row>
    <row r="15" spans="1:11">
      <c r="A15" s="50">
        <v>43889</v>
      </c>
      <c r="C15" s="50" t="s">
        <v>66</v>
      </c>
      <c r="E15" s="50">
        <v>1</v>
      </c>
      <c r="F15" s="50">
        <v>1</v>
      </c>
      <c r="G15" s="50">
        <v>0</v>
      </c>
      <c r="J15" s="50">
        <v>0</v>
      </c>
      <c r="K15" s="50" t="s">
        <v>427</v>
      </c>
    </row>
    <row r="16" spans="1:11">
      <c r="A16" s="50">
        <v>43889</v>
      </c>
      <c r="C16" s="50" t="s">
        <v>91</v>
      </c>
      <c r="K16" s="50" t="s">
        <v>36</v>
      </c>
    </row>
    <row r="17" spans="1:11">
      <c r="A17" s="50">
        <v>43889</v>
      </c>
      <c r="C17" s="50" t="s">
        <v>97</v>
      </c>
      <c r="F17" s="50">
        <v>4</v>
      </c>
      <c r="K17" s="50" t="s">
        <v>115</v>
      </c>
    </row>
    <row r="18" spans="1:11">
      <c r="A18" s="50">
        <v>43889</v>
      </c>
      <c r="C18" s="50" t="s">
        <v>100</v>
      </c>
      <c r="E18" s="50">
        <v>1</v>
      </c>
      <c r="F18" s="50">
        <v>5</v>
      </c>
      <c r="G18" s="50">
        <v>0</v>
      </c>
      <c r="H18" s="50">
        <v>0</v>
      </c>
      <c r="J18" s="50">
        <v>0</v>
      </c>
      <c r="K18" s="50" t="s">
        <v>430</v>
      </c>
    </row>
    <row r="19" spans="1:11">
      <c r="A19" s="50">
        <v>43889</v>
      </c>
      <c r="B19" s="50">
        <v>0.42708333333333331</v>
      </c>
      <c r="C19" s="50" t="s">
        <v>50</v>
      </c>
      <c r="E19" s="50">
        <v>1</v>
      </c>
      <c r="K19" s="50" t="s">
        <v>114</v>
      </c>
    </row>
    <row r="20" spans="1:11">
      <c r="A20" s="50">
        <v>43889</v>
      </c>
      <c r="B20" s="50">
        <v>0.60416666666666663</v>
      </c>
      <c r="C20" s="50" t="s">
        <v>104</v>
      </c>
      <c r="E20" s="50">
        <v>2</v>
      </c>
      <c r="K20" s="50" t="s">
        <v>106</v>
      </c>
    </row>
    <row r="21" spans="1:11">
      <c r="A21" s="50">
        <v>43889</v>
      </c>
      <c r="B21" s="50">
        <v>0.625</v>
      </c>
      <c r="C21" s="50" t="s">
        <v>34</v>
      </c>
      <c r="E21" s="50">
        <v>1</v>
      </c>
      <c r="K21" s="50" t="s">
        <v>111</v>
      </c>
    </row>
    <row r="22" spans="1:11">
      <c r="A22" s="50">
        <v>43890</v>
      </c>
      <c r="C22" s="50" t="s">
        <v>47</v>
      </c>
      <c r="E22" s="50">
        <v>2</v>
      </c>
      <c r="F22" s="50">
        <v>1</v>
      </c>
      <c r="K22" s="50" t="s">
        <v>116</v>
      </c>
    </row>
    <row r="23" spans="1:11">
      <c r="A23" s="50">
        <v>43890</v>
      </c>
      <c r="C23" s="50" t="s">
        <v>58</v>
      </c>
      <c r="D23" s="50">
        <v>672</v>
      </c>
      <c r="E23" s="50">
        <v>6</v>
      </c>
      <c r="F23" s="50">
        <v>3</v>
      </c>
      <c r="G23" s="50">
        <v>0</v>
      </c>
      <c r="H23" s="50">
        <v>0</v>
      </c>
      <c r="J23" s="50">
        <v>0</v>
      </c>
      <c r="K23" s="50" t="s">
        <v>60</v>
      </c>
    </row>
    <row r="24" spans="1:11">
      <c r="A24" s="50">
        <v>43890</v>
      </c>
      <c r="C24" s="50" t="s">
        <v>66</v>
      </c>
      <c r="E24" s="50">
        <v>1</v>
      </c>
      <c r="F24" s="50">
        <v>1</v>
      </c>
      <c r="G24" s="50">
        <v>0</v>
      </c>
      <c r="J24" s="50">
        <v>0</v>
      </c>
      <c r="K24" s="50" t="s">
        <v>427</v>
      </c>
    </row>
    <row r="25" spans="1:11">
      <c r="A25" s="50">
        <v>43890</v>
      </c>
      <c r="C25" s="50" t="s">
        <v>91</v>
      </c>
      <c r="K25" s="50" t="s">
        <v>36</v>
      </c>
    </row>
    <row r="26" spans="1:11">
      <c r="A26" s="50">
        <v>43890</v>
      </c>
      <c r="C26" s="50" t="s">
        <v>97</v>
      </c>
      <c r="F26" s="50">
        <v>4</v>
      </c>
      <c r="K26" s="50" t="s">
        <v>115</v>
      </c>
    </row>
    <row r="27" spans="1:11">
      <c r="A27" s="50">
        <v>43890</v>
      </c>
      <c r="C27" s="50" t="s">
        <v>100</v>
      </c>
      <c r="E27" s="50">
        <v>1</v>
      </c>
      <c r="F27" s="50">
        <v>5</v>
      </c>
      <c r="G27" s="50">
        <v>0</v>
      </c>
      <c r="H27" s="50">
        <v>0</v>
      </c>
      <c r="J27" s="50">
        <v>0</v>
      </c>
      <c r="K27" s="50" t="s">
        <v>430</v>
      </c>
    </row>
    <row r="28" spans="1:11">
      <c r="A28" s="50">
        <v>43890</v>
      </c>
      <c r="B28" s="50">
        <v>0.33333333333333331</v>
      </c>
      <c r="C28" s="50" t="s">
        <v>102</v>
      </c>
      <c r="E28" s="50">
        <v>0</v>
      </c>
      <c r="F28" s="50">
        <v>0</v>
      </c>
      <c r="G28" s="50">
        <v>0</v>
      </c>
      <c r="J28" s="50">
        <v>0</v>
      </c>
      <c r="K28" s="50" t="s">
        <v>381</v>
      </c>
    </row>
    <row r="29" spans="1:11">
      <c r="A29" s="50">
        <v>43890</v>
      </c>
      <c r="B29" s="50">
        <v>0.60416666666666663</v>
      </c>
      <c r="C29" s="50" t="s">
        <v>104</v>
      </c>
      <c r="E29" s="50">
        <v>6</v>
      </c>
      <c r="K29" s="50" t="s">
        <v>106</v>
      </c>
    </row>
    <row r="30" spans="1:11">
      <c r="A30" s="50">
        <v>43890</v>
      </c>
      <c r="B30" s="50">
        <v>0.64097222222222228</v>
      </c>
      <c r="C30" s="50" t="s">
        <v>50</v>
      </c>
      <c r="E30" s="50">
        <v>1</v>
      </c>
      <c r="K30" s="50" t="s">
        <v>117</v>
      </c>
    </row>
    <row r="31" spans="1:11">
      <c r="A31" s="50">
        <v>43891</v>
      </c>
      <c r="C31" s="50" t="s">
        <v>44</v>
      </c>
      <c r="E31" s="50">
        <v>2</v>
      </c>
      <c r="K31" s="50" t="s">
        <v>118</v>
      </c>
    </row>
    <row r="32" spans="1:11">
      <c r="A32" s="50">
        <v>43891</v>
      </c>
      <c r="C32" s="50" t="s">
        <v>47</v>
      </c>
      <c r="E32" s="50">
        <v>2</v>
      </c>
      <c r="F32" s="50">
        <v>1</v>
      </c>
      <c r="K32" s="50" t="s">
        <v>36</v>
      </c>
    </row>
    <row r="33" spans="1:11">
      <c r="A33" s="50">
        <v>43891</v>
      </c>
      <c r="C33" s="50" t="s">
        <v>56</v>
      </c>
      <c r="D33" s="50">
        <v>30</v>
      </c>
      <c r="E33" s="50">
        <v>1</v>
      </c>
      <c r="K33" s="50" t="s">
        <v>120</v>
      </c>
    </row>
    <row r="34" spans="1:11">
      <c r="A34" s="50">
        <v>43891</v>
      </c>
      <c r="C34" s="50" t="s">
        <v>58</v>
      </c>
      <c r="D34" s="50">
        <v>778</v>
      </c>
      <c r="E34" s="50">
        <v>8</v>
      </c>
      <c r="F34" s="50">
        <v>3</v>
      </c>
      <c r="G34" s="50">
        <v>0</v>
      </c>
      <c r="H34" s="50">
        <v>0</v>
      </c>
      <c r="J34" s="50">
        <v>0</v>
      </c>
      <c r="K34" s="50" t="s">
        <v>60</v>
      </c>
    </row>
    <row r="35" spans="1:11">
      <c r="A35" s="50">
        <v>43891</v>
      </c>
      <c r="C35" s="50" t="s">
        <v>66</v>
      </c>
      <c r="E35" s="50">
        <v>1</v>
      </c>
      <c r="F35" s="50">
        <v>1</v>
      </c>
      <c r="G35" s="50">
        <v>0</v>
      </c>
      <c r="J35" s="50">
        <v>0</v>
      </c>
      <c r="K35" s="50" t="s">
        <v>427</v>
      </c>
    </row>
    <row r="36" spans="1:11">
      <c r="A36" s="50">
        <v>43891</v>
      </c>
      <c r="C36" s="50" t="s">
        <v>71</v>
      </c>
      <c r="E36" s="50">
        <v>1</v>
      </c>
      <c r="K36" s="50" t="s">
        <v>377</v>
      </c>
    </row>
    <row r="37" spans="1:11">
      <c r="A37" s="50">
        <v>43891</v>
      </c>
      <c r="C37" s="50" t="s">
        <v>91</v>
      </c>
      <c r="K37" s="50" t="s">
        <v>36</v>
      </c>
    </row>
    <row r="38" spans="1:11">
      <c r="A38" s="50">
        <v>43891</v>
      </c>
      <c r="C38" s="50" t="s">
        <v>97</v>
      </c>
      <c r="F38" s="50">
        <v>4</v>
      </c>
      <c r="K38" s="50" t="s">
        <v>115</v>
      </c>
    </row>
    <row r="39" spans="1:11">
      <c r="A39" s="50">
        <v>43891</v>
      </c>
      <c r="C39" s="50" t="s">
        <v>100</v>
      </c>
      <c r="E39" s="50">
        <v>2</v>
      </c>
      <c r="F39" s="50">
        <v>6</v>
      </c>
      <c r="G39" s="50">
        <v>0</v>
      </c>
      <c r="H39" s="50">
        <v>0</v>
      </c>
      <c r="J39" s="50">
        <v>0</v>
      </c>
      <c r="K39" s="50" t="s">
        <v>430</v>
      </c>
    </row>
    <row r="40" spans="1:11">
      <c r="A40" s="50">
        <v>43891</v>
      </c>
      <c r="B40" s="50">
        <v>0.33333333333333331</v>
      </c>
      <c r="C40" s="50" t="s">
        <v>102</v>
      </c>
      <c r="E40" s="50">
        <v>0</v>
      </c>
      <c r="F40" s="50">
        <v>0</v>
      </c>
      <c r="G40" s="50">
        <v>0</v>
      </c>
      <c r="I40" s="50">
        <v>0</v>
      </c>
      <c r="J40" s="50">
        <v>0</v>
      </c>
      <c r="K40" s="50" t="s">
        <v>381</v>
      </c>
    </row>
    <row r="41" spans="1:11">
      <c r="A41" s="50">
        <v>43891</v>
      </c>
      <c r="B41" s="50">
        <v>0.60416666666666663</v>
      </c>
      <c r="C41" s="50" t="s">
        <v>104</v>
      </c>
      <c r="E41" s="50">
        <v>7</v>
      </c>
      <c r="K41" s="50" t="s">
        <v>106</v>
      </c>
    </row>
    <row r="42" spans="1:11">
      <c r="A42" s="50">
        <v>43891</v>
      </c>
      <c r="B42" s="50">
        <v>0.72847222222222219</v>
      </c>
      <c r="C42" s="50" t="s">
        <v>50</v>
      </c>
      <c r="E42" s="50">
        <v>1</v>
      </c>
      <c r="K42" s="50" t="s">
        <v>119</v>
      </c>
    </row>
    <row r="43" spans="1:11">
      <c r="A43" s="50">
        <v>43892</v>
      </c>
      <c r="C43" s="50" t="s">
        <v>44</v>
      </c>
      <c r="E43" s="50">
        <v>4</v>
      </c>
      <c r="K43" s="50" t="s">
        <v>122</v>
      </c>
    </row>
    <row r="44" spans="1:11">
      <c r="A44" s="50">
        <v>43892</v>
      </c>
      <c r="C44" s="50" t="s">
        <v>47</v>
      </c>
      <c r="E44" s="50">
        <v>2</v>
      </c>
      <c r="F44" s="50">
        <v>1</v>
      </c>
      <c r="K44" s="50" t="s">
        <v>36</v>
      </c>
    </row>
    <row r="45" spans="1:11">
      <c r="A45" s="50">
        <v>43892</v>
      </c>
      <c r="C45" s="50" t="s">
        <v>56</v>
      </c>
      <c r="E45" s="50">
        <v>2</v>
      </c>
      <c r="K45" s="50" t="s">
        <v>124</v>
      </c>
    </row>
    <row r="46" spans="1:11">
      <c r="A46" s="50">
        <v>43892</v>
      </c>
      <c r="C46" s="50" t="s">
        <v>58</v>
      </c>
      <c r="D46" s="50">
        <v>865</v>
      </c>
      <c r="E46" s="50">
        <v>8</v>
      </c>
      <c r="F46" s="50">
        <v>3</v>
      </c>
      <c r="G46" s="50">
        <v>0</v>
      </c>
      <c r="H46" s="50">
        <v>0</v>
      </c>
      <c r="J46" s="50">
        <v>0</v>
      </c>
      <c r="K46" s="50" t="s">
        <v>60</v>
      </c>
    </row>
    <row r="47" spans="1:11">
      <c r="A47" s="50">
        <v>43892</v>
      </c>
      <c r="C47" s="50" t="s">
        <v>66</v>
      </c>
      <c r="E47" s="50">
        <v>1</v>
      </c>
      <c r="F47" s="50">
        <v>1</v>
      </c>
      <c r="G47" s="50">
        <v>0</v>
      </c>
      <c r="J47" s="50">
        <v>0</v>
      </c>
      <c r="K47" s="50" t="s">
        <v>427</v>
      </c>
    </row>
    <row r="48" spans="1:11">
      <c r="A48" s="50">
        <v>43892</v>
      </c>
      <c r="C48" s="50" t="s">
        <v>71</v>
      </c>
      <c r="E48" s="50">
        <v>1</v>
      </c>
      <c r="F48" s="50">
        <v>1</v>
      </c>
      <c r="K48" s="50" t="s">
        <v>377</v>
      </c>
    </row>
    <row r="49" spans="1:11">
      <c r="A49" s="50">
        <v>43892</v>
      </c>
      <c r="C49" s="50" t="s">
        <v>78</v>
      </c>
      <c r="E49" s="50">
        <v>0</v>
      </c>
      <c r="K49" s="50" t="s">
        <v>125</v>
      </c>
    </row>
    <row r="50" spans="1:11">
      <c r="A50" s="50">
        <v>43892</v>
      </c>
      <c r="C50" s="50" t="s">
        <v>91</v>
      </c>
      <c r="E50" s="50">
        <v>2</v>
      </c>
      <c r="K50" s="50" t="s">
        <v>126</v>
      </c>
    </row>
    <row r="51" spans="1:11">
      <c r="A51" s="50">
        <v>43892</v>
      </c>
      <c r="C51" s="50" t="s">
        <v>97</v>
      </c>
      <c r="F51" s="50">
        <v>6</v>
      </c>
      <c r="K51" s="50" t="s">
        <v>115</v>
      </c>
    </row>
    <row r="52" spans="1:11">
      <c r="A52" s="50">
        <v>43892</v>
      </c>
      <c r="C52" s="50" t="s">
        <v>100</v>
      </c>
      <c r="E52" s="50">
        <v>3</v>
      </c>
      <c r="F52" s="50">
        <v>9</v>
      </c>
      <c r="G52" s="50">
        <v>0</v>
      </c>
      <c r="H52" s="50">
        <v>0</v>
      </c>
      <c r="J52" s="50">
        <v>0</v>
      </c>
      <c r="K52" s="50" t="s">
        <v>430</v>
      </c>
    </row>
    <row r="53" spans="1:11">
      <c r="A53" s="50">
        <v>43892</v>
      </c>
      <c r="B53" s="50">
        <v>0.33333333333333331</v>
      </c>
      <c r="C53" s="50" t="s">
        <v>102</v>
      </c>
      <c r="E53" s="50">
        <v>0</v>
      </c>
      <c r="F53" s="50">
        <v>0</v>
      </c>
      <c r="G53" s="50">
        <v>0</v>
      </c>
      <c r="I53" s="50">
        <v>0</v>
      </c>
      <c r="J53" s="50">
        <v>0</v>
      </c>
      <c r="K53" s="50" t="s">
        <v>381</v>
      </c>
    </row>
    <row r="54" spans="1:11">
      <c r="A54" s="50">
        <v>43892</v>
      </c>
      <c r="B54" s="50">
        <v>0.60416666666666663</v>
      </c>
      <c r="C54" s="50" t="s">
        <v>104</v>
      </c>
      <c r="E54" s="50">
        <v>11</v>
      </c>
      <c r="K54" s="50" t="s">
        <v>106</v>
      </c>
    </row>
    <row r="55" spans="1:11">
      <c r="A55" s="50">
        <v>43892</v>
      </c>
      <c r="B55" s="50">
        <v>0.71875</v>
      </c>
      <c r="C55" s="50" t="s">
        <v>50</v>
      </c>
      <c r="D55" s="50">
        <v>235</v>
      </c>
      <c r="E55" s="50">
        <v>1</v>
      </c>
      <c r="K55" s="50" t="s">
        <v>123</v>
      </c>
    </row>
    <row r="56" spans="1:11">
      <c r="A56" s="50">
        <v>43892</v>
      </c>
      <c r="B56" s="50">
        <v>0.75</v>
      </c>
      <c r="C56" s="50" t="s">
        <v>34</v>
      </c>
      <c r="E56" s="50">
        <v>2</v>
      </c>
      <c r="K56" s="50" t="s">
        <v>121</v>
      </c>
    </row>
    <row r="57" spans="1:11">
      <c r="A57" s="50">
        <v>43893</v>
      </c>
      <c r="C57" s="50" t="s">
        <v>47</v>
      </c>
      <c r="E57" s="50">
        <v>2</v>
      </c>
      <c r="F57" s="50">
        <v>1</v>
      </c>
      <c r="K57" s="50" t="s">
        <v>36</v>
      </c>
    </row>
    <row r="58" spans="1:11">
      <c r="A58" s="50">
        <v>43893</v>
      </c>
      <c r="C58" s="50" t="s">
        <v>53</v>
      </c>
      <c r="D58" s="50">
        <v>14</v>
      </c>
      <c r="K58" s="50" t="s">
        <v>129</v>
      </c>
    </row>
    <row r="59" spans="1:11">
      <c r="A59" s="50">
        <v>43893</v>
      </c>
      <c r="C59" s="50" t="s">
        <v>58</v>
      </c>
      <c r="D59" s="50">
        <v>974</v>
      </c>
      <c r="E59" s="50">
        <v>11</v>
      </c>
      <c r="F59" s="50">
        <v>4</v>
      </c>
      <c r="G59" s="50">
        <v>0</v>
      </c>
      <c r="H59" s="50">
        <v>0</v>
      </c>
      <c r="J59" s="50">
        <v>0</v>
      </c>
      <c r="K59" s="50" t="s">
        <v>60</v>
      </c>
    </row>
    <row r="60" spans="1:11">
      <c r="A60" s="50">
        <v>43893</v>
      </c>
      <c r="C60" s="50" t="s">
        <v>66</v>
      </c>
      <c r="E60" s="50">
        <v>2</v>
      </c>
      <c r="F60" s="50">
        <v>1</v>
      </c>
      <c r="G60" s="50">
        <v>0</v>
      </c>
      <c r="J60" s="50">
        <v>0</v>
      </c>
      <c r="K60" s="50" t="s">
        <v>427</v>
      </c>
    </row>
    <row r="61" spans="1:11">
      <c r="A61" s="50">
        <v>43893</v>
      </c>
      <c r="C61" s="50" t="s">
        <v>71</v>
      </c>
      <c r="E61" s="50">
        <v>1</v>
      </c>
      <c r="F61" s="50">
        <v>1</v>
      </c>
      <c r="K61" s="50" t="s">
        <v>377</v>
      </c>
    </row>
    <row r="62" spans="1:11">
      <c r="A62" s="50">
        <v>43893</v>
      </c>
      <c r="C62" s="50" t="s">
        <v>86</v>
      </c>
      <c r="D62" s="50">
        <v>1</v>
      </c>
      <c r="E62" s="50">
        <v>1</v>
      </c>
      <c r="K62" s="50" t="s">
        <v>130</v>
      </c>
    </row>
    <row r="63" spans="1:11">
      <c r="A63" s="50">
        <v>43893</v>
      </c>
      <c r="C63" s="50" t="s">
        <v>91</v>
      </c>
      <c r="E63" s="50">
        <v>4</v>
      </c>
      <c r="K63" s="50" t="s">
        <v>131</v>
      </c>
    </row>
    <row r="64" spans="1:11">
      <c r="A64" s="50">
        <v>43893</v>
      </c>
      <c r="C64" s="50" t="s">
        <v>97</v>
      </c>
      <c r="F64" s="50">
        <v>8</v>
      </c>
      <c r="K64" s="50" t="s">
        <v>115</v>
      </c>
    </row>
    <row r="65" spans="1:11">
      <c r="A65" s="50">
        <v>43893</v>
      </c>
      <c r="C65" s="50" t="s">
        <v>100</v>
      </c>
      <c r="E65" s="50">
        <v>3</v>
      </c>
      <c r="F65" s="50">
        <v>11</v>
      </c>
      <c r="G65" s="50">
        <v>0</v>
      </c>
      <c r="H65" s="50">
        <v>0</v>
      </c>
      <c r="J65" s="50">
        <v>0</v>
      </c>
      <c r="K65" s="50" t="s">
        <v>430</v>
      </c>
    </row>
    <row r="66" spans="1:11">
      <c r="A66" s="50">
        <v>43893</v>
      </c>
      <c r="B66" s="50">
        <v>0.33333333333333331</v>
      </c>
      <c r="C66" s="50" t="s">
        <v>102</v>
      </c>
      <c r="E66" s="50">
        <v>1</v>
      </c>
      <c r="F66" s="50">
        <v>0</v>
      </c>
      <c r="G66" s="50">
        <v>0</v>
      </c>
      <c r="I66" s="50">
        <v>0</v>
      </c>
      <c r="J66" s="50">
        <v>0</v>
      </c>
      <c r="K66" s="50" t="s">
        <v>381</v>
      </c>
    </row>
    <row r="67" spans="1:11">
      <c r="A67" s="50">
        <v>43893</v>
      </c>
      <c r="B67" s="50">
        <v>0.60416666666666663</v>
      </c>
      <c r="C67" s="50" t="s">
        <v>104</v>
      </c>
      <c r="E67" s="50">
        <v>14</v>
      </c>
      <c r="K67" s="50" t="s">
        <v>106</v>
      </c>
    </row>
    <row r="68" spans="1:11">
      <c r="A68" s="50">
        <v>43893</v>
      </c>
      <c r="B68" s="50">
        <v>0.625</v>
      </c>
      <c r="C68" s="50" t="s">
        <v>34</v>
      </c>
      <c r="E68" s="50">
        <v>6</v>
      </c>
      <c r="K68" s="50" t="s">
        <v>127</v>
      </c>
    </row>
    <row r="69" spans="1:11">
      <c r="A69" s="50">
        <v>43893</v>
      </c>
      <c r="B69" s="50">
        <v>0.72916666666666663</v>
      </c>
      <c r="C69" s="50" t="s">
        <v>50</v>
      </c>
      <c r="E69" s="50">
        <v>3</v>
      </c>
      <c r="K69" s="50" t="s">
        <v>128</v>
      </c>
    </row>
    <row r="70" spans="1:11">
      <c r="A70" s="50">
        <v>43894</v>
      </c>
      <c r="C70" s="50" t="s">
        <v>44</v>
      </c>
      <c r="E70" s="50">
        <v>6</v>
      </c>
      <c r="K70" s="50" t="s">
        <v>133</v>
      </c>
    </row>
    <row r="71" spans="1:11">
      <c r="A71" s="50">
        <v>43894</v>
      </c>
      <c r="C71" s="50" t="s">
        <v>47</v>
      </c>
      <c r="E71" s="50">
        <v>2</v>
      </c>
      <c r="F71" s="50">
        <v>1</v>
      </c>
      <c r="K71" s="50" t="s">
        <v>36</v>
      </c>
    </row>
    <row r="72" spans="1:11">
      <c r="A72" s="50">
        <v>43894</v>
      </c>
      <c r="C72" s="50" t="s">
        <v>53</v>
      </c>
      <c r="D72" s="50">
        <v>16</v>
      </c>
      <c r="E72" s="50">
        <v>1</v>
      </c>
      <c r="K72" s="50" t="s">
        <v>135</v>
      </c>
    </row>
    <row r="73" spans="1:11">
      <c r="A73" s="50">
        <v>43894</v>
      </c>
      <c r="C73" s="50" t="s">
        <v>56</v>
      </c>
      <c r="E73" s="50">
        <v>4</v>
      </c>
      <c r="K73" s="50" t="s">
        <v>136</v>
      </c>
    </row>
    <row r="74" spans="1:11">
      <c r="A74" s="50">
        <v>43894</v>
      </c>
      <c r="C74" s="50" t="s">
        <v>58</v>
      </c>
      <c r="D74" s="50">
        <v>1081</v>
      </c>
      <c r="E74" s="50">
        <v>11</v>
      </c>
      <c r="F74" s="50">
        <v>4</v>
      </c>
      <c r="G74" s="50">
        <v>0</v>
      </c>
      <c r="H74" s="50">
        <v>0</v>
      </c>
      <c r="J74" s="50">
        <v>0</v>
      </c>
      <c r="K74" s="50" t="s">
        <v>60</v>
      </c>
    </row>
    <row r="75" spans="1:11">
      <c r="A75" s="50">
        <v>43894</v>
      </c>
      <c r="C75" s="50" t="s">
        <v>66</v>
      </c>
      <c r="E75" s="50">
        <v>2</v>
      </c>
      <c r="F75" s="50">
        <v>1</v>
      </c>
      <c r="G75" s="50">
        <v>0</v>
      </c>
      <c r="J75" s="50">
        <v>0</v>
      </c>
      <c r="K75" s="50" t="s">
        <v>427</v>
      </c>
    </row>
    <row r="76" spans="1:11">
      <c r="A76" s="50">
        <v>43894</v>
      </c>
      <c r="C76" s="50" t="s">
        <v>71</v>
      </c>
      <c r="E76" s="50">
        <v>8</v>
      </c>
      <c r="F76" s="50">
        <v>4</v>
      </c>
      <c r="K76" s="50" t="s">
        <v>377</v>
      </c>
    </row>
    <row r="77" spans="1:11">
      <c r="A77" s="50">
        <v>43894</v>
      </c>
      <c r="C77" s="50" t="s">
        <v>86</v>
      </c>
      <c r="D77" s="50">
        <v>3</v>
      </c>
      <c r="E77" s="50">
        <v>3</v>
      </c>
      <c r="F77" s="50">
        <v>1</v>
      </c>
      <c r="K77" s="50" t="s">
        <v>130</v>
      </c>
    </row>
    <row r="78" spans="1:11">
      <c r="A78" s="50">
        <v>43894</v>
      </c>
      <c r="C78" s="50" t="s">
        <v>91</v>
      </c>
      <c r="E78" s="50">
        <v>5</v>
      </c>
      <c r="K78" s="50" t="s">
        <v>139</v>
      </c>
    </row>
    <row r="79" spans="1:11">
      <c r="A79" s="50">
        <v>43894</v>
      </c>
      <c r="C79" s="50" t="s">
        <v>97</v>
      </c>
      <c r="F79" s="50">
        <v>11</v>
      </c>
      <c r="G79" s="50">
        <v>1</v>
      </c>
      <c r="K79" s="50" t="s">
        <v>115</v>
      </c>
    </row>
    <row r="80" spans="1:11">
      <c r="A80" s="50">
        <v>43894</v>
      </c>
      <c r="C80" s="50" t="s">
        <v>100</v>
      </c>
      <c r="E80" s="50">
        <v>4</v>
      </c>
      <c r="F80" s="50">
        <v>12</v>
      </c>
      <c r="G80" s="50">
        <v>0</v>
      </c>
      <c r="H80" s="50">
        <v>0</v>
      </c>
      <c r="J80" s="50">
        <v>0</v>
      </c>
      <c r="K80" s="50" t="s">
        <v>430</v>
      </c>
    </row>
    <row r="81" spans="1:11">
      <c r="A81" s="50">
        <v>43894</v>
      </c>
      <c r="B81" s="50">
        <v>0.27430555555555558</v>
      </c>
      <c r="C81" s="50" t="s">
        <v>78</v>
      </c>
      <c r="E81" s="50">
        <v>1</v>
      </c>
      <c r="K81" s="50" t="s">
        <v>138</v>
      </c>
    </row>
    <row r="82" spans="1:11">
      <c r="A82" s="50">
        <v>43894</v>
      </c>
      <c r="B82" s="50">
        <v>0.33333333333333331</v>
      </c>
      <c r="C82" s="50" t="s">
        <v>102</v>
      </c>
      <c r="E82" s="50">
        <v>1</v>
      </c>
      <c r="F82" s="50">
        <v>0</v>
      </c>
      <c r="G82" s="50">
        <v>0</v>
      </c>
      <c r="I82" s="50">
        <v>0</v>
      </c>
      <c r="J82" s="50">
        <v>0</v>
      </c>
      <c r="K82" s="50" t="s">
        <v>381</v>
      </c>
    </row>
    <row r="83" spans="1:11">
      <c r="A83" s="50">
        <v>43894</v>
      </c>
      <c r="B83" s="50">
        <v>0.60416666666666663</v>
      </c>
      <c r="C83" s="50" t="s">
        <v>104</v>
      </c>
      <c r="E83" s="50">
        <v>16</v>
      </c>
      <c r="K83" s="50" t="s">
        <v>106</v>
      </c>
    </row>
    <row r="84" spans="1:11">
      <c r="A84" s="50">
        <v>43894</v>
      </c>
      <c r="B84" s="50">
        <v>0.625</v>
      </c>
      <c r="C84" s="50" t="s">
        <v>34</v>
      </c>
      <c r="E84" s="50">
        <v>7</v>
      </c>
      <c r="K84" s="50" t="s">
        <v>132</v>
      </c>
    </row>
    <row r="85" spans="1:11">
      <c r="A85" s="50">
        <v>43894</v>
      </c>
      <c r="B85" s="50">
        <v>0.72222222222222221</v>
      </c>
      <c r="C85" s="50" t="s">
        <v>50</v>
      </c>
      <c r="E85" s="50">
        <v>3</v>
      </c>
      <c r="K85" s="50" t="s">
        <v>134</v>
      </c>
    </row>
    <row r="86" spans="1:11">
      <c r="A86" s="50">
        <v>43894</v>
      </c>
      <c r="B86" s="50">
        <v>0.75</v>
      </c>
      <c r="C86" s="50" t="s">
        <v>68</v>
      </c>
      <c r="E86" s="50">
        <v>0</v>
      </c>
      <c r="K86" s="50" t="s">
        <v>137</v>
      </c>
    </row>
    <row r="87" spans="1:11">
      <c r="A87" s="50">
        <v>43895</v>
      </c>
      <c r="C87" s="50" t="s">
        <v>41</v>
      </c>
      <c r="E87" s="50">
        <v>1</v>
      </c>
      <c r="K87" s="50" t="s">
        <v>141</v>
      </c>
    </row>
    <row r="88" spans="1:11">
      <c r="A88" s="50">
        <v>43895</v>
      </c>
      <c r="C88" s="50" t="s">
        <v>47</v>
      </c>
      <c r="E88" s="50">
        <v>6</v>
      </c>
      <c r="F88" s="50">
        <v>1</v>
      </c>
      <c r="K88" s="50" t="s">
        <v>142</v>
      </c>
    </row>
    <row r="89" spans="1:11">
      <c r="A89" s="50">
        <v>43895</v>
      </c>
      <c r="C89" s="50" t="s">
        <v>53</v>
      </c>
      <c r="D89" s="50">
        <v>18</v>
      </c>
      <c r="E89" s="50">
        <v>1</v>
      </c>
      <c r="K89" s="50" t="s">
        <v>144</v>
      </c>
    </row>
    <row r="90" spans="1:11">
      <c r="A90" s="50">
        <v>43895</v>
      </c>
      <c r="C90" s="50" t="s">
        <v>56</v>
      </c>
      <c r="E90" s="50">
        <v>6</v>
      </c>
      <c r="K90" s="50" t="s">
        <v>145</v>
      </c>
    </row>
    <row r="91" spans="1:11">
      <c r="A91" s="50">
        <v>43895</v>
      </c>
      <c r="C91" s="50" t="s">
        <v>58</v>
      </c>
      <c r="D91" s="50">
        <v>1146</v>
      </c>
      <c r="E91" s="50">
        <v>15</v>
      </c>
      <c r="F91" s="50">
        <v>5</v>
      </c>
      <c r="G91" s="50">
        <v>0</v>
      </c>
      <c r="H91" s="50">
        <v>0</v>
      </c>
      <c r="J91" s="50">
        <v>0</v>
      </c>
      <c r="K91" s="50" t="s">
        <v>60</v>
      </c>
    </row>
    <row r="92" spans="1:11">
      <c r="A92" s="50">
        <v>43895</v>
      </c>
      <c r="C92" s="50" t="s">
        <v>66</v>
      </c>
      <c r="E92" s="50">
        <v>4</v>
      </c>
      <c r="F92" s="50">
        <v>2</v>
      </c>
      <c r="G92" s="50">
        <v>0</v>
      </c>
      <c r="J92" s="50">
        <v>0</v>
      </c>
      <c r="K92" s="50" t="s">
        <v>427</v>
      </c>
    </row>
    <row r="93" spans="1:11">
      <c r="A93" s="50">
        <v>43895</v>
      </c>
      <c r="C93" s="50" t="s">
        <v>71</v>
      </c>
      <c r="E93" s="50">
        <v>9</v>
      </c>
      <c r="F93" s="50">
        <v>4</v>
      </c>
      <c r="K93" s="50" t="s">
        <v>377</v>
      </c>
    </row>
    <row r="94" spans="1:11">
      <c r="A94" s="50">
        <v>43895</v>
      </c>
      <c r="C94" s="50" t="s">
        <v>91</v>
      </c>
      <c r="E94" s="50">
        <v>18</v>
      </c>
      <c r="K94" s="50" t="s">
        <v>146</v>
      </c>
    </row>
    <row r="95" spans="1:11">
      <c r="A95" s="50">
        <v>43895</v>
      </c>
      <c r="C95" s="50" t="s">
        <v>97</v>
      </c>
      <c r="F95" s="50">
        <v>14</v>
      </c>
      <c r="G95" s="50">
        <v>1</v>
      </c>
      <c r="K95" s="50" t="s">
        <v>115</v>
      </c>
    </row>
    <row r="96" spans="1:11">
      <c r="A96" s="50">
        <v>43895</v>
      </c>
      <c r="C96" s="50" t="s">
        <v>100</v>
      </c>
      <c r="E96" s="50">
        <v>5</v>
      </c>
      <c r="F96" s="50">
        <v>10</v>
      </c>
      <c r="G96" s="50">
        <v>0</v>
      </c>
      <c r="H96" s="50">
        <v>0</v>
      </c>
      <c r="J96" s="50">
        <v>0</v>
      </c>
      <c r="K96" s="50" t="s">
        <v>430</v>
      </c>
    </row>
    <row r="97" spans="1:11">
      <c r="A97" s="50">
        <v>43895</v>
      </c>
      <c r="B97" s="50">
        <v>0.33333333333333331</v>
      </c>
      <c r="C97" s="50" t="s">
        <v>102</v>
      </c>
      <c r="E97" s="50">
        <v>2</v>
      </c>
      <c r="F97" s="50">
        <v>0</v>
      </c>
      <c r="G97" s="50">
        <v>0</v>
      </c>
      <c r="I97" s="50">
        <v>0</v>
      </c>
      <c r="J97" s="50">
        <v>0</v>
      </c>
      <c r="K97" s="50" t="s">
        <v>381</v>
      </c>
    </row>
    <row r="98" spans="1:11">
      <c r="A98" s="50">
        <v>43895</v>
      </c>
      <c r="B98" s="50">
        <v>0.60416666666666663</v>
      </c>
      <c r="C98" s="50" t="s">
        <v>104</v>
      </c>
      <c r="E98" s="50">
        <v>24</v>
      </c>
      <c r="K98" s="50" t="s">
        <v>106</v>
      </c>
    </row>
    <row r="99" spans="1:11">
      <c r="A99" s="50">
        <v>43895</v>
      </c>
      <c r="B99" s="50">
        <v>0.625</v>
      </c>
      <c r="C99" s="50" t="s">
        <v>34</v>
      </c>
      <c r="E99" s="50">
        <v>9</v>
      </c>
      <c r="K99" s="50" t="s">
        <v>140</v>
      </c>
    </row>
    <row r="100" spans="1:11">
      <c r="A100" s="50">
        <v>43895</v>
      </c>
      <c r="B100" s="50">
        <v>0.71875</v>
      </c>
      <c r="C100" s="50" t="s">
        <v>50</v>
      </c>
      <c r="E100" s="50">
        <v>8</v>
      </c>
      <c r="F100" s="50">
        <v>1</v>
      </c>
      <c r="K100" s="50" t="s">
        <v>143</v>
      </c>
    </row>
    <row r="101" spans="1:11">
      <c r="A101" s="50">
        <v>43896</v>
      </c>
      <c r="C101" s="50" t="s">
        <v>44</v>
      </c>
      <c r="E101" s="50">
        <v>17</v>
      </c>
      <c r="K101" s="50" t="s">
        <v>148</v>
      </c>
    </row>
    <row r="102" spans="1:11">
      <c r="A102" s="50">
        <v>43896</v>
      </c>
      <c r="C102" s="50" t="s">
        <v>47</v>
      </c>
      <c r="E102" s="50">
        <v>6</v>
      </c>
      <c r="F102" s="50">
        <v>4</v>
      </c>
      <c r="G102" s="50">
        <v>2</v>
      </c>
      <c r="K102" s="50" t="s">
        <v>36</v>
      </c>
    </row>
    <row r="103" spans="1:11">
      <c r="A103" s="50">
        <v>43896</v>
      </c>
      <c r="C103" s="50" t="s">
        <v>53</v>
      </c>
      <c r="D103" s="50">
        <v>22</v>
      </c>
      <c r="E103" s="50">
        <v>1</v>
      </c>
      <c r="K103" s="50" t="s">
        <v>150</v>
      </c>
    </row>
    <row r="104" spans="1:11">
      <c r="A104" s="50">
        <v>43896</v>
      </c>
      <c r="C104" s="50" t="s">
        <v>58</v>
      </c>
      <c r="D104" s="50">
        <v>1241</v>
      </c>
      <c r="E104" s="50">
        <v>19</v>
      </c>
      <c r="F104" s="50">
        <v>7</v>
      </c>
      <c r="G104" s="50">
        <v>0</v>
      </c>
      <c r="H104" s="50">
        <v>0</v>
      </c>
      <c r="J104" s="50">
        <v>0</v>
      </c>
      <c r="K104" s="50" t="s">
        <v>60</v>
      </c>
    </row>
    <row r="105" spans="1:11">
      <c r="A105" s="50">
        <v>43896</v>
      </c>
      <c r="C105" s="50" t="s">
        <v>66</v>
      </c>
      <c r="E105" s="50">
        <v>4</v>
      </c>
      <c r="F105" s="50">
        <v>5</v>
      </c>
      <c r="G105" s="50">
        <v>0</v>
      </c>
      <c r="J105" s="50">
        <v>0</v>
      </c>
      <c r="K105" s="50" t="s">
        <v>427</v>
      </c>
    </row>
    <row r="106" spans="1:11">
      <c r="A106" s="50">
        <v>43896</v>
      </c>
      <c r="C106" s="50" t="s">
        <v>71</v>
      </c>
      <c r="E106" s="50">
        <v>13</v>
      </c>
      <c r="F106" s="50">
        <v>2</v>
      </c>
      <c r="K106" s="50" t="s">
        <v>377</v>
      </c>
    </row>
    <row r="107" spans="1:11">
      <c r="A107" s="50">
        <v>43896</v>
      </c>
      <c r="C107" s="50" t="s">
        <v>86</v>
      </c>
      <c r="D107" s="50">
        <v>6</v>
      </c>
      <c r="E107" s="50">
        <v>6</v>
      </c>
      <c r="K107" s="50" t="s">
        <v>153</v>
      </c>
    </row>
    <row r="108" spans="1:11">
      <c r="A108" s="50">
        <v>43896</v>
      </c>
      <c r="C108" s="50" t="s">
        <v>91</v>
      </c>
      <c r="K108" s="50" t="s">
        <v>36</v>
      </c>
    </row>
    <row r="109" spans="1:11">
      <c r="A109" s="50">
        <v>43896</v>
      </c>
      <c r="C109" s="50" t="s">
        <v>97</v>
      </c>
      <c r="E109" s="50">
        <v>23</v>
      </c>
      <c r="F109" s="50">
        <v>15</v>
      </c>
      <c r="G109" s="50">
        <v>2</v>
      </c>
      <c r="J109" s="50">
        <v>1</v>
      </c>
      <c r="K109" s="50" t="s">
        <v>115</v>
      </c>
    </row>
    <row r="110" spans="1:11">
      <c r="A110" s="50">
        <v>43896</v>
      </c>
      <c r="C110" s="50" t="s">
        <v>100</v>
      </c>
      <c r="E110" s="50">
        <v>6</v>
      </c>
      <c r="F110" s="50">
        <v>11</v>
      </c>
      <c r="G110" s="50">
        <v>0</v>
      </c>
      <c r="H110" s="50">
        <v>0</v>
      </c>
      <c r="J110" s="50">
        <v>0</v>
      </c>
      <c r="K110" s="50" t="s">
        <v>430</v>
      </c>
    </row>
    <row r="111" spans="1:11">
      <c r="A111" s="50">
        <v>43896</v>
      </c>
      <c r="B111" s="50">
        <v>0.33333333333333331</v>
      </c>
      <c r="C111" s="50" t="s">
        <v>102</v>
      </c>
      <c r="E111" s="50">
        <v>3</v>
      </c>
      <c r="F111" s="50">
        <v>0</v>
      </c>
      <c r="G111" s="50">
        <v>0</v>
      </c>
      <c r="I111" s="50">
        <v>0</v>
      </c>
      <c r="J111" s="50">
        <v>0</v>
      </c>
      <c r="K111" s="50" t="s">
        <v>381</v>
      </c>
    </row>
    <row r="112" spans="1:11">
      <c r="A112" s="50">
        <v>43896</v>
      </c>
      <c r="B112" s="50">
        <v>0.5</v>
      </c>
      <c r="C112" s="50" t="s">
        <v>83</v>
      </c>
      <c r="E112" s="50">
        <v>1</v>
      </c>
      <c r="K112" s="50" t="s">
        <v>152</v>
      </c>
    </row>
    <row r="113" spans="1:11">
      <c r="A113" s="50">
        <v>43896</v>
      </c>
      <c r="B113" s="50">
        <v>0.58333333333333337</v>
      </c>
      <c r="C113" s="50" t="s">
        <v>50</v>
      </c>
      <c r="E113" s="50">
        <v>15</v>
      </c>
      <c r="F113" s="50">
        <v>1</v>
      </c>
      <c r="K113" s="50" t="s">
        <v>149</v>
      </c>
    </row>
    <row r="114" spans="1:11">
      <c r="A114" s="50">
        <v>43896</v>
      </c>
      <c r="B114" s="50">
        <v>0.60416666666666663</v>
      </c>
      <c r="C114" s="50" t="s">
        <v>104</v>
      </c>
      <c r="E114" s="50">
        <v>30</v>
      </c>
      <c r="K114" s="50" t="s">
        <v>106</v>
      </c>
    </row>
    <row r="115" spans="1:11">
      <c r="A115" s="50">
        <v>43896</v>
      </c>
      <c r="B115" s="50">
        <v>0.625</v>
      </c>
      <c r="C115" s="50" t="s">
        <v>34</v>
      </c>
      <c r="E115" s="50">
        <v>12</v>
      </c>
      <c r="I115" s="50">
        <v>1</v>
      </c>
      <c r="K115" s="50" t="s">
        <v>147</v>
      </c>
    </row>
    <row r="116" spans="1:11">
      <c r="A116" s="50">
        <v>43896</v>
      </c>
      <c r="B116" s="50">
        <v>0.65138888888888891</v>
      </c>
      <c r="C116" s="50" t="s">
        <v>78</v>
      </c>
      <c r="E116" s="50">
        <v>2</v>
      </c>
      <c r="K116" s="50" t="s">
        <v>151</v>
      </c>
    </row>
    <row r="117" spans="1:11">
      <c r="A117" s="50">
        <v>43897</v>
      </c>
      <c r="C117" s="50" t="s">
        <v>47</v>
      </c>
      <c r="E117" s="50">
        <v>15</v>
      </c>
      <c r="F117" s="50">
        <v>4</v>
      </c>
      <c r="G117" s="50">
        <v>2</v>
      </c>
      <c r="K117" s="50" t="s">
        <v>154</v>
      </c>
    </row>
    <row r="118" spans="1:11">
      <c r="A118" s="50">
        <v>43897</v>
      </c>
      <c r="C118" s="50" t="s">
        <v>58</v>
      </c>
      <c r="D118" s="50">
        <v>1316</v>
      </c>
      <c r="E118" s="50">
        <v>30</v>
      </c>
      <c r="F118" s="50">
        <v>7</v>
      </c>
      <c r="G118" s="50">
        <v>0</v>
      </c>
      <c r="H118" s="50">
        <v>0</v>
      </c>
      <c r="J118" s="50">
        <v>0</v>
      </c>
      <c r="K118" s="50" t="s">
        <v>60</v>
      </c>
    </row>
    <row r="119" spans="1:11">
      <c r="A119" s="50">
        <v>43897</v>
      </c>
      <c r="C119" s="50" t="s">
        <v>66</v>
      </c>
      <c r="E119" s="50">
        <v>5</v>
      </c>
      <c r="F119" s="50">
        <v>5</v>
      </c>
      <c r="G119" s="50">
        <v>0</v>
      </c>
      <c r="J119" s="50">
        <v>0</v>
      </c>
      <c r="K119" s="50" t="s">
        <v>427</v>
      </c>
    </row>
    <row r="120" spans="1:11">
      <c r="A120" s="50">
        <v>43897</v>
      </c>
      <c r="C120" s="50" t="s">
        <v>71</v>
      </c>
      <c r="E120" s="50">
        <v>18</v>
      </c>
      <c r="F120" s="50">
        <v>2</v>
      </c>
      <c r="K120" s="50" t="s">
        <v>377</v>
      </c>
    </row>
    <row r="121" spans="1:11">
      <c r="A121" s="50">
        <v>43897</v>
      </c>
      <c r="C121" s="50" t="s">
        <v>91</v>
      </c>
      <c r="E121" s="50">
        <v>45</v>
      </c>
      <c r="K121" s="50" t="s">
        <v>156</v>
      </c>
    </row>
    <row r="122" spans="1:11">
      <c r="A122" s="50">
        <v>43897</v>
      </c>
      <c r="C122" s="50" t="s">
        <v>97</v>
      </c>
      <c r="E122" s="50">
        <v>30</v>
      </c>
      <c r="F122" s="50">
        <v>16</v>
      </c>
      <c r="G122" s="50">
        <v>4</v>
      </c>
      <c r="J122" s="50">
        <v>1</v>
      </c>
      <c r="K122" s="50" t="s">
        <v>115</v>
      </c>
    </row>
    <row r="123" spans="1:11">
      <c r="A123" s="50">
        <v>43897</v>
      </c>
      <c r="C123" s="50" t="s">
        <v>100</v>
      </c>
      <c r="E123" s="50">
        <v>7</v>
      </c>
      <c r="F123" s="50">
        <v>11</v>
      </c>
      <c r="G123" s="50">
        <v>0</v>
      </c>
      <c r="H123" s="50">
        <v>0</v>
      </c>
      <c r="J123" s="50">
        <v>0</v>
      </c>
      <c r="K123" s="50" t="s">
        <v>430</v>
      </c>
    </row>
    <row r="124" spans="1:11">
      <c r="A124" s="50">
        <v>43897</v>
      </c>
      <c r="B124" s="50">
        <v>0.33333333333333331</v>
      </c>
      <c r="C124" s="50" t="s">
        <v>102</v>
      </c>
      <c r="E124" s="50">
        <v>3</v>
      </c>
      <c r="F124" s="50">
        <v>0</v>
      </c>
      <c r="G124" s="50">
        <v>0</v>
      </c>
      <c r="I124" s="50">
        <v>0</v>
      </c>
      <c r="J124" s="50">
        <v>0</v>
      </c>
      <c r="K124" s="50" t="s">
        <v>381</v>
      </c>
    </row>
    <row r="125" spans="1:11">
      <c r="A125" s="50">
        <v>43897</v>
      </c>
      <c r="B125" s="50">
        <v>0.5</v>
      </c>
      <c r="C125" s="50" t="s">
        <v>50</v>
      </c>
      <c r="E125" s="50">
        <v>21</v>
      </c>
      <c r="F125" s="50">
        <v>1</v>
      </c>
      <c r="K125" s="50" t="s">
        <v>155</v>
      </c>
    </row>
    <row r="126" spans="1:11">
      <c r="A126" s="50">
        <v>43897</v>
      </c>
      <c r="B126" s="50">
        <v>0.60416666666666663</v>
      </c>
      <c r="C126" s="50" t="s">
        <v>104</v>
      </c>
      <c r="E126" s="50">
        <v>35</v>
      </c>
      <c r="K126" s="50" t="s">
        <v>106</v>
      </c>
    </row>
    <row r="127" spans="1:11">
      <c r="A127" s="50">
        <v>43898</v>
      </c>
      <c r="C127" s="50" t="s">
        <v>47</v>
      </c>
      <c r="E127" s="50">
        <v>19</v>
      </c>
      <c r="F127" s="50">
        <v>4</v>
      </c>
      <c r="G127" s="50">
        <v>2</v>
      </c>
      <c r="J127" s="50">
        <v>1</v>
      </c>
      <c r="K127" s="50" t="s">
        <v>157</v>
      </c>
    </row>
    <row r="128" spans="1:11">
      <c r="A128" s="50">
        <v>43898</v>
      </c>
      <c r="C128" s="50" t="s">
        <v>56</v>
      </c>
      <c r="E128" s="50">
        <v>8</v>
      </c>
      <c r="K128" s="50" t="s">
        <v>145</v>
      </c>
    </row>
    <row r="129" spans="1:11">
      <c r="A129" s="50">
        <v>43898</v>
      </c>
      <c r="C129" s="50" t="s">
        <v>58</v>
      </c>
      <c r="D129" s="50">
        <v>1383</v>
      </c>
      <c r="E129" s="50">
        <v>38</v>
      </c>
      <c r="F129" s="50">
        <v>9</v>
      </c>
      <c r="G129" s="50">
        <v>0</v>
      </c>
      <c r="H129" s="50">
        <v>0</v>
      </c>
      <c r="J129" s="50">
        <v>0</v>
      </c>
      <c r="K129" s="50" t="s">
        <v>60</v>
      </c>
    </row>
    <row r="130" spans="1:11">
      <c r="A130" s="50">
        <v>43898</v>
      </c>
      <c r="C130" s="50" t="s">
        <v>66</v>
      </c>
      <c r="E130" s="50">
        <v>5</v>
      </c>
      <c r="F130" s="50">
        <v>5</v>
      </c>
      <c r="G130" s="50">
        <v>0</v>
      </c>
      <c r="J130" s="50">
        <v>0</v>
      </c>
      <c r="K130" s="50" t="s">
        <v>427</v>
      </c>
    </row>
    <row r="131" spans="1:11">
      <c r="A131" s="50">
        <v>43898</v>
      </c>
      <c r="C131" s="50" t="s">
        <v>71</v>
      </c>
      <c r="E131" s="50">
        <v>24</v>
      </c>
      <c r="F131" s="50">
        <v>3</v>
      </c>
      <c r="K131" s="50" t="s">
        <v>377</v>
      </c>
    </row>
    <row r="132" spans="1:11">
      <c r="A132" s="50">
        <v>43898</v>
      </c>
      <c r="C132" s="50" t="s">
        <v>91</v>
      </c>
      <c r="E132" s="50">
        <v>58</v>
      </c>
      <c r="K132" s="50" t="s">
        <v>159</v>
      </c>
    </row>
    <row r="133" spans="1:11">
      <c r="A133" s="50">
        <v>43898</v>
      </c>
      <c r="C133" s="50" t="s">
        <v>97</v>
      </c>
      <c r="E133" s="50">
        <v>40</v>
      </c>
      <c r="F133" s="50">
        <v>22</v>
      </c>
      <c r="G133" s="50">
        <v>3</v>
      </c>
      <c r="J133" s="50">
        <v>1</v>
      </c>
      <c r="K133" s="50" t="s">
        <v>115</v>
      </c>
    </row>
    <row r="134" spans="1:11">
      <c r="A134" s="50">
        <v>43898</v>
      </c>
      <c r="C134" s="50" t="s">
        <v>100</v>
      </c>
      <c r="E134" s="50">
        <v>12</v>
      </c>
      <c r="F134" s="50">
        <v>15</v>
      </c>
      <c r="G134" s="50">
        <v>1</v>
      </c>
      <c r="H134" s="50">
        <v>1</v>
      </c>
      <c r="J134" s="50">
        <v>0</v>
      </c>
      <c r="K134" s="50" t="s">
        <v>430</v>
      </c>
    </row>
    <row r="135" spans="1:11">
      <c r="A135" s="50">
        <v>43898</v>
      </c>
      <c r="B135" s="50">
        <v>0.33333333333333331</v>
      </c>
      <c r="C135" s="50" t="s">
        <v>102</v>
      </c>
      <c r="E135" s="50">
        <v>3</v>
      </c>
      <c r="F135" s="50">
        <v>0</v>
      </c>
      <c r="G135" s="50">
        <v>0</v>
      </c>
      <c r="I135" s="50">
        <v>0</v>
      </c>
      <c r="J135" s="50">
        <v>0</v>
      </c>
      <c r="K135" s="50" t="s">
        <v>381</v>
      </c>
    </row>
    <row r="136" spans="1:11">
      <c r="A136" s="50">
        <v>43898</v>
      </c>
      <c r="B136" s="50">
        <v>0.5</v>
      </c>
      <c r="C136" s="50" t="s">
        <v>50</v>
      </c>
      <c r="E136" s="50">
        <v>24</v>
      </c>
      <c r="F136" s="50">
        <v>1</v>
      </c>
      <c r="K136" s="50" t="s">
        <v>158</v>
      </c>
    </row>
    <row r="137" spans="1:11">
      <c r="A137" s="50">
        <v>43898</v>
      </c>
      <c r="B137" s="50">
        <v>0.60416666666666663</v>
      </c>
      <c r="C137" s="50" t="s">
        <v>104</v>
      </c>
      <c r="E137" s="50">
        <v>41</v>
      </c>
      <c r="K137" s="50" t="s">
        <v>106</v>
      </c>
    </row>
    <row r="138" spans="1:11">
      <c r="A138" s="50">
        <v>43899</v>
      </c>
      <c r="C138" s="50" t="s">
        <v>41</v>
      </c>
      <c r="E138" s="50">
        <v>2</v>
      </c>
      <c r="K138" s="50" t="s">
        <v>161</v>
      </c>
    </row>
    <row r="139" spans="1:11">
      <c r="A139" s="50">
        <v>43899</v>
      </c>
      <c r="C139" s="50" t="s">
        <v>44</v>
      </c>
      <c r="E139" s="50">
        <v>34</v>
      </c>
      <c r="K139" s="50" t="s">
        <v>162</v>
      </c>
    </row>
    <row r="140" spans="1:11">
      <c r="A140" s="50">
        <v>43899</v>
      </c>
      <c r="C140" s="50" t="s">
        <v>47</v>
      </c>
      <c r="E140" s="50">
        <v>20</v>
      </c>
      <c r="F140" s="50">
        <v>4</v>
      </c>
      <c r="G140" s="50">
        <v>4</v>
      </c>
      <c r="I140" s="50">
        <v>1</v>
      </c>
      <c r="J140" s="50">
        <v>1</v>
      </c>
      <c r="K140" s="50" t="s">
        <v>163</v>
      </c>
    </row>
    <row r="141" spans="1:11">
      <c r="A141" s="50">
        <v>43899</v>
      </c>
      <c r="C141" s="50" t="s">
        <v>53</v>
      </c>
      <c r="D141" s="50">
        <v>24</v>
      </c>
      <c r="E141" s="50">
        <v>1</v>
      </c>
      <c r="K141" s="50" t="s">
        <v>165</v>
      </c>
    </row>
    <row r="142" spans="1:11">
      <c r="A142" s="50">
        <v>43899</v>
      </c>
      <c r="C142" s="50" t="s">
        <v>56</v>
      </c>
      <c r="E142" s="50">
        <v>11</v>
      </c>
      <c r="K142" s="50" t="s">
        <v>145</v>
      </c>
    </row>
    <row r="143" spans="1:11">
      <c r="A143" s="50">
        <v>43899</v>
      </c>
      <c r="C143" s="50" t="s">
        <v>58</v>
      </c>
      <c r="D143" s="50">
        <v>1488</v>
      </c>
      <c r="E143" s="50">
        <v>47</v>
      </c>
      <c r="F143" s="50">
        <v>13</v>
      </c>
      <c r="G143" s="50">
        <v>3</v>
      </c>
      <c r="H143" s="50">
        <v>1</v>
      </c>
      <c r="J143" s="50">
        <v>0</v>
      </c>
      <c r="K143" s="50" t="s">
        <v>60</v>
      </c>
    </row>
    <row r="144" spans="1:11">
      <c r="A144" s="50">
        <v>43899</v>
      </c>
      <c r="C144" s="50" t="s">
        <v>66</v>
      </c>
      <c r="E144" s="50">
        <v>7</v>
      </c>
      <c r="F144" s="50">
        <v>5</v>
      </c>
      <c r="G144" s="50">
        <v>0</v>
      </c>
      <c r="J144" s="50">
        <v>0</v>
      </c>
      <c r="K144" s="50" t="s">
        <v>427</v>
      </c>
    </row>
    <row r="145" spans="1:11">
      <c r="A145" s="50">
        <v>43899</v>
      </c>
      <c r="C145" s="50" t="s">
        <v>71</v>
      </c>
      <c r="E145" s="50">
        <v>27</v>
      </c>
      <c r="F145" s="50">
        <v>4</v>
      </c>
      <c r="K145" s="50" t="s">
        <v>377</v>
      </c>
    </row>
    <row r="146" spans="1:11">
      <c r="A146" s="50">
        <v>43899</v>
      </c>
      <c r="C146" s="50" t="s">
        <v>91</v>
      </c>
      <c r="E146" s="50">
        <v>68</v>
      </c>
      <c r="K146" s="50" t="s">
        <v>166</v>
      </c>
    </row>
    <row r="147" spans="1:11">
      <c r="A147" s="50">
        <v>43899</v>
      </c>
      <c r="C147" s="50" t="s">
        <v>97</v>
      </c>
      <c r="E147" s="50">
        <v>51</v>
      </c>
      <c r="F147" s="50">
        <v>29</v>
      </c>
      <c r="G147" s="50">
        <v>5</v>
      </c>
      <c r="J147" s="50">
        <v>1</v>
      </c>
      <c r="K147" s="50" t="s">
        <v>115</v>
      </c>
    </row>
    <row r="148" spans="1:11">
      <c r="A148" s="50">
        <v>43899</v>
      </c>
      <c r="C148" s="50" t="s">
        <v>100</v>
      </c>
      <c r="E148" s="50">
        <v>17</v>
      </c>
      <c r="F148" s="50">
        <v>16</v>
      </c>
      <c r="G148" s="50">
        <v>1</v>
      </c>
      <c r="H148" s="50">
        <v>1</v>
      </c>
      <c r="J148" s="50">
        <v>0</v>
      </c>
      <c r="K148" s="50" t="s">
        <v>430</v>
      </c>
    </row>
    <row r="149" spans="1:11">
      <c r="A149" s="50">
        <v>43899</v>
      </c>
      <c r="B149" s="50">
        <v>0.33333333333333331</v>
      </c>
      <c r="C149" s="50" t="s">
        <v>102</v>
      </c>
      <c r="E149" s="50">
        <v>10</v>
      </c>
      <c r="F149" s="50">
        <v>0</v>
      </c>
      <c r="G149" s="50">
        <v>0</v>
      </c>
      <c r="I149" s="50">
        <v>0</v>
      </c>
      <c r="J149" s="50">
        <v>0</v>
      </c>
      <c r="K149" s="50" t="s">
        <v>381</v>
      </c>
    </row>
    <row r="150" spans="1:11">
      <c r="A150" s="50">
        <v>43899</v>
      </c>
      <c r="B150" s="50">
        <v>0.5</v>
      </c>
      <c r="C150" s="50" t="s">
        <v>50</v>
      </c>
      <c r="E150" s="50">
        <v>28</v>
      </c>
      <c r="F150" s="50">
        <v>1</v>
      </c>
      <c r="K150" s="50" t="s">
        <v>164</v>
      </c>
    </row>
    <row r="151" spans="1:11">
      <c r="A151" s="50">
        <v>43899</v>
      </c>
      <c r="B151" s="50">
        <v>0.60416666666666663</v>
      </c>
      <c r="C151" s="50" t="s">
        <v>104</v>
      </c>
      <c r="E151" s="50">
        <v>50</v>
      </c>
      <c r="K151" s="50" t="s">
        <v>106</v>
      </c>
    </row>
    <row r="152" spans="1:11">
      <c r="A152" s="50">
        <v>43899</v>
      </c>
      <c r="B152" s="50">
        <v>0.625</v>
      </c>
      <c r="C152" s="50" t="s">
        <v>34</v>
      </c>
      <c r="E152" s="50">
        <v>14</v>
      </c>
      <c r="I152" s="50">
        <v>2</v>
      </c>
      <c r="K152" s="50" t="s">
        <v>160</v>
      </c>
    </row>
    <row r="153" spans="1:11">
      <c r="A153" s="50">
        <v>43900</v>
      </c>
      <c r="C153" s="50" t="s">
        <v>47</v>
      </c>
      <c r="E153" s="50">
        <v>22</v>
      </c>
      <c r="F153" s="50">
        <v>5</v>
      </c>
      <c r="G153" s="50">
        <v>1</v>
      </c>
      <c r="I153" s="50">
        <v>2</v>
      </c>
      <c r="J153" s="50">
        <v>1</v>
      </c>
      <c r="K153" s="50" t="s">
        <v>168</v>
      </c>
    </row>
    <row r="154" spans="1:11">
      <c r="A154" s="50">
        <v>43900</v>
      </c>
      <c r="C154" s="50" t="s">
        <v>53</v>
      </c>
      <c r="D154" s="50">
        <v>37</v>
      </c>
      <c r="E154" s="50">
        <v>1</v>
      </c>
      <c r="K154" s="50" t="s">
        <v>170</v>
      </c>
    </row>
    <row r="155" spans="1:11">
      <c r="A155" s="50">
        <v>43900</v>
      </c>
      <c r="C155" s="50" t="s">
        <v>58</v>
      </c>
      <c r="D155" s="50">
        <v>1688</v>
      </c>
      <c r="E155" s="50">
        <v>73</v>
      </c>
      <c r="F155" s="50">
        <v>18</v>
      </c>
      <c r="G155" s="50">
        <v>4</v>
      </c>
      <c r="H155" s="50">
        <v>1</v>
      </c>
      <c r="J155" s="50">
        <v>1</v>
      </c>
      <c r="K155" s="50" t="s">
        <v>60</v>
      </c>
    </row>
    <row r="156" spans="1:11">
      <c r="A156" s="50">
        <v>43900</v>
      </c>
      <c r="C156" s="50" t="s">
        <v>61</v>
      </c>
      <c r="E156" s="50">
        <v>1</v>
      </c>
      <c r="F156" s="50">
        <v>0</v>
      </c>
      <c r="J156" s="50">
        <v>0</v>
      </c>
      <c r="K156" s="50" t="s">
        <v>387</v>
      </c>
    </row>
    <row r="157" spans="1:11">
      <c r="A157" s="50">
        <v>43900</v>
      </c>
      <c r="C157" s="50" t="s">
        <v>66</v>
      </c>
      <c r="E157" s="50">
        <v>7</v>
      </c>
      <c r="F157" s="50">
        <v>5</v>
      </c>
      <c r="G157" s="50">
        <v>0</v>
      </c>
      <c r="J157" s="50">
        <v>0</v>
      </c>
      <c r="K157" s="50" t="s">
        <v>427</v>
      </c>
    </row>
    <row r="158" spans="1:11">
      <c r="A158" s="50">
        <v>43900</v>
      </c>
      <c r="C158" s="50" t="s">
        <v>71</v>
      </c>
      <c r="E158" s="50">
        <v>31</v>
      </c>
      <c r="F158" s="50">
        <v>4</v>
      </c>
      <c r="K158" s="50" t="s">
        <v>377</v>
      </c>
    </row>
    <row r="159" spans="1:11">
      <c r="A159" s="50">
        <v>43900</v>
      </c>
      <c r="C159" s="50" t="s">
        <v>91</v>
      </c>
      <c r="J159" s="50">
        <v>1</v>
      </c>
      <c r="K159" s="50" t="s">
        <v>171</v>
      </c>
    </row>
    <row r="160" spans="1:11">
      <c r="A160" s="50">
        <v>43900</v>
      </c>
      <c r="C160" s="50" t="s">
        <v>97</v>
      </c>
      <c r="E160" s="50">
        <v>130</v>
      </c>
      <c r="F160" s="50">
        <v>48</v>
      </c>
      <c r="G160" s="50">
        <v>8</v>
      </c>
      <c r="J160" s="50">
        <v>1</v>
      </c>
      <c r="K160" s="50" t="s">
        <v>99</v>
      </c>
    </row>
    <row r="161" spans="1:11">
      <c r="A161" s="50">
        <v>43900</v>
      </c>
      <c r="C161" s="50" t="s">
        <v>100</v>
      </c>
      <c r="E161" s="50">
        <v>22</v>
      </c>
      <c r="F161" s="50">
        <v>19</v>
      </c>
      <c r="G161" s="50">
        <v>1</v>
      </c>
      <c r="H161" s="50">
        <v>1</v>
      </c>
      <c r="I161" s="50">
        <v>3</v>
      </c>
      <c r="J161" s="50">
        <v>0</v>
      </c>
      <c r="K161" s="50" t="s">
        <v>430</v>
      </c>
    </row>
    <row r="162" spans="1:11">
      <c r="A162" s="50">
        <v>43900</v>
      </c>
      <c r="B162" s="50">
        <v>0.33333333333333331</v>
      </c>
      <c r="C162" s="50" t="s">
        <v>102</v>
      </c>
      <c r="E162" s="50">
        <v>10</v>
      </c>
      <c r="F162" s="50">
        <v>0</v>
      </c>
      <c r="G162" s="50">
        <v>0</v>
      </c>
      <c r="I162" s="50">
        <v>0</v>
      </c>
      <c r="J162" s="50">
        <v>0</v>
      </c>
      <c r="K162" s="50" t="s">
        <v>381</v>
      </c>
    </row>
    <row r="163" spans="1:11">
      <c r="A163" s="50">
        <v>43900</v>
      </c>
      <c r="B163" s="50">
        <v>0.5</v>
      </c>
      <c r="C163" s="50" t="s">
        <v>50</v>
      </c>
      <c r="E163" s="50">
        <v>33</v>
      </c>
      <c r="F163" s="50">
        <v>1</v>
      </c>
      <c r="K163" s="50" t="s">
        <v>169</v>
      </c>
    </row>
    <row r="164" spans="1:11">
      <c r="A164" s="50">
        <v>43900</v>
      </c>
      <c r="B164" s="50">
        <v>0.60416666666666663</v>
      </c>
      <c r="C164" s="50" t="s">
        <v>104</v>
      </c>
      <c r="E164" s="50">
        <v>63</v>
      </c>
      <c r="K164" s="50" t="s">
        <v>106</v>
      </c>
    </row>
    <row r="165" spans="1:11">
      <c r="A165" s="50">
        <v>43900</v>
      </c>
      <c r="B165" s="50">
        <v>0.625</v>
      </c>
      <c r="C165" s="50" t="s">
        <v>34</v>
      </c>
      <c r="E165" s="50">
        <v>17</v>
      </c>
      <c r="I165" s="50">
        <v>2</v>
      </c>
      <c r="K165" s="50" t="s">
        <v>167</v>
      </c>
    </row>
    <row r="166" spans="1:11">
      <c r="A166" s="50">
        <v>43901</v>
      </c>
      <c r="C166" s="50" t="s">
        <v>47</v>
      </c>
      <c r="E166" s="50">
        <v>26</v>
      </c>
      <c r="F166" s="50">
        <v>3</v>
      </c>
      <c r="G166" s="50">
        <v>1</v>
      </c>
      <c r="I166" s="50">
        <v>2</v>
      </c>
      <c r="J166" s="50">
        <v>2</v>
      </c>
      <c r="K166" s="50" t="s">
        <v>173</v>
      </c>
    </row>
    <row r="167" spans="1:11">
      <c r="A167" s="50">
        <v>43901</v>
      </c>
      <c r="C167" s="50" t="s">
        <v>53</v>
      </c>
      <c r="D167" s="50">
        <v>50</v>
      </c>
      <c r="E167" s="50">
        <v>3</v>
      </c>
      <c r="I167" s="50">
        <v>1</v>
      </c>
      <c r="K167" s="50" t="s">
        <v>175</v>
      </c>
    </row>
    <row r="168" spans="1:11">
      <c r="A168" s="50">
        <v>43901</v>
      </c>
      <c r="C168" s="50" t="s">
        <v>56</v>
      </c>
      <c r="E168" s="50">
        <v>16</v>
      </c>
      <c r="J168" s="50">
        <v>0</v>
      </c>
      <c r="K168" s="50" t="s">
        <v>420</v>
      </c>
    </row>
    <row r="169" spans="1:11">
      <c r="A169" s="50">
        <v>43901</v>
      </c>
      <c r="C169" s="50" t="s">
        <v>58</v>
      </c>
      <c r="D169" s="50">
        <v>1926</v>
      </c>
      <c r="E169" s="50">
        <v>84</v>
      </c>
      <c r="F169" s="50">
        <v>20</v>
      </c>
      <c r="G169" s="50">
        <v>6</v>
      </c>
      <c r="H169" s="50">
        <v>4</v>
      </c>
      <c r="J169" s="50">
        <v>1</v>
      </c>
      <c r="K169" s="50" t="s">
        <v>60</v>
      </c>
    </row>
    <row r="170" spans="1:11">
      <c r="A170" s="50">
        <v>43901</v>
      </c>
      <c r="C170" s="50" t="s">
        <v>61</v>
      </c>
      <c r="E170" s="50">
        <v>1</v>
      </c>
      <c r="F170" s="50">
        <v>0</v>
      </c>
      <c r="J170" s="50">
        <v>0</v>
      </c>
      <c r="K170" s="50" t="s">
        <v>387</v>
      </c>
    </row>
    <row r="171" spans="1:11">
      <c r="A171" s="50">
        <v>43901</v>
      </c>
      <c r="C171" s="50" t="s">
        <v>66</v>
      </c>
      <c r="E171" s="50">
        <v>7</v>
      </c>
      <c r="F171" s="50">
        <v>6</v>
      </c>
      <c r="G171" s="50">
        <v>0</v>
      </c>
      <c r="J171" s="50">
        <v>0</v>
      </c>
      <c r="K171" s="50" t="s">
        <v>427</v>
      </c>
    </row>
    <row r="172" spans="1:11">
      <c r="A172" s="50">
        <v>43901</v>
      </c>
      <c r="C172" s="50" t="s">
        <v>71</v>
      </c>
      <c r="E172" s="50">
        <v>37</v>
      </c>
      <c r="F172" s="50">
        <v>6</v>
      </c>
      <c r="K172" s="50" t="s">
        <v>377</v>
      </c>
    </row>
    <row r="173" spans="1:11">
      <c r="A173" s="50">
        <v>43901</v>
      </c>
      <c r="C173" s="50" t="s">
        <v>73</v>
      </c>
      <c r="E173" s="50">
        <v>4</v>
      </c>
      <c r="F173" s="50">
        <v>2</v>
      </c>
      <c r="K173" s="50" t="s">
        <v>357</v>
      </c>
    </row>
    <row r="174" spans="1:11">
      <c r="A174" s="50">
        <v>43901</v>
      </c>
      <c r="C174" s="50" t="s">
        <v>81</v>
      </c>
      <c r="E174" s="50">
        <v>1</v>
      </c>
      <c r="J174" s="50">
        <v>0</v>
      </c>
      <c r="K174" s="50" t="s">
        <v>428</v>
      </c>
    </row>
    <row r="175" spans="1:11">
      <c r="A175" s="50">
        <v>43901</v>
      </c>
      <c r="C175" s="50" t="s">
        <v>91</v>
      </c>
      <c r="K175" s="50" t="s">
        <v>36</v>
      </c>
    </row>
    <row r="176" spans="1:11">
      <c r="A176" s="50">
        <v>43901</v>
      </c>
      <c r="C176" s="50" t="s">
        <v>97</v>
      </c>
      <c r="E176" s="50">
        <v>203</v>
      </c>
      <c r="F176" s="50">
        <v>51</v>
      </c>
      <c r="G176" s="50">
        <v>7</v>
      </c>
      <c r="J176" s="50">
        <v>1</v>
      </c>
      <c r="K176" s="50" t="s">
        <v>99</v>
      </c>
    </row>
    <row r="177" spans="1:11">
      <c r="A177" s="50">
        <v>43901</v>
      </c>
      <c r="C177" s="50" t="s">
        <v>100</v>
      </c>
      <c r="E177" s="50">
        <v>30</v>
      </c>
      <c r="F177" s="50">
        <v>20</v>
      </c>
      <c r="G177" s="50">
        <v>1</v>
      </c>
      <c r="H177" s="50">
        <v>1</v>
      </c>
      <c r="J177" s="50">
        <v>0</v>
      </c>
      <c r="K177" s="50" t="s">
        <v>430</v>
      </c>
    </row>
    <row r="178" spans="1:11">
      <c r="A178" s="50">
        <v>43901</v>
      </c>
      <c r="B178" s="50">
        <v>0.33333333333333331</v>
      </c>
      <c r="C178" s="50" t="s">
        <v>102</v>
      </c>
      <c r="E178" s="50">
        <v>11</v>
      </c>
      <c r="F178" s="50">
        <v>0</v>
      </c>
      <c r="G178" s="50">
        <v>0</v>
      </c>
      <c r="I178" s="50">
        <v>0</v>
      </c>
      <c r="J178" s="50">
        <v>0</v>
      </c>
      <c r="K178" s="50" t="s">
        <v>381</v>
      </c>
    </row>
    <row r="179" spans="1:11">
      <c r="A179" s="50">
        <v>43901</v>
      </c>
      <c r="B179" s="50">
        <v>0.5</v>
      </c>
      <c r="C179" s="50" t="s">
        <v>50</v>
      </c>
      <c r="E179" s="50">
        <v>49</v>
      </c>
      <c r="F179" s="50">
        <v>13</v>
      </c>
      <c r="G179" s="50">
        <v>2</v>
      </c>
      <c r="I179" s="50">
        <v>4</v>
      </c>
      <c r="K179" s="50" t="s">
        <v>174</v>
      </c>
    </row>
    <row r="180" spans="1:11">
      <c r="A180" s="50">
        <v>43901</v>
      </c>
      <c r="B180" s="50">
        <v>0.60416666666666663</v>
      </c>
      <c r="C180" s="50" t="s">
        <v>104</v>
      </c>
      <c r="E180" s="50">
        <v>102</v>
      </c>
      <c r="K180" s="50" t="s">
        <v>106</v>
      </c>
    </row>
    <row r="181" spans="1:11">
      <c r="A181" s="50">
        <v>43901</v>
      </c>
      <c r="B181" s="50">
        <v>0.625</v>
      </c>
      <c r="C181" s="50" t="s">
        <v>34</v>
      </c>
      <c r="E181" s="50">
        <v>18</v>
      </c>
      <c r="I181" s="50">
        <v>2</v>
      </c>
      <c r="K181" s="50" t="s">
        <v>172</v>
      </c>
    </row>
    <row r="182" spans="1:11">
      <c r="A182" s="50">
        <v>43902</v>
      </c>
      <c r="C182" s="50" t="s">
        <v>41</v>
      </c>
      <c r="E182" s="50">
        <v>5</v>
      </c>
      <c r="K182" s="50" t="s">
        <v>177</v>
      </c>
    </row>
    <row r="183" spans="1:11">
      <c r="A183" s="50">
        <v>43902</v>
      </c>
      <c r="C183" s="50" t="s">
        <v>47</v>
      </c>
      <c r="E183" s="50">
        <v>26</v>
      </c>
      <c r="F183" s="50">
        <v>9</v>
      </c>
      <c r="G183" s="50">
        <v>3</v>
      </c>
      <c r="I183" s="50">
        <v>2</v>
      </c>
      <c r="J183" s="50">
        <v>2</v>
      </c>
      <c r="K183" s="50" t="s">
        <v>36</v>
      </c>
    </row>
    <row r="184" spans="1:11">
      <c r="A184" s="50">
        <v>43902</v>
      </c>
      <c r="C184" s="50" t="s">
        <v>53</v>
      </c>
      <c r="D184" s="50">
        <v>57</v>
      </c>
      <c r="E184" s="50">
        <v>3</v>
      </c>
      <c r="I184" s="50">
        <v>1</v>
      </c>
      <c r="K184" s="50" t="s">
        <v>179</v>
      </c>
    </row>
    <row r="185" spans="1:11">
      <c r="A185" s="50">
        <v>43902</v>
      </c>
      <c r="C185" s="50" t="s">
        <v>56</v>
      </c>
      <c r="E185" s="50">
        <v>22</v>
      </c>
      <c r="J185" s="50">
        <v>0</v>
      </c>
      <c r="K185" s="50" t="s">
        <v>420</v>
      </c>
    </row>
    <row r="186" spans="1:11">
      <c r="A186" s="50">
        <v>43902</v>
      </c>
      <c r="C186" s="50" t="s">
        <v>58</v>
      </c>
      <c r="D186" s="50">
        <v>2277</v>
      </c>
      <c r="E186" s="50">
        <v>114</v>
      </c>
      <c r="F186" s="50">
        <v>23</v>
      </c>
      <c r="G186" s="50">
        <v>6</v>
      </c>
      <c r="H186" s="50">
        <v>4</v>
      </c>
      <c r="J186" s="50">
        <v>2</v>
      </c>
      <c r="K186" s="50" t="s">
        <v>60</v>
      </c>
    </row>
    <row r="187" spans="1:11">
      <c r="A187" s="50">
        <v>43902</v>
      </c>
      <c r="C187" s="50" t="s">
        <v>61</v>
      </c>
      <c r="E187" s="50">
        <v>3</v>
      </c>
      <c r="F187" s="50">
        <v>0</v>
      </c>
      <c r="J187" s="50">
        <v>0</v>
      </c>
      <c r="K187" s="50" t="s">
        <v>387</v>
      </c>
    </row>
    <row r="188" spans="1:11">
      <c r="A188" s="50">
        <v>43902</v>
      </c>
      <c r="C188" s="50" t="s">
        <v>66</v>
      </c>
      <c r="E188" s="50">
        <v>12</v>
      </c>
      <c r="F188" s="50">
        <v>6</v>
      </c>
      <c r="G188" s="50">
        <v>0</v>
      </c>
      <c r="J188" s="50">
        <v>0</v>
      </c>
      <c r="K188" s="50" t="s">
        <v>427</v>
      </c>
    </row>
    <row r="189" spans="1:11">
      <c r="A189" s="50">
        <v>43902</v>
      </c>
      <c r="C189" s="50" t="s">
        <v>71</v>
      </c>
      <c r="E189" s="50">
        <v>46</v>
      </c>
      <c r="F189" s="50">
        <v>6</v>
      </c>
      <c r="K189" s="50" t="s">
        <v>377</v>
      </c>
    </row>
    <row r="190" spans="1:11">
      <c r="A190" s="50">
        <v>43902</v>
      </c>
      <c r="C190" s="50" t="s">
        <v>73</v>
      </c>
      <c r="E190" s="50">
        <v>5</v>
      </c>
      <c r="F190" s="50">
        <v>5</v>
      </c>
      <c r="K190" s="50" t="s">
        <v>357</v>
      </c>
    </row>
    <row r="191" spans="1:11">
      <c r="A191" s="50">
        <v>43902</v>
      </c>
      <c r="C191" s="50" t="s">
        <v>78</v>
      </c>
      <c r="E191" s="50">
        <v>15</v>
      </c>
      <c r="K191" s="50" t="s">
        <v>80</v>
      </c>
    </row>
    <row r="192" spans="1:11">
      <c r="A192" s="50">
        <v>43902</v>
      </c>
      <c r="C192" s="50" t="s">
        <v>81</v>
      </c>
      <c r="E192" s="50">
        <v>1</v>
      </c>
      <c r="J192" s="50">
        <v>0</v>
      </c>
      <c r="K192" s="50" t="s">
        <v>428</v>
      </c>
    </row>
    <row r="193" spans="1:11">
      <c r="A193" s="50">
        <v>43902</v>
      </c>
      <c r="C193" s="50" t="s">
        <v>91</v>
      </c>
      <c r="E193" s="50">
        <v>180</v>
      </c>
      <c r="K193" s="50" t="s">
        <v>180</v>
      </c>
    </row>
    <row r="194" spans="1:11">
      <c r="A194" s="50">
        <v>43902</v>
      </c>
      <c r="C194" s="50" t="s">
        <v>94</v>
      </c>
      <c r="E194" s="50">
        <v>2</v>
      </c>
      <c r="K194" s="50" t="s">
        <v>36</v>
      </c>
    </row>
    <row r="195" spans="1:11">
      <c r="A195" s="50">
        <v>43902</v>
      </c>
      <c r="C195" s="50" t="s">
        <v>97</v>
      </c>
      <c r="E195" s="50">
        <v>277</v>
      </c>
      <c r="F195" s="50">
        <v>55</v>
      </c>
      <c r="G195" s="50">
        <v>6</v>
      </c>
      <c r="J195" s="50">
        <v>3</v>
      </c>
      <c r="K195" s="50" t="s">
        <v>99</v>
      </c>
    </row>
    <row r="196" spans="1:11">
      <c r="A196" s="50">
        <v>43902</v>
      </c>
      <c r="C196" s="50" t="s">
        <v>100</v>
      </c>
      <c r="E196" s="50">
        <v>53</v>
      </c>
      <c r="F196" s="50">
        <v>27</v>
      </c>
      <c r="G196" s="50">
        <v>1</v>
      </c>
      <c r="H196" s="50">
        <v>1</v>
      </c>
      <c r="J196" s="50">
        <v>0</v>
      </c>
      <c r="K196" s="50" t="s">
        <v>430</v>
      </c>
    </row>
    <row r="197" spans="1:11">
      <c r="A197" s="50">
        <v>43902</v>
      </c>
      <c r="B197" s="50">
        <v>0.33333333333333331</v>
      </c>
      <c r="C197" s="50" t="s">
        <v>102</v>
      </c>
      <c r="E197" s="50">
        <v>11</v>
      </c>
      <c r="F197" s="50">
        <v>0</v>
      </c>
      <c r="G197" s="50">
        <v>0</v>
      </c>
      <c r="I197" s="50">
        <v>0</v>
      </c>
      <c r="J197" s="50">
        <v>0</v>
      </c>
      <c r="K197" s="50" t="s">
        <v>381</v>
      </c>
    </row>
    <row r="198" spans="1:11">
      <c r="A198" s="50">
        <v>43902</v>
      </c>
      <c r="B198" s="50">
        <v>0.5</v>
      </c>
      <c r="C198" s="50" t="s">
        <v>50</v>
      </c>
      <c r="E198" s="50">
        <v>73</v>
      </c>
      <c r="F198" s="50">
        <v>13</v>
      </c>
      <c r="I198" s="50">
        <v>4</v>
      </c>
      <c r="J198" s="50">
        <v>1</v>
      </c>
      <c r="K198" s="50" t="s">
        <v>178</v>
      </c>
    </row>
    <row r="199" spans="1:11">
      <c r="A199" s="50">
        <v>43902</v>
      </c>
      <c r="B199" s="50">
        <v>0.60416666666666663</v>
      </c>
      <c r="C199" s="50" t="s">
        <v>104</v>
      </c>
      <c r="E199" s="50">
        <v>141</v>
      </c>
      <c r="K199" s="50" t="s">
        <v>106</v>
      </c>
    </row>
    <row r="200" spans="1:11">
      <c r="A200" s="50">
        <v>43902</v>
      </c>
      <c r="B200" s="50">
        <v>0.625</v>
      </c>
      <c r="C200" s="50" t="s">
        <v>34</v>
      </c>
      <c r="E200" s="50">
        <v>27</v>
      </c>
      <c r="F200" s="50">
        <v>1</v>
      </c>
      <c r="I200" s="50">
        <v>3</v>
      </c>
      <c r="K200" s="50" t="s">
        <v>176</v>
      </c>
    </row>
    <row r="201" spans="1:11">
      <c r="A201" s="50">
        <v>43903</v>
      </c>
      <c r="C201" s="50" t="s">
        <v>47</v>
      </c>
      <c r="E201" s="50">
        <v>42</v>
      </c>
      <c r="F201" s="50">
        <v>12</v>
      </c>
      <c r="G201" s="50">
        <v>3</v>
      </c>
      <c r="I201" s="50">
        <v>2</v>
      </c>
      <c r="J201" s="50">
        <v>2</v>
      </c>
      <c r="K201" s="50" t="s">
        <v>182</v>
      </c>
    </row>
    <row r="202" spans="1:11">
      <c r="A202" s="50">
        <v>43903</v>
      </c>
      <c r="C202" s="50" t="s">
        <v>56</v>
      </c>
      <c r="E202" s="50">
        <v>29</v>
      </c>
      <c r="J202" s="50">
        <v>0</v>
      </c>
      <c r="K202" s="50" t="s">
        <v>420</v>
      </c>
    </row>
    <row r="203" spans="1:11">
      <c r="A203" s="50">
        <v>43903</v>
      </c>
      <c r="C203" s="50" t="s">
        <v>58</v>
      </c>
      <c r="D203" s="50">
        <v>2712</v>
      </c>
      <c r="E203" s="50">
        <v>178</v>
      </c>
      <c r="F203" s="50">
        <v>33</v>
      </c>
      <c r="G203" s="50">
        <v>7</v>
      </c>
      <c r="H203" s="50">
        <v>5</v>
      </c>
      <c r="J203" s="50">
        <v>2</v>
      </c>
      <c r="K203" s="50" t="s">
        <v>60</v>
      </c>
    </row>
    <row r="204" spans="1:11">
      <c r="A204" s="50">
        <v>43903</v>
      </c>
      <c r="C204" s="50" t="s">
        <v>61</v>
      </c>
      <c r="E204" s="50">
        <v>6</v>
      </c>
      <c r="F204" s="50">
        <v>0</v>
      </c>
      <c r="J204" s="50">
        <v>0</v>
      </c>
      <c r="K204" s="50" t="s">
        <v>387</v>
      </c>
    </row>
    <row r="205" spans="1:11">
      <c r="A205" s="50">
        <v>43903</v>
      </c>
      <c r="C205" s="50" t="s">
        <v>66</v>
      </c>
      <c r="E205" s="50">
        <v>17</v>
      </c>
      <c r="F205" s="50">
        <v>8</v>
      </c>
      <c r="G205" s="50">
        <v>0</v>
      </c>
      <c r="J205" s="50">
        <v>0</v>
      </c>
      <c r="K205" s="50" t="s">
        <v>427</v>
      </c>
    </row>
    <row r="206" spans="1:11">
      <c r="A206" s="50">
        <v>43903</v>
      </c>
      <c r="C206" s="50" t="s">
        <v>71</v>
      </c>
      <c r="E206" s="50">
        <v>59</v>
      </c>
      <c r="F206" s="50">
        <v>9</v>
      </c>
      <c r="K206" s="50" t="s">
        <v>377</v>
      </c>
    </row>
    <row r="207" spans="1:11">
      <c r="A207" s="50">
        <v>43903</v>
      </c>
      <c r="C207" s="50" t="s">
        <v>73</v>
      </c>
      <c r="E207" s="50">
        <v>5</v>
      </c>
      <c r="F207" s="50">
        <v>6</v>
      </c>
      <c r="K207" s="50" t="s">
        <v>357</v>
      </c>
    </row>
    <row r="208" spans="1:11">
      <c r="A208" s="50">
        <v>43903</v>
      </c>
      <c r="C208" s="50" t="s">
        <v>81</v>
      </c>
      <c r="E208" s="50">
        <v>1</v>
      </c>
      <c r="J208" s="50">
        <v>0</v>
      </c>
      <c r="K208" s="50" t="s">
        <v>428</v>
      </c>
    </row>
    <row r="209" spans="1:11">
      <c r="A209" s="50">
        <v>43903</v>
      </c>
      <c r="C209" s="50" t="s">
        <v>91</v>
      </c>
      <c r="E209" s="50">
        <v>258</v>
      </c>
      <c r="F209" s="50">
        <v>65</v>
      </c>
      <c r="G209" s="50">
        <v>13</v>
      </c>
      <c r="K209" s="50" t="s">
        <v>186</v>
      </c>
    </row>
    <row r="210" spans="1:11">
      <c r="A210" s="50">
        <v>43903</v>
      </c>
      <c r="C210" s="50" t="s">
        <v>97</v>
      </c>
      <c r="E210" s="50">
        <v>369</v>
      </c>
      <c r="F210" s="50">
        <v>61</v>
      </c>
      <c r="G210" s="50">
        <v>7</v>
      </c>
      <c r="J210" s="50">
        <v>3</v>
      </c>
      <c r="K210" s="50" t="s">
        <v>99</v>
      </c>
    </row>
    <row r="211" spans="1:11">
      <c r="A211" s="50">
        <v>43903</v>
      </c>
      <c r="C211" s="50" t="s">
        <v>100</v>
      </c>
      <c r="E211" s="50">
        <v>76</v>
      </c>
      <c r="F211" s="50">
        <v>29</v>
      </c>
      <c r="G211" s="50">
        <v>1</v>
      </c>
      <c r="H211" s="50">
        <v>1</v>
      </c>
      <c r="J211" s="50">
        <v>1</v>
      </c>
      <c r="K211" s="50" t="s">
        <v>430</v>
      </c>
    </row>
    <row r="212" spans="1:11">
      <c r="A212" s="50">
        <v>43903</v>
      </c>
      <c r="B212" s="50">
        <v>0.33333333333333331</v>
      </c>
      <c r="C212" s="50" t="s">
        <v>102</v>
      </c>
      <c r="E212" s="50">
        <v>11</v>
      </c>
      <c r="F212" s="50">
        <v>0</v>
      </c>
      <c r="G212" s="50">
        <v>0</v>
      </c>
      <c r="I212" s="50">
        <v>0</v>
      </c>
      <c r="J212" s="50">
        <v>0</v>
      </c>
      <c r="K212" s="50" t="s">
        <v>381</v>
      </c>
    </row>
    <row r="213" spans="1:11">
      <c r="A213" s="50">
        <v>43903</v>
      </c>
      <c r="B213" s="50">
        <v>0.5</v>
      </c>
      <c r="C213" s="50" t="s">
        <v>75</v>
      </c>
      <c r="D213" s="50">
        <v>6</v>
      </c>
      <c r="E213" s="50">
        <v>1</v>
      </c>
      <c r="K213" s="50" t="s">
        <v>184</v>
      </c>
    </row>
    <row r="214" spans="1:11">
      <c r="A214" s="50">
        <v>43903</v>
      </c>
      <c r="B214" s="50">
        <v>0.5</v>
      </c>
      <c r="C214" s="50" t="s">
        <v>86</v>
      </c>
      <c r="D214" s="50">
        <v>10</v>
      </c>
      <c r="E214" s="50">
        <v>9</v>
      </c>
      <c r="K214" s="50" t="s">
        <v>185</v>
      </c>
    </row>
    <row r="215" spans="1:11">
      <c r="A215" s="50">
        <v>43903</v>
      </c>
      <c r="B215" s="50">
        <v>0.52083333333333337</v>
      </c>
      <c r="C215" s="50" t="s">
        <v>50</v>
      </c>
      <c r="E215" s="50">
        <v>92</v>
      </c>
      <c r="F215" s="50">
        <v>13</v>
      </c>
      <c r="I215" s="50">
        <v>4</v>
      </c>
      <c r="J215" s="50">
        <v>1</v>
      </c>
      <c r="K215" s="50" t="s">
        <v>183</v>
      </c>
    </row>
    <row r="216" spans="1:11">
      <c r="A216" s="50">
        <v>43903</v>
      </c>
      <c r="B216" s="50">
        <v>0.54166666666666663</v>
      </c>
      <c r="C216" s="50" t="s">
        <v>34</v>
      </c>
      <c r="E216" s="50">
        <v>32</v>
      </c>
      <c r="I216" s="50">
        <v>3</v>
      </c>
      <c r="K216" s="50" t="s">
        <v>181</v>
      </c>
    </row>
    <row r="217" spans="1:11">
      <c r="A217" s="50">
        <v>43903</v>
      </c>
      <c r="B217" s="50">
        <v>0.60416666666666663</v>
      </c>
      <c r="C217" s="50" t="s">
        <v>104</v>
      </c>
      <c r="E217" s="50">
        <v>164</v>
      </c>
      <c r="K217" s="50" t="s">
        <v>106</v>
      </c>
    </row>
    <row r="218" spans="1:11">
      <c r="A218" s="50">
        <v>43904</v>
      </c>
      <c r="C218" s="50" t="s">
        <v>38</v>
      </c>
      <c r="E218" s="50">
        <v>2</v>
      </c>
      <c r="K218" s="50" t="s">
        <v>187</v>
      </c>
    </row>
    <row r="219" spans="1:11">
      <c r="A219" s="50">
        <v>43904</v>
      </c>
      <c r="C219" s="50" t="s">
        <v>47</v>
      </c>
      <c r="E219" s="50">
        <v>47</v>
      </c>
      <c r="F219" s="50">
        <v>8</v>
      </c>
      <c r="G219" s="50">
        <v>2</v>
      </c>
      <c r="I219" s="50">
        <v>2</v>
      </c>
      <c r="J219" s="50">
        <v>2</v>
      </c>
      <c r="K219" s="50" t="s">
        <v>188</v>
      </c>
    </row>
    <row r="220" spans="1:11">
      <c r="A220" s="50">
        <v>43904</v>
      </c>
      <c r="C220" s="50" t="s">
        <v>53</v>
      </c>
      <c r="D220" s="50">
        <v>99</v>
      </c>
      <c r="E220" s="50">
        <v>3</v>
      </c>
      <c r="I220" s="50">
        <v>1</v>
      </c>
      <c r="K220" s="50" t="s">
        <v>190</v>
      </c>
    </row>
    <row r="221" spans="1:11">
      <c r="A221" s="50">
        <v>43904</v>
      </c>
      <c r="C221" s="50" t="s">
        <v>56</v>
      </c>
      <c r="E221" s="50">
        <v>36</v>
      </c>
      <c r="J221" s="50">
        <v>0</v>
      </c>
      <c r="K221" s="50" t="s">
        <v>420</v>
      </c>
    </row>
    <row r="222" spans="1:11">
      <c r="A222" s="50">
        <v>43904</v>
      </c>
      <c r="C222" s="50" t="s">
        <v>58</v>
      </c>
      <c r="D222" s="50">
        <v>3295</v>
      </c>
      <c r="E222" s="50">
        <v>281</v>
      </c>
      <c r="F222" s="50">
        <v>43</v>
      </c>
      <c r="G222" s="50">
        <v>8</v>
      </c>
      <c r="H222" s="50">
        <v>5</v>
      </c>
      <c r="J222" s="50">
        <v>2</v>
      </c>
      <c r="K222" s="50" t="s">
        <v>60</v>
      </c>
    </row>
    <row r="223" spans="1:11">
      <c r="A223" s="50">
        <v>43904</v>
      </c>
      <c r="C223" s="50" t="s">
        <v>61</v>
      </c>
      <c r="E223" s="50">
        <v>8</v>
      </c>
      <c r="F223" s="50">
        <v>0</v>
      </c>
      <c r="J223" s="50">
        <v>0</v>
      </c>
      <c r="K223" s="50" t="s">
        <v>387</v>
      </c>
    </row>
    <row r="224" spans="1:11">
      <c r="A224" s="50">
        <v>43904</v>
      </c>
      <c r="C224" s="50" t="s">
        <v>66</v>
      </c>
      <c r="E224" s="50">
        <v>18</v>
      </c>
      <c r="F224" s="50">
        <v>8</v>
      </c>
      <c r="G224" s="50">
        <v>0</v>
      </c>
      <c r="J224" s="50">
        <v>0</v>
      </c>
      <c r="K224" s="50" t="s">
        <v>427</v>
      </c>
    </row>
    <row r="225" spans="1:11">
      <c r="A225" s="50">
        <v>43904</v>
      </c>
      <c r="C225" s="50" t="s">
        <v>71</v>
      </c>
      <c r="E225" s="50">
        <v>68</v>
      </c>
      <c r="F225" s="50">
        <v>10</v>
      </c>
      <c r="K225" s="50" t="s">
        <v>377</v>
      </c>
    </row>
    <row r="226" spans="1:11">
      <c r="A226" s="50">
        <v>43904</v>
      </c>
      <c r="C226" s="50" t="s">
        <v>73</v>
      </c>
      <c r="E226" s="50">
        <v>5</v>
      </c>
      <c r="F226" s="50">
        <v>6</v>
      </c>
      <c r="K226" s="50" t="s">
        <v>357</v>
      </c>
    </row>
    <row r="227" spans="1:11">
      <c r="A227" s="50">
        <v>43904</v>
      </c>
      <c r="C227" s="50" t="s">
        <v>81</v>
      </c>
      <c r="E227" s="50">
        <v>1</v>
      </c>
      <c r="J227" s="50">
        <v>0</v>
      </c>
      <c r="K227" s="50" t="s">
        <v>428</v>
      </c>
    </row>
    <row r="228" spans="1:11">
      <c r="A228" s="50">
        <v>43904</v>
      </c>
      <c r="C228" s="50" t="s">
        <v>91</v>
      </c>
      <c r="E228" s="50">
        <v>265</v>
      </c>
      <c r="J228" s="50">
        <v>3</v>
      </c>
      <c r="K228" s="50" t="s">
        <v>191</v>
      </c>
    </row>
    <row r="229" spans="1:11">
      <c r="A229" s="50">
        <v>43904</v>
      </c>
      <c r="C229" s="50" t="s">
        <v>97</v>
      </c>
      <c r="E229" s="50">
        <v>477</v>
      </c>
      <c r="F229" s="50">
        <v>75</v>
      </c>
      <c r="G229" s="50">
        <v>10</v>
      </c>
      <c r="J229" s="50">
        <v>4</v>
      </c>
      <c r="K229" s="50" t="s">
        <v>99</v>
      </c>
    </row>
    <row r="230" spans="1:11">
      <c r="A230" s="50">
        <v>43904</v>
      </c>
      <c r="C230" s="50" t="s">
        <v>100</v>
      </c>
      <c r="E230" s="50">
        <v>98</v>
      </c>
      <c r="F230" s="50">
        <v>33</v>
      </c>
      <c r="G230" s="50">
        <v>1</v>
      </c>
      <c r="H230" s="50">
        <v>1</v>
      </c>
      <c r="J230" s="50">
        <v>1</v>
      </c>
      <c r="K230" s="50" t="s">
        <v>430</v>
      </c>
    </row>
    <row r="231" spans="1:11">
      <c r="A231" s="50">
        <v>43904</v>
      </c>
      <c r="B231" s="50">
        <v>0.12708333333333333</v>
      </c>
      <c r="C231" s="50" t="s">
        <v>86</v>
      </c>
      <c r="D231" s="50">
        <v>10</v>
      </c>
      <c r="E231" s="50">
        <v>12</v>
      </c>
      <c r="K231" s="50" t="s">
        <v>389</v>
      </c>
    </row>
    <row r="232" spans="1:11">
      <c r="A232" s="50">
        <v>43904</v>
      </c>
      <c r="B232" s="50">
        <v>0.33333333333333331</v>
      </c>
      <c r="C232" s="50" t="s">
        <v>102</v>
      </c>
      <c r="E232" s="50">
        <v>13</v>
      </c>
      <c r="F232" s="50">
        <v>0</v>
      </c>
      <c r="G232" s="50">
        <v>0</v>
      </c>
      <c r="I232" s="50">
        <v>0</v>
      </c>
      <c r="J232" s="50">
        <v>0</v>
      </c>
      <c r="K232" s="50" t="s">
        <v>381</v>
      </c>
    </row>
    <row r="233" spans="1:11">
      <c r="A233" s="50">
        <v>43904</v>
      </c>
      <c r="B233" s="50">
        <v>0.47708333333333336</v>
      </c>
      <c r="C233" s="50" t="s">
        <v>50</v>
      </c>
      <c r="E233" s="50">
        <v>100</v>
      </c>
      <c r="F233" s="50">
        <v>13</v>
      </c>
      <c r="I233" s="50">
        <v>4</v>
      </c>
      <c r="J233" s="50">
        <v>1</v>
      </c>
      <c r="K233" s="50" t="s">
        <v>189</v>
      </c>
    </row>
    <row r="234" spans="1:11">
      <c r="A234" s="50">
        <v>43904</v>
      </c>
      <c r="B234" s="50">
        <v>0.60416666666666663</v>
      </c>
      <c r="C234" s="50" t="s">
        <v>104</v>
      </c>
      <c r="E234" s="50">
        <v>219</v>
      </c>
      <c r="K234" s="50" t="s">
        <v>106</v>
      </c>
    </row>
    <row r="235" spans="1:11">
      <c r="A235" s="50">
        <v>43905</v>
      </c>
      <c r="C235" s="50" t="s">
        <v>47</v>
      </c>
      <c r="E235" s="50">
        <v>54</v>
      </c>
      <c r="F235" s="50">
        <v>12</v>
      </c>
      <c r="G235" s="50">
        <v>2</v>
      </c>
      <c r="I235" s="50">
        <v>5</v>
      </c>
      <c r="J235" s="50">
        <v>2</v>
      </c>
      <c r="K235" s="50" t="s">
        <v>192</v>
      </c>
    </row>
    <row r="236" spans="1:11">
      <c r="A236" s="50">
        <v>43905</v>
      </c>
      <c r="C236" s="50" t="s">
        <v>53</v>
      </c>
      <c r="E236" s="50">
        <v>7</v>
      </c>
      <c r="I236" s="50">
        <v>1</v>
      </c>
      <c r="K236" s="50" t="s">
        <v>193</v>
      </c>
    </row>
    <row r="237" spans="1:11">
      <c r="A237" s="50">
        <v>43905</v>
      </c>
      <c r="C237" s="50" t="s">
        <v>56</v>
      </c>
      <c r="E237" s="50">
        <v>40</v>
      </c>
      <c r="J237" s="50">
        <v>0</v>
      </c>
      <c r="K237" s="50" t="s">
        <v>420</v>
      </c>
    </row>
    <row r="238" spans="1:11">
      <c r="A238" s="50">
        <v>43905</v>
      </c>
      <c r="C238" s="50" t="s">
        <v>58</v>
      </c>
      <c r="D238" s="50">
        <v>3698</v>
      </c>
      <c r="E238" s="50">
        <v>374</v>
      </c>
      <c r="F238" s="50">
        <v>46</v>
      </c>
      <c r="G238" s="50">
        <v>12</v>
      </c>
      <c r="H238" s="50">
        <v>8</v>
      </c>
      <c r="J238" s="50">
        <v>4</v>
      </c>
      <c r="K238" s="50" t="s">
        <v>60</v>
      </c>
    </row>
    <row r="239" spans="1:11">
      <c r="A239" s="50">
        <v>43905</v>
      </c>
      <c r="C239" s="50" t="s">
        <v>61</v>
      </c>
      <c r="E239" s="50">
        <v>10</v>
      </c>
      <c r="F239" s="50">
        <v>0</v>
      </c>
      <c r="J239" s="50">
        <v>0</v>
      </c>
      <c r="K239" s="50" t="s">
        <v>387</v>
      </c>
    </row>
    <row r="240" spans="1:11">
      <c r="A240" s="50">
        <v>43905</v>
      </c>
      <c r="C240" s="50" t="s">
        <v>66</v>
      </c>
      <c r="E240" s="50">
        <v>19</v>
      </c>
      <c r="F240" s="50">
        <v>9</v>
      </c>
      <c r="G240" s="50">
        <v>0</v>
      </c>
      <c r="J240" s="50">
        <v>0</v>
      </c>
      <c r="K240" s="50" t="s">
        <v>427</v>
      </c>
    </row>
    <row r="241" spans="1:11">
      <c r="A241" s="50">
        <v>43905</v>
      </c>
      <c r="C241" s="50" t="s">
        <v>71</v>
      </c>
      <c r="E241" s="50">
        <v>74</v>
      </c>
      <c r="F241" s="50">
        <v>9</v>
      </c>
      <c r="K241" s="50" t="s">
        <v>377</v>
      </c>
    </row>
    <row r="242" spans="1:11">
      <c r="A242" s="50">
        <v>43905</v>
      </c>
      <c r="C242" s="50" t="s">
        <v>73</v>
      </c>
      <c r="E242" s="50">
        <v>8</v>
      </c>
      <c r="F242" s="50">
        <v>6</v>
      </c>
      <c r="K242" s="50" t="s">
        <v>357</v>
      </c>
    </row>
    <row r="243" spans="1:11">
      <c r="A243" s="50">
        <v>43905</v>
      </c>
      <c r="C243" s="50" t="s">
        <v>81</v>
      </c>
      <c r="E243" s="50">
        <v>1</v>
      </c>
      <c r="J243" s="50">
        <v>0</v>
      </c>
      <c r="K243" s="50" t="s">
        <v>428</v>
      </c>
    </row>
    <row r="244" spans="1:11">
      <c r="A244" s="50">
        <v>43905</v>
      </c>
      <c r="C244" s="50" t="s">
        <v>86</v>
      </c>
      <c r="E244" s="50">
        <v>13</v>
      </c>
      <c r="K244" s="50" t="s">
        <v>194</v>
      </c>
    </row>
    <row r="245" spans="1:11">
      <c r="A245" s="50">
        <v>43905</v>
      </c>
      <c r="C245" s="50" t="s">
        <v>91</v>
      </c>
      <c r="E245" s="50">
        <v>291</v>
      </c>
      <c r="J245" s="50">
        <v>6</v>
      </c>
      <c r="K245" s="50" t="s">
        <v>195</v>
      </c>
    </row>
    <row r="246" spans="1:11">
      <c r="A246" s="50">
        <v>43905</v>
      </c>
      <c r="C246" s="50" t="s">
        <v>97</v>
      </c>
      <c r="E246" s="50">
        <v>567</v>
      </c>
      <c r="F246" s="50">
        <v>90</v>
      </c>
      <c r="G246" s="50">
        <v>10</v>
      </c>
      <c r="J246" s="50">
        <v>5</v>
      </c>
      <c r="K246" s="50" t="s">
        <v>99</v>
      </c>
    </row>
    <row r="247" spans="1:11">
      <c r="A247" s="50">
        <v>43905</v>
      </c>
      <c r="C247" s="50" t="s">
        <v>100</v>
      </c>
      <c r="E247" s="50">
        <v>115</v>
      </c>
      <c r="F247" s="50">
        <v>35</v>
      </c>
      <c r="G247" s="50">
        <v>1</v>
      </c>
      <c r="H247" s="50">
        <v>1</v>
      </c>
      <c r="J247" s="50">
        <v>2</v>
      </c>
      <c r="K247" s="50" t="s">
        <v>430</v>
      </c>
    </row>
    <row r="248" spans="1:11">
      <c r="A248" s="50">
        <v>43905</v>
      </c>
      <c r="B248" s="50">
        <v>0.33333333333333331</v>
      </c>
      <c r="C248" s="50" t="s">
        <v>102</v>
      </c>
      <c r="E248" s="50">
        <v>13</v>
      </c>
      <c r="F248" s="50">
        <v>0</v>
      </c>
      <c r="G248" s="50">
        <v>0</v>
      </c>
      <c r="I248" s="50">
        <v>0</v>
      </c>
      <c r="J248" s="50">
        <v>0</v>
      </c>
      <c r="K248" s="50" t="s">
        <v>381</v>
      </c>
    </row>
    <row r="249" spans="1:11">
      <c r="A249" s="50">
        <v>43905</v>
      </c>
      <c r="B249" s="50">
        <v>0.60416666666666663</v>
      </c>
      <c r="C249" s="50" t="s">
        <v>104</v>
      </c>
      <c r="E249" s="50">
        <v>251</v>
      </c>
      <c r="J249" s="50">
        <v>1</v>
      </c>
      <c r="K249" s="50" t="s">
        <v>106</v>
      </c>
    </row>
    <row r="250" spans="1:11">
      <c r="A250" s="50">
        <v>43906</v>
      </c>
      <c r="C250" s="50" t="s">
        <v>38</v>
      </c>
      <c r="E250" s="50">
        <v>4</v>
      </c>
      <c r="K250" s="50" t="s">
        <v>197</v>
      </c>
    </row>
    <row r="251" spans="1:11">
      <c r="A251" s="50">
        <v>43906</v>
      </c>
      <c r="C251" s="50" t="s">
        <v>44</v>
      </c>
      <c r="E251" s="50">
        <v>123</v>
      </c>
      <c r="J251" s="50">
        <v>1</v>
      </c>
      <c r="K251" s="50" t="s">
        <v>46</v>
      </c>
    </row>
    <row r="252" spans="1:11">
      <c r="A252" s="50">
        <v>43906</v>
      </c>
      <c r="C252" s="50" t="s">
        <v>47</v>
      </c>
      <c r="E252" s="50">
        <v>76</v>
      </c>
      <c r="F252" s="50">
        <v>17</v>
      </c>
      <c r="G252" s="50">
        <v>4</v>
      </c>
      <c r="I252" s="50">
        <v>5</v>
      </c>
      <c r="J252" s="50">
        <v>2</v>
      </c>
      <c r="K252" s="50" t="s">
        <v>198</v>
      </c>
    </row>
    <row r="253" spans="1:11">
      <c r="A253" s="50">
        <v>43906</v>
      </c>
      <c r="C253" s="50" t="s">
        <v>56</v>
      </c>
      <c r="E253" s="50">
        <v>45</v>
      </c>
      <c r="J253" s="50">
        <v>0</v>
      </c>
      <c r="K253" s="50" t="s">
        <v>420</v>
      </c>
    </row>
    <row r="254" spans="1:11">
      <c r="A254" s="50">
        <v>43906</v>
      </c>
      <c r="C254" s="50" t="s">
        <v>58</v>
      </c>
      <c r="D254" s="50">
        <v>4147</v>
      </c>
      <c r="E254" s="50">
        <v>460</v>
      </c>
      <c r="F254" s="50">
        <v>66</v>
      </c>
      <c r="G254" s="50">
        <v>10</v>
      </c>
      <c r="H254" s="50">
        <v>9</v>
      </c>
      <c r="J254" s="50">
        <v>4</v>
      </c>
      <c r="K254" s="50" t="s">
        <v>60</v>
      </c>
    </row>
    <row r="255" spans="1:11">
      <c r="A255" s="50">
        <v>43906</v>
      </c>
      <c r="C255" s="50" t="s">
        <v>61</v>
      </c>
      <c r="E255" s="50">
        <v>10</v>
      </c>
      <c r="F255" s="50">
        <v>0</v>
      </c>
      <c r="J255" s="50">
        <v>0</v>
      </c>
      <c r="K255" s="50" t="s">
        <v>387</v>
      </c>
    </row>
    <row r="256" spans="1:11">
      <c r="A256" s="50">
        <v>43906</v>
      </c>
      <c r="C256" s="50" t="s">
        <v>66</v>
      </c>
      <c r="E256" s="50">
        <v>25</v>
      </c>
      <c r="F256" s="50">
        <v>9</v>
      </c>
      <c r="G256" s="50">
        <v>0</v>
      </c>
      <c r="J256" s="50">
        <v>0</v>
      </c>
      <c r="K256" s="50" t="s">
        <v>427</v>
      </c>
    </row>
    <row r="257" spans="1:11">
      <c r="A257" s="50">
        <v>43906</v>
      </c>
      <c r="C257" s="50" t="s">
        <v>71</v>
      </c>
      <c r="E257" s="50">
        <v>93</v>
      </c>
      <c r="F257" s="50">
        <v>13</v>
      </c>
      <c r="K257" s="50" t="s">
        <v>377</v>
      </c>
    </row>
    <row r="258" spans="1:11">
      <c r="A258" s="50">
        <v>43906</v>
      </c>
      <c r="C258" s="50" t="s">
        <v>73</v>
      </c>
      <c r="E258" s="50">
        <v>10</v>
      </c>
      <c r="F258" s="50">
        <v>7</v>
      </c>
      <c r="K258" s="50" t="s">
        <v>357</v>
      </c>
    </row>
    <row r="259" spans="1:11">
      <c r="A259" s="50">
        <v>43906</v>
      </c>
      <c r="C259" s="50" t="s">
        <v>81</v>
      </c>
      <c r="E259" s="50">
        <v>2</v>
      </c>
      <c r="J259" s="50">
        <v>0</v>
      </c>
      <c r="K259" s="50" t="s">
        <v>428</v>
      </c>
    </row>
    <row r="260" spans="1:11">
      <c r="A260" s="50">
        <v>43906</v>
      </c>
      <c r="C260" s="50" t="s">
        <v>88</v>
      </c>
      <c r="D260" s="50">
        <v>246</v>
      </c>
      <c r="E260" s="50">
        <v>17</v>
      </c>
      <c r="K260" s="50" t="s">
        <v>36</v>
      </c>
    </row>
    <row r="261" spans="1:11">
      <c r="A261" s="50">
        <v>43906</v>
      </c>
      <c r="C261" s="50" t="s">
        <v>91</v>
      </c>
      <c r="E261" s="50">
        <v>330</v>
      </c>
      <c r="J261" s="50">
        <v>8</v>
      </c>
      <c r="K261" s="50" t="s">
        <v>200</v>
      </c>
    </row>
    <row r="262" spans="1:11">
      <c r="A262" s="50">
        <v>43906</v>
      </c>
      <c r="C262" s="50" t="s">
        <v>97</v>
      </c>
      <c r="E262" s="50">
        <v>797</v>
      </c>
      <c r="F262" s="50">
        <v>126</v>
      </c>
      <c r="G262" s="50">
        <v>20</v>
      </c>
      <c r="J262" s="50">
        <v>7</v>
      </c>
      <c r="K262" s="50" t="s">
        <v>99</v>
      </c>
    </row>
    <row r="263" spans="1:11">
      <c r="A263" s="50">
        <v>43906</v>
      </c>
      <c r="C263" s="50" t="s">
        <v>100</v>
      </c>
      <c r="E263" s="50">
        <v>172</v>
      </c>
      <c r="F263" s="50">
        <v>41</v>
      </c>
      <c r="G263" s="50">
        <v>2</v>
      </c>
      <c r="H263" s="50">
        <v>1</v>
      </c>
      <c r="J263" s="50">
        <v>3</v>
      </c>
      <c r="K263" s="50" t="s">
        <v>430</v>
      </c>
    </row>
    <row r="264" spans="1:11">
      <c r="A264" s="50">
        <v>43906</v>
      </c>
      <c r="B264" s="50">
        <v>0.33333333333333331</v>
      </c>
      <c r="C264" s="50" t="s">
        <v>102</v>
      </c>
      <c r="E264" s="50">
        <v>20</v>
      </c>
      <c r="F264" s="50">
        <v>0</v>
      </c>
      <c r="G264" s="50">
        <v>0</v>
      </c>
      <c r="I264" s="50">
        <v>0</v>
      </c>
      <c r="J264" s="50">
        <v>0</v>
      </c>
      <c r="K264" s="50" t="s">
        <v>381</v>
      </c>
    </row>
    <row r="265" spans="1:11">
      <c r="A265" s="50">
        <v>43906</v>
      </c>
      <c r="B265" s="50">
        <v>0.5</v>
      </c>
      <c r="C265" s="50" t="s">
        <v>50</v>
      </c>
      <c r="E265" s="50">
        <v>143</v>
      </c>
      <c r="F265" s="50">
        <v>13</v>
      </c>
      <c r="I265" s="50">
        <v>4</v>
      </c>
      <c r="J265" s="50">
        <v>4</v>
      </c>
      <c r="K265" s="50" t="s">
        <v>199</v>
      </c>
    </row>
    <row r="266" spans="1:11">
      <c r="A266" s="50">
        <v>43906</v>
      </c>
      <c r="B266" s="50">
        <v>0.60416666666666663</v>
      </c>
      <c r="C266" s="50" t="s">
        <v>104</v>
      </c>
      <c r="E266" s="50">
        <v>327</v>
      </c>
      <c r="J266" s="50">
        <v>1</v>
      </c>
      <c r="K266" s="50" t="s">
        <v>106</v>
      </c>
    </row>
    <row r="267" spans="1:11">
      <c r="A267" s="50">
        <v>43906</v>
      </c>
      <c r="B267" s="50">
        <v>0.625</v>
      </c>
      <c r="C267" s="50" t="s">
        <v>34</v>
      </c>
      <c r="E267" s="50">
        <v>52</v>
      </c>
      <c r="F267" s="50">
        <v>2</v>
      </c>
      <c r="I267" s="50">
        <v>4</v>
      </c>
      <c r="K267" s="50" t="s">
        <v>196</v>
      </c>
    </row>
    <row r="268" spans="1:11">
      <c r="A268" s="50">
        <v>43907</v>
      </c>
      <c r="C268" s="50" t="s">
        <v>38</v>
      </c>
      <c r="E268" s="50">
        <v>5</v>
      </c>
      <c r="K268" s="50" t="s">
        <v>197</v>
      </c>
    </row>
    <row r="269" spans="1:11">
      <c r="A269" s="50">
        <v>43907</v>
      </c>
      <c r="C269" s="50" t="s">
        <v>47</v>
      </c>
      <c r="E269" s="50">
        <v>89</v>
      </c>
      <c r="F269" s="50">
        <v>26</v>
      </c>
      <c r="G269" s="50">
        <v>5</v>
      </c>
      <c r="I269" s="50">
        <v>13</v>
      </c>
      <c r="J269" s="50">
        <v>2</v>
      </c>
      <c r="K269" s="50" t="s">
        <v>202</v>
      </c>
    </row>
    <row r="270" spans="1:11">
      <c r="A270" s="50">
        <v>43907</v>
      </c>
      <c r="C270" s="50" t="s">
        <v>53</v>
      </c>
      <c r="E270" s="50">
        <v>19</v>
      </c>
      <c r="I270" s="50">
        <v>1</v>
      </c>
      <c r="K270" s="50" t="s">
        <v>204</v>
      </c>
    </row>
    <row r="271" spans="1:11">
      <c r="A271" s="50">
        <v>43907</v>
      </c>
      <c r="C271" s="50" t="s">
        <v>56</v>
      </c>
      <c r="E271" s="50">
        <v>59</v>
      </c>
      <c r="J271" s="50">
        <v>0</v>
      </c>
      <c r="K271" s="50" t="s">
        <v>420</v>
      </c>
    </row>
    <row r="272" spans="1:11">
      <c r="A272" s="50">
        <v>43907</v>
      </c>
      <c r="C272" s="50" t="s">
        <v>58</v>
      </c>
      <c r="D272" s="50">
        <v>4750</v>
      </c>
      <c r="E272" s="50">
        <v>587</v>
      </c>
      <c r="F272" s="50">
        <v>75</v>
      </c>
      <c r="G272" s="50">
        <v>19</v>
      </c>
      <c r="H272" s="50">
        <v>17</v>
      </c>
      <c r="J272" s="50">
        <v>5</v>
      </c>
      <c r="K272" s="50" t="s">
        <v>60</v>
      </c>
    </row>
    <row r="273" spans="1:11">
      <c r="A273" s="50">
        <v>43907</v>
      </c>
      <c r="C273" s="50" t="s">
        <v>61</v>
      </c>
      <c r="E273" s="50">
        <v>12</v>
      </c>
      <c r="F273" s="50">
        <v>0</v>
      </c>
      <c r="J273" s="50">
        <v>0</v>
      </c>
      <c r="K273" s="50" t="s">
        <v>387</v>
      </c>
    </row>
    <row r="274" spans="1:11">
      <c r="A274" s="50">
        <v>43907</v>
      </c>
      <c r="C274" s="50" t="s">
        <v>63</v>
      </c>
      <c r="E274" s="50">
        <v>101</v>
      </c>
      <c r="F274" s="50">
        <v>9</v>
      </c>
      <c r="J274" s="50">
        <v>1</v>
      </c>
      <c r="K274" s="50" t="s">
        <v>65</v>
      </c>
    </row>
    <row r="275" spans="1:11">
      <c r="A275" s="50">
        <v>43907</v>
      </c>
      <c r="C275" s="50" t="s">
        <v>66</v>
      </c>
      <c r="E275" s="50">
        <v>29</v>
      </c>
      <c r="F275" s="50">
        <v>11</v>
      </c>
      <c r="G275" s="50">
        <v>0</v>
      </c>
      <c r="J275" s="50">
        <v>0</v>
      </c>
      <c r="K275" s="50" t="s">
        <v>427</v>
      </c>
    </row>
    <row r="276" spans="1:11">
      <c r="A276" s="50">
        <v>43907</v>
      </c>
      <c r="C276" s="50" t="s">
        <v>71</v>
      </c>
      <c r="E276" s="50">
        <v>114</v>
      </c>
      <c r="F276" s="50">
        <v>16</v>
      </c>
      <c r="J276" s="50">
        <v>1</v>
      </c>
      <c r="K276" s="50" t="s">
        <v>377</v>
      </c>
    </row>
    <row r="277" spans="1:11">
      <c r="A277" s="50">
        <v>43907</v>
      </c>
      <c r="C277" s="50" t="s">
        <v>73</v>
      </c>
      <c r="E277" s="50">
        <v>12</v>
      </c>
      <c r="F277" s="50">
        <v>6</v>
      </c>
      <c r="K277" s="50" t="s">
        <v>357</v>
      </c>
    </row>
    <row r="278" spans="1:11">
      <c r="A278" s="50">
        <v>43907</v>
      </c>
      <c r="C278" s="50" t="s">
        <v>78</v>
      </c>
      <c r="E278" s="50">
        <v>47</v>
      </c>
      <c r="K278" s="50" t="s">
        <v>80</v>
      </c>
    </row>
    <row r="279" spans="1:11">
      <c r="A279" s="50">
        <v>43907</v>
      </c>
      <c r="C279" s="50" t="s">
        <v>81</v>
      </c>
      <c r="E279" s="50">
        <v>2</v>
      </c>
      <c r="J279" s="50">
        <v>0</v>
      </c>
      <c r="K279" s="50" t="s">
        <v>428</v>
      </c>
    </row>
    <row r="280" spans="1:11">
      <c r="A280" s="50">
        <v>43907</v>
      </c>
      <c r="C280" s="50" t="s">
        <v>88</v>
      </c>
      <c r="D280" s="50">
        <v>276</v>
      </c>
      <c r="E280" s="50">
        <v>23</v>
      </c>
      <c r="K280" s="50" t="s">
        <v>36</v>
      </c>
    </row>
    <row r="281" spans="1:11">
      <c r="A281" s="50">
        <v>43907</v>
      </c>
      <c r="C281" s="50" t="s">
        <v>91</v>
      </c>
      <c r="E281" s="50">
        <v>422</v>
      </c>
      <c r="J281" s="50">
        <v>10</v>
      </c>
      <c r="K281" s="50" t="s">
        <v>205</v>
      </c>
    </row>
    <row r="282" spans="1:11">
      <c r="A282" s="50">
        <v>43907</v>
      </c>
      <c r="C282" s="50" t="s">
        <v>97</v>
      </c>
      <c r="E282" s="50">
        <v>1040</v>
      </c>
      <c r="F282" s="50">
        <v>140</v>
      </c>
      <c r="G282" s="50">
        <v>24</v>
      </c>
      <c r="J282" s="50">
        <v>9</v>
      </c>
      <c r="K282" s="50" t="s">
        <v>99</v>
      </c>
    </row>
    <row r="283" spans="1:11">
      <c r="A283" s="50">
        <v>43907</v>
      </c>
      <c r="C283" s="50" t="s">
        <v>100</v>
      </c>
      <c r="E283" s="50">
        <v>225</v>
      </c>
      <c r="F283" s="50">
        <v>46</v>
      </c>
      <c r="G283" s="50">
        <v>2</v>
      </c>
      <c r="H283" s="50">
        <v>2</v>
      </c>
      <c r="J283" s="50">
        <v>3</v>
      </c>
      <c r="K283" s="50" t="s">
        <v>430</v>
      </c>
    </row>
    <row r="284" spans="1:11">
      <c r="A284" s="50">
        <v>43907</v>
      </c>
      <c r="B284" s="50">
        <v>0.33333333333333331</v>
      </c>
      <c r="C284" s="50" t="s">
        <v>102</v>
      </c>
      <c r="E284" s="50">
        <v>29</v>
      </c>
      <c r="F284" s="50">
        <v>0</v>
      </c>
      <c r="G284" s="50">
        <v>0</v>
      </c>
      <c r="I284" s="50">
        <v>1</v>
      </c>
      <c r="J284" s="50">
        <v>0</v>
      </c>
      <c r="K284" s="50" t="s">
        <v>381</v>
      </c>
    </row>
    <row r="285" spans="1:11">
      <c r="A285" s="50">
        <v>43907</v>
      </c>
      <c r="B285" s="50">
        <v>0.5</v>
      </c>
      <c r="C285" s="50" t="s">
        <v>50</v>
      </c>
      <c r="E285" s="50">
        <v>164</v>
      </c>
      <c r="F285" s="50">
        <v>30</v>
      </c>
      <c r="I285" s="50">
        <v>25</v>
      </c>
      <c r="J285" s="50">
        <v>4</v>
      </c>
      <c r="K285" s="50" t="s">
        <v>203</v>
      </c>
    </row>
    <row r="286" spans="1:11">
      <c r="A286" s="50">
        <v>43907</v>
      </c>
      <c r="B286" s="50">
        <v>0.60416666666666663</v>
      </c>
      <c r="C286" s="50" t="s">
        <v>104</v>
      </c>
      <c r="E286" s="50">
        <v>430</v>
      </c>
      <c r="J286" s="50">
        <v>1</v>
      </c>
      <c r="K286" s="50" t="s">
        <v>106</v>
      </c>
    </row>
    <row r="287" spans="1:11">
      <c r="A287" s="50">
        <v>43907</v>
      </c>
      <c r="B287" s="50">
        <v>0.66666666666666663</v>
      </c>
      <c r="C287" s="50" t="s">
        <v>34</v>
      </c>
      <c r="E287" s="50">
        <v>67</v>
      </c>
      <c r="F287" s="50">
        <v>2</v>
      </c>
      <c r="I287" s="50">
        <v>4</v>
      </c>
      <c r="K287" s="50" t="s">
        <v>201</v>
      </c>
    </row>
    <row r="288" spans="1:11">
      <c r="A288" s="50">
        <v>43908</v>
      </c>
      <c r="C288" s="50" t="s">
        <v>41</v>
      </c>
      <c r="E288" s="50">
        <v>11</v>
      </c>
      <c r="F288" s="50">
        <v>3</v>
      </c>
      <c r="K288" s="50" t="s">
        <v>207</v>
      </c>
    </row>
    <row r="289" spans="1:11">
      <c r="A289" s="50">
        <v>43908</v>
      </c>
      <c r="C289" s="50" t="s">
        <v>44</v>
      </c>
      <c r="E289" s="50">
        <v>193</v>
      </c>
      <c r="J289" s="50">
        <v>1</v>
      </c>
      <c r="K289" s="50" t="s">
        <v>46</v>
      </c>
    </row>
    <row r="290" spans="1:11">
      <c r="A290" s="50">
        <v>43908</v>
      </c>
      <c r="C290" s="50" t="s">
        <v>47</v>
      </c>
      <c r="E290" s="50">
        <v>116</v>
      </c>
      <c r="F290" s="50">
        <v>27</v>
      </c>
      <c r="G290" s="50">
        <v>2</v>
      </c>
      <c r="I290" s="50">
        <v>16</v>
      </c>
      <c r="J290" s="50">
        <v>2</v>
      </c>
      <c r="K290" s="50" t="s">
        <v>208</v>
      </c>
    </row>
    <row r="291" spans="1:11">
      <c r="A291" s="50">
        <v>43908</v>
      </c>
      <c r="C291" s="50" t="s">
        <v>53</v>
      </c>
      <c r="E291" s="50">
        <v>28</v>
      </c>
      <c r="I291" s="50">
        <v>1</v>
      </c>
      <c r="K291" s="50" t="s">
        <v>210</v>
      </c>
    </row>
    <row r="292" spans="1:11">
      <c r="A292" s="50">
        <v>43908</v>
      </c>
      <c r="C292" s="50" t="s">
        <v>56</v>
      </c>
      <c r="E292" s="50">
        <v>86</v>
      </c>
      <c r="F292" s="50">
        <v>11</v>
      </c>
      <c r="G292" s="50">
        <v>5</v>
      </c>
      <c r="J292" s="50">
        <v>0</v>
      </c>
      <c r="K292" s="50" t="s">
        <v>420</v>
      </c>
    </row>
    <row r="293" spans="1:11">
      <c r="A293" s="50">
        <v>43908</v>
      </c>
      <c r="C293" s="50" t="s">
        <v>58</v>
      </c>
      <c r="D293" s="50">
        <v>5573</v>
      </c>
      <c r="E293" s="50">
        <v>775</v>
      </c>
      <c r="F293" s="50">
        <v>78</v>
      </c>
      <c r="G293" s="50">
        <v>20</v>
      </c>
      <c r="H293" s="50">
        <v>17</v>
      </c>
      <c r="J293" s="50">
        <v>6</v>
      </c>
      <c r="K293" s="50" t="s">
        <v>60</v>
      </c>
    </row>
    <row r="294" spans="1:11">
      <c r="A294" s="50">
        <v>43908</v>
      </c>
      <c r="C294" s="50" t="s">
        <v>61</v>
      </c>
      <c r="E294" s="50">
        <v>14</v>
      </c>
      <c r="F294" s="50">
        <v>0</v>
      </c>
      <c r="J294" s="50">
        <v>0</v>
      </c>
      <c r="K294" s="50" t="s">
        <v>387</v>
      </c>
    </row>
    <row r="295" spans="1:11">
      <c r="A295" s="50">
        <v>43908</v>
      </c>
      <c r="C295" s="50" t="s">
        <v>63</v>
      </c>
      <c r="E295" s="50">
        <v>128</v>
      </c>
      <c r="F295" s="50">
        <v>13</v>
      </c>
      <c r="J295" s="50">
        <v>1</v>
      </c>
      <c r="K295" s="50" t="s">
        <v>65</v>
      </c>
    </row>
    <row r="296" spans="1:11">
      <c r="A296" s="50">
        <v>43908</v>
      </c>
      <c r="C296" s="50" t="s">
        <v>66</v>
      </c>
      <c r="E296" s="50">
        <v>32</v>
      </c>
      <c r="F296" s="50">
        <v>11</v>
      </c>
      <c r="G296" s="50">
        <v>0</v>
      </c>
      <c r="J296" s="50">
        <v>0</v>
      </c>
      <c r="K296" s="50" t="s">
        <v>427</v>
      </c>
    </row>
    <row r="297" spans="1:11">
      <c r="A297" s="50">
        <v>43908</v>
      </c>
      <c r="C297" s="50" t="s">
        <v>71</v>
      </c>
      <c r="E297" s="50">
        <v>146</v>
      </c>
      <c r="F297" s="50">
        <v>18</v>
      </c>
      <c r="J297" s="50">
        <v>2</v>
      </c>
      <c r="K297" s="50" t="s">
        <v>377</v>
      </c>
    </row>
    <row r="298" spans="1:11">
      <c r="A298" s="50">
        <v>43908</v>
      </c>
      <c r="C298" s="50" t="s">
        <v>73</v>
      </c>
      <c r="E298" s="50">
        <v>18</v>
      </c>
      <c r="F298" s="50">
        <v>6</v>
      </c>
      <c r="K298" s="50" t="s">
        <v>357</v>
      </c>
    </row>
    <row r="299" spans="1:11">
      <c r="A299" s="50">
        <v>43908</v>
      </c>
      <c r="C299" s="50" t="s">
        <v>78</v>
      </c>
      <c r="E299" s="50">
        <v>61</v>
      </c>
      <c r="K299" s="50" t="s">
        <v>80</v>
      </c>
    </row>
    <row r="300" spans="1:11">
      <c r="A300" s="50">
        <v>43908</v>
      </c>
      <c r="C300" s="50" t="s">
        <v>81</v>
      </c>
      <c r="E300" s="50">
        <v>8</v>
      </c>
      <c r="J300" s="50">
        <v>0</v>
      </c>
      <c r="K300" s="50" t="s">
        <v>428</v>
      </c>
    </row>
    <row r="301" spans="1:11">
      <c r="A301" s="50">
        <v>43908</v>
      </c>
      <c r="C301" s="50" t="s">
        <v>83</v>
      </c>
      <c r="E301" s="50">
        <v>43</v>
      </c>
      <c r="K301" s="50" t="s">
        <v>212</v>
      </c>
    </row>
    <row r="302" spans="1:11">
      <c r="A302" s="50">
        <v>43908</v>
      </c>
      <c r="C302" s="50" t="s">
        <v>88</v>
      </c>
      <c r="E302" s="50">
        <v>32</v>
      </c>
      <c r="K302" s="50" t="s">
        <v>90</v>
      </c>
    </row>
    <row r="303" spans="1:11">
      <c r="A303" s="50">
        <v>43908</v>
      </c>
      <c r="C303" s="50" t="s">
        <v>91</v>
      </c>
      <c r="E303" s="50">
        <v>511</v>
      </c>
      <c r="J303" s="50">
        <v>14</v>
      </c>
      <c r="K303" s="50" t="s">
        <v>213</v>
      </c>
    </row>
    <row r="304" spans="1:11">
      <c r="A304" s="50">
        <v>43908</v>
      </c>
      <c r="C304" s="50" t="s">
        <v>94</v>
      </c>
      <c r="D304" s="50">
        <v>85</v>
      </c>
      <c r="E304" s="50">
        <v>5</v>
      </c>
      <c r="K304" s="50" t="s">
        <v>214</v>
      </c>
    </row>
    <row r="305" spans="1:11">
      <c r="A305" s="50">
        <v>43908</v>
      </c>
      <c r="C305" s="50" t="s">
        <v>97</v>
      </c>
      <c r="E305" s="50">
        <v>1305</v>
      </c>
      <c r="F305" s="50">
        <v>153</v>
      </c>
      <c r="G305" s="50">
        <v>24</v>
      </c>
      <c r="J305" s="50">
        <v>12</v>
      </c>
      <c r="K305" s="50" t="s">
        <v>99</v>
      </c>
    </row>
    <row r="306" spans="1:11">
      <c r="A306" s="50">
        <v>43908</v>
      </c>
      <c r="C306" s="50" t="s">
        <v>100</v>
      </c>
      <c r="E306" s="50">
        <v>312</v>
      </c>
      <c r="F306" s="50">
        <v>58</v>
      </c>
      <c r="G306" s="50">
        <v>2</v>
      </c>
      <c r="H306" s="50">
        <v>2</v>
      </c>
      <c r="J306" s="50">
        <v>4</v>
      </c>
      <c r="K306" s="50" t="s">
        <v>430</v>
      </c>
    </row>
    <row r="307" spans="1:11">
      <c r="A307" s="50">
        <v>43908</v>
      </c>
      <c r="B307" s="50">
        <v>0.33333333333333331</v>
      </c>
      <c r="C307" s="50" t="s">
        <v>102</v>
      </c>
      <c r="E307" s="50">
        <v>33</v>
      </c>
      <c r="F307" s="50">
        <v>0</v>
      </c>
      <c r="G307" s="50">
        <v>0</v>
      </c>
      <c r="I307" s="50">
        <v>5</v>
      </c>
      <c r="J307" s="50">
        <v>0</v>
      </c>
      <c r="K307" s="50" t="s">
        <v>381</v>
      </c>
    </row>
    <row r="308" spans="1:11">
      <c r="A308" s="50">
        <v>43908</v>
      </c>
      <c r="B308" s="50">
        <v>0.46875</v>
      </c>
      <c r="C308" s="50" t="s">
        <v>50</v>
      </c>
      <c r="E308" s="50">
        <v>181</v>
      </c>
      <c r="F308" s="50">
        <v>40</v>
      </c>
      <c r="I308" s="50">
        <v>36</v>
      </c>
      <c r="J308" s="50">
        <v>4</v>
      </c>
      <c r="K308" s="50" t="s">
        <v>209</v>
      </c>
    </row>
    <row r="309" spans="1:11">
      <c r="A309" s="50">
        <v>43908</v>
      </c>
      <c r="B309" s="50">
        <v>0.60416666666666663</v>
      </c>
      <c r="C309" s="50" t="s">
        <v>104</v>
      </c>
      <c r="E309" s="50">
        <v>569</v>
      </c>
      <c r="J309" s="50">
        <v>2</v>
      </c>
      <c r="K309" s="50" t="s">
        <v>106</v>
      </c>
    </row>
    <row r="310" spans="1:11">
      <c r="A310" s="50">
        <v>43908</v>
      </c>
      <c r="B310" s="50">
        <v>0.66666666666666663</v>
      </c>
      <c r="C310" s="50" t="s">
        <v>34</v>
      </c>
      <c r="E310" s="50">
        <v>101</v>
      </c>
      <c r="F310" s="50">
        <v>6</v>
      </c>
      <c r="I310" s="50">
        <v>4</v>
      </c>
      <c r="K310" s="50" t="s">
        <v>206</v>
      </c>
    </row>
    <row r="311" spans="1:11">
      <c r="A311" s="50">
        <v>43908</v>
      </c>
      <c r="B311" s="50">
        <v>0.66666666666666663</v>
      </c>
      <c r="C311" s="50" t="s">
        <v>68</v>
      </c>
      <c r="E311" s="50">
        <v>65</v>
      </c>
      <c r="K311" s="50" t="s">
        <v>211</v>
      </c>
    </row>
    <row r="312" spans="1:11">
      <c r="A312" s="50">
        <v>43909</v>
      </c>
      <c r="C312" s="50" t="s">
        <v>38</v>
      </c>
      <c r="E312" s="50">
        <v>6</v>
      </c>
      <c r="F312" s="50">
        <v>1</v>
      </c>
      <c r="K312" s="50" t="s">
        <v>197</v>
      </c>
    </row>
    <row r="313" spans="1:11">
      <c r="A313" s="50">
        <v>43909</v>
      </c>
      <c r="C313" s="50" t="s">
        <v>44</v>
      </c>
      <c r="E313" s="50">
        <v>282</v>
      </c>
      <c r="J313" s="50">
        <v>1</v>
      </c>
      <c r="K313" s="50" t="s">
        <v>46</v>
      </c>
    </row>
    <row r="314" spans="1:11">
      <c r="A314" s="50">
        <v>43909</v>
      </c>
      <c r="C314" s="50" t="s">
        <v>47</v>
      </c>
      <c r="E314" s="50">
        <v>134</v>
      </c>
      <c r="F314" s="50">
        <v>19</v>
      </c>
      <c r="G314" s="50">
        <v>2</v>
      </c>
      <c r="I314" s="50">
        <v>16</v>
      </c>
      <c r="J314" s="50">
        <v>2</v>
      </c>
      <c r="K314" s="50" t="s">
        <v>216</v>
      </c>
    </row>
    <row r="315" spans="1:11">
      <c r="A315" s="50">
        <v>43909</v>
      </c>
      <c r="C315" s="50" t="s">
        <v>56</v>
      </c>
      <c r="E315" s="50">
        <v>111</v>
      </c>
      <c r="F315" s="50">
        <v>12</v>
      </c>
      <c r="G315" s="50">
        <v>5</v>
      </c>
      <c r="J315" s="50">
        <v>1</v>
      </c>
      <c r="K315" s="50" t="s">
        <v>420</v>
      </c>
    </row>
    <row r="316" spans="1:11">
      <c r="A316" s="50">
        <v>43909</v>
      </c>
      <c r="C316" s="50" t="s">
        <v>58</v>
      </c>
      <c r="D316" s="50">
        <v>6233</v>
      </c>
      <c r="E316" s="50">
        <v>994</v>
      </c>
      <c r="F316" s="50">
        <v>92</v>
      </c>
      <c r="G316" s="50">
        <v>19</v>
      </c>
      <c r="H316" s="50">
        <v>18</v>
      </c>
      <c r="J316" s="50">
        <v>7</v>
      </c>
      <c r="K316" s="50" t="s">
        <v>60</v>
      </c>
    </row>
    <row r="317" spans="1:11">
      <c r="A317" s="50">
        <v>43909</v>
      </c>
      <c r="C317" s="50" t="s">
        <v>61</v>
      </c>
      <c r="E317" s="50">
        <v>16</v>
      </c>
      <c r="F317" s="50">
        <v>0</v>
      </c>
      <c r="J317" s="50">
        <v>0</v>
      </c>
      <c r="K317" s="50" t="s">
        <v>387</v>
      </c>
    </row>
    <row r="318" spans="1:11">
      <c r="A318" s="50">
        <v>43909</v>
      </c>
      <c r="C318" s="50" t="s">
        <v>63</v>
      </c>
      <c r="E318" s="50">
        <v>182</v>
      </c>
      <c r="F318" s="50">
        <v>18</v>
      </c>
      <c r="J318" s="50">
        <v>2</v>
      </c>
      <c r="K318" s="50" t="s">
        <v>65</v>
      </c>
    </row>
    <row r="319" spans="1:11">
      <c r="A319" s="50">
        <v>43909</v>
      </c>
      <c r="C319" s="50" t="s">
        <v>66</v>
      </c>
      <c r="E319" s="50">
        <v>36</v>
      </c>
      <c r="F319" s="50">
        <v>12</v>
      </c>
      <c r="G319" s="50">
        <v>0</v>
      </c>
      <c r="J319" s="50">
        <v>0</v>
      </c>
      <c r="K319" s="50" t="s">
        <v>427</v>
      </c>
    </row>
    <row r="320" spans="1:11">
      <c r="A320" s="50">
        <v>43909</v>
      </c>
      <c r="C320" s="50" t="s">
        <v>71</v>
      </c>
      <c r="E320" s="50">
        <v>175</v>
      </c>
      <c r="F320" s="50">
        <v>19</v>
      </c>
      <c r="J320" s="50">
        <v>3</v>
      </c>
      <c r="K320" s="50" t="s">
        <v>377</v>
      </c>
    </row>
    <row r="321" spans="1:11">
      <c r="A321" s="50">
        <v>43909</v>
      </c>
      <c r="C321" s="50" t="s">
        <v>73</v>
      </c>
      <c r="E321" s="50">
        <v>25</v>
      </c>
      <c r="F321" s="50">
        <v>5</v>
      </c>
      <c r="K321" s="50" t="s">
        <v>357</v>
      </c>
    </row>
    <row r="322" spans="1:11">
      <c r="A322" s="50">
        <v>43909</v>
      </c>
      <c r="C322" s="50" t="s">
        <v>78</v>
      </c>
      <c r="E322" s="50">
        <v>85</v>
      </c>
      <c r="K322" s="50" t="s">
        <v>80</v>
      </c>
    </row>
    <row r="323" spans="1:11">
      <c r="A323" s="50">
        <v>43909</v>
      </c>
      <c r="C323" s="50" t="s">
        <v>81</v>
      </c>
      <c r="E323" s="50">
        <v>12</v>
      </c>
      <c r="J323" s="50">
        <v>0</v>
      </c>
      <c r="K323" s="50" t="s">
        <v>428</v>
      </c>
    </row>
    <row r="324" spans="1:11">
      <c r="A324" s="50">
        <v>43909</v>
      </c>
      <c r="C324" s="50" t="s">
        <v>88</v>
      </c>
      <c r="E324" s="50">
        <v>37</v>
      </c>
      <c r="K324" s="50" t="s">
        <v>90</v>
      </c>
    </row>
    <row r="325" spans="1:11">
      <c r="A325" s="50">
        <v>43909</v>
      </c>
      <c r="C325" s="50" t="s">
        <v>91</v>
      </c>
      <c r="E325" s="50">
        <v>638</v>
      </c>
      <c r="F325" s="50">
        <v>155</v>
      </c>
      <c r="G325" s="50">
        <v>33</v>
      </c>
      <c r="J325" s="50">
        <v>15</v>
      </c>
      <c r="K325" s="50" t="s">
        <v>218</v>
      </c>
    </row>
    <row r="326" spans="1:11">
      <c r="A326" s="50">
        <v>43909</v>
      </c>
      <c r="C326" s="50" t="s">
        <v>94</v>
      </c>
      <c r="E326" s="50">
        <v>7</v>
      </c>
      <c r="K326" s="50" t="s">
        <v>219</v>
      </c>
    </row>
    <row r="327" spans="1:11">
      <c r="A327" s="50">
        <v>43909</v>
      </c>
      <c r="C327" s="50" t="s">
        <v>97</v>
      </c>
      <c r="E327" s="50">
        <v>1514</v>
      </c>
      <c r="F327" s="50">
        <v>170</v>
      </c>
      <c r="G327" s="50">
        <v>23</v>
      </c>
      <c r="J327" s="50">
        <v>13</v>
      </c>
      <c r="K327" s="50" t="s">
        <v>99</v>
      </c>
    </row>
    <row r="328" spans="1:11">
      <c r="A328" s="50">
        <v>43909</v>
      </c>
      <c r="C328" s="50" t="s">
        <v>100</v>
      </c>
      <c r="E328" s="50">
        <v>349</v>
      </c>
      <c r="F328" s="50">
        <v>64</v>
      </c>
      <c r="G328" s="50">
        <v>5</v>
      </c>
      <c r="H328" s="50">
        <v>5</v>
      </c>
      <c r="J328" s="50">
        <v>6</v>
      </c>
      <c r="K328" s="50" t="s">
        <v>430</v>
      </c>
    </row>
    <row r="329" spans="1:11">
      <c r="A329" s="50">
        <v>43909</v>
      </c>
      <c r="B329" s="50">
        <v>0.33333333333333331</v>
      </c>
      <c r="C329" s="50" t="s">
        <v>102</v>
      </c>
      <c r="E329" s="50">
        <v>37</v>
      </c>
      <c r="F329" s="50">
        <v>1</v>
      </c>
      <c r="G329" s="50">
        <v>0</v>
      </c>
      <c r="I329" s="50">
        <v>5</v>
      </c>
      <c r="J329" s="50">
        <v>0</v>
      </c>
      <c r="K329" s="50" t="s">
        <v>381</v>
      </c>
    </row>
    <row r="330" spans="1:11">
      <c r="A330" s="50">
        <v>43909</v>
      </c>
      <c r="B330" s="50">
        <v>0.45833333333333331</v>
      </c>
      <c r="C330" s="50" t="s">
        <v>50</v>
      </c>
      <c r="E330" s="50">
        <v>220</v>
      </c>
      <c r="F330" s="50">
        <v>40</v>
      </c>
      <c r="I330" s="50">
        <v>44</v>
      </c>
      <c r="J330" s="50">
        <v>4</v>
      </c>
      <c r="K330" s="50" t="s">
        <v>217</v>
      </c>
    </row>
    <row r="331" spans="1:11">
      <c r="A331" s="50">
        <v>43909</v>
      </c>
      <c r="B331" s="50">
        <v>0.60416666666666663</v>
      </c>
      <c r="C331" s="50" t="s">
        <v>104</v>
      </c>
      <c r="E331" s="50">
        <v>680</v>
      </c>
      <c r="F331" s="50">
        <v>60</v>
      </c>
      <c r="H331" s="50">
        <v>12</v>
      </c>
      <c r="J331" s="50">
        <v>3</v>
      </c>
      <c r="K331" s="50" t="s">
        <v>106</v>
      </c>
    </row>
    <row r="332" spans="1:11">
      <c r="A332" s="50">
        <v>43909</v>
      </c>
      <c r="B332" s="50">
        <v>0.625</v>
      </c>
      <c r="C332" s="50" t="s">
        <v>34</v>
      </c>
      <c r="E332" s="50">
        <v>118</v>
      </c>
      <c r="F332" s="50">
        <v>17</v>
      </c>
      <c r="G332" s="50">
        <v>6</v>
      </c>
      <c r="H332" s="50">
        <v>3</v>
      </c>
      <c r="K332" s="50" t="s">
        <v>215</v>
      </c>
    </row>
    <row r="333" spans="1:11">
      <c r="A333" s="50">
        <v>43910</v>
      </c>
      <c r="C333" s="50" t="s">
        <v>44</v>
      </c>
      <c r="E333" s="50">
        <v>377</v>
      </c>
      <c r="J333" s="50">
        <v>2</v>
      </c>
      <c r="K333" s="50" t="s">
        <v>46</v>
      </c>
    </row>
    <row r="334" spans="1:11">
      <c r="A334" s="50">
        <v>43910</v>
      </c>
      <c r="C334" s="50" t="s">
        <v>47</v>
      </c>
      <c r="E334" s="50">
        <v>184</v>
      </c>
      <c r="F334" s="50">
        <v>27</v>
      </c>
      <c r="G334" s="50">
        <v>2</v>
      </c>
      <c r="I334" s="50">
        <v>18</v>
      </c>
      <c r="J334" s="50">
        <v>3</v>
      </c>
      <c r="K334" s="50" t="s">
        <v>221</v>
      </c>
    </row>
    <row r="335" spans="1:11">
      <c r="A335" s="50">
        <v>43910</v>
      </c>
      <c r="C335" s="50" t="s">
        <v>53</v>
      </c>
      <c r="E335" s="50">
        <v>37</v>
      </c>
      <c r="I335" s="50">
        <v>1</v>
      </c>
      <c r="K335" s="50" t="s">
        <v>223</v>
      </c>
    </row>
    <row r="336" spans="1:11">
      <c r="A336" s="50">
        <v>43910</v>
      </c>
      <c r="C336" s="50" t="s">
        <v>56</v>
      </c>
      <c r="E336" s="50">
        <v>145</v>
      </c>
      <c r="F336" s="50">
        <v>20</v>
      </c>
      <c r="G336" s="50">
        <v>6</v>
      </c>
      <c r="J336" s="50">
        <v>1</v>
      </c>
      <c r="K336" s="50" t="s">
        <v>420</v>
      </c>
    </row>
    <row r="337" spans="1:11">
      <c r="A337" s="50">
        <v>43910</v>
      </c>
      <c r="C337" s="50" t="s">
        <v>58</v>
      </c>
      <c r="D337" s="50">
        <v>6647</v>
      </c>
      <c r="E337" s="50">
        <v>1119</v>
      </c>
      <c r="F337" s="50">
        <v>109</v>
      </c>
      <c r="G337" s="50">
        <v>22</v>
      </c>
      <c r="H337" s="50">
        <v>21</v>
      </c>
      <c r="J337" s="50">
        <v>9</v>
      </c>
      <c r="K337" s="50" t="s">
        <v>60</v>
      </c>
    </row>
    <row r="338" spans="1:11">
      <c r="A338" s="50">
        <v>43910</v>
      </c>
      <c r="C338" s="50" t="s">
        <v>61</v>
      </c>
      <c r="E338" s="50">
        <v>20</v>
      </c>
      <c r="F338" s="50">
        <v>0</v>
      </c>
      <c r="J338" s="50">
        <v>0</v>
      </c>
      <c r="K338" s="50" t="s">
        <v>387</v>
      </c>
    </row>
    <row r="339" spans="1:11">
      <c r="A339" s="50">
        <v>43910</v>
      </c>
      <c r="C339" s="50" t="s">
        <v>63</v>
      </c>
      <c r="E339" s="50">
        <v>226</v>
      </c>
      <c r="F339" s="50">
        <v>24</v>
      </c>
      <c r="J339" s="50">
        <v>3</v>
      </c>
      <c r="K339" s="50" t="s">
        <v>65</v>
      </c>
    </row>
    <row r="340" spans="1:11">
      <c r="A340" s="50">
        <v>43910</v>
      </c>
      <c r="C340" s="50" t="s">
        <v>66</v>
      </c>
      <c r="E340" s="50">
        <v>44</v>
      </c>
      <c r="F340" s="50">
        <v>14</v>
      </c>
      <c r="G340" s="50">
        <v>1</v>
      </c>
      <c r="J340" s="50">
        <v>0</v>
      </c>
      <c r="K340" s="50" t="s">
        <v>427</v>
      </c>
    </row>
    <row r="341" spans="1:11">
      <c r="A341" s="50">
        <v>43910</v>
      </c>
      <c r="C341" s="50" t="s">
        <v>71</v>
      </c>
      <c r="E341" s="50">
        <v>189</v>
      </c>
      <c r="F341" s="50">
        <v>21</v>
      </c>
      <c r="J341" s="50">
        <v>3</v>
      </c>
      <c r="K341" s="50" t="s">
        <v>377</v>
      </c>
    </row>
    <row r="342" spans="1:11">
      <c r="A342" s="50">
        <v>43910</v>
      </c>
      <c r="C342" s="50" t="s">
        <v>73</v>
      </c>
      <c r="E342" s="50">
        <v>28</v>
      </c>
      <c r="F342" s="50">
        <v>5</v>
      </c>
      <c r="K342" s="50" t="s">
        <v>357</v>
      </c>
    </row>
    <row r="343" spans="1:11">
      <c r="A343" s="50">
        <v>43910</v>
      </c>
      <c r="C343" s="50" t="s">
        <v>78</v>
      </c>
      <c r="E343" s="50">
        <v>98</v>
      </c>
      <c r="K343" s="50" t="s">
        <v>80</v>
      </c>
    </row>
    <row r="344" spans="1:11">
      <c r="A344" s="50">
        <v>43910</v>
      </c>
      <c r="C344" s="50" t="s">
        <v>81</v>
      </c>
      <c r="E344" s="50">
        <v>17</v>
      </c>
      <c r="J344" s="50">
        <v>0</v>
      </c>
      <c r="K344" s="50" t="s">
        <v>428</v>
      </c>
    </row>
    <row r="345" spans="1:11">
      <c r="A345" s="50">
        <v>43910</v>
      </c>
      <c r="C345" s="50" t="s">
        <v>88</v>
      </c>
      <c r="E345" s="50">
        <v>50</v>
      </c>
      <c r="K345" s="50" t="s">
        <v>90</v>
      </c>
    </row>
    <row r="346" spans="1:11">
      <c r="A346" s="50">
        <v>43910</v>
      </c>
      <c r="C346" s="50" t="s">
        <v>97</v>
      </c>
      <c r="E346" s="50">
        <v>1756</v>
      </c>
      <c r="F346" s="50">
        <v>182</v>
      </c>
      <c r="G346" s="50">
        <v>23</v>
      </c>
      <c r="J346" s="50">
        <v>19</v>
      </c>
      <c r="K346" s="50" t="s">
        <v>99</v>
      </c>
    </row>
    <row r="347" spans="1:11">
      <c r="A347" s="50">
        <v>43910</v>
      </c>
      <c r="C347" s="50" t="s">
        <v>100</v>
      </c>
      <c r="E347" s="50">
        <v>436</v>
      </c>
      <c r="F347" s="50">
        <v>73</v>
      </c>
      <c r="G347" s="50">
        <v>6</v>
      </c>
      <c r="H347" s="50">
        <v>5</v>
      </c>
      <c r="J347" s="50">
        <v>7</v>
      </c>
      <c r="K347" s="50" t="s">
        <v>430</v>
      </c>
    </row>
    <row r="348" spans="1:11">
      <c r="A348" s="50">
        <v>43910</v>
      </c>
      <c r="B348" s="50">
        <v>0.33333333333333331</v>
      </c>
      <c r="C348" s="50" t="s">
        <v>91</v>
      </c>
      <c r="E348" s="50">
        <v>834</v>
      </c>
      <c r="F348" s="50">
        <v>168</v>
      </c>
      <c r="G348" s="50">
        <v>35</v>
      </c>
      <c r="J348" s="50">
        <v>22</v>
      </c>
      <c r="K348" s="50" t="s">
        <v>225</v>
      </c>
    </row>
    <row r="349" spans="1:11">
      <c r="A349" s="50">
        <v>43910</v>
      </c>
      <c r="B349" s="50">
        <v>0.33333333333333331</v>
      </c>
      <c r="C349" s="50" t="s">
        <v>102</v>
      </c>
      <c r="E349" s="50">
        <v>48</v>
      </c>
      <c r="F349" s="50">
        <v>1</v>
      </c>
      <c r="G349" s="50">
        <v>0</v>
      </c>
      <c r="I349" s="50">
        <v>5</v>
      </c>
      <c r="J349" s="50">
        <v>0</v>
      </c>
      <c r="K349" s="50" t="s">
        <v>381</v>
      </c>
    </row>
    <row r="350" spans="1:11">
      <c r="A350" s="50">
        <v>43910</v>
      </c>
      <c r="B350" s="50">
        <v>0.40277777777777779</v>
      </c>
      <c r="C350" s="50" t="s">
        <v>68</v>
      </c>
      <c r="E350" s="50">
        <v>92</v>
      </c>
      <c r="K350" s="50" t="s">
        <v>70</v>
      </c>
    </row>
    <row r="351" spans="1:11">
      <c r="A351" s="50">
        <v>43910</v>
      </c>
      <c r="B351" s="50">
        <v>0.41666666666666669</v>
      </c>
      <c r="C351" s="50" t="s">
        <v>50</v>
      </c>
      <c r="E351" s="50">
        <v>270</v>
      </c>
      <c r="F351" s="50">
        <v>45</v>
      </c>
      <c r="I351" s="50">
        <v>46</v>
      </c>
      <c r="J351" s="50">
        <v>4</v>
      </c>
      <c r="K351" s="50" t="s">
        <v>222</v>
      </c>
    </row>
    <row r="352" spans="1:11">
      <c r="A352" s="50">
        <v>43910</v>
      </c>
      <c r="B352" s="50">
        <v>0.5</v>
      </c>
      <c r="C352" s="50" t="s">
        <v>94</v>
      </c>
      <c r="E352" s="50">
        <v>7</v>
      </c>
      <c r="K352" s="50" t="s">
        <v>226</v>
      </c>
    </row>
    <row r="353" spans="1:11">
      <c r="A353" s="50">
        <v>43910</v>
      </c>
      <c r="B353" s="50">
        <v>0.60416666666666663</v>
      </c>
      <c r="C353" s="50" t="s">
        <v>104</v>
      </c>
      <c r="E353" s="50">
        <v>712</v>
      </c>
      <c r="F353" s="50">
        <v>78</v>
      </c>
      <c r="H353" s="50">
        <v>15</v>
      </c>
      <c r="J353" s="50">
        <v>4</v>
      </c>
      <c r="K353" s="50" t="s">
        <v>106</v>
      </c>
    </row>
    <row r="354" spans="1:11">
      <c r="A354" s="50">
        <v>43910</v>
      </c>
      <c r="B354" s="50">
        <v>0.625</v>
      </c>
      <c r="C354" s="50" t="s">
        <v>34</v>
      </c>
      <c r="E354" s="50">
        <v>168</v>
      </c>
      <c r="F354" s="50">
        <v>25</v>
      </c>
      <c r="G354" s="50">
        <v>4</v>
      </c>
      <c r="H354" s="50">
        <v>2</v>
      </c>
      <c r="J354" s="50">
        <v>1</v>
      </c>
      <c r="K354" s="50" t="s">
        <v>220</v>
      </c>
    </row>
    <row r="355" spans="1:11">
      <c r="A355" s="50">
        <v>43910</v>
      </c>
      <c r="B355" s="50">
        <v>0.73402777777777772</v>
      </c>
      <c r="C355" s="50" t="s">
        <v>83</v>
      </c>
      <c r="E355" s="50">
        <v>66</v>
      </c>
      <c r="K355" s="50" t="s">
        <v>224</v>
      </c>
    </row>
    <row r="356" spans="1:11">
      <c r="A356" s="50">
        <v>43911</v>
      </c>
      <c r="C356" s="50" t="s">
        <v>41</v>
      </c>
      <c r="J356" s="50">
        <v>1</v>
      </c>
      <c r="K356" s="50" t="s">
        <v>227</v>
      </c>
    </row>
    <row r="357" spans="1:11">
      <c r="A357" s="50">
        <v>43911</v>
      </c>
      <c r="C357" s="50" t="s">
        <v>44</v>
      </c>
      <c r="E357" s="50">
        <v>418</v>
      </c>
      <c r="J357" s="50">
        <v>3</v>
      </c>
      <c r="K357" s="50" t="s">
        <v>46</v>
      </c>
    </row>
    <row r="358" spans="1:11">
      <c r="A358" s="50">
        <v>43911</v>
      </c>
      <c r="C358" s="50" t="s">
        <v>47</v>
      </c>
      <c r="E358" s="50">
        <v>282</v>
      </c>
      <c r="F358" s="50">
        <v>30</v>
      </c>
      <c r="G358" s="50">
        <v>4</v>
      </c>
      <c r="I358" s="50">
        <v>21</v>
      </c>
      <c r="J358" s="50">
        <v>3</v>
      </c>
      <c r="K358" s="50" t="s">
        <v>228</v>
      </c>
    </row>
    <row r="359" spans="1:11">
      <c r="A359" s="50">
        <v>43911</v>
      </c>
      <c r="C359" s="50" t="s">
        <v>53</v>
      </c>
      <c r="E359" s="50">
        <v>44</v>
      </c>
      <c r="K359" s="50" t="s">
        <v>230</v>
      </c>
    </row>
    <row r="360" spans="1:11">
      <c r="A360" s="50">
        <v>43911</v>
      </c>
      <c r="C360" s="50" t="s">
        <v>56</v>
      </c>
      <c r="E360" s="50">
        <v>167</v>
      </c>
      <c r="F360" s="50">
        <v>28</v>
      </c>
      <c r="G360" s="50">
        <v>6</v>
      </c>
      <c r="J360" s="50">
        <v>2</v>
      </c>
      <c r="K360" s="50" t="s">
        <v>420</v>
      </c>
    </row>
    <row r="361" spans="1:11">
      <c r="A361" s="50">
        <v>43911</v>
      </c>
      <c r="C361" s="50" t="s">
        <v>58</v>
      </c>
      <c r="D361" s="50">
        <v>7009</v>
      </c>
      <c r="E361" s="50">
        <v>1248</v>
      </c>
      <c r="F361" s="50">
        <v>145</v>
      </c>
      <c r="G361" s="50">
        <v>25</v>
      </c>
      <c r="H361" s="50">
        <v>24</v>
      </c>
      <c r="J361" s="50">
        <v>9</v>
      </c>
      <c r="K361" s="50" t="s">
        <v>60</v>
      </c>
    </row>
    <row r="362" spans="1:11">
      <c r="A362" s="50">
        <v>43911</v>
      </c>
      <c r="C362" s="50" t="s">
        <v>61</v>
      </c>
      <c r="E362" s="50">
        <v>25</v>
      </c>
      <c r="F362" s="50">
        <v>0</v>
      </c>
      <c r="J362" s="50">
        <v>0</v>
      </c>
      <c r="K362" s="50" t="s">
        <v>387</v>
      </c>
    </row>
    <row r="363" spans="1:11">
      <c r="A363" s="50">
        <v>43911</v>
      </c>
      <c r="C363" s="50" t="s">
        <v>63</v>
      </c>
      <c r="E363" s="50">
        <v>258</v>
      </c>
      <c r="F363" s="50">
        <v>24</v>
      </c>
      <c r="J363" s="50">
        <v>4</v>
      </c>
      <c r="K363" s="50" t="s">
        <v>65</v>
      </c>
    </row>
    <row r="364" spans="1:11">
      <c r="A364" s="50">
        <v>43911</v>
      </c>
      <c r="C364" s="50" t="s">
        <v>66</v>
      </c>
      <c r="E364" s="50">
        <v>54</v>
      </c>
      <c r="F364" s="50">
        <v>13</v>
      </c>
      <c r="G364" s="50">
        <v>1</v>
      </c>
      <c r="J364" s="50">
        <v>0</v>
      </c>
      <c r="K364" s="50" t="s">
        <v>427</v>
      </c>
    </row>
    <row r="365" spans="1:11">
      <c r="A365" s="50">
        <v>43911</v>
      </c>
      <c r="C365" s="50" t="s">
        <v>71</v>
      </c>
      <c r="E365" s="50">
        <v>200</v>
      </c>
      <c r="F365" s="50">
        <v>20</v>
      </c>
      <c r="J365" s="50">
        <v>4</v>
      </c>
      <c r="K365" s="50" t="s">
        <v>377</v>
      </c>
    </row>
    <row r="366" spans="1:11">
      <c r="A366" s="50">
        <v>43911</v>
      </c>
      <c r="C366" s="50" t="s">
        <v>73</v>
      </c>
      <c r="E366" s="50">
        <v>33</v>
      </c>
      <c r="F366" s="50">
        <v>5</v>
      </c>
      <c r="K366" s="50" t="s">
        <v>357</v>
      </c>
    </row>
    <row r="367" spans="1:11">
      <c r="A367" s="50">
        <v>43911</v>
      </c>
      <c r="C367" s="50" t="s">
        <v>81</v>
      </c>
      <c r="E367" s="50">
        <v>28</v>
      </c>
      <c r="J367" s="50">
        <v>0</v>
      </c>
      <c r="K367" s="50" t="s">
        <v>428</v>
      </c>
    </row>
    <row r="368" spans="1:11">
      <c r="A368" s="50">
        <v>43911</v>
      </c>
      <c r="C368" s="50" t="s">
        <v>88</v>
      </c>
      <c r="E368" s="50">
        <v>57</v>
      </c>
      <c r="K368" s="50" t="s">
        <v>90</v>
      </c>
    </row>
    <row r="369" spans="1:11">
      <c r="A369" s="50">
        <v>43911</v>
      </c>
      <c r="C369" s="50" t="s">
        <v>97</v>
      </c>
      <c r="E369" s="50">
        <v>1875</v>
      </c>
      <c r="F369" s="50">
        <v>210</v>
      </c>
      <c r="G369" s="50">
        <v>24</v>
      </c>
      <c r="J369" s="50">
        <v>22</v>
      </c>
      <c r="K369" s="50" t="s">
        <v>99</v>
      </c>
    </row>
    <row r="370" spans="1:11">
      <c r="A370" s="50">
        <v>43911</v>
      </c>
      <c r="C370" s="50" t="s">
        <v>100</v>
      </c>
      <c r="E370" s="50">
        <v>498</v>
      </c>
      <c r="F370" s="50">
        <v>83</v>
      </c>
      <c r="G370" s="50">
        <v>8</v>
      </c>
      <c r="H370" s="50">
        <v>6</v>
      </c>
      <c r="J370" s="50">
        <v>10</v>
      </c>
      <c r="K370" s="50" t="s">
        <v>430</v>
      </c>
    </row>
    <row r="371" spans="1:11">
      <c r="A371" s="50">
        <v>43911</v>
      </c>
      <c r="B371" s="50">
        <v>0.33333333333333331</v>
      </c>
      <c r="C371" s="50" t="s">
        <v>91</v>
      </c>
      <c r="E371" s="50">
        <v>918</v>
      </c>
      <c r="F371" s="50">
        <v>184</v>
      </c>
      <c r="G371" s="50">
        <v>40</v>
      </c>
      <c r="H371" s="50">
        <v>37</v>
      </c>
      <c r="J371" s="50">
        <v>28</v>
      </c>
      <c r="K371" s="50" t="s">
        <v>232</v>
      </c>
    </row>
    <row r="372" spans="1:11">
      <c r="A372" s="50">
        <v>43911</v>
      </c>
      <c r="B372" s="50">
        <v>0.33333333333333331</v>
      </c>
      <c r="C372" s="50" t="s">
        <v>94</v>
      </c>
      <c r="E372" s="50">
        <v>12</v>
      </c>
      <c r="K372" s="50" t="s">
        <v>226</v>
      </c>
    </row>
    <row r="373" spans="1:11">
      <c r="A373" s="50">
        <v>43911</v>
      </c>
      <c r="B373" s="50">
        <v>0.33333333333333331</v>
      </c>
      <c r="C373" s="50" t="s">
        <v>102</v>
      </c>
      <c r="E373" s="50">
        <v>53</v>
      </c>
      <c r="F373" s="50">
        <v>3</v>
      </c>
      <c r="G373" s="50">
        <v>0</v>
      </c>
      <c r="I373" s="50">
        <v>5</v>
      </c>
      <c r="J373" s="50">
        <v>0</v>
      </c>
      <c r="K373" s="50" t="s">
        <v>381</v>
      </c>
    </row>
    <row r="374" spans="1:11">
      <c r="A374" s="50">
        <v>43911</v>
      </c>
      <c r="B374" s="50">
        <v>0.41666666666666669</v>
      </c>
      <c r="C374" s="50" t="s">
        <v>50</v>
      </c>
      <c r="E374" s="50">
        <v>297</v>
      </c>
      <c r="F374" s="50">
        <v>46</v>
      </c>
      <c r="I374" s="50">
        <v>57</v>
      </c>
      <c r="J374" s="50">
        <v>5</v>
      </c>
      <c r="K374" s="50" t="s">
        <v>229</v>
      </c>
    </row>
    <row r="375" spans="1:11">
      <c r="A375" s="50">
        <v>43911</v>
      </c>
      <c r="B375" s="50">
        <v>0.45833333333333331</v>
      </c>
      <c r="C375" s="50" t="s">
        <v>68</v>
      </c>
      <c r="E375" s="50">
        <v>109</v>
      </c>
      <c r="J375" s="50">
        <v>1</v>
      </c>
      <c r="K375" s="50" t="s">
        <v>231</v>
      </c>
    </row>
    <row r="376" spans="1:11">
      <c r="A376" s="50">
        <v>43911</v>
      </c>
      <c r="B376" s="50">
        <v>0.60416666666666663</v>
      </c>
      <c r="C376" s="50" t="s">
        <v>104</v>
      </c>
      <c r="E376" s="50">
        <v>712</v>
      </c>
      <c r="F376" s="50">
        <v>83</v>
      </c>
      <c r="H376" s="50">
        <v>23</v>
      </c>
      <c r="J376" s="50">
        <v>5</v>
      </c>
      <c r="K376" s="50" t="s">
        <v>106</v>
      </c>
    </row>
    <row r="377" spans="1:11">
      <c r="A377" s="50">
        <v>43912</v>
      </c>
      <c r="C377" s="50" t="s">
        <v>47</v>
      </c>
      <c r="E377" s="50">
        <v>289</v>
      </c>
      <c r="F377" s="50">
        <v>40</v>
      </c>
      <c r="G377" s="50">
        <v>7</v>
      </c>
      <c r="I377" s="50">
        <v>21</v>
      </c>
      <c r="J377" s="50">
        <v>3</v>
      </c>
      <c r="K377" s="50" t="s">
        <v>234</v>
      </c>
    </row>
    <row r="378" spans="1:11">
      <c r="A378" s="50">
        <v>43912</v>
      </c>
      <c r="C378" s="50" t="s">
        <v>53</v>
      </c>
      <c r="E378" s="50">
        <v>46</v>
      </c>
      <c r="K378" s="50" t="s">
        <v>236</v>
      </c>
    </row>
    <row r="379" spans="1:11">
      <c r="A379" s="50">
        <v>43912</v>
      </c>
      <c r="C379" s="50" t="s">
        <v>56</v>
      </c>
      <c r="E379" s="50">
        <v>202</v>
      </c>
      <c r="F379" s="50">
        <v>32</v>
      </c>
      <c r="G379" s="50">
        <v>8</v>
      </c>
      <c r="J379" s="50">
        <v>3</v>
      </c>
      <c r="K379" s="50" t="s">
        <v>420</v>
      </c>
    </row>
    <row r="380" spans="1:11">
      <c r="A380" s="50">
        <v>43912</v>
      </c>
      <c r="C380" s="50" t="s">
        <v>58</v>
      </c>
      <c r="D380" s="50">
        <v>7244</v>
      </c>
      <c r="E380" s="50">
        <v>1391</v>
      </c>
      <c r="F380" s="50">
        <v>179</v>
      </c>
      <c r="G380" s="50">
        <v>36</v>
      </c>
      <c r="H380" s="50">
        <v>36</v>
      </c>
      <c r="J380" s="50">
        <v>10</v>
      </c>
      <c r="K380" s="50" t="s">
        <v>60</v>
      </c>
    </row>
    <row r="381" spans="1:11">
      <c r="A381" s="50">
        <v>43912</v>
      </c>
      <c r="C381" s="50" t="s">
        <v>61</v>
      </c>
      <c r="E381" s="50">
        <v>29</v>
      </c>
      <c r="F381" s="50">
        <v>0</v>
      </c>
      <c r="J381" s="50">
        <v>0</v>
      </c>
      <c r="K381" s="50" t="s">
        <v>387</v>
      </c>
    </row>
    <row r="382" spans="1:11">
      <c r="A382" s="50">
        <v>43912</v>
      </c>
      <c r="C382" s="50" t="s">
        <v>63</v>
      </c>
      <c r="E382" s="50">
        <v>284</v>
      </c>
      <c r="F382" s="50">
        <v>27</v>
      </c>
      <c r="J382" s="50">
        <v>4</v>
      </c>
      <c r="K382" s="50" t="s">
        <v>65</v>
      </c>
    </row>
    <row r="383" spans="1:11">
      <c r="A383" s="50">
        <v>43912</v>
      </c>
      <c r="C383" s="50" t="s">
        <v>66</v>
      </c>
      <c r="E383" s="50">
        <v>61</v>
      </c>
      <c r="F383" s="50">
        <v>18</v>
      </c>
      <c r="G383" s="50">
        <v>2</v>
      </c>
      <c r="J383" s="50">
        <v>0</v>
      </c>
      <c r="K383" s="50" t="s">
        <v>427</v>
      </c>
    </row>
    <row r="384" spans="1:11">
      <c r="A384" s="50">
        <v>43912</v>
      </c>
      <c r="C384" s="50" t="s">
        <v>71</v>
      </c>
      <c r="E384" s="50">
        <v>216</v>
      </c>
      <c r="F384" s="50">
        <v>28</v>
      </c>
      <c r="J384" s="50">
        <v>4</v>
      </c>
      <c r="K384" s="50" t="s">
        <v>377</v>
      </c>
    </row>
    <row r="385" spans="1:11">
      <c r="A385" s="50">
        <v>43912</v>
      </c>
      <c r="C385" s="50" t="s">
        <v>73</v>
      </c>
      <c r="E385" s="50">
        <v>36</v>
      </c>
      <c r="F385" s="50">
        <v>5</v>
      </c>
      <c r="K385" s="50" t="s">
        <v>357</v>
      </c>
    </row>
    <row r="386" spans="1:11">
      <c r="A386" s="50">
        <v>43912</v>
      </c>
      <c r="C386" s="50" t="s">
        <v>81</v>
      </c>
      <c r="E386" s="50">
        <v>30</v>
      </c>
      <c r="J386" s="50">
        <v>0</v>
      </c>
      <c r="K386" s="50" t="s">
        <v>428</v>
      </c>
    </row>
    <row r="387" spans="1:11">
      <c r="A387" s="50">
        <v>43912</v>
      </c>
      <c r="C387" s="50" t="s">
        <v>88</v>
      </c>
      <c r="E387" s="50">
        <v>76</v>
      </c>
      <c r="K387" s="50" t="s">
        <v>90</v>
      </c>
    </row>
    <row r="388" spans="1:11">
      <c r="A388" s="50">
        <v>43912</v>
      </c>
      <c r="C388" s="50" t="s">
        <v>97</v>
      </c>
      <c r="E388" s="50">
        <v>1977</v>
      </c>
      <c r="F388" s="50">
        <v>230</v>
      </c>
      <c r="G388" s="50">
        <v>30</v>
      </c>
      <c r="J388" s="50">
        <v>24</v>
      </c>
      <c r="K388" s="50" t="s">
        <v>99</v>
      </c>
    </row>
    <row r="389" spans="1:11">
      <c r="A389" s="50">
        <v>43912</v>
      </c>
      <c r="C389" s="50" t="s">
        <v>100</v>
      </c>
      <c r="E389" s="50">
        <v>535</v>
      </c>
      <c r="F389" s="50">
        <v>92</v>
      </c>
      <c r="G389" s="50">
        <v>11</v>
      </c>
      <c r="H389" s="50">
        <v>7</v>
      </c>
      <c r="J389" s="50">
        <v>11</v>
      </c>
      <c r="K389" s="50" t="s">
        <v>430</v>
      </c>
    </row>
    <row r="390" spans="1:11">
      <c r="A390" s="50">
        <v>43912</v>
      </c>
      <c r="B390" s="50">
        <v>0.33333333333333331</v>
      </c>
      <c r="C390" s="50" t="s">
        <v>91</v>
      </c>
      <c r="E390" s="50">
        <v>939</v>
      </c>
      <c r="F390" s="50">
        <v>246</v>
      </c>
      <c r="G390" s="50">
        <v>46</v>
      </c>
      <c r="H390" s="50">
        <v>43</v>
      </c>
      <c r="J390" s="50">
        <v>37</v>
      </c>
      <c r="K390" s="50" t="s">
        <v>237</v>
      </c>
    </row>
    <row r="391" spans="1:11">
      <c r="A391" s="50">
        <v>43912</v>
      </c>
      <c r="B391" s="50">
        <v>0.33333333333333331</v>
      </c>
      <c r="C391" s="50" t="s">
        <v>102</v>
      </c>
      <c r="E391" s="50">
        <v>53</v>
      </c>
      <c r="F391" s="50">
        <v>3</v>
      </c>
      <c r="G391" s="50">
        <v>0</v>
      </c>
      <c r="I391" s="50">
        <v>5</v>
      </c>
      <c r="J391" s="50">
        <v>0</v>
      </c>
      <c r="K391" s="50" t="s">
        <v>381</v>
      </c>
    </row>
    <row r="392" spans="1:11">
      <c r="A392" s="50">
        <v>43912</v>
      </c>
      <c r="B392" s="50">
        <v>0.4375</v>
      </c>
      <c r="C392" s="50" t="s">
        <v>50</v>
      </c>
      <c r="E392" s="50">
        <v>356</v>
      </c>
      <c r="F392" s="50">
        <v>50</v>
      </c>
      <c r="I392" s="50">
        <v>73</v>
      </c>
      <c r="J392" s="50">
        <v>5</v>
      </c>
      <c r="K392" s="50" t="s">
        <v>235</v>
      </c>
    </row>
    <row r="393" spans="1:11">
      <c r="A393" s="50">
        <v>43912</v>
      </c>
      <c r="B393" s="50">
        <v>0.45833333333333331</v>
      </c>
      <c r="C393" s="50" t="s">
        <v>68</v>
      </c>
      <c r="E393" s="50">
        <v>131</v>
      </c>
      <c r="J393" s="50">
        <v>1</v>
      </c>
      <c r="K393" s="50" t="s">
        <v>70</v>
      </c>
    </row>
    <row r="394" spans="1:11">
      <c r="A394" s="50">
        <v>43912</v>
      </c>
      <c r="B394" s="50">
        <v>0.5</v>
      </c>
      <c r="C394" s="50" t="s">
        <v>34</v>
      </c>
      <c r="E394" s="50">
        <v>232</v>
      </c>
      <c r="J394" s="50">
        <v>1</v>
      </c>
      <c r="K394" s="50" t="s">
        <v>233</v>
      </c>
    </row>
    <row r="395" spans="1:11">
      <c r="A395" s="50">
        <v>43912</v>
      </c>
      <c r="B395" s="50">
        <v>0.60416666666666663</v>
      </c>
      <c r="C395" s="50" t="s">
        <v>104</v>
      </c>
      <c r="E395" s="50">
        <v>712</v>
      </c>
      <c r="F395" s="50">
        <v>110</v>
      </c>
      <c r="H395" s="50">
        <v>22</v>
      </c>
      <c r="J395" s="50">
        <v>6</v>
      </c>
      <c r="K395" s="50" t="s">
        <v>106</v>
      </c>
    </row>
    <row r="396" spans="1:11">
      <c r="A396" s="50">
        <v>43913</v>
      </c>
      <c r="C396" s="50" t="s">
        <v>44</v>
      </c>
      <c r="E396" s="50">
        <v>470</v>
      </c>
      <c r="J396" s="50">
        <v>5</v>
      </c>
      <c r="K396" s="50" t="s">
        <v>46</v>
      </c>
    </row>
    <row r="397" spans="1:11">
      <c r="A397" s="50">
        <v>43913</v>
      </c>
      <c r="C397" s="50" t="s">
        <v>47</v>
      </c>
      <c r="E397" s="50">
        <v>302</v>
      </c>
      <c r="F397" s="50">
        <v>51</v>
      </c>
      <c r="G397" s="50">
        <v>10</v>
      </c>
      <c r="I397" s="50">
        <v>35</v>
      </c>
      <c r="J397" s="50">
        <v>3</v>
      </c>
      <c r="K397" s="50" t="s">
        <v>239</v>
      </c>
    </row>
    <row r="398" spans="1:11">
      <c r="A398" s="50">
        <v>43913</v>
      </c>
      <c r="C398" s="50" t="s">
        <v>56</v>
      </c>
      <c r="E398" s="50">
        <v>226</v>
      </c>
      <c r="F398" s="50">
        <v>35</v>
      </c>
      <c r="G398" s="50">
        <v>7</v>
      </c>
      <c r="J398" s="50">
        <v>4</v>
      </c>
      <c r="K398" s="50" t="s">
        <v>420</v>
      </c>
    </row>
    <row r="399" spans="1:11">
      <c r="A399" s="50">
        <v>43913</v>
      </c>
      <c r="C399" s="50" t="s">
        <v>58</v>
      </c>
      <c r="D399" s="50">
        <v>7622</v>
      </c>
      <c r="E399" s="50">
        <v>1536</v>
      </c>
      <c r="F399" s="50">
        <v>214</v>
      </c>
      <c r="G399" s="50">
        <v>43</v>
      </c>
      <c r="H399" s="50">
        <v>41</v>
      </c>
      <c r="J399" s="50">
        <v>16</v>
      </c>
      <c r="K399" s="50" t="s">
        <v>60</v>
      </c>
    </row>
    <row r="400" spans="1:11">
      <c r="A400" s="50">
        <v>43913</v>
      </c>
      <c r="C400" s="50" t="s">
        <v>61</v>
      </c>
      <c r="E400" s="50">
        <v>31</v>
      </c>
      <c r="F400" s="50">
        <v>3</v>
      </c>
      <c r="J400" s="50">
        <v>0</v>
      </c>
      <c r="K400" s="50" t="s">
        <v>387</v>
      </c>
    </row>
    <row r="401" spans="1:11">
      <c r="A401" s="50">
        <v>43913</v>
      </c>
      <c r="C401" s="50" t="s">
        <v>63</v>
      </c>
      <c r="E401" s="50">
        <v>300</v>
      </c>
      <c r="F401" s="50">
        <v>29</v>
      </c>
      <c r="J401" s="50">
        <v>5</v>
      </c>
      <c r="K401" s="50" t="s">
        <v>65</v>
      </c>
    </row>
    <row r="402" spans="1:11">
      <c r="A402" s="50">
        <v>43913</v>
      </c>
      <c r="C402" s="50" t="s">
        <v>66</v>
      </c>
      <c r="E402" s="50">
        <v>69</v>
      </c>
      <c r="F402" s="50">
        <v>18</v>
      </c>
      <c r="G402" s="50">
        <v>3</v>
      </c>
      <c r="J402" s="50">
        <v>0</v>
      </c>
      <c r="K402" s="50" t="s">
        <v>427</v>
      </c>
    </row>
    <row r="403" spans="1:11">
      <c r="A403" s="50">
        <v>43913</v>
      </c>
      <c r="C403" s="50" t="s">
        <v>71</v>
      </c>
      <c r="E403" s="50">
        <v>247</v>
      </c>
      <c r="F403" s="50">
        <v>33</v>
      </c>
      <c r="G403" s="50">
        <v>11</v>
      </c>
      <c r="H403" s="50">
        <v>6</v>
      </c>
      <c r="J403" s="50">
        <v>5</v>
      </c>
      <c r="K403" s="50" t="s">
        <v>377</v>
      </c>
    </row>
    <row r="404" spans="1:11">
      <c r="A404" s="50">
        <v>43913</v>
      </c>
      <c r="C404" s="50" t="s">
        <v>73</v>
      </c>
      <c r="E404" s="50">
        <v>39</v>
      </c>
      <c r="F404" s="50">
        <v>5</v>
      </c>
      <c r="K404" s="50" t="s">
        <v>357</v>
      </c>
    </row>
    <row r="405" spans="1:11">
      <c r="A405" s="50">
        <v>43913</v>
      </c>
      <c r="C405" s="50" t="s">
        <v>75</v>
      </c>
      <c r="E405" s="50">
        <v>25</v>
      </c>
      <c r="K405" s="50" t="s">
        <v>77</v>
      </c>
    </row>
    <row r="406" spans="1:11">
      <c r="A406" s="50">
        <v>43913</v>
      </c>
      <c r="C406" s="50" t="s">
        <v>78</v>
      </c>
      <c r="E406" s="50">
        <v>228</v>
      </c>
      <c r="J406" s="50">
        <v>1</v>
      </c>
      <c r="K406" s="50" t="s">
        <v>80</v>
      </c>
    </row>
    <row r="407" spans="1:11">
      <c r="A407" s="50">
        <v>43913</v>
      </c>
      <c r="C407" s="50" t="s">
        <v>81</v>
      </c>
      <c r="E407" s="50">
        <v>32</v>
      </c>
      <c r="J407" s="50">
        <v>0</v>
      </c>
      <c r="K407" s="50" t="s">
        <v>428</v>
      </c>
    </row>
    <row r="408" spans="1:11">
      <c r="A408" s="50">
        <v>43913</v>
      </c>
      <c r="C408" s="50" t="s">
        <v>88</v>
      </c>
      <c r="E408" s="50">
        <v>82</v>
      </c>
      <c r="K408" s="50" t="s">
        <v>90</v>
      </c>
    </row>
    <row r="409" spans="1:11">
      <c r="A409" s="50">
        <v>43913</v>
      </c>
      <c r="C409" s="50" t="s">
        <v>94</v>
      </c>
      <c r="E409" s="50">
        <v>22</v>
      </c>
      <c r="F409" s="50">
        <v>1</v>
      </c>
      <c r="I409" s="50">
        <v>1</v>
      </c>
      <c r="K409" s="50" t="s">
        <v>226</v>
      </c>
    </row>
    <row r="410" spans="1:11">
      <c r="A410" s="50">
        <v>43913</v>
      </c>
      <c r="C410" s="50" t="s">
        <v>97</v>
      </c>
      <c r="E410" s="50">
        <v>2283</v>
      </c>
      <c r="F410" s="50">
        <v>248</v>
      </c>
      <c r="G410" s="50">
        <v>39</v>
      </c>
      <c r="J410" s="50">
        <v>28</v>
      </c>
      <c r="K410" s="50" t="s">
        <v>99</v>
      </c>
    </row>
    <row r="411" spans="1:11">
      <c r="A411" s="50">
        <v>43913</v>
      </c>
      <c r="C411" s="50" t="s">
        <v>100</v>
      </c>
      <c r="E411" s="50">
        <v>628</v>
      </c>
      <c r="F411" s="50">
        <v>104</v>
      </c>
      <c r="G411" s="50">
        <v>12</v>
      </c>
      <c r="H411" s="50">
        <v>9</v>
      </c>
      <c r="J411" s="50">
        <v>13</v>
      </c>
      <c r="K411" s="50" t="s">
        <v>430</v>
      </c>
    </row>
    <row r="412" spans="1:11">
      <c r="A412" s="50">
        <v>43913</v>
      </c>
      <c r="B412" s="50">
        <v>0.33333333333333331</v>
      </c>
      <c r="C412" s="50" t="s">
        <v>91</v>
      </c>
      <c r="E412" s="50">
        <v>1165</v>
      </c>
      <c r="F412" s="50">
        <v>261</v>
      </c>
      <c r="G412" s="50">
        <v>45</v>
      </c>
      <c r="H412" s="50">
        <v>43</v>
      </c>
      <c r="J412" s="50">
        <v>48</v>
      </c>
      <c r="K412" s="50" t="s">
        <v>242</v>
      </c>
    </row>
    <row r="413" spans="1:11">
      <c r="A413" s="50">
        <v>43913</v>
      </c>
      <c r="B413" s="50">
        <v>0.33333333333333331</v>
      </c>
      <c r="C413" s="50" t="s">
        <v>102</v>
      </c>
      <c r="E413" s="50">
        <v>53</v>
      </c>
      <c r="F413" s="50">
        <v>3</v>
      </c>
      <c r="G413" s="50">
        <v>0</v>
      </c>
      <c r="I413" s="50">
        <v>5</v>
      </c>
      <c r="J413" s="50">
        <v>0</v>
      </c>
      <c r="K413" s="50" t="s">
        <v>381</v>
      </c>
    </row>
    <row r="414" spans="1:11">
      <c r="A414" s="50">
        <v>43913</v>
      </c>
      <c r="B414" s="50">
        <v>0.41666666666666669</v>
      </c>
      <c r="C414" s="50" t="s">
        <v>41</v>
      </c>
      <c r="E414" s="50">
        <v>30</v>
      </c>
      <c r="F414" s="50">
        <v>7</v>
      </c>
      <c r="J414" s="50">
        <v>1</v>
      </c>
      <c r="K414" s="50" t="s">
        <v>43</v>
      </c>
    </row>
    <row r="415" spans="1:11">
      <c r="A415" s="50">
        <v>43913</v>
      </c>
      <c r="B415" s="50">
        <v>0.41666666666666669</v>
      </c>
      <c r="C415" s="50" t="s">
        <v>50</v>
      </c>
      <c r="E415" s="50">
        <v>374</v>
      </c>
      <c r="F415" s="50">
        <v>56</v>
      </c>
      <c r="I415" s="50">
        <v>78</v>
      </c>
      <c r="J415" s="50">
        <v>5</v>
      </c>
      <c r="K415" s="50" t="s">
        <v>240</v>
      </c>
    </row>
    <row r="416" spans="1:11">
      <c r="A416" s="50">
        <v>43913</v>
      </c>
      <c r="B416" s="50">
        <v>0.45833333333333331</v>
      </c>
      <c r="C416" s="50" t="s">
        <v>68</v>
      </c>
      <c r="E416" s="50">
        <v>156</v>
      </c>
      <c r="J416" s="50">
        <v>1</v>
      </c>
      <c r="K416" s="50" t="s">
        <v>70</v>
      </c>
    </row>
    <row r="417" spans="1:11">
      <c r="A417" s="50">
        <v>43913</v>
      </c>
      <c r="B417" s="50">
        <v>0.5</v>
      </c>
      <c r="C417" s="50" t="s">
        <v>83</v>
      </c>
      <c r="E417" s="50">
        <v>95</v>
      </c>
      <c r="J417" s="50">
        <v>1</v>
      </c>
      <c r="K417" s="50" t="s">
        <v>85</v>
      </c>
    </row>
    <row r="418" spans="1:11">
      <c r="A418" s="50">
        <v>43913</v>
      </c>
      <c r="B418" s="50">
        <v>0.60416666666666663</v>
      </c>
      <c r="C418" s="50" t="s">
        <v>104</v>
      </c>
      <c r="E418" s="50">
        <v>1076</v>
      </c>
      <c r="F418" s="50">
        <v>127</v>
      </c>
      <c r="H418" s="50">
        <v>27</v>
      </c>
      <c r="J418" s="50">
        <v>6</v>
      </c>
      <c r="K418" s="50" t="s">
        <v>106</v>
      </c>
    </row>
    <row r="419" spans="1:11">
      <c r="A419" s="50">
        <v>43913</v>
      </c>
      <c r="B419" s="50">
        <v>0.625</v>
      </c>
      <c r="C419" s="50" t="s">
        <v>34</v>
      </c>
      <c r="E419" s="50">
        <v>241</v>
      </c>
      <c r="F419" s="50">
        <v>10</v>
      </c>
      <c r="G419" s="50">
        <v>3</v>
      </c>
      <c r="H419" s="50">
        <v>2</v>
      </c>
      <c r="J419" s="50">
        <v>1</v>
      </c>
      <c r="K419" s="50" t="s">
        <v>238</v>
      </c>
    </row>
    <row r="420" spans="1:11">
      <c r="A420" s="50">
        <v>43913</v>
      </c>
      <c r="B420" s="50">
        <v>0.75</v>
      </c>
      <c r="C420" s="50" t="s">
        <v>53</v>
      </c>
      <c r="E420" s="50">
        <v>51</v>
      </c>
      <c r="K420" s="50" t="s">
        <v>241</v>
      </c>
    </row>
    <row r="421" spans="1:11">
      <c r="A421" s="50">
        <v>43914</v>
      </c>
      <c r="C421" s="50" t="s">
        <v>44</v>
      </c>
      <c r="E421" s="50">
        <v>532</v>
      </c>
      <c r="J421" s="50">
        <v>6</v>
      </c>
      <c r="K421" s="50" t="s">
        <v>46</v>
      </c>
    </row>
    <row r="422" spans="1:11">
      <c r="A422" s="50">
        <v>43914</v>
      </c>
      <c r="C422" s="50" t="s">
        <v>47</v>
      </c>
      <c r="E422" s="50">
        <v>306</v>
      </c>
      <c r="F422" s="50">
        <v>66</v>
      </c>
      <c r="G422" s="50">
        <v>11</v>
      </c>
      <c r="I422" s="50">
        <v>40</v>
      </c>
      <c r="J422" s="50">
        <v>4</v>
      </c>
      <c r="K422" s="50" t="s">
        <v>49</v>
      </c>
    </row>
    <row r="423" spans="1:11">
      <c r="A423" s="50">
        <v>43914</v>
      </c>
      <c r="C423" s="50" t="s">
        <v>53</v>
      </c>
      <c r="E423" s="50">
        <v>51</v>
      </c>
      <c r="K423" s="50" t="s">
        <v>245</v>
      </c>
    </row>
    <row r="424" spans="1:11">
      <c r="A424" s="50">
        <v>43914</v>
      </c>
      <c r="C424" s="50" t="s">
        <v>56</v>
      </c>
      <c r="E424" s="50">
        <v>255</v>
      </c>
      <c r="F424" s="50">
        <v>35</v>
      </c>
      <c r="G424" s="50">
        <v>7</v>
      </c>
      <c r="J424" s="50">
        <v>5</v>
      </c>
      <c r="K424" s="50" t="s">
        <v>420</v>
      </c>
    </row>
    <row r="425" spans="1:11">
      <c r="A425" s="50">
        <v>43914</v>
      </c>
      <c r="C425" s="50" t="s">
        <v>58</v>
      </c>
      <c r="D425" s="50">
        <v>7965</v>
      </c>
      <c r="E425" s="50">
        <v>1636</v>
      </c>
      <c r="F425" s="50">
        <v>238</v>
      </c>
      <c r="G425" s="50">
        <v>41</v>
      </c>
      <c r="H425" s="50">
        <v>41</v>
      </c>
      <c r="I425" s="50">
        <v>103</v>
      </c>
      <c r="J425" s="50">
        <v>17</v>
      </c>
      <c r="K425" s="50" t="s">
        <v>60</v>
      </c>
    </row>
    <row r="426" spans="1:11">
      <c r="A426" s="50">
        <v>43914</v>
      </c>
      <c r="C426" s="50" t="s">
        <v>61</v>
      </c>
      <c r="E426" s="50">
        <v>33</v>
      </c>
      <c r="F426" s="50">
        <v>3</v>
      </c>
      <c r="J426" s="50">
        <v>0</v>
      </c>
      <c r="K426" s="50" t="s">
        <v>387</v>
      </c>
    </row>
    <row r="427" spans="1:11">
      <c r="A427" s="50">
        <v>43914</v>
      </c>
      <c r="C427" s="50" t="s">
        <v>63</v>
      </c>
      <c r="E427" s="50">
        <v>343</v>
      </c>
      <c r="F427" s="50">
        <v>43</v>
      </c>
      <c r="J427" s="50">
        <v>6</v>
      </c>
      <c r="K427" s="50" t="s">
        <v>65</v>
      </c>
    </row>
    <row r="428" spans="1:11">
      <c r="A428" s="50">
        <v>43914</v>
      </c>
      <c r="C428" s="50" t="s">
        <v>66</v>
      </c>
      <c r="E428" s="50">
        <v>82</v>
      </c>
      <c r="F428" s="50">
        <v>22</v>
      </c>
      <c r="G428" s="50">
        <v>4</v>
      </c>
      <c r="J428" s="50">
        <v>0</v>
      </c>
      <c r="K428" s="50" t="s">
        <v>427</v>
      </c>
    </row>
    <row r="429" spans="1:11">
      <c r="A429" s="50">
        <v>43914</v>
      </c>
      <c r="C429" s="50" t="s">
        <v>71</v>
      </c>
      <c r="E429" s="50">
        <v>265</v>
      </c>
      <c r="F429" s="50">
        <v>32</v>
      </c>
      <c r="G429" s="50">
        <v>8</v>
      </c>
      <c r="H429" s="50">
        <v>6</v>
      </c>
      <c r="J429" s="50">
        <v>6</v>
      </c>
      <c r="K429" s="50" t="s">
        <v>377</v>
      </c>
    </row>
    <row r="430" spans="1:11">
      <c r="A430" s="50">
        <v>43914</v>
      </c>
      <c r="C430" s="50" t="s">
        <v>73</v>
      </c>
      <c r="E430" s="50">
        <v>42</v>
      </c>
      <c r="F430" s="50">
        <v>4</v>
      </c>
      <c r="K430" s="50" t="s">
        <v>357</v>
      </c>
    </row>
    <row r="431" spans="1:11">
      <c r="A431" s="50">
        <v>43914</v>
      </c>
      <c r="C431" s="50" t="s">
        <v>75</v>
      </c>
      <c r="E431" s="50">
        <v>25</v>
      </c>
      <c r="K431" s="50" t="s">
        <v>77</v>
      </c>
    </row>
    <row r="432" spans="1:11">
      <c r="A432" s="50">
        <v>43914</v>
      </c>
      <c r="C432" s="50" t="s">
        <v>81</v>
      </c>
      <c r="E432" s="50">
        <v>34</v>
      </c>
      <c r="J432" s="50">
        <v>0</v>
      </c>
      <c r="K432" s="50" t="s">
        <v>428</v>
      </c>
    </row>
    <row r="433" spans="1:11">
      <c r="A433" s="50">
        <v>43914</v>
      </c>
      <c r="C433" s="50" t="s">
        <v>86</v>
      </c>
      <c r="E433" s="50">
        <v>97</v>
      </c>
      <c r="I433" s="50">
        <v>10</v>
      </c>
      <c r="J433" s="50">
        <v>0</v>
      </c>
      <c r="K433" s="50" t="s">
        <v>398</v>
      </c>
    </row>
    <row r="434" spans="1:11">
      <c r="A434" s="50">
        <v>43914</v>
      </c>
      <c r="C434" s="50" t="s">
        <v>88</v>
      </c>
      <c r="E434" s="50">
        <v>88</v>
      </c>
      <c r="J434" s="50">
        <v>1</v>
      </c>
      <c r="K434" s="50" t="s">
        <v>246</v>
      </c>
    </row>
    <row r="435" spans="1:11">
      <c r="A435" s="50">
        <v>43914</v>
      </c>
      <c r="C435" s="50" t="s">
        <v>97</v>
      </c>
      <c r="E435" s="50">
        <v>2548</v>
      </c>
      <c r="F435" s="50">
        <v>284</v>
      </c>
      <c r="G435" s="50">
        <v>40</v>
      </c>
      <c r="J435" s="50">
        <v>32</v>
      </c>
      <c r="K435" s="50" t="s">
        <v>99</v>
      </c>
    </row>
    <row r="436" spans="1:11">
      <c r="A436" s="50">
        <v>43914</v>
      </c>
      <c r="C436" s="50" t="s">
        <v>100</v>
      </c>
      <c r="E436" s="50">
        <v>728</v>
      </c>
      <c r="F436" s="50">
        <v>117</v>
      </c>
      <c r="G436" s="50">
        <v>13</v>
      </c>
      <c r="H436" s="50">
        <v>12</v>
      </c>
      <c r="J436" s="50">
        <v>14</v>
      </c>
      <c r="K436" s="50" t="s">
        <v>430</v>
      </c>
    </row>
    <row r="437" spans="1:11">
      <c r="A437" s="50">
        <v>43914</v>
      </c>
      <c r="B437" s="50">
        <v>0</v>
      </c>
      <c r="C437" s="50" t="s">
        <v>83</v>
      </c>
      <c r="E437" s="50">
        <v>104</v>
      </c>
      <c r="J437" s="50">
        <v>1</v>
      </c>
      <c r="K437" s="50" t="s">
        <v>85</v>
      </c>
    </row>
    <row r="438" spans="1:11">
      <c r="A438" s="50">
        <v>43914</v>
      </c>
      <c r="B438" s="50">
        <v>0.33333333333333331</v>
      </c>
      <c r="C438" s="50" t="s">
        <v>91</v>
      </c>
      <c r="E438" s="50">
        <v>1211</v>
      </c>
      <c r="F438" s="50">
        <v>285</v>
      </c>
      <c r="G438" s="50">
        <v>50</v>
      </c>
      <c r="H438" s="50">
        <v>48</v>
      </c>
      <c r="J438" s="50">
        <v>53</v>
      </c>
      <c r="K438" s="50" t="s">
        <v>247</v>
      </c>
    </row>
    <row r="439" spans="1:11">
      <c r="A439" s="50">
        <v>43914</v>
      </c>
      <c r="B439" s="50">
        <v>0.33333333333333331</v>
      </c>
      <c r="C439" s="50" t="s">
        <v>102</v>
      </c>
      <c r="E439" s="50">
        <v>72</v>
      </c>
      <c r="F439" s="50">
        <v>6</v>
      </c>
      <c r="G439" s="50">
        <v>0</v>
      </c>
      <c r="I439" s="50">
        <v>12</v>
      </c>
      <c r="J439" s="50">
        <v>0</v>
      </c>
      <c r="K439" s="50" t="s">
        <v>381</v>
      </c>
    </row>
    <row r="440" spans="1:11">
      <c r="A440" s="50">
        <v>43914</v>
      </c>
      <c r="B440" s="50">
        <v>0.375</v>
      </c>
      <c r="C440" s="50" t="s">
        <v>50</v>
      </c>
      <c r="E440" s="50">
        <v>410</v>
      </c>
      <c r="F440" s="50">
        <v>58</v>
      </c>
      <c r="I440" s="50">
        <v>105</v>
      </c>
      <c r="J440" s="50">
        <v>5</v>
      </c>
      <c r="K440" s="50" t="s">
        <v>244</v>
      </c>
    </row>
    <row r="441" spans="1:11">
      <c r="A441" s="50">
        <v>43914</v>
      </c>
      <c r="B441" s="50">
        <v>0.41666666666666669</v>
      </c>
      <c r="C441" s="50" t="s">
        <v>41</v>
      </c>
      <c r="E441" s="50">
        <v>33</v>
      </c>
      <c r="F441" s="50">
        <v>6</v>
      </c>
      <c r="J441" s="50">
        <v>2</v>
      </c>
      <c r="K441" s="50" t="s">
        <v>43</v>
      </c>
    </row>
    <row r="442" spans="1:11">
      <c r="A442" s="50">
        <v>43914</v>
      </c>
      <c r="B442" s="50">
        <v>0.45833333333333331</v>
      </c>
      <c r="C442" s="50" t="s">
        <v>68</v>
      </c>
      <c r="E442" s="50">
        <v>205</v>
      </c>
      <c r="J442" s="50">
        <v>2</v>
      </c>
      <c r="K442" s="50" t="s">
        <v>70</v>
      </c>
    </row>
    <row r="443" spans="1:11">
      <c r="A443" s="50">
        <v>43914</v>
      </c>
      <c r="B443" s="50">
        <v>0.5</v>
      </c>
      <c r="C443" s="50" t="s">
        <v>94</v>
      </c>
      <c r="E443" s="50">
        <v>25</v>
      </c>
      <c r="F443" s="50">
        <v>1</v>
      </c>
      <c r="I443" s="50">
        <v>1</v>
      </c>
      <c r="K443" s="50" t="s">
        <v>226</v>
      </c>
    </row>
    <row r="444" spans="1:11">
      <c r="A444" s="50">
        <v>43914</v>
      </c>
      <c r="B444" s="50">
        <v>0.60416666666666663</v>
      </c>
      <c r="C444" s="50" t="s">
        <v>104</v>
      </c>
      <c r="E444" s="50">
        <v>1224</v>
      </c>
      <c r="F444" s="50">
        <v>138</v>
      </c>
      <c r="H444" s="50">
        <v>26</v>
      </c>
      <c r="J444" s="50">
        <v>8</v>
      </c>
      <c r="K444" s="50" t="s">
        <v>106</v>
      </c>
    </row>
    <row r="445" spans="1:11">
      <c r="A445" s="50">
        <v>43914</v>
      </c>
      <c r="B445" s="50">
        <v>0.625</v>
      </c>
      <c r="C445" s="50" t="s">
        <v>34</v>
      </c>
      <c r="E445" s="50">
        <v>266</v>
      </c>
      <c r="F445" s="50">
        <v>24</v>
      </c>
      <c r="G445" s="50">
        <v>2</v>
      </c>
      <c r="H445" s="50">
        <v>2</v>
      </c>
      <c r="J445" s="50">
        <v>2</v>
      </c>
      <c r="K445" s="50" t="s">
        <v>243</v>
      </c>
    </row>
    <row r="446" spans="1:11">
      <c r="A446" s="50">
        <v>43914</v>
      </c>
      <c r="B446" s="50">
        <v>0.70833333333333337</v>
      </c>
      <c r="C446" s="50" t="s">
        <v>38</v>
      </c>
      <c r="E446" s="50">
        <v>8</v>
      </c>
      <c r="K446" s="50" t="s">
        <v>40</v>
      </c>
    </row>
    <row r="447" spans="1:11">
      <c r="A447" s="50">
        <v>43915</v>
      </c>
      <c r="C447" s="50" t="s">
        <v>44</v>
      </c>
      <c r="E447" s="50">
        <v>624</v>
      </c>
      <c r="J447" s="50">
        <v>6</v>
      </c>
      <c r="K447" s="50" t="s">
        <v>46</v>
      </c>
    </row>
    <row r="448" spans="1:11">
      <c r="A448" s="50">
        <v>43915</v>
      </c>
      <c r="C448" s="50" t="s">
        <v>47</v>
      </c>
      <c r="E448" s="50">
        <v>341</v>
      </c>
      <c r="F448" s="50">
        <v>68</v>
      </c>
      <c r="G448" s="50">
        <v>8</v>
      </c>
      <c r="I448" s="50">
        <v>46</v>
      </c>
      <c r="J448" s="50">
        <v>5</v>
      </c>
      <c r="K448" s="50" t="s">
        <v>49</v>
      </c>
    </row>
    <row r="449" spans="1:11">
      <c r="A449" s="50">
        <v>43915</v>
      </c>
      <c r="C449" s="50" t="s">
        <v>53</v>
      </c>
      <c r="E449" s="50">
        <v>53</v>
      </c>
      <c r="K449" s="50" t="s">
        <v>250</v>
      </c>
    </row>
    <row r="450" spans="1:11">
      <c r="A450" s="50">
        <v>43915</v>
      </c>
      <c r="C450" s="50" t="s">
        <v>56</v>
      </c>
      <c r="E450" s="50">
        <v>293</v>
      </c>
      <c r="F450" s="50">
        <v>39</v>
      </c>
      <c r="G450" s="50">
        <v>7</v>
      </c>
      <c r="J450" s="50">
        <v>6</v>
      </c>
      <c r="K450" s="50" t="s">
        <v>420</v>
      </c>
    </row>
    <row r="451" spans="1:11">
      <c r="A451" s="50">
        <v>43915</v>
      </c>
      <c r="C451" s="50" t="s">
        <v>58</v>
      </c>
      <c r="D451" s="50">
        <v>8370</v>
      </c>
      <c r="E451" s="50">
        <v>1757</v>
      </c>
      <c r="F451" s="50">
        <v>258</v>
      </c>
      <c r="G451" s="50">
        <v>50</v>
      </c>
      <c r="H451" s="50">
        <v>48</v>
      </c>
      <c r="I451" s="50">
        <v>122</v>
      </c>
      <c r="J451" s="50">
        <v>24</v>
      </c>
      <c r="K451" s="50" t="s">
        <v>60</v>
      </c>
    </row>
    <row r="452" spans="1:11">
      <c r="A452" s="50">
        <v>43915</v>
      </c>
      <c r="C452" s="50" t="s">
        <v>61</v>
      </c>
      <c r="E452" s="50">
        <v>40</v>
      </c>
      <c r="F452" s="50">
        <v>2</v>
      </c>
      <c r="J452" s="50">
        <v>0</v>
      </c>
      <c r="K452" s="50" t="s">
        <v>387</v>
      </c>
    </row>
    <row r="453" spans="1:11">
      <c r="A453" s="50">
        <v>43915</v>
      </c>
      <c r="C453" s="50" t="s">
        <v>63</v>
      </c>
      <c r="E453" s="50">
        <v>393</v>
      </c>
      <c r="F453" s="50">
        <v>45</v>
      </c>
      <c r="J453" s="50">
        <v>8</v>
      </c>
      <c r="K453" s="50" t="s">
        <v>65</v>
      </c>
    </row>
    <row r="454" spans="1:11">
      <c r="A454" s="50">
        <v>43915</v>
      </c>
      <c r="C454" s="50" t="s">
        <v>66</v>
      </c>
      <c r="E454" s="50">
        <v>92</v>
      </c>
      <c r="F454" s="50">
        <v>23</v>
      </c>
      <c r="G454" s="50">
        <v>4</v>
      </c>
      <c r="J454" s="50">
        <v>0</v>
      </c>
      <c r="K454" s="50" t="s">
        <v>427</v>
      </c>
    </row>
    <row r="455" spans="1:11">
      <c r="A455" s="50">
        <v>43915</v>
      </c>
      <c r="C455" s="50" t="s">
        <v>71</v>
      </c>
      <c r="E455" s="50">
        <v>280</v>
      </c>
      <c r="F455" s="50">
        <v>41</v>
      </c>
      <c r="G455" s="50">
        <v>10</v>
      </c>
      <c r="H455" s="50">
        <v>7</v>
      </c>
      <c r="J455" s="50">
        <v>9</v>
      </c>
      <c r="K455" s="50" t="s">
        <v>377</v>
      </c>
    </row>
    <row r="456" spans="1:11">
      <c r="A456" s="50">
        <v>43915</v>
      </c>
      <c r="C456" s="50" t="s">
        <v>73</v>
      </c>
      <c r="E456" s="50">
        <v>44</v>
      </c>
      <c r="F456" s="50">
        <v>3</v>
      </c>
      <c r="K456" s="50" t="s">
        <v>357</v>
      </c>
    </row>
    <row r="457" spans="1:11">
      <c r="A457" s="50">
        <v>43915</v>
      </c>
      <c r="C457" s="50" t="s">
        <v>75</v>
      </c>
      <c r="E457" s="50">
        <v>27</v>
      </c>
      <c r="K457" s="50" t="s">
        <v>77</v>
      </c>
    </row>
    <row r="458" spans="1:11">
      <c r="A458" s="50">
        <v>43915</v>
      </c>
      <c r="C458" s="50" t="s">
        <v>78</v>
      </c>
      <c r="E458" s="50">
        <v>228</v>
      </c>
      <c r="J458" s="50">
        <v>1</v>
      </c>
      <c r="K458" s="50" t="s">
        <v>80</v>
      </c>
    </row>
    <row r="459" spans="1:11">
      <c r="A459" s="50">
        <v>43915</v>
      </c>
      <c r="C459" s="50" t="s">
        <v>81</v>
      </c>
      <c r="E459" s="50">
        <v>35</v>
      </c>
      <c r="F459" s="50">
        <v>10</v>
      </c>
      <c r="G459" s="50">
        <v>1</v>
      </c>
      <c r="J459" s="50">
        <v>0</v>
      </c>
      <c r="K459" s="50" t="s">
        <v>428</v>
      </c>
    </row>
    <row r="460" spans="1:11">
      <c r="A460" s="50">
        <v>43915</v>
      </c>
      <c r="C460" s="50" t="s">
        <v>86</v>
      </c>
      <c r="I460" s="50">
        <v>10</v>
      </c>
      <c r="J460" s="50">
        <v>0</v>
      </c>
      <c r="K460" s="50" t="s">
        <v>398</v>
      </c>
    </row>
    <row r="461" spans="1:11">
      <c r="A461" s="50">
        <v>43915</v>
      </c>
      <c r="C461" s="50" t="s">
        <v>88</v>
      </c>
      <c r="E461" s="50">
        <v>97</v>
      </c>
      <c r="J461" s="50">
        <v>1</v>
      </c>
      <c r="K461" s="50" t="s">
        <v>90</v>
      </c>
    </row>
    <row r="462" spans="1:11">
      <c r="A462" s="50">
        <v>43915</v>
      </c>
      <c r="C462" s="50" t="s">
        <v>97</v>
      </c>
      <c r="E462" s="50">
        <v>2740</v>
      </c>
      <c r="F462" s="50">
        <v>313</v>
      </c>
      <c r="G462" s="50">
        <v>51</v>
      </c>
      <c r="J462" s="50">
        <v>40</v>
      </c>
      <c r="K462" s="50" t="s">
        <v>99</v>
      </c>
    </row>
    <row r="463" spans="1:11">
      <c r="A463" s="50">
        <v>43915</v>
      </c>
      <c r="C463" s="50" t="s">
        <v>100</v>
      </c>
      <c r="E463" s="50">
        <v>793</v>
      </c>
      <c r="F463" s="50">
        <v>118</v>
      </c>
      <c r="G463" s="50">
        <v>15</v>
      </c>
      <c r="H463" s="50">
        <v>14</v>
      </c>
      <c r="J463" s="50">
        <v>15</v>
      </c>
      <c r="K463" s="50" t="s">
        <v>430</v>
      </c>
    </row>
    <row r="464" spans="1:11">
      <c r="A464" s="50">
        <v>43915</v>
      </c>
      <c r="B464" s="50">
        <v>0</v>
      </c>
      <c r="C464" s="50" t="s">
        <v>83</v>
      </c>
      <c r="E464" s="50">
        <v>129</v>
      </c>
      <c r="J464" s="50">
        <v>1</v>
      </c>
      <c r="K464" s="50" t="s">
        <v>85</v>
      </c>
    </row>
    <row r="465" spans="1:11">
      <c r="A465" s="50">
        <v>43915</v>
      </c>
      <c r="B465" s="50">
        <v>0.33333333333333331</v>
      </c>
      <c r="C465" s="50" t="s">
        <v>41</v>
      </c>
      <c r="E465" s="50">
        <v>34</v>
      </c>
      <c r="J465" s="50">
        <v>2</v>
      </c>
      <c r="K465" s="50" t="s">
        <v>43</v>
      </c>
    </row>
    <row r="466" spans="1:11">
      <c r="A466" s="50">
        <v>43915</v>
      </c>
      <c r="B466" s="50">
        <v>0.33333333333333331</v>
      </c>
      <c r="C466" s="50" t="s">
        <v>91</v>
      </c>
      <c r="E466" s="50">
        <v>1354</v>
      </c>
      <c r="F466" s="50">
        <v>306</v>
      </c>
      <c r="G466" s="50">
        <v>57</v>
      </c>
      <c r="H466" s="50">
        <v>55</v>
      </c>
      <c r="J466" s="50">
        <v>60</v>
      </c>
      <c r="K466" s="50" t="s">
        <v>251</v>
      </c>
    </row>
    <row r="467" spans="1:11">
      <c r="A467" s="50">
        <v>43915</v>
      </c>
      <c r="B467" s="50">
        <v>0.33333333333333331</v>
      </c>
      <c r="C467" s="50" t="s">
        <v>102</v>
      </c>
      <c r="E467" s="50">
        <v>80</v>
      </c>
      <c r="F467" s="50">
        <v>9</v>
      </c>
      <c r="G467" s="50">
        <v>1</v>
      </c>
      <c r="I467" s="50">
        <v>18</v>
      </c>
      <c r="J467" s="50">
        <v>0</v>
      </c>
      <c r="K467" s="50" t="s">
        <v>381</v>
      </c>
    </row>
    <row r="468" spans="1:11">
      <c r="A468" s="50">
        <v>43915</v>
      </c>
      <c r="B468" s="50">
        <v>0.41666666666666669</v>
      </c>
      <c r="C468" s="50" t="s">
        <v>50</v>
      </c>
      <c r="E468" s="50">
        <v>462</v>
      </c>
      <c r="F468" s="50">
        <v>58</v>
      </c>
      <c r="I468" s="50">
        <v>128</v>
      </c>
      <c r="J468" s="50">
        <v>8</v>
      </c>
      <c r="K468" s="50" t="s">
        <v>249</v>
      </c>
    </row>
    <row r="469" spans="1:11">
      <c r="A469" s="50">
        <v>43915</v>
      </c>
      <c r="B469" s="50">
        <v>0.45833333333333331</v>
      </c>
      <c r="C469" s="50" t="s">
        <v>68</v>
      </c>
      <c r="E469" s="50">
        <v>228</v>
      </c>
      <c r="J469" s="50">
        <v>2</v>
      </c>
      <c r="K469" s="50" t="s">
        <v>70</v>
      </c>
    </row>
    <row r="470" spans="1:11">
      <c r="A470" s="50">
        <v>43915</v>
      </c>
      <c r="B470" s="50">
        <v>0.60416666666666663</v>
      </c>
      <c r="C470" s="50" t="s">
        <v>104</v>
      </c>
      <c r="E470" s="50">
        <v>1371</v>
      </c>
      <c r="F470" s="50">
        <v>146</v>
      </c>
      <c r="H470" s="50">
        <v>28</v>
      </c>
      <c r="J470" s="50">
        <v>10</v>
      </c>
      <c r="K470" s="50" t="s">
        <v>106</v>
      </c>
    </row>
    <row r="471" spans="1:11">
      <c r="A471" s="50">
        <v>43915</v>
      </c>
      <c r="B471" s="50">
        <v>0.625</v>
      </c>
      <c r="C471" s="50" t="s">
        <v>34</v>
      </c>
      <c r="E471" s="50">
        <v>319</v>
      </c>
      <c r="F471" s="50">
        <v>16</v>
      </c>
      <c r="G471" s="50">
        <v>5</v>
      </c>
      <c r="H471" s="50">
        <v>5</v>
      </c>
      <c r="J471" s="50">
        <v>2</v>
      </c>
      <c r="K471" s="50" t="s">
        <v>248</v>
      </c>
    </row>
    <row r="472" spans="1:11">
      <c r="A472" s="50">
        <v>43915</v>
      </c>
      <c r="B472" s="50">
        <v>0.70833333333333337</v>
      </c>
      <c r="C472" s="50" t="s">
        <v>38</v>
      </c>
      <c r="E472" s="50">
        <v>9</v>
      </c>
      <c r="K472" s="50" t="s">
        <v>40</v>
      </c>
    </row>
    <row r="473" spans="1:11">
      <c r="A473" s="50">
        <v>43916</v>
      </c>
      <c r="C473" s="50" t="s">
        <v>44</v>
      </c>
      <c r="E473" s="50">
        <v>660</v>
      </c>
      <c r="J473" s="50">
        <v>7</v>
      </c>
      <c r="K473" s="50" t="s">
        <v>46</v>
      </c>
    </row>
    <row r="474" spans="1:11">
      <c r="A474" s="50">
        <v>43916</v>
      </c>
      <c r="C474" s="50" t="s">
        <v>47</v>
      </c>
      <c r="E474" s="50">
        <v>422</v>
      </c>
      <c r="F474" s="50">
        <v>68</v>
      </c>
      <c r="G474" s="50">
        <v>9</v>
      </c>
      <c r="I474" s="50">
        <v>65</v>
      </c>
      <c r="J474" s="50">
        <v>5</v>
      </c>
      <c r="K474" s="50" t="s">
        <v>49</v>
      </c>
    </row>
    <row r="475" spans="1:11">
      <c r="A475" s="50">
        <v>43916</v>
      </c>
      <c r="C475" s="50" t="s">
        <v>53</v>
      </c>
      <c r="D475" s="50">
        <v>900</v>
      </c>
      <c r="E475" s="50">
        <v>56</v>
      </c>
      <c r="K475" s="50" t="s">
        <v>254</v>
      </c>
    </row>
    <row r="476" spans="1:11">
      <c r="A476" s="50">
        <v>43916</v>
      </c>
      <c r="C476" s="50" t="s">
        <v>56</v>
      </c>
      <c r="E476" s="50">
        <v>309</v>
      </c>
      <c r="F476" s="50">
        <v>44</v>
      </c>
      <c r="G476" s="50">
        <v>5</v>
      </c>
      <c r="J476" s="50">
        <v>11</v>
      </c>
      <c r="K476" s="50" t="s">
        <v>420</v>
      </c>
    </row>
    <row r="477" spans="1:11">
      <c r="A477" s="50">
        <v>43916</v>
      </c>
      <c r="C477" s="50" t="s">
        <v>58</v>
      </c>
      <c r="D477" s="50">
        <v>8876</v>
      </c>
      <c r="E477" s="50">
        <v>1979</v>
      </c>
      <c r="F477" s="50">
        <v>272</v>
      </c>
      <c r="G477" s="50">
        <v>52</v>
      </c>
      <c r="H477" s="50">
        <v>48</v>
      </c>
      <c r="I477" s="50">
        <v>144</v>
      </c>
      <c r="J477" s="50">
        <v>26</v>
      </c>
      <c r="K477" s="50" t="s">
        <v>60</v>
      </c>
    </row>
    <row r="478" spans="1:11">
      <c r="A478" s="50">
        <v>43916</v>
      </c>
      <c r="C478" s="50" t="s">
        <v>61</v>
      </c>
      <c r="E478" s="50">
        <v>43</v>
      </c>
      <c r="F478" s="50">
        <v>2</v>
      </c>
      <c r="J478" s="50">
        <v>0</v>
      </c>
      <c r="K478" s="50" t="s">
        <v>387</v>
      </c>
    </row>
    <row r="479" spans="1:11">
      <c r="A479" s="50">
        <v>43916</v>
      </c>
      <c r="C479" s="50" t="s">
        <v>63</v>
      </c>
      <c r="E479" s="50">
        <v>433</v>
      </c>
      <c r="F479" s="50">
        <v>52</v>
      </c>
      <c r="J479" s="50">
        <v>8</v>
      </c>
      <c r="K479" s="50" t="s">
        <v>65</v>
      </c>
    </row>
    <row r="480" spans="1:11">
      <c r="A480" s="50">
        <v>43916</v>
      </c>
      <c r="C480" s="50" t="s">
        <v>66</v>
      </c>
      <c r="E480" s="50">
        <v>100</v>
      </c>
      <c r="F480" s="50">
        <v>22</v>
      </c>
      <c r="G480" s="50">
        <v>4</v>
      </c>
      <c r="J480" s="50">
        <v>0</v>
      </c>
      <c r="K480" s="50" t="s">
        <v>427</v>
      </c>
    </row>
    <row r="481" spans="1:11">
      <c r="A481" s="50">
        <v>43916</v>
      </c>
      <c r="C481" s="50" t="s">
        <v>71</v>
      </c>
      <c r="E481" s="50">
        <v>299</v>
      </c>
      <c r="F481" s="50">
        <v>42</v>
      </c>
      <c r="G481" s="50">
        <v>9</v>
      </c>
      <c r="H481" s="50">
        <v>7</v>
      </c>
      <c r="J481" s="50">
        <v>12</v>
      </c>
      <c r="K481" s="50" t="s">
        <v>377</v>
      </c>
    </row>
    <row r="482" spans="1:11">
      <c r="A482" s="50">
        <v>43916</v>
      </c>
      <c r="C482" s="50" t="s">
        <v>73</v>
      </c>
      <c r="E482" s="50">
        <v>48</v>
      </c>
      <c r="F482" s="50">
        <v>2</v>
      </c>
      <c r="K482" s="50" t="s">
        <v>357</v>
      </c>
    </row>
    <row r="483" spans="1:11">
      <c r="A483" s="50">
        <v>43916</v>
      </c>
      <c r="C483" s="50" t="s">
        <v>75</v>
      </c>
      <c r="E483" s="50">
        <v>30</v>
      </c>
      <c r="K483" s="50" t="s">
        <v>77</v>
      </c>
    </row>
    <row r="484" spans="1:11">
      <c r="A484" s="50">
        <v>43916</v>
      </c>
      <c r="C484" s="50" t="s">
        <v>78</v>
      </c>
      <c r="E484" s="50">
        <v>306</v>
      </c>
      <c r="J484" s="50">
        <v>2</v>
      </c>
      <c r="K484" s="50" t="s">
        <v>80</v>
      </c>
    </row>
    <row r="485" spans="1:11">
      <c r="A485" s="50">
        <v>43916</v>
      </c>
      <c r="C485" s="50" t="s">
        <v>81</v>
      </c>
      <c r="E485" s="50">
        <v>36</v>
      </c>
      <c r="F485" s="50">
        <v>6</v>
      </c>
      <c r="G485" s="50">
        <v>1</v>
      </c>
      <c r="J485" s="50">
        <v>0</v>
      </c>
      <c r="K485" s="50" t="s">
        <v>428</v>
      </c>
    </row>
    <row r="486" spans="1:11">
      <c r="A486" s="50">
        <v>43916</v>
      </c>
      <c r="C486" s="50" t="s">
        <v>86</v>
      </c>
      <c r="E486" s="50">
        <v>107</v>
      </c>
      <c r="I486" s="50">
        <v>20</v>
      </c>
      <c r="J486" s="50">
        <v>0</v>
      </c>
      <c r="K486" s="50" t="s">
        <v>398</v>
      </c>
    </row>
    <row r="487" spans="1:11">
      <c r="A487" s="50">
        <v>43916</v>
      </c>
      <c r="C487" s="50" t="s">
        <v>88</v>
      </c>
      <c r="E487" s="50">
        <v>111</v>
      </c>
      <c r="J487" s="50">
        <v>1</v>
      </c>
      <c r="K487" s="50" t="s">
        <v>90</v>
      </c>
    </row>
    <row r="488" spans="1:11">
      <c r="A488" s="50">
        <v>43916</v>
      </c>
      <c r="C488" s="50" t="s">
        <v>94</v>
      </c>
      <c r="E488" s="50">
        <v>38</v>
      </c>
      <c r="F488" s="50">
        <v>4</v>
      </c>
      <c r="I488" s="50">
        <v>2</v>
      </c>
      <c r="K488" s="50" t="s">
        <v>226</v>
      </c>
    </row>
    <row r="489" spans="1:11">
      <c r="A489" s="50">
        <v>43916</v>
      </c>
      <c r="C489" s="50" t="s">
        <v>97</v>
      </c>
      <c r="E489" s="50">
        <v>2945</v>
      </c>
      <c r="F489" s="50">
        <v>324</v>
      </c>
      <c r="G489" s="50">
        <v>55</v>
      </c>
      <c r="J489" s="50">
        <v>57</v>
      </c>
      <c r="K489" s="50" t="s">
        <v>99</v>
      </c>
    </row>
    <row r="490" spans="1:11">
      <c r="A490" s="50">
        <v>43916</v>
      </c>
      <c r="C490" s="50" t="s">
        <v>100</v>
      </c>
      <c r="E490" s="50">
        <v>874</v>
      </c>
      <c r="F490" s="50">
        <v>128</v>
      </c>
      <c r="G490" s="50">
        <v>19</v>
      </c>
      <c r="H490" s="50">
        <v>17</v>
      </c>
      <c r="J490" s="50">
        <v>17</v>
      </c>
      <c r="K490" s="50" t="s">
        <v>430</v>
      </c>
    </row>
    <row r="491" spans="1:11">
      <c r="A491" s="50">
        <v>43916</v>
      </c>
      <c r="B491" s="50">
        <v>0</v>
      </c>
      <c r="C491" s="50" t="s">
        <v>83</v>
      </c>
      <c r="E491" s="50">
        <v>141</v>
      </c>
      <c r="J491" s="50">
        <v>1</v>
      </c>
      <c r="K491" s="50" t="s">
        <v>85</v>
      </c>
    </row>
    <row r="492" spans="1:11">
      <c r="A492" s="50">
        <v>43916</v>
      </c>
      <c r="B492" s="50">
        <v>0.33333333333333331</v>
      </c>
      <c r="C492" s="50" t="s">
        <v>91</v>
      </c>
      <c r="E492" s="50">
        <v>1401</v>
      </c>
      <c r="F492" s="50">
        <v>358</v>
      </c>
      <c r="G492" s="50">
        <v>60</v>
      </c>
      <c r="H492" s="50">
        <v>56</v>
      </c>
      <c r="J492" s="50">
        <v>67</v>
      </c>
      <c r="K492" s="50" t="s">
        <v>255</v>
      </c>
    </row>
    <row r="493" spans="1:11">
      <c r="A493" s="50">
        <v>43916</v>
      </c>
      <c r="B493" s="50">
        <v>0.33333333333333331</v>
      </c>
      <c r="C493" s="50" t="s">
        <v>102</v>
      </c>
      <c r="E493" s="50">
        <v>87</v>
      </c>
      <c r="F493" s="50">
        <v>10</v>
      </c>
      <c r="G493" s="50">
        <v>1</v>
      </c>
      <c r="I493" s="50">
        <v>18</v>
      </c>
      <c r="J493" s="50">
        <v>0</v>
      </c>
      <c r="K493" s="50" t="s">
        <v>381</v>
      </c>
    </row>
    <row r="494" spans="1:11">
      <c r="A494" s="50">
        <v>43916</v>
      </c>
      <c r="B494" s="50">
        <v>0.4375</v>
      </c>
      <c r="C494" s="50" t="s">
        <v>50</v>
      </c>
      <c r="E494" s="50">
        <v>501</v>
      </c>
      <c r="F494" s="50">
        <v>74</v>
      </c>
      <c r="G494" s="50">
        <v>8</v>
      </c>
      <c r="I494" s="50">
        <v>155</v>
      </c>
      <c r="J494" s="50">
        <v>12</v>
      </c>
      <c r="K494" s="50" t="s">
        <v>253</v>
      </c>
    </row>
    <row r="495" spans="1:11">
      <c r="A495" s="50">
        <v>43916</v>
      </c>
      <c r="B495" s="50">
        <v>0.45833333333333331</v>
      </c>
      <c r="C495" s="50" t="s">
        <v>68</v>
      </c>
      <c r="E495" s="50">
        <v>253</v>
      </c>
      <c r="J495" s="50">
        <v>3</v>
      </c>
      <c r="K495" s="50" t="s">
        <v>70</v>
      </c>
    </row>
    <row r="496" spans="1:11">
      <c r="A496" s="50">
        <v>43916</v>
      </c>
      <c r="B496" s="50">
        <v>0.60416666666666663</v>
      </c>
      <c r="C496" s="50" t="s">
        <v>104</v>
      </c>
      <c r="E496" s="50">
        <v>1503</v>
      </c>
      <c r="F496" s="50">
        <v>156</v>
      </c>
      <c r="H496" s="50">
        <v>35</v>
      </c>
      <c r="J496" s="50">
        <v>13</v>
      </c>
      <c r="K496" s="50" t="s">
        <v>106</v>
      </c>
    </row>
    <row r="497" spans="1:11">
      <c r="A497" s="50">
        <v>43916</v>
      </c>
      <c r="B497" s="50">
        <v>0.625</v>
      </c>
      <c r="C497" s="50" t="s">
        <v>34</v>
      </c>
      <c r="E497" s="50">
        <v>349</v>
      </c>
      <c r="F497" s="50">
        <v>38</v>
      </c>
      <c r="G497" s="50">
        <v>10</v>
      </c>
      <c r="H497" s="50">
        <v>9</v>
      </c>
      <c r="J497" s="50">
        <v>2</v>
      </c>
      <c r="K497" s="50" t="s">
        <v>252</v>
      </c>
    </row>
    <row r="498" spans="1:11">
      <c r="A498" s="50">
        <v>43916</v>
      </c>
      <c r="B498" s="50">
        <v>0.66666666666666663</v>
      </c>
      <c r="C498" s="50" t="s">
        <v>41</v>
      </c>
      <c r="E498" s="50">
        <v>42</v>
      </c>
      <c r="J498" s="50">
        <v>2</v>
      </c>
      <c r="K498" s="50" t="s">
        <v>43</v>
      </c>
    </row>
    <row r="499" spans="1:11">
      <c r="A499" s="50">
        <v>43916</v>
      </c>
      <c r="B499" s="50">
        <v>0.75</v>
      </c>
      <c r="C499" s="50" t="s">
        <v>38</v>
      </c>
      <c r="E499" s="50">
        <v>11</v>
      </c>
      <c r="K499" s="50" t="s">
        <v>40</v>
      </c>
    </row>
    <row r="500" spans="1:11">
      <c r="A500" s="50">
        <v>43917</v>
      </c>
      <c r="C500" s="50" t="s">
        <v>44</v>
      </c>
      <c r="E500" s="50">
        <v>718</v>
      </c>
      <c r="J500" s="50">
        <v>8</v>
      </c>
      <c r="K500" s="50" t="s">
        <v>46</v>
      </c>
    </row>
    <row r="501" spans="1:11">
      <c r="A501" s="50">
        <v>43917</v>
      </c>
      <c r="C501" s="50" t="s">
        <v>47</v>
      </c>
      <c r="E501" s="50">
        <v>466</v>
      </c>
      <c r="F501" s="50">
        <v>79</v>
      </c>
      <c r="G501" s="50">
        <v>11</v>
      </c>
      <c r="I501" s="50">
        <v>76</v>
      </c>
      <c r="J501" s="50">
        <v>5</v>
      </c>
      <c r="K501" s="50" t="s">
        <v>49</v>
      </c>
    </row>
    <row r="502" spans="1:11">
      <c r="A502" s="50">
        <v>43917</v>
      </c>
      <c r="C502" s="50" t="s">
        <v>53</v>
      </c>
      <c r="E502" s="50">
        <v>60</v>
      </c>
      <c r="K502" s="50" t="s">
        <v>258</v>
      </c>
    </row>
    <row r="503" spans="1:11">
      <c r="A503" s="50">
        <v>43917</v>
      </c>
      <c r="C503" s="50" t="s">
        <v>56</v>
      </c>
      <c r="E503" s="50">
        <v>369</v>
      </c>
      <c r="F503" s="50">
        <v>50</v>
      </c>
      <c r="G503" s="50">
        <v>8</v>
      </c>
      <c r="J503" s="50">
        <v>14</v>
      </c>
      <c r="K503" s="50" t="s">
        <v>420</v>
      </c>
    </row>
    <row r="504" spans="1:11">
      <c r="A504" s="50">
        <v>43917</v>
      </c>
      <c r="C504" s="50" t="s">
        <v>58</v>
      </c>
      <c r="D504" s="50">
        <v>9266</v>
      </c>
      <c r="E504" s="50">
        <v>2164</v>
      </c>
      <c r="F504" s="50">
        <v>313</v>
      </c>
      <c r="G504" s="50">
        <v>54</v>
      </c>
      <c r="H504" s="50">
        <v>54</v>
      </c>
      <c r="I504" s="50">
        <v>153</v>
      </c>
      <c r="J504" s="50">
        <v>33</v>
      </c>
      <c r="K504" s="50" t="s">
        <v>60</v>
      </c>
    </row>
    <row r="505" spans="1:11">
      <c r="A505" s="50">
        <v>43917</v>
      </c>
      <c r="C505" s="50" t="s">
        <v>61</v>
      </c>
      <c r="E505" s="50">
        <v>47</v>
      </c>
      <c r="F505" s="50">
        <v>3</v>
      </c>
      <c r="J505" s="50">
        <v>0</v>
      </c>
      <c r="K505" s="50" t="s">
        <v>387</v>
      </c>
    </row>
    <row r="506" spans="1:11">
      <c r="A506" s="50">
        <v>43917</v>
      </c>
      <c r="C506" s="50" t="s">
        <v>63</v>
      </c>
      <c r="E506" s="50">
        <v>474</v>
      </c>
      <c r="F506" s="50">
        <v>58</v>
      </c>
      <c r="J506" s="50">
        <v>9</v>
      </c>
      <c r="K506" s="50" t="s">
        <v>65</v>
      </c>
    </row>
    <row r="507" spans="1:11">
      <c r="A507" s="50">
        <v>43917</v>
      </c>
      <c r="C507" s="50" t="s">
        <v>66</v>
      </c>
      <c r="E507" s="50">
        <v>114</v>
      </c>
      <c r="F507" s="50">
        <v>25</v>
      </c>
      <c r="G507" s="50">
        <v>6</v>
      </c>
      <c r="J507" s="50">
        <v>0</v>
      </c>
      <c r="K507" s="50" t="s">
        <v>427</v>
      </c>
    </row>
    <row r="508" spans="1:11">
      <c r="A508" s="50">
        <v>43917</v>
      </c>
      <c r="C508" s="50" t="s">
        <v>71</v>
      </c>
      <c r="E508" s="50">
        <v>316</v>
      </c>
      <c r="F508" s="50">
        <v>45</v>
      </c>
      <c r="G508" s="50">
        <v>9</v>
      </c>
      <c r="H508" s="50">
        <v>7</v>
      </c>
      <c r="J508" s="50">
        <v>13</v>
      </c>
      <c r="K508" s="50" t="s">
        <v>377</v>
      </c>
    </row>
    <row r="509" spans="1:11">
      <c r="A509" s="50">
        <v>43917</v>
      </c>
      <c r="C509" s="50" t="s">
        <v>73</v>
      </c>
      <c r="E509" s="50">
        <v>54</v>
      </c>
      <c r="F509" s="50">
        <v>3</v>
      </c>
      <c r="K509" s="50" t="s">
        <v>357</v>
      </c>
    </row>
    <row r="510" spans="1:11">
      <c r="A510" s="50">
        <v>43917</v>
      </c>
      <c r="C510" s="50" t="s">
        <v>75</v>
      </c>
      <c r="E510" s="50">
        <v>37</v>
      </c>
      <c r="K510" s="50" t="s">
        <v>77</v>
      </c>
    </row>
    <row r="511" spans="1:11">
      <c r="A511" s="50">
        <v>43917</v>
      </c>
      <c r="C511" s="50" t="s">
        <v>81</v>
      </c>
      <c r="E511" s="50">
        <v>37</v>
      </c>
      <c r="F511" s="50">
        <v>10</v>
      </c>
      <c r="G511" s="50">
        <v>1</v>
      </c>
      <c r="J511" s="50">
        <v>0</v>
      </c>
      <c r="K511" s="50" t="s">
        <v>428</v>
      </c>
    </row>
    <row r="512" spans="1:11">
      <c r="A512" s="50">
        <v>43917</v>
      </c>
      <c r="C512" s="50" t="s">
        <v>86</v>
      </c>
      <c r="E512" s="50">
        <v>119</v>
      </c>
      <c r="I512" s="50">
        <v>32</v>
      </c>
      <c r="J512" s="50">
        <v>1</v>
      </c>
      <c r="K512" s="50" t="s">
        <v>398</v>
      </c>
    </row>
    <row r="513" spans="1:11">
      <c r="A513" s="50">
        <v>43917</v>
      </c>
      <c r="C513" s="50" t="s">
        <v>88</v>
      </c>
      <c r="E513" s="50">
        <v>118</v>
      </c>
      <c r="J513" s="50">
        <v>2</v>
      </c>
      <c r="K513" s="50" t="s">
        <v>259</v>
      </c>
    </row>
    <row r="514" spans="1:11">
      <c r="A514" s="50">
        <v>43917</v>
      </c>
      <c r="C514" s="50" t="s">
        <v>94</v>
      </c>
      <c r="E514" s="50">
        <v>40</v>
      </c>
      <c r="F514" s="50">
        <v>7</v>
      </c>
      <c r="I514" s="50">
        <v>3</v>
      </c>
      <c r="K514" s="50" t="s">
        <v>226</v>
      </c>
    </row>
    <row r="515" spans="1:11">
      <c r="A515" s="50">
        <v>43917</v>
      </c>
      <c r="C515" s="50" t="s">
        <v>97</v>
      </c>
      <c r="E515" s="50">
        <v>3179</v>
      </c>
      <c r="F515" s="50">
        <v>359</v>
      </c>
      <c r="G515" s="50">
        <v>59</v>
      </c>
      <c r="J515" s="50">
        <v>61</v>
      </c>
      <c r="K515" s="50" t="s">
        <v>99</v>
      </c>
    </row>
    <row r="516" spans="1:11">
      <c r="A516" s="50">
        <v>43917</v>
      </c>
      <c r="C516" s="50" t="s">
        <v>100</v>
      </c>
      <c r="E516" s="50">
        <v>968</v>
      </c>
      <c r="F516" s="50">
        <v>137</v>
      </c>
      <c r="G516" s="50">
        <v>20</v>
      </c>
      <c r="H516" s="50">
        <v>16</v>
      </c>
      <c r="J516" s="50">
        <v>21</v>
      </c>
      <c r="K516" s="50" t="s">
        <v>430</v>
      </c>
    </row>
    <row r="517" spans="1:11">
      <c r="A517" s="50">
        <v>43917</v>
      </c>
      <c r="B517" s="50">
        <v>0</v>
      </c>
      <c r="C517" s="50" t="s">
        <v>83</v>
      </c>
      <c r="E517" s="50">
        <v>157</v>
      </c>
      <c r="J517" s="50">
        <v>1</v>
      </c>
      <c r="K517" s="50" t="s">
        <v>85</v>
      </c>
    </row>
    <row r="518" spans="1:11">
      <c r="A518" s="50">
        <v>43917</v>
      </c>
      <c r="B518" s="50">
        <v>0.33333333333333331</v>
      </c>
      <c r="C518" s="50" t="s">
        <v>91</v>
      </c>
      <c r="E518" s="50">
        <v>1688</v>
      </c>
      <c r="F518" s="50">
        <v>386</v>
      </c>
      <c r="G518" s="50">
        <v>61</v>
      </c>
      <c r="H518" s="50">
        <v>51</v>
      </c>
      <c r="J518" s="50">
        <v>76</v>
      </c>
      <c r="K518" s="50" t="s">
        <v>260</v>
      </c>
    </row>
    <row r="519" spans="1:11">
      <c r="A519" s="50">
        <v>43917</v>
      </c>
      <c r="B519" s="50">
        <v>0.33333333333333331</v>
      </c>
      <c r="C519" s="50" t="s">
        <v>102</v>
      </c>
      <c r="E519" s="50">
        <v>94</v>
      </c>
      <c r="F519" s="50">
        <v>12</v>
      </c>
      <c r="G519" s="50">
        <v>5</v>
      </c>
      <c r="I519" s="50">
        <v>18</v>
      </c>
      <c r="J519" s="50">
        <v>0</v>
      </c>
      <c r="K519" s="50" t="s">
        <v>381</v>
      </c>
    </row>
    <row r="520" spans="1:11">
      <c r="A520" s="50">
        <v>43917</v>
      </c>
      <c r="B520" s="50">
        <v>0.41666666666666669</v>
      </c>
      <c r="C520" s="50" t="s">
        <v>50</v>
      </c>
      <c r="E520" s="50">
        <v>530</v>
      </c>
      <c r="F520" s="50">
        <v>76</v>
      </c>
      <c r="G520" s="50">
        <v>8</v>
      </c>
      <c r="I520" s="50">
        <v>191</v>
      </c>
      <c r="J520" s="50">
        <v>13</v>
      </c>
      <c r="K520" s="50" t="s">
        <v>257</v>
      </c>
    </row>
    <row r="521" spans="1:11">
      <c r="A521" s="50">
        <v>43917</v>
      </c>
      <c r="B521" s="50">
        <v>0.45833333333333331</v>
      </c>
      <c r="C521" s="50" t="s">
        <v>68</v>
      </c>
      <c r="E521" s="50">
        <v>287</v>
      </c>
      <c r="J521" s="50">
        <v>3</v>
      </c>
      <c r="K521" s="50" t="s">
        <v>70</v>
      </c>
    </row>
    <row r="522" spans="1:11">
      <c r="A522" s="50">
        <v>43917</v>
      </c>
      <c r="B522" s="50">
        <v>0.54166666666666663</v>
      </c>
      <c r="C522" s="50" t="s">
        <v>41</v>
      </c>
      <c r="E522" s="50">
        <v>44</v>
      </c>
      <c r="J522" s="50">
        <v>2</v>
      </c>
      <c r="K522" s="50" t="s">
        <v>43</v>
      </c>
    </row>
    <row r="523" spans="1:11">
      <c r="A523" s="50">
        <v>43917</v>
      </c>
      <c r="B523" s="50">
        <v>0.60416666666666663</v>
      </c>
      <c r="C523" s="50" t="s">
        <v>104</v>
      </c>
      <c r="E523" s="50">
        <v>1630</v>
      </c>
      <c r="F523" s="50">
        <v>171</v>
      </c>
      <c r="H523" s="50">
        <v>38</v>
      </c>
      <c r="J523" s="50">
        <v>15</v>
      </c>
      <c r="K523" s="50" t="s">
        <v>106</v>
      </c>
    </row>
    <row r="524" spans="1:11">
      <c r="A524" s="50">
        <v>43917</v>
      </c>
      <c r="B524" s="50">
        <v>0.625</v>
      </c>
      <c r="C524" s="50" t="s">
        <v>34</v>
      </c>
      <c r="E524" s="50">
        <v>364</v>
      </c>
      <c r="F524" s="50">
        <v>50</v>
      </c>
      <c r="G524" s="50">
        <v>12</v>
      </c>
      <c r="H524" s="50">
        <v>10</v>
      </c>
      <c r="J524" s="50">
        <v>3</v>
      </c>
      <c r="K524" s="50" t="s">
        <v>256</v>
      </c>
    </row>
    <row r="525" spans="1:11">
      <c r="A525" s="50">
        <v>43917</v>
      </c>
      <c r="B525" s="50">
        <v>0.75</v>
      </c>
      <c r="C525" s="50" t="s">
        <v>38</v>
      </c>
      <c r="E525" s="50">
        <v>12</v>
      </c>
      <c r="K525" s="50" t="s">
        <v>40</v>
      </c>
    </row>
    <row r="526" spans="1:11">
      <c r="A526" s="50">
        <v>43918</v>
      </c>
      <c r="C526" s="50" t="s">
        <v>44</v>
      </c>
      <c r="E526" s="50">
        <v>767</v>
      </c>
      <c r="J526" s="50">
        <v>9</v>
      </c>
      <c r="K526" s="50" t="s">
        <v>46</v>
      </c>
    </row>
    <row r="527" spans="1:11">
      <c r="A527" s="50">
        <v>43918</v>
      </c>
      <c r="C527" s="50" t="s">
        <v>47</v>
      </c>
      <c r="E527" s="50">
        <v>502</v>
      </c>
      <c r="F527" s="50">
        <v>75</v>
      </c>
      <c r="G527" s="50">
        <v>14</v>
      </c>
      <c r="H527" s="50">
        <v>13</v>
      </c>
      <c r="I527" s="50">
        <v>100</v>
      </c>
      <c r="J527" s="50">
        <v>6</v>
      </c>
      <c r="K527" s="50" t="s">
        <v>49</v>
      </c>
    </row>
    <row r="528" spans="1:11">
      <c r="A528" s="50">
        <v>43918</v>
      </c>
      <c r="C528" s="50" t="s">
        <v>53</v>
      </c>
      <c r="E528" s="50">
        <v>61</v>
      </c>
      <c r="K528" s="50" t="s">
        <v>262</v>
      </c>
    </row>
    <row r="529" spans="1:11">
      <c r="A529" s="50">
        <v>43918</v>
      </c>
      <c r="C529" s="50" t="s">
        <v>56</v>
      </c>
      <c r="E529" s="50">
        <v>421</v>
      </c>
      <c r="F529" s="50">
        <v>67</v>
      </c>
      <c r="G529" s="50">
        <v>12</v>
      </c>
      <c r="J529" s="50">
        <v>15</v>
      </c>
      <c r="K529" s="50" t="s">
        <v>420</v>
      </c>
    </row>
    <row r="530" spans="1:11">
      <c r="A530" s="50">
        <v>43918</v>
      </c>
      <c r="C530" s="50" t="s">
        <v>58</v>
      </c>
      <c r="D530" s="50">
        <v>9859</v>
      </c>
      <c r="E530" s="50">
        <v>2360</v>
      </c>
      <c r="F530" s="50">
        <v>339</v>
      </c>
      <c r="G530" s="50">
        <v>59</v>
      </c>
      <c r="H530" s="50">
        <v>54</v>
      </c>
      <c r="I530" s="50">
        <v>175</v>
      </c>
      <c r="J530" s="50">
        <v>41</v>
      </c>
      <c r="K530" s="50" t="s">
        <v>60</v>
      </c>
    </row>
    <row r="531" spans="1:11">
      <c r="A531" s="50">
        <v>43918</v>
      </c>
      <c r="C531" s="50" t="s">
        <v>61</v>
      </c>
      <c r="E531" s="50">
        <v>47</v>
      </c>
      <c r="F531" s="50">
        <v>3</v>
      </c>
      <c r="J531" s="50">
        <v>1</v>
      </c>
      <c r="K531" s="50" t="s">
        <v>387</v>
      </c>
    </row>
    <row r="532" spans="1:11">
      <c r="A532" s="50">
        <v>43918</v>
      </c>
      <c r="C532" s="50" t="s">
        <v>63</v>
      </c>
      <c r="E532" s="50">
        <v>495</v>
      </c>
      <c r="F532" s="50">
        <v>63</v>
      </c>
      <c r="J532" s="50">
        <v>12</v>
      </c>
      <c r="K532" s="50" t="s">
        <v>65</v>
      </c>
    </row>
    <row r="533" spans="1:11">
      <c r="A533" s="50">
        <v>43918</v>
      </c>
      <c r="C533" s="50" t="s">
        <v>66</v>
      </c>
      <c r="E533" s="50">
        <v>119</v>
      </c>
      <c r="F533" s="50">
        <v>27</v>
      </c>
      <c r="G533" s="50">
        <v>5</v>
      </c>
      <c r="J533" s="50">
        <v>0</v>
      </c>
      <c r="K533" s="50" t="s">
        <v>427</v>
      </c>
    </row>
    <row r="534" spans="1:11">
      <c r="A534" s="50">
        <v>43918</v>
      </c>
      <c r="C534" s="50" t="s">
        <v>71</v>
      </c>
      <c r="E534" s="50">
        <v>337</v>
      </c>
      <c r="F534" s="50">
        <v>50</v>
      </c>
      <c r="G534" s="50">
        <v>11</v>
      </c>
      <c r="H534" s="50">
        <v>8</v>
      </c>
      <c r="J534" s="50">
        <v>15</v>
      </c>
      <c r="K534" s="50" t="s">
        <v>377</v>
      </c>
    </row>
    <row r="535" spans="1:11">
      <c r="A535" s="50">
        <v>43918</v>
      </c>
      <c r="C535" s="50" t="s">
        <v>73</v>
      </c>
      <c r="E535" s="50">
        <v>55</v>
      </c>
      <c r="F535" s="50">
        <v>4</v>
      </c>
      <c r="K535" s="50" t="s">
        <v>357</v>
      </c>
    </row>
    <row r="536" spans="1:11">
      <c r="A536" s="50">
        <v>43918</v>
      </c>
      <c r="C536" s="50" t="s">
        <v>78</v>
      </c>
      <c r="E536" s="50">
        <v>339</v>
      </c>
      <c r="J536" s="50">
        <v>5</v>
      </c>
      <c r="K536" s="50" t="s">
        <v>80</v>
      </c>
    </row>
    <row r="537" spans="1:11">
      <c r="A537" s="50">
        <v>43918</v>
      </c>
      <c r="C537" s="50" t="s">
        <v>81</v>
      </c>
      <c r="E537" s="50">
        <v>40</v>
      </c>
      <c r="F537" s="50">
        <v>14</v>
      </c>
      <c r="G537" s="50">
        <v>1</v>
      </c>
      <c r="J537" s="50">
        <v>0</v>
      </c>
      <c r="K537" s="50" t="s">
        <v>428</v>
      </c>
    </row>
    <row r="538" spans="1:11">
      <c r="A538" s="50">
        <v>43918</v>
      </c>
      <c r="C538" s="50" t="s">
        <v>86</v>
      </c>
      <c r="E538" s="50">
        <v>122</v>
      </c>
      <c r="I538" s="50">
        <v>33</v>
      </c>
      <c r="J538" s="50">
        <v>1</v>
      </c>
      <c r="K538" s="50" t="s">
        <v>398</v>
      </c>
    </row>
    <row r="539" spans="1:11">
      <c r="A539" s="50">
        <v>43918</v>
      </c>
      <c r="C539" s="50" t="s">
        <v>88</v>
      </c>
      <c r="E539" s="50">
        <v>135</v>
      </c>
      <c r="J539" s="50">
        <v>2</v>
      </c>
      <c r="K539" s="50" t="s">
        <v>90</v>
      </c>
    </row>
    <row r="540" spans="1:11">
      <c r="A540" s="50">
        <v>43918</v>
      </c>
      <c r="C540" s="50" t="s">
        <v>94</v>
      </c>
      <c r="E540" s="50">
        <v>48</v>
      </c>
      <c r="F540" s="50">
        <v>7</v>
      </c>
      <c r="I540" s="50">
        <v>3</v>
      </c>
      <c r="K540" s="50" t="s">
        <v>226</v>
      </c>
    </row>
    <row r="541" spans="1:11">
      <c r="A541" s="50">
        <v>43918</v>
      </c>
      <c r="C541" s="50" t="s">
        <v>97</v>
      </c>
      <c r="E541" s="50">
        <v>3310</v>
      </c>
      <c r="F541" s="50">
        <v>368</v>
      </c>
      <c r="G541" s="50">
        <v>61</v>
      </c>
      <c r="J541" s="50">
        <v>72</v>
      </c>
      <c r="K541" s="50" t="s">
        <v>99</v>
      </c>
    </row>
    <row r="542" spans="1:11">
      <c r="A542" s="50">
        <v>43918</v>
      </c>
      <c r="C542" s="50" t="s">
        <v>100</v>
      </c>
      <c r="E542" s="50">
        <v>1017</v>
      </c>
      <c r="F542" s="50">
        <v>142</v>
      </c>
      <c r="G542" s="50">
        <v>21</v>
      </c>
      <c r="H542" s="50">
        <v>19</v>
      </c>
      <c r="J542" s="50">
        <v>25</v>
      </c>
      <c r="K542" s="50" t="s">
        <v>430</v>
      </c>
    </row>
    <row r="543" spans="1:11">
      <c r="A543" s="50">
        <v>43918</v>
      </c>
      <c r="B543" s="50">
        <v>0</v>
      </c>
      <c r="C543" s="50" t="s">
        <v>83</v>
      </c>
      <c r="E543" s="50">
        <v>173</v>
      </c>
      <c r="J543" s="50">
        <v>1</v>
      </c>
      <c r="K543" s="50" t="s">
        <v>85</v>
      </c>
    </row>
    <row r="544" spans="1:11">
      <c r="A544" s="50">
        <v>43918</v>
      </c>
      <c r="B544" s="50">
        <v>0.33333333333333331</v>
      </c>
      <c r="C544" s="50" t="s">
        <v>41</v>
      </c>
      <c r="E544" s="50">
        <v>45</v>
      </c>
      <c r="J544" s="50">
        <v>2</v>
      </c>
      <c r="K544" s="50" t="s">
        <v>43</v>
      </c>
    </row>
    <row r="545" spans="1:11">
      <c r="A545" s="50">
        <v>43918</v>
      </c>
      <c r="B545" s="50">
        <v>0.33333333333333331</v>
      </c>
      <c r="C545" s="50" t="s">
        <v>91</v>
      </c>
      <c r="E545" s="50">
        <v>1727</v>
      </c>
      <c r="F545" s="50">
        <v>385</v>
      </c>
      <c r="G545" s="50">
        <v>69</v>
      </c>
      <c r="H545" s="50">
        <v>60</v>
      </c>
      <c r="J545" s="50">
        <v>87</v>
      </c>
      <c r="K545" s="50" t="s">
        <v>263</v>
      </c>
    </row>
    <row r="546" spans="1:11">
      <c r="A546" s="50">
        <v>43918</v>
      </c>
      <c r="B546" s="50">
        <v>0.33333333333333331</v>
      </c>
      <c r="C546" s="50" t="s">
        <v>102</v>
      </c>
      <c r="E546" s="50">
        <v>101</v>
      </c>
      <c r="F546" s="50">
        <v>12</v>
      </c>
      <c r="G546" s="50">
        <v>5</v>
      </c>
      <c r="I546" s="50">
        <v>21</v>
      </c>
      <c r="J546" s="50">
        <v>1</v>
      </c>
      <c r="K546" s="50" t="s">
        <v>381</v>
      </c>
    </row>
    <row r="547" spans="1:11">
      <c r="A547" s="50">
        <v>43918</v>
      </c>
      <c r="B547" s="50">
        <v>0.41666666666666669</v>
      </c>
      <c r="C547" s="50" t="s">
        <v>50</v>
      </c>
      <c r="E547" s="50">
        <v>569</v>
      </c>
      <c r="F547" s="50">
        <v>79</v>
      </c>
      <c r="G547" s="50">
        <v>11</v>
      </c>
      <c r="I547" s="50">
        <v>211</v>
      </c>
      <c r="J547" s="50">
        <v>13</v>
      </c>
      <c r="K547" s="50" t="s">
        <v>261</v>
      </c>
    </row>
    <row r="548" spans="1:11">
      <c r="A548" s="50">
        <v>43918</v>
      </c>
      <c r="B548" s="50">
        <v>0.45833333333333331</v>
      </c>
      <c r="C548" s="50" t="s">
        <v>68</v>
      </c>
      <c r="E548" s="50">
        <v>317</v>
      </c>
      <c r="J548" s="50">
        <v>4</v>
      </c>
      <c r="K548" s="50" t="s">
        <v>70</v>
      </c>
    </row>
    <row r="549" spans="1:11">
      <c r="A549" s="50">
        <v>43918</v>
      </c>
      <c r="B549" s="50">
        <v>0.60416666666666663</v>
      </c>
      <c r="C549" s="50" t="s">
        <v>104</v>
      </c>
      <c r="E549" s="50">
        <v>1704</v>
      </c>
      <c r="F549" s="50">
        <v>187</v>
      </c>
      <c r="H549" s="50">
        <v>42</v>
      </c>
      <c r="J549" s="50">
        <v>19</v>
      </c>
      <c r="K549" s="50" t="s">
        <v>106</v>
      </c>
    </row>
    <row r="550" spans="1:11">
      <c r="A550" s="50">
        <v>43918</v>
      </c>
      <c r="B550" s="50">
        <v>0.75</v>
      </c>
      <c r="C550" s="50" t="s">
        <v>38</v>
      </c>
      <c r="E550" s="50">
        <v>13</v>
      </c>
      <c r="K550" s="50" t="s">
        <v>40</v>
      </c>
    </row>
    <row r="551" spans="1:11">
      <c r="A551" s="50">
        <v>43919</v>
      </c>
      <c r="C551" s="50" t="s">
        <v>44</v>
      </c>
      <c r="E551" s="50">
        <v>798</v>
      </c>
      <c r="J551" s="50">
        <v>10</v>
      </c>
      <c r="K551" s="50" t="s">
        <v>46</v>
      </c>
    </row>
    <row r="552" spans="1:11">
      <c r="A552" s="50">
        <v>43919</v>
      </c>
      <c r="C552" s="50" t="s">
        <v>47</v>
      </c>
      <c r="E552" s="50">
        <v>511</v>
      </c>
      <c r="F552" s="50">
        <v>99</v>
      </c>
      <c r="G552" s="50">
        <v>15</v>
      </c>
      <c r="H552" s="50">
        <v>14</v>
      </c>
      <c r="I552" s="50">
        <v>115</v>
      </c>
      <c r="J552" s="50">
        <v>6</v>
      </c>
      <c r="K552" s="50" t="s">
        <v>49</v>
      </c>
    </row>
    <row r="553" spans="1:11">
      <c r="A553" s="50">
        <v>43919</v>
      </c>
      <c r="C553" s="50" t="s">
        <v>53</v>
      </c>
      <c r="E553" s="50">
        <v>62</v>
      </c>
      <c r="K553" s="50" t="s">
        <v>265</v>
      </c>
    </row>
    <row r="554" spans="1:11">
      <c r="A554" s="50">
        <v>43919</v>
      </c>
      <c r="C554" s="50" t="s">
        <v>56</v>
      </c>
      <c r="E554" s="50">
        <v>442</v>
      </c>
      <c r="F554" s="50">
        <v>76</v>
      </c>
      <c r="G554" s="50">
        <v>13</v>
      </c>
      <c r="J554" s="50">
        <v>15</v>
      </c>
      <c r="K554" s="50" t="s">
        <v>420</v>
      </c>
    </row>
    <row r="555" spans="1:11">
      <c r="A555" s="50">
        <v>43919</v>
      </c>
      <c r="C555" s="50" t="s">
        <v>58</v>
      </c>
      <c r="D555" s="50">
        <v>10168</v>
      </c>
      <c r="E555" s="50">
        <v>2466</v>
      </c>
      <c r="F555" s="50">
        <v>365</v>
      </c>
      <c r="G555" s="50">
        <v>59</v>
      </c>
      <c r="H555" s="50">
        <v>55</v>
      </c>
      <c r="I555" s="50">
        <v>193</v>
      </c>
      <c r="J555" s="50">
        <v>49</v>
      </c>
      <c r="K555" s="50" t="s">
        <v>60</v>
      </c>
    </row>
    <row r="556" spans="1:11">
      <c r="A556" s="50">
        <v>43919</v>
      </c>
      <c r="C556" s="50" t="s">
        <v>61</v>
      </c>
      <c r="E556" s="50">
        <v>50</v>
      </c>
      <c r="F556" s="50">
        <v>2</v>
      </c>
      <c r="J556" s="50">
        <v>1</v>
      </c>
      <c r="K556" s="50" t="s">
        <v>387</v>
      </c>
    </row>
    <row r="557" spans="1:11">
      <c r="A557" s="50">
        <v>43919</v>
      </c>
      <c r="C557" s="50" t="s">
        <v>63</v>
      </c>
      <c r="E557" s="50">
        <v>519</v>
      </c>
      <c r="F557" s="50">
        <v>63</v>
      </c>
      <c r="J557" s="50">
        <v>15</v>
      </c>
      <c r="K557" s="50" t="s">
        <v>65</v>
      </c>
    </row>
    <row r="558" spans="1:11">
      <c r="A558" s="50">
        <v>43919</v>
      </c>
      <c r="C558" s="50" t="s">
        <v>66</v>
      </c>
      <c r="E558" s="50">
        <v>127</v>
      </c>
      <c r="F558" s="50">
        <v>28</v>
      </c>
      <c r="G558" s="50">
        <v>5</v>
      </c>
      <c r="J558" s="50">
        <v>0</v>
      </c>
      <c r="K558" s="50" t="s">
        <v>427</v>
      </c>
    </row>
    <row r="559" spans="1:11">
      <c r="A559" s="50">
        <v>43919</v>
      </c>
      <c r="C559" s="50" t="s">
        <v>71</v>
      </c>
      <c r="E559" s="50">
        <v>346</v>
      </c>
      <c r="F559" s="50">
        <v>60</v>
      </c>
      <c r="G559" s="50">
        <v>16</v>
      </c>
      <c r="H559" s="50">
        <v>6</v>
      </c>
      <c r="J559" s="50">
        <v>18</v>
      </c>
      <c r="K559" s="50" t="s">
        <v>377</v>
      </c>
    </row>
    <row r="560" spans="1:11">
      <c r="A560" s="50">
        <v>43919</v>
      </c>
      <c r="C560" s="50" t="s">
        <v>73</v>
      </c>
      <c r="E560" s="50">
        <v>59</v>
      </c>
      <c r="F560" s="50">
        <v>4</v>
      </c>
      <c r="K560" s="50" t="s">
        <v>357</v>
      </c>
    </row>
    <row r="561" spans="1:11">
      <c r="A561" s="50">
        <v>43919</v>
      </c>
      <c r="C561" s="50" t="s">
        <v>78</v>
      </c>
      <c r="E561" s="50">
        <v>365</v>
      </c>
      <c r="J561" s="50">
        <v>5</v>
      </c>
      <c r="K561" s="50" t="s">
        <v>80</v>
      </c>
    </row>
    <row r="562" spans="1:11">
      <c r="A562" s="50">
        <v>43919</v>
      </c>
      <c r="C562" s="50" t="s">
        <v>81</v>
      </c>
      <c r="E562" s="50">
        <v>41</v>
      </c>
      <c r="F562" s="50">
        <v>15</v>
      </c>
      <c r="G562" s="50">
        <v>1</v>
      </c>
      <c r="J562" s="50">
        <v>0</v>
      </c>
      <c r="K562" s="50" t="s">
        <v>428</v>
      </c>
    </row>
    <row r="563" spans="1:11">
      <c r="A563" s="50">
        <v>43919</v>
      </c>
      <c r="C563" s="50" t="s">
        <v>86</v>
      </c>
      <c r="E563" s="50">
        <v>128</v>
      </c>
      <c r="I563" s="50">
        <v>33</v>
      </c>
      <c r="J563" s="50">
        <v>2</v>
      </c>
      <c r="K563" s="50" t="s">
        <v>398</v>
      </c>
    </row>
    <row r="564" spans="1:11">
      <c r="A564" s="50">
        <v>43919</v>
      </c>
      <c r="C564" s="50" t="s">
        <v>88</v>
      </c>
      <c r="E564" s="50">
        <v>139</v>
      </c>
      <c r="J564" s="50">
        <v>2</v>
      </c>
      <c r="K564" s="50" t="s">
        <v>90</v>
      </c>
    </row>
    <row r="565" spans="1:11">
      <c r="A565" s="50">
        <v>43919</v>
      </c>
      <c r="C565" s="50" t="s">
        <v>94</v>
      </c>
      <c r="E565" s="50">
        <v>50</v>
      </c>
      <c r="F565" s="50">
        <v>7</v>
      </c>
      <c r="I565" s="50">
        <v>3</v>
      </c>
      <c r="K565" s="50" t="s">
        <v>226</v>
      </c>
    </row>
    <row r="566" spans="1:11">
      <c r="A566" s="50">
        <v>43919</v>
      </c>
      <c r="C566" s="50" t="s">
        <v>97</v>
      </c>
      <c r="E566" s="50">
        <v>3395</v>
      </c>
      <c r="F566" s="50">
        <v>370</v>
      </c>
      <c r="G566" s="50">
        <v>62</v>
      </c>
      <c r="J566" s="50">
        <v>81</v>
      </c>
      <c r="K566" s="50" t="s">
        <v>99</v>
      </c>
    </row>
    <row r="567" spans="1:11">
      <c r="A567" s="50">
        <v>43919</v>
      </c>
      <c r="C567" s="50" t="s">
        <v>100</v>
      </c>
      <c r="E567" s="50">
        <v>1055</v>
      </c>
      <c r="F567" s="50">
        <v>152</v>
      </c>
      <c r="G567" s="50">
        <v>22</v>
      </c>
      <c r="H567" s="50">
        <v>21</v>
      </c>
      <c r="J567" s="50">
        <v>31</v>
      </c>
      <c r="K567" s="50" t="s">
        <v>430</v>
      </c>
    </row>
    <row r="568" spans="1:11">
      <c r="A568" s="50">
        <v>43919</v>
      </c>
      <c r="B568" s="50">
        <v>0</v>
      </c>
      <c r="C568" s="50" t="s">
        <v>83</v>
      </c>
      <c r="E568" s="50">
        <v>190</v>
      </c>
      <c r="J568" s="50">
        <v>2</v>
      </c>
      <c r="K568" s="50" t="s">
        <v>85</v>
      </c>
    </row>
    <row r="569" spans="1:11">
      <c r="A569" s="50">
        <v>43919</v>
      </c>
      <c r="B569" s="50">
        <v>0.33333333333333331</v>
      </c>
      <c r="C569" s="50" t="s">
        <v>41</v>
      </c>
      <c r="E569" s="50">
        <v>48</v>
      </c>
      <c r="J569" s="50">
        <v>2</v>
      </c>
      <c r="K569" s="50" t="s">
        <v>43</v>
      </c>
    </row>
    <row r="570" spans="1:11">
      <c r="A570" s="50">
        <v>43919</v>
      </c>
      <c r="B570" s="50">
        <v>0.33333333333333331</v>
      </c>
      <c r="C570" s="50" t="s">
        <v>91</v>
      </c>
      <c r="E570" s="50">
        <v>1837</v>
      </c>
      <c r="F570" s="50">
        <v>402</v>
      </c>
      <c r="G570" s="50">
        <v>69</v>
      </c>
      <c r="H570" s="50">
        <v>59</v>
      </c>
      <c r="J570" s="50">
        <v>93</v>
      </c>
      <c r="K570" s="50" t="s">
        <v>266</v>
      </c>
    </row>
    <row r="571" spans="1:11">
      <c r="A571" s="50">
        <v>43919</v>
      </c>
      <c r="B571" s="50">
        <v>0.33333333333333331</v>
      </c>
      <c r="C571" s="50" t="s">
        <v>102</v>
      </c>
      <c r="E571" s="50">
        <v>101</v>
      </c>
      <c r="F571" s="50">
        <v>12</v>
      </c>
      <c r="G571" s="50">
        <v>5</v>
      </c>
      <c r="I571" s="50">
        <v>21</v>
      </c>
      <c r="J571" s="50">
        <v>1</v>
      </c>
      <c r="K571" s="50" t="s">
        <v>381</v>
      </c>
    </row>
    <row r="572" spans="1:11">
      <c r="A572" s="50">
        <v>43919</v>
      </c>
      <c r="B572" s="50">
        <v>0.41666666666666669</v>
      </c>
      <c r="C572" s="50" t="s">
        <v>50</v>
      </c>
      <c r="E572" s="50">
        <v>605</v>
      </c>
      <c r="F572" s="50">
        <v>87</v>
      </c>
      <c r="G572" s="50">
        <v>12</v>
      </c>
      <c r="I572" s="50">
        <v>228</v>
      </c>
      <c r="J572" s="50">
        <v>15</v>
      </c>
      <c r="K572" s="50" t="s">
        <v>264</v>
      </c>
    </row>
    <row r="573" spans="1:11">
      <c r="A573" s="50">
        <v>43919</v>
      </c>
      <c r="B573" s="50">
        <v>0.45833333333333331</v>
      </c>
      <c r="C573" s="50" t="s">
        <v>68</v>
      </c>
      <c r="E573" s="50">
        <v>339</v>
      </c>
      <c r="J573" s="50">
        <v>5</v>
      </c>
      <c r="K573" s="50" t="s">
        <v>70</v>
      </c>
    </row>
    <row r="574" spans="1:11">
      <c r="A574" s="50">
        <v>43919</v>
      </c>
      <c r="B574" s="50">
        <v>0.60416666666666663</v>
      </c>
      <c r="C574" s="50" t="s">
        <v>104</v>
      </c>
      <c r="E574" s="50">
        <v>1736</v>
      </c>
      <c r="F574" s="50">
        <v>194</v>
      </c>
      <c r="H574" s="50">
        <v>46</v>
      </c>
      <c r="J574" s="50">
        <v>22</v>
      </c>
      <c r="K574" s="50" t="s">
        <v>106</v>
      </c>
    </row>
    <row r="575" spans="1:11">
      <c r="A575" s="50">
        <v>43920</v>
      </c>
      <c r="C575" s="50" t="s">
        <v>47</v>
      </c>
      <c r="E575" s="50">
        <v>539</v>
      </c>
      <c r="F575" s="50">
        <v>86</v>
      </c>
      <c r="G575" s="50">
        <v>17</v>
      </c>
      <c r="H575" s="50">
        <v>16</v>
      </c>
      <c r="I575" s="50">
        <v>158</v>
      </c>
      <c r="J575" s="50">
        <v>7</v>
      </c>
      <c r="K575" s="50" t="s">
        <v>49</v>
      </c>
    </row>
    <row r="576" spans="1:11">
      <c r="A576" s="50">
        <v>43920</v>
      </c>
      <c r="C576" s="50" t="s">
        <v>53</v>
      </c>
      <c r="E576" s="50">
        <v>64</v>
      </c>
      <c r="K576" s="50" t="s">
        <v>269</v>
      </c>
    </row>
    <row r="577" spans="1:11">
      <c r="A577" s="50">
        <v>43920</v>
      </c>
      <c r="C577" s="50" t="s">
        <v>56</v>
      </c>
      <c r="E577" s="50">
        <v>477</v>
      </c>
      <c r="F577" s="50">
        <v>77</v>
      </c>
      <c r="G577" s="50">
        <v>16</v>
      </c>
      <c r="J577" s="50">
        <v>17</v>
      </c>
      <c r="K577" s="50" t="s">
        <v>420</v>
      </c>
    </row>
    <row r="578" spans="1:11">
      <c r="A578" s="50">
        <v>43920</v>
      </c>
      <c r="C578" s="50" t="s">
        <v>58</v>
      </c>
      <c r="D578" s="50">
        <v>10834</v>
      </c>
      <c r="E578" s="50">
        <v>2673</v>
      </c>
      <c r="F578" s="50">
        <v>382</v>
      </c>
      <c r="G578" s="50">
        <v>57</v>
      </c>
      <c r="H578" s="50">
        <v>54</v>
      </c>
      <c r="I578" s="50">
        <v>216</v>
      </c>
      <c r="J578" s="50">
        <v>59</v>
      </c>
      <c r="K578" s="50" t="s">
        <v>60</v>
      </c>
    </row>
    <row r="579" spans="1:11">
      <c r="A579" s="50">
        <v>43920</v>
      </c>
      <c r="C579" s="50" t="s">
        <v>61</v>
      </c>
      <c r="E579" s="50">
        <v>51</v>
      </c>
      <c r="F579" s="50">
        <v>3</v>
      </c>
      <c r="J579" s="50">
        <v>2</v>
      </c>
      <c r="K579" s="50" t="s">
        <v>387</v>
      </c>
    </row>
    <row r="580" spans="1:11">
      <c r="A580" s="50">
        <v>43920</v>
      </c>
      <c r="C580" s="50" t="s">
        <v>63</v>
      </c>
      <c r="E580" s="50">
        <v>535</v>
      </c>
      <c r="F580" s="50">
        <v>58</v>
      </c>
      <c r="J580" s="50">
        <v>19</v>
      </c>
      <c r="K580" s="50" t="s">
        <v>65</v>
      </c>
    </row>
    <row r="581" spans="1:11">
      <c r="A581" s="50">
        <v>43920</v>
      </c>
      <c r="C581" s="50" t="s">
        <v>66</v>
      </c>
      <c r="E581" s="50">
        <v>128</v>
      </c>
      <c r="F581" s="50">
        <v>28</v>
      </c>
      <c r="G581" s="50">
        <v>5</v>
      </c>
      <c r="J581" s="50">
        <v>0</v>
      </c>
      <c r="K581" s="50" t="s">
        <v>427</v>
      </c>
    </row>
    <row r="582" spans="1:11">
      <c r="A582" s="50">
        <v>43920</v>
      </c>
      <c r="C582" s="50" t="s">
        <v>71</v>
      </c>
      <c r="E582" s="50">
        <v>378</v>
      </c>
      <c r="F582" s="50">
        <v>57</v>
      </c>
      <c r="G582" s="50">
        <v>12</v>
      </c>
      <c r="H582" s="50">
        <v>6</v>
      </c>
      <c r="J582" s="50">
        <v>20</v>
      </c>
      <c r="K582" s="50" t="s">
        <v>377</v>
      </c>
    </row>
    <row r="583" spans="1:11">
      <c r="A583" s="50">
        <v>43920</v>
      </c>
      <c r="C583" s="50" t="s">
        <v>73</v>
      </c>
      <c r="E583" s="50">
        <v>63</v>
      </c>
      <c r="F583" s="50">
        <v>8</v>
      </c>
      <c r="K583" s="50" t="s">
        <v>357</v>
      </c>
    </row>
    <row r="584" spans="1:11">
      <c r="A584" s="50">
        <v>43920</v>
      </c>
      <c r="C584" s="50" t="s">
        <v>75</v>
      </c>
      <c r="E584" s="50">
        <v>46</v>
      </c>
      <c r="K584" s="50" t="s">
        <v>77</v>
      </c>
    </row>
    <row r="585" spans="1:11">
      <c r="A585" s="50">
        <v>43920</v>
      </c>
      <c r="C585" s="50" t="s">
        <v>78</v>
      </c>
      <c r="E585" s="50">
        <v>389</v>
      </c>
      <c r="J585" s="50">
        <v>5</v>
      </c>
      <c r="K585" s="50" t="s">
        <v>80</v>
      </c>
    </row>
    <row r="586" spans="1:11">
      <c r="A586" s="50">
        <v>43920</v>
      </c>
      <c r="C586" s="50" t="s">
        <v>81</v>
      </c>
      <c r="E586" s="50">
        <v>42</v>
      </c>
      <c r="F586" s="50">
        <v>19</v>
      </c>
      <c r="G586" s="50">
        <v>3</v>
      </c>
      <c r="J586" s="50">
        <v>0</v>
      </c>
      <c r="K586" s="50" t="s">
        <v>428</v>
      </c>
    </row>
    <row r="587" spans="1:11">
      <c r="A587" s="50">
        <v>43920</v>
      </c>
      <c r="C587" s="50" t="s">
        <v>86</v>
      </c>
      <c r="E587" s="50">
        <v>135</v>
      </c>
      <c r="I587" s="50">
        <v>33</v>
      </c>
      <c r="J587" s="50">
        <v>2</v>
      </c>
      <c r="K587" s="50" t="s">
        <v>398</v>
      </c>
    </row>
    <row r="588" spans="1:11">
      <c r="A588" s="50">
        <v>43920</v>
      </c>
      <c r="C588" s="50" t="s">
        <v>88</v>
      </c>
      <c r="E588" s="50">
        <v>149</v>
      </c>
      <c r="J588" s="50">
        <v>2</v>
      </c>
      <c r="K588" s="50" t="s">
        <v>90</v>
      </c>
    </row>
    <row r="589" spans="1:11">
      <c r="A589" s="50">
        <v>43920</v>
      </c>
      <c r="C589" s="50" t="s">
        <v>94</v>
      </c>
      <c r="E589" s="50">
        <v>53</v>
      </c>
      <c r="F589" s="50">
        <v>7</v>
      </c>
      <c r="I589" s="50">
        <v>9</v>
      </c>
      <c r="K589" s="50" t="s">
        <v>226</v>
      </c>
    </row>
    <row r="590" spans="1:11">
      <c r="A590" s="50">
        <v>43920</v>
      </c>
      <c r="C590" s="50" t="s">
        <v>97</v>
      </c>
      <c r="E590" s="50">
        <v>3607</v>
      </c>
      <c r="F590" s="50">
        <v>373</v>
      </c>
      <c r="G590" s="50">
        <v>65</v>
      </c>
      <c r="J590" s="50">
        <v>93</v>
      </c>
      <c r="K590" s="50" t="s">
        <v>99</v>
      </c>
    </row>
    <row r="591" spans="1:11">
      <c r="A591" s="50">
        <v>43920</v>
      </c>
      <c r="C591" s="50" t="s">
        <v>100</v>
      </c>
      <c r="E591" s="50">
        <v>1144</v>
      </c>
      <c r="F591" s="50">
        <v>152</v>
      </c>
      <c r="G591" s="50">
        <v>25</v>
      </c>
      <c r="H591" s="50">
        <v>23</v>
      </c>
      <c r="J591" s="50">
        <v>35</v>
      </c>
      <c r="K591" s="50" t="s">
        <v>430</v>
      </c>
    </row>
    <row r="592" spans="1:11">
      <c r="A592" s="50">
        <v>43920</v>
      </c>
      <c r="B592" s="50">
        <v>0.29166666666666669</v>
      </c>
      <c r="C592" s="50" t="s">
        <v>44</v>
      </c>
      <c r="E592" s="50">
        <v>826</v>
      </c>
      <c r="F592" s="50">
        <v>112</v>
      </c>
      <c r="G592" s="50">
        <v>21</v>
      </c>
      <c r="H592" s="50">
        <v>17</v>
      </c>
      <c r="J592" s="50">
        <v>13</v>
      </c>
      <c r="K592" s="50" t="s">
        <v>46</v>
      </c>
    </row>
    <row r="593" spans="1:11">
      <c r="A593" s="50">
        <v>43920</v>
      </c>
      <c r="B593" s="50">
        <v>0.33333333333333331</v>
      </c>
      <c r="C593" s="50" t="s">
        <v>91</v>
      </c>
      <c r="E593" s="50">
        <v>1962</v>
      </c>
      <c r="F593" s="50">
        <v>415</v>
      </c>
      <c r="G593" s="50">
        <v>75</v>
      </c>
      <c r="H593" s="50">
        <v>61</v>
      </c>
      <c r="J593" s="50">
        <v>105</v>
      </c>
      <c r="K593" s="50" t="s">
        <v>270</v>
      </c>
    </row>
    <row r="594" spans="1:11">
      <c r="A594" s="50">
        <v>43920</v>
      </c>
      <c r="B594" s="50">
        <v>0.33333333333333331</v>
      </c>
      <c r="C594" s="50" t="s">
        <v>102</v>
      </c>
      <c r="E594" s="50">
        <v>112</v>
      </c>
      <c r="F594" s="50">
        <v>13</v>
      </c>
      <c r="G594" s="50">
        <v>5</v>
      </c>
      <c r="I594" s="50">
        <v>29</v>
      </c>
      <c r="J594" s="50">
        <v>1</v>
      </c>
      <c r="K594" s="50" t="s">
        <v>381</v>
      </c>
    </row>
    <row r="595" spans="1:11">
      <c r="A595" s="50">
        <v>43920</v>
      </c>
      <c r="B595" s="50">
        <v>0.41666666666666669</v>
      </c>
      <c r="C595" s="50" t="s">
        <v>50</v>
      </c>
      <c r="E595" s="50">
        <v>617</v>
      </c>
      <c r="F595" s="50">
        <v>90</v>
      </c>
      <c r="G595" s="50">
        <v>12</v>
      </c>
      <c r="I595" s="50">
        <v>263</v>
      </c>
      <c r="J595" s="50">
        <v>15</v>
      </c>
      <c r="K595" s="50" t="s">
        <v>268</v>
      </c>
    </row>
    <row r="596" spans="1:11">
      <c r="A596" s="50">
        <v>43920</v>
      </c>
      <c r="B596" s="50">
        <v>0.45833333333333331</v>
      </c>
      <c r="C596" s="50" t="s">
        <v>68</v>
      </c>
      <c r="E596" s="50">
        <v>351</v>
      </c>
      <c r="J596" s="50">
        <v>6</v>
      </c>
      <c r="K596" s="50" t="s">
        <v>70</v>
      </c>
    </row>
    <row r="597" spans="1:11">
      <c r="A597" s="50">
        <v>43920</v>
      </c>
      <c r="B597" s="50">
        <v>0.5</v>
      </c>
      <c r="C597" s="50" t="s">
        <v>38</v>
      </c>
      <c r="E597" s="50">
        <v>14</v>
      </c>
      <c r="K597" s="50" t="s">
        <v>40</v>
      </c>
    </row>
    <row r="598" spans="1:11">
      <c r="A598" s="50">
        <v>43920</v>
      </c>
      <c r="B598" s="50">
        <v>0.60416666666666663</v>
      </c>
      <c r="C598" s="50" t="s">
        <v>104</v>
      </c>
      <c r="E598" s="50">
        <v>1862</v>
      </c>
      <c r="F598" s="50">
        <v>197</v>
      </c>
      <c r="H598" s="50">
        <v>46</v>
      </c>
      <c r="J598" s="50">
        <v>24</v>
      </c>
      <c r="K598" s="50" t="s">
        <v>106</v>
      </c>
    </row>
    <row r="599" spans="1:11">
      <c r="A599" s="50">
        <v>43920</v>
      </c>
      <c r="B599" s="50">
        <v>0.625</v>
      </c>
      <c r="C599" s="50" t="s">
        <v>34</v>
      </c>
      <c r="E599" s="50">
        <v>481</v>
      </c>
      <c r="F599" s="50">
        <v>94</v>
      </c>
      <c r="G599" s="50">
        <v>25</v>
      </c>
      <c r="H599" s="50">
        <v>23</v>
      </c>
      <c r="J599" s="50">
        <v>8</v>
      </c>
      <c r="K599" s="50" t="s">
        <v>267</v>
      </c>
    </row>
    <row r="600" spans="1:11">
      <c r="A600" s="50">
        <v>43920</v>
      </c>
      <c r="B600" s="50">
        <v>0.75</v>
      </c>
      <c r="C600" s="50" t="s">
        <v>41</v>
      </c>
      <c r="E600" s="50">
        <v>50</v>
      </c>
      <c r="J600" s="50">
        <v>2</v>
      </c>
      <c r="K600" s="50" t="s">
        <v>43</v>
      </c>
    </row>
    <row r="601" spans="1:11">
      <c r="A601" s="50">
        <v>43921</v>
      </c>
      <c r="C601" s="50" t="s">
        <v>47</v>
      </c>
      <c r="E601" s="50">
        <v>561</v>
      </c>
      <c r="F601" s="50">
        <v>88</v>
      </c>
      <c r="G601" s="50">
        <v>18</v>
      </c>
      <c r="H601" s="50">
        <v>16</v>
      </c>
      <c r="I601" s="50">
        <v>242</v>
      </c>
      <c r="J601" s="50">
        <v>10</v>
      </c>
      <c r="K601" s="50" t="s">
        <v>49</v>
      </c>
    </row>
    <row r="602" spans="1:11">
      <c r="A602" s="50">
        <v>43921</v>
      </c>
      <c r="C602" s="50" t="s">
        <v>53</v>
      </c>
      <c r="E602" s="50">
        <v>68</v>
      </c>
      <c r="K602" s="50" t="s">
        <v>273</v>
      </c>
    </row>
    <row r="603" spans="1:11">
      <c r="A603" s="50">
        <v>43921</v>
      </c>
      <c r="C603" s="50" t="s">
        <v>56</v>
      </c>
      <c r="E603" s="50">
        <v>491</v>
      </c>
      <c r="F603" s="50">
        <v>77</v>
      </c>
      <c r="G603" s="50">
        <v>20</v>
      </c>
      <c r="J603" s="50">
        <v>20</v>
      </c>
      <c r="K603" s="50" t="s">
        <v>420</v>
      </c>
    </row>
    <row r="604" spans="1:11">
      <c r="A604" s="50">
        <v>43921</v>
      </c>
      <c r="C604" s="50" t="s">
        <v>58</v>
      </c>
      <c r="D604" s="50">
        <v>11594</v>
      </c>
      <c r="E604" s="50">
        <v>2902</v>
      </c>
      <c r="F604" s="50">
        <v>405</v>
      </c>
      <c r="G604" s="50">
        <v>64</v>
      </c>
      <c r="H604" s="50">
        <v>49</v>
      </c>
      <c r="I604" s="50">
        <v>241</v>
      </c>
      <c r="J604" s="50">
        <v>67</v>
      </c>
      <c r="K604" s="50" t="s">
        <v>60</v>
      </c>
    </row>
    <row r="605" spans="1:11">
      <c r="A605" s="50">
        <v>43921</v>
      </c>
      <c r="C605" s="50" t="s">
        <v>61</v>
      </c>
      <c r="E605" s="50">
        <v>53</v>
      </c>
      <c r="F605" s="50">
        <v>5</v>
      </c>
      <c r="J605" s="50">
        <v>2</v>
      </c>
      <c r="K605" s="50" t="s">
        <v>387</v>
      </c>
    </row>
    <row r="606" spans="1:11">
      <c r="A606" s="50">
        <v>43921</v>
      </c>
      <c r="C606" s="50" t="s">
        <v>63</v>
      </c>
      <c r="E606" s="50">
        <v>547</v>
      </c>
      <c r="F606" s="50">
        <v>58</v>
      </c>
      <c r="J606" s="50">
        <v>23</v>
      </c>
      <c r="K606" s="50" t="s">
        <v>65</v>
      </c>
    </row>
    <row r="607" spans="1:11">
      <c r="A607" s="50">
        <v>43921</v>
      </c>
      <c r="C607" s="50" t="s">
        <v>66</v>
      </c>
      <c r="E607" s="50">
        <v>140</v>
      </c>
      <c r="F607" s="50">
        <v>29</v>
      </c>
      <c r="G607" s="50">
        <v>5</v>
      </c>
      <c r="J607" s="50">
        <v>0</v>
      </c>
      <c r="K607" s="50" t="s">
        <v>427</v>
      </c>
    </row>
    <row r="608" spans="1:11">
      <c r="A608" s="50">
        <v>43921</v>
      </c>
      <c r="C608" s="50" t="s">
        <v>71</v>
      </c>
      <c r="E608" s="50">
        <v>402</v>
      </c>
      <c r="F608" s="50">
        <v>59</v>
      </c>
      <c r="G608" s="50">
        <v>14</v>
      </c>
      <c r="H608" s="50">
        <v>8</v>
      </c>
      <c r="J608" s="50">
        <v>22</v>
      </c>
      <c r="K608" s="50" t="s">
        <v>377</v>
      </c>
    </row>
    <row r="609" spans="1:11">
      <c r="A609" s="50">
        <v>43921</v>
      </c>
      <c r="C609" s="50" t="s">
        <v>73</v>
      </c>
      <c r="E609" s="50">
        <v>70</v>
      </c>
      <c r="F609" s="50">
        <v>7</v>
      </c>
      <c r="G609" s="50">
        <v>1</v>
      </c>
      <c r="K609" s="50" t="s">
        <v>357</v>
      </c>
    </row>
    <row r="610" spans="1:11">
      <c r="A610" s="50">
        <v>43921</v>
      </c>
      <c r="C610" s="50" t="s">
        <v>75</v>
      </c>
      <c r="E610" s="50">
        <v>46</v>
      </c>
      <c r="K610" s="50" t="s">
        <v>77</v>
      </c>
    </row>
    <row r="611" spans="1:11">
      <c r="A611" s="50">
        <v>43921</v>
      </c>
      <c r="C611" s="50" t="s">
        <v>78</v>
      </c>
      <c r="E611" s="50">
        <v>414</v>
      </c>
      <c r="J611" s="50">
        <v>7</v>
      </c>
      <c r="K611" s="50" t="s">
        <v>80</v>
      </c>
    </row>
    <row r="612" spans="1:11">
      <c r="A612" s="50">
        <v>43921</v>
      </c>
      <c r="C612" s="50" t="s">
        <v>81</v>
      </c>
      <c r="E612" s="50">
        <v>44</v>
      </c>
      <c r="F612" s="50">
        <v>18</v>
      </c>
      <c r="G612" s="50">
        <v>3</v>
      </c>
      <c r="J612" s="50">
        <v>1</v>
      </c>
      <c r="K612" s="50" t="s">
        <v>428</v>
      </c>
    </row>
    <row r="613" spans="1:11">
      <c r="A613" s="50">
        <v>43921</v>
      </c>
      <c r="C613" s="50" t="s">
        <v>86</v>
      </c>
      <c r="E613" s="50">
        <v>140</v>
      </c>
      <c r="I613" s="50">
        <v>48</v>
      </c>
      <c r="J613" s="50">
        <v>4</v>
      </c>
      <c r="K613" s="50" t="s">
        <v>398</v>
      </c>
    </row>
    <row r="614" spans="1:11">
      <c r="A614" s="50">
        <v>43921</v>
      </c>
      <c r="C614" s="50" t="s">
        <v>88</v>
      </c>
      <c r="E614" s="50">
        <v>155</v>
      </c>
      <c r="J614" s="50">
        <v>3</v>
      </c>
      <c r="K614" s="50" t="s">
        <v>90</v>
      </c>
    </row>
    <row r="615" spans="1:11">
      <c r="A615" s="50">
        <v>43921</v>
      </c>
      <c r="C615" s="50" t="s">
        <v>94</v>
      </c>
      <c r="E615" s="50">
        <v>57</v>
      </c>
      <c r="F615" s="50">
        <v>9</v>
      </c>
      <c r="I615" s="50">
        <v>11</v>
      </c>
      <c r="K615" s="50" t="s">
        <v>226</v>
      </c>
    </row>
    <row r="616" spans="1:11">
      <c r="A616" s="50">
        <v>43921</v>
      </c>
      <c r="C616" s="50" t="s">
        <v>97</v>
      </c>
      <c r="E616" s="50">
        <v>3766</v>
      </c>
      <c r="F616" s="50">
        <v>381</v>
      </c>
      <c r="G616" s="50">
        <v>68</v>
      </c>
      <c r="J616" s="50">
        <v>105</v>
      </c>
      <c r="K616" s="50" t="s">
        <v>99</v>
      </c>
    </row>
    <row r="617" spans="1:11">
      <c r="A617" s="50">
        <v>43921</v>
      </c>
      <c r="C617" s="50" t="s">
        <v>100</v>
      </c>
      <c r="E617" s="50">
        <v>1211</v>
      </c>
      <c r="F617" s="50">
        <v>151</v>
      </c>
      <c r="G617" s="50">
        <v>24</v>
      </c>
      <c r="H617" s="50">
        <v>23</v>
      </c>
      <c r="J617" s="50">
        <v>37</v>
      </c>
      <c r="K617" s="50" t="s">
        <v>430</v>
      </c>
    </row>
    <row r="618" spans="1:11">
      <c r="A618" s="50">
        <v>43921</v>
      </c>
      <c r="B618" s="50">
        <v>0</v>
      </c>
      <c r="C618" s="50" t="s">
        <v>83</v>
      </c>
      <c r="E618" s="50">
        <v>196</v>
      </c>
      <c r="J618" s="50">
        <v>2</v>
      </c>
      <c r="K618" s="50" t="s">
        <v>388</v>
      </c>
    </row>
    <row r="619" spans="1:11">
      <c r="A619" s="50">
        <v>43921</v>
      </c>
      <c r="B619" s="50">
        <v>0.33333333333333331</v>
      </c>
      <c r="C619" s="50" t="s">
        <v>44</v>
      </c>
      <c r="E619" s="50">
        <v>856</v>
      </c>
      <c r="F619" s="50">
        <v>111</v>
      </c>
      <c r="G619" s="50">
        <v>23</v>
      </c>
      <c r="H619" s="50">
        <v>18</v>
      </c>
      <c r="J619" s="50">
        <v>16</v>
      </c>
      <c r="K619" s="50" t="s">
        <v>46</v>
      </c>
    </row>
    <row r="620" spans="1:11">
      <c r="A620" s="50">
        <v>43921</v>
      </c>
      <c r="B620" s="50">
        <v>0.33333333333333331</v>
      </c>
      <c r="C620" s="50" t="s">
        <v>91</v>
      </c>
      <c r="E620" s="50">
        <v>2091</v>
      </c>
      <c r="F620" s="50">
        <v>401</v>
      </c>
      <c r="G620" s="50">
        <v>74</v>
      </c>
      <c r="H620" s="50">
        <v>67</v>
      </c>
      <c r="I620" s="50">
        <v>202</v>
      </c>
      <c r="J620" s="50">
        <v>120</v>
      </c>
      <c r="K620" s="50" t="s">
        <v>274</v>
      </c>
    </row>
    <row r="621" spans="1:11">
      <c r="A621" s="50">
        <v>43921</v>
      </c>
      <c r="B621" s="50">
        <v>0.33333333333333331</v>
      </c>
      <c r="C621" s="50" t="s">
        <v>102</v>
      </c>
      <c r="E621" s="50">
        <v>114</v>
      </c>
      <c r="F621" s="50">
        <v>14</v>
      </c>
      <c r="G621" s="50">
        <v>6</v>
      </c>
      <c r="I621" s="50">
        <v>39</v>
      </c>
      <c r="J621" s="50">
        <v>1</v>
      </c>
      <c r="K621" s="50" t="s">
        <v>381</v>
      </c>
    </row>
    <row r="622" spans="1:11">
      <c r="A622" s="50">
        <v>43921</v>
      </c>
      <c r="B622" s="50">
        <v>0.41666666666666669</v>
      </c>
      <c r="C622" s="50" t="s">
        <v>50</v>
      </c>
      <c r="E622" s="50">
        <v>653</v>
      </c>
      <c r="F622" s="50">
        <v>105</v>
      </c>
      <c r="G622" s="50">
        <v>15</v>
      </c>
      <c r="I622" s="50">
        <v>292</v>
      </c>
      <c r="J622" s="50">
        <v>16</v>
      </c>
      <c r="K622" s="50" t="s">
        <v>272</v>
      </c>
    </row>
    <row r="623" spans="1:11">
      <c r="A623" s="50">
        <v>43921</v>
      </c>
      <c r="B623" s="50">
        <v>0.45833333333333331</v>
      </c>
      <c r="C623" s="50" t="s">
        <v>68</v>
      </c>
      <c r="E623" s="50">
        <v>375</v>
      </c>
      <c r="J623" s="50">
        <v>7</v>
      </c>
      <c r="K623" s="50" t="s">
        <v>70</v>
      </c>
    </row>
    <row r="624" spans="1:11">
      <c r="A624" s="50">
        <v>43921</v>
      </c>
      <c r="B624" s="50">
        <v>0.5</v>
      </c>
      <c r="C624" s="50" t="s">
        <v>38</v>
      </c>
      <c r="E624" s="50">
        <v>14</v>
      </c>
      <c r="K624" s="50" t="s">
        <v>40</v>
      </c>
    </row>
    <row r="625" spans="1:11">
      <c r="A625" s="50">
        <v>43921</v>
      </c>
      <c r="B625" s="50">
        <v>0.60416666666666663</v>
      </c>
      <c r="C625" s="50" t="s">
        <v>104</v>
      </c>
      <c r="E625" s="50">
        <v>1953</v>
      </c>
      <c r="F625" s="50">
        <v>196</v>
      </c>
      <c r="H625" s="50">
        <v>50</v>
      </c>
      <c r="J625" s="50">
        <v>27</v>
      </c>
      <c r="K625" s="50" t="s">
        <v>106</v>
      </c>
    </row>
    <row r="626" spans="1:11">
      <c r="A626" s="50">
        <v>43921</v>
      </c>
      <c r="B626" s="50">
        <v>0.625</v>
      </c>
      <c r="C626" s="50" t="s">
        <v>34</v>
      </c>
      <c r="E626" s="50">
        <v>499</v>
      </c>
      <c r="F626" s="50">
        <v>85</v>
      </c>
      <c r="G626" s="50">
        <v>25</v>
      </c>
      <c r="H626" s="50">
        <v>25</v>
      </c>
      <c r="J626" s="50">
        <v>11</v>
      </c>
      <c r="K626" s="50" t="s">
        <v>271</v>
      </c>
    </row>
    <row r="627" spans="1:11">
      <c r="A627" s="50">
        <v>43921</v>
      </c>
      <c r="B627" s="50">
        <v>0.66666666666666663</v>
      </c>
      <c r="C627" s="50" t="s">
        <v>41</v>
      </c>
      <c r="E627" s="50">
        <v>58</v>
      </c>
      <c r="J627" s="50">
        <v>2</v>
      </c>
      <c r="K627" s="50" t="s">
        <v>43</v>
      </c>
    </row>
    <row r="628" spans="1:11">
      <c r="A628" s="50">
        <v>43922</v>
      </c>
      <c r="C628" s="50" t="s">
        <v>47</v>
      </c>
      <c r="E628" s="50">
        <v>588</v>
      </c>
      <c r="F628" s="50">
        <v>86</v>
      </c>
      <c r="G628" s="50">
        <v>17</v>
      </c>
      <c r="H628" s="50">
        <v>17</v>
      </c>
      <c r="I628" s="50">
        <v>249</v>
      </c>
      <c r="J628" s="50">
        <v>11</v>
      </c>
      <c r="K628" s="50" t="s">
        <v>49</v>
      </c>
    </row>
    <row r="629" spans="1:11">
      <c r="A629" s="50">
        <v>43922</v>
      </c>
      <c r="C629" s="50" t="s">
        <v>53</v>
      </c>
      <c r="E629" s="50">
        <v>72</v>
      </c>
      <c r="K629" s="50" t="s">
        <v>277</v>
      </c>
    </row>
    <row r="630" spans="1:11">
      <c r="A630" s="50">
        <v>43922</v>
      </c>
      <c r="C630" s="50" t="s">
        <v>56</v>
      </c>
      <c r="E630" s="50">
        <v>525</v>
      </c>
      <c r="F630" s="50">
        <v>81</v>
      </c>
      <c r="G630" s="50">
        <v>23</v>
      </c>
      <c r="J630" s="50">
        <v>23</v>
      </c>
      <c r="K630" s="50" t="s">
        <v>420</v>
      </c>
    </row>
    <row r="631" spans="1:11">
      <c r="A631" s="50">
        <v>43922</v>
      </c>
      <c r="C631" s="50" t="s">
        <v>58</v>
      </c>
      <c r="D631" s="50">
        <v>12252</v>
      </c>
      <c r="E631" s="50">
        <v>3059</v>
      </c>
      <c r="F631" s="50">
        <v>406</v>
      </c>
      <c r="G631" s="50">
        <v>64</v>
      </c>
      <c r="H631" s="50">
        <v>58</v>
      </c>
      <c r="I631" s="50">
        <v>260</v>
      </c>
      <c r="J631" s="50">
        <v>76</v>
      </c>
      <c r="K631" s="50" t="s">
        <v>60</v>
      </c>
    </row>
    <row r="632" spans="1:11">
      <c r="A632" s="50">
        <v>43922</v>
      </c>
      <c r="C632" s="50" t="s">
        <v>61</v>
      </c>
      <c r="E632" s="50">
        <v>56</v>
      </c>
      <c r="F632" s="50">
        <v>5</v>
      </c>
      <c r="J632" s="50">
        <v>2</v>
      </c>
      <c r="K632" s="50" t="s">
        <v>387</v>
      </c>
    </row>
    <row r="633" spans="1:11">
      <c r="A633" s="50">
        <v>43922</v>
      </c>
      <c r="C633" s="50" t="s">
        <v>63</v>
      </c>
      <c r="E633" s="50">
        <v>592</v>
      </c>
      <c r="F633" s="50">
        <v>59</v>
      </c>
      <c r="J633" s="50">
        <v>26</v>
      </c>
      <c r="K633" s="50" t="s">
        <v>65</v>
      </c>
    </row>
    <row r="634" spans="1:11">
      <c r="A634" s="50">
        <v>43922</v>
      </c>
      <c r="C634" s="50" t="s">
        <v>66</v>
      </c>
      <c r="E634" s="50">
        <v>145</v>
      </c>
      <c r="F634" s="50">
        <v>29</v>
      </c>
      <c r="G634" s="50">
        <v>5</v>
      </c>
      <c r="J634" s="50">
        <v>0</v>
      </c>
      <c r="K634" s="50" t="s">
        <v>427</v>
      </c>
    </row>
    <row r="635" spans="1:11">
      <c r="A635" s="50">
        <v>43922</v>
      </c>
      <c r="C635" s="50" t="s">
        <v>71</v>
      </c>
      <c r="E635" s="50">
        <v>420</v>
      </c>
      <c r="F635" s="50">
        <v>66</v>
      </c>
      <c r="G635" s="50">
        <v>14</v>
      </c>
      <c r="H635" s="50">
        <v>8</v>
      </c>
      <c r="J635" s="50">
        <v>24</v>
      </c>
      <c r="K635" s="50" t="s">
        <v>377</v>
      </c>
    </row>
    <row r="636" spans="1:11">
      <c r="A636" s="50">
        <v>43922</v>
      </c>
      <c r="C636" s="50" t="s">
        <v>73</v>
      </c>
      <c r="E636" s="50">
        <v>70</v>
      </c>
      <c r="F636" s="50">
        <v>9</v>
      </c>
      <c r="G636" s="50">
        <v>2</v>
      </c>
      <c r="K636" s="50" t="s">
        <v>357</v>
      </c>
    </row>
    <row r="637" spans="1:11">
      <c r="A637" s="50">
        <v>43922</v>
      </c>
      <c r="C637" s="50" t="s">
        <v>75</v>
      </c>
      <c r="E637" s="50">
        <v>48</v>
      </c>
      <c r="K637" s="50" t="s">
        <v>77</v>
      </c>
    </row>
    <row r="638" spans="1:11">
      <c r="A638" s="50">
        <v>43922</v>
      </c>
      <c r="C638" s="50" t="s">
        <v>78</v>
      </c>
      <c r="E638" s="50">
        <v>414</v>
      </c>
      <c r="J638" s="50">
        <v>7</v>
      </c>
      <c r="K638" s="50" t="s">
        <v>80</v>
      </c>
    </row>
    <row r="639" spans="1:11">
      <c r="A639" s="50">
        <v>43922</v>
      </c>
      <c r="C639" s="50" t="s">
        <v>81</v>
      </c>
      <c r="E639" s="50">
        <v>44</v>
      </c>
      <c r="F639" s="50">
        <v>10</v>
      </c>
      <c r="G639" s="50">
        <v>3</v>
      </c>
      <c r="J639" s="50">
        <v>1</v>
      </c>
      <c r="K639" s="50" t="s">
        <v>428</v>
      </c>
    </row>
    <row r="640" spans="1:11">
      <c r="A640" s="50">
        <v>43922</v>
      </c>
      <c r="C640" s="50" t="s">
        <v>86</v>
      </c>
      <c r="E640" s="50">
        <v>146</v>
      </c>
      <c r="I640" s="50">
        <v>65</v>
      </c>
      <c r="J640" s="50">
        <v>4</v>
      </c>
      <c r="K640" s="50" t="s">
        <v>398</v>
      </c>
    </row>
    <row r="641" spans="1:11">
      <c r="A641" s="50">
        <v>43922</v>
      </c>
      <c r="C641" s="50" t="s">
        <v>88</v>
      </c>
      <c r="E641" s="50">
        <v>167</v>
      </c>
      <c r="J641" s="50">
        <v>4</v>
      </c>
      <c r="K641" s="50" t="s">
        <v>90</v>
      </c>
    </row>
    <row r="642" spans="1:11">
      <c r="A642" s="50">
        <v>43922</v>
      </c>
      <c r="C642" s="50" t="s">
        <v>94</v>
      </c>
      <c r="E642" s="50">
        <v>59</v>
      </c>
      <c r="F642" s="50">
        <v>10</v>
      </c>
      <c r="I642" s="50">
        <v>13</v>
      </c>
      <c r="J642" s="50">
        <v>1</v>
      </c>
      <c r="K642" s="50" t="s">
        <v>226</v>
      </c>
    </row>
    <row r="643" spans="1:11">
      <c r="A643" s="50">
        <v>43922</v>
      </c>
      <c r="C643" s="50" t="s">
        <v>97</v>
      </c>
      <c r="E643" s="50">
        <v>3918</v>
      </c>
      <c r="F643" s="50">
        <v>387</v>
      </c>
      <c r="G643" s="50">
        <v>71</v>
      </c>
      <c r="J643" s="50">
        <v>116</v>
      </c>
      <c r="K643" s="50" t="s">
        <v>99</v>
      </c>
    </row>
    <row r="644" spans="1:11">
      <c r="A644" s="50">
        <v>43922</v>
      </c>
      <c r="C644" s="50" t="s">
        <v>100</v>
      </c>
      <c r="E644" s="50">
        <v>1282</v>
      </c>
      <c r="F644" s="50">
        <v>145</v>
      </c>
      <c r="G644" s="50">
        <v>26</v>
      </c>
      <c r="H644" s="50">
        <v>25</v>
      </c>
      <c r="I644" s="50">
        <v>70</v>
      </c>
      <c r="J644" s="50">
        <v>40</v>
      </c>
      <c r="K644" s="50" t="s">
        <v>430</v>
      </c>
    </row>
    <row r="645" spans="1:11">
      <c r="A645" s="50">
        <v>43922</v>
      </c>
      <c r="B645" s="50">
        <v>0</v>
      </c>
      <c r="C645" s="50" t="s">
        <v>83</v>
      </c>
      <c r="E645" s="50">
        <v>216</v>
      </c>
      <c r="J645" s="50">
        <v>3</v>
      </c>
      <c r="K645" s="50" t="s">
        <v>388</v>
      </c>
    </row>
    <row r="646" spans="1:11">
      <c r="A646" s="50">
        <v>43922</v>
      </c>
      <c r="B646" s="50">
        <v>0.33333333333333331</v>
      </c>
      <c r="C646" s="50" t="s">
        <v>44</v>
      </c>
      <c r="E646" s="50">
        <v>909</v>
      </c>
      <c r="F646" s="50">
        <v>115</v>
      </c>
      <c r="G646" s="50">
        <v>26</v>
      </c>
      <c r="H646" s="50">
        <v>21</v>
      </c>
      <c r="J646" s="50">
        <v>20</v>
      </c>
      <c r="K646" s="50" t="s">
        <v>46</v>
      </c>
    </row>
    <row r="647" spans="1:11">
      <c r="A647" s="50">
        <v>43922</v>
      </c>
      <c r="B647" s="50">
        <v>0.33333333333333331</v>
      </c>
      <c r="C647" s="50" t="s">
        <v>91</v>
      </c>
      <c r="E647" s="50">
        <v>2195</v>
      </c>
      <c r="F647" s="50">
        <v>396</v>
      </c>
      <c r="G647" s="50">
        <v>76</v>
      </c>
      <c r="H647" s="50">
        <v>72</v>
      </c>
      <c r="I647" s="50">
        <v>229</v>
      </c>
      <c r="J647" s="50">
        <v>132</v>
      </c>
      <c r="K647" s="50" t="s">
        <v>278</v>
      </c>
    </row>
    <row r="648" spans="1:11">
      <c r="A648" s="50">
        <v>43922</v>
      </c>
      <c r="B648" s="50">
        <v>0.33333333333333331</v>
      </c>
      <c r="C648" s="50" t="s">
        <v>102</v>
      </c>
      <c r="E648" s="50">
        <v>125</v>
      </c>
      <c r="F648" s="50">
        <v>13</v>
      </c>
      <c r="G648" s="50">
        <v>5</v>
      </c>
      <c r="I648" s="50">
        <v>40</v>
      </c>
      <c r="J648" s="50">
        <v>1</v>
      </c>
      <c r="K648" s="50" t="s">
        <v>381</v>
      </c>
    </row>
    <row r="649" spans="1:11">
      <c r="A649" s="50">
        <v>43922</v>
      </c>
      <c r="B649" s="50">
        <v>0.41666666666666669</v>
      </c>
      <c r="C649" s="50" t="s">
        <v>50</v>
      </c>
      <c r="E649" s="50">
        <v>687</v>
      </c>
      <c r="F649" s="50">
        <v>108</v>
      </c>
      <c r="G649" s="50">
        <v>16</v>
      </c>
      <c r="I649" s="50">
        <v>323</v>
      </c>
      <c r="J649" s="50">
        <v>18</v>
      </c>
      <c r="K649" s="50" t="s">
        <v>276</v>
      </c>
    </row>
    <row r="650" spans="1:11">
      <c r="A650" s="50">
        <v>43922</v>
      </c>
      <c r="B650" s="50">
        <v>0.45833333333333331</v>
      </c>
      <c r="C650" s="50" t="s">
        <v>68</v>
      </c>
      <c r="E650" s="50">
        <v>401</v>
      </c>
      <c r="F650" s="50">
        <v>57</v>
      </c>
      <c r="G650" s="50">
        <v>12</v>
      </c>
      <c r="J650" s="50">
        <v>7</v>
      </c>
      <c r="K650" s="50" t="s">
        <v>70</v>
      </c>
    </row>
    <row r="651" spans="1:11">
      <c r="A651" s="50">
        <v>43922</v>
      </c>
      <c r="B651" s="50">
        <v>0.60416666666666663</v>
      </c>
      <c r="C651" s="50" t="s">
        <v>104</v>
      </c>
      <c r="E651" s="50">
        <v>2142</v>
      </c>
      <c r="F651" s="50">
        <v>203</v>
      </c>
      <c r="H651" s="50">
        <v>54</v>
      </c>
      <c r="J651" s="50">
        <v>36</v>
      </c>
      <c r="K651" s="50" t="s">
        <v>106</v>
      </c>
    </row>
    <row r="652" spans="1:11">
      <c r="A652" s="50">
        <v>43922</v>
      </c>
      <c r="B652" s="50">
        <v>0.625</v>
      </c>
      <c r="C652" s="50" t="s">
        <v>34</v>
      </c>
      <c r="E652" s="50">
        <v>549</v>
      </c>
      <c r="F652" s="50">
        <v>94</v>
      </c>
      <c r="G652" s="50">
        <v>27</v>
      </c>
      <c r="H652" s="50">
        <v>27</v>
      </c>
      <c r="J652" s="50">
        <v>11</v>
      </c>
      <c r="K652" s="50" t="s">
        <v>275</v>
      </c>
    </row>
    <row r="653" spans="1:11">
      <c r="A653" s="50">
        <v>43922</v>
      </c>
      <c r="B653" s="50">
        <v>0.70833333333333337</v>
      </c>
      <c r="C653" s="50" t="s">
        <v>41</v>
      </c>
      <c r="E653" s="50">
        <v>61</v>
      </c>
      <c r="J653" s="50">
        <v>3</v>
      </c>
      <c r="K653" s="50" t="s">
        <v>43</v>
      </c>
    </row>
    <row r="654" spans="1:11">
      <c r="A654" s="50">
        <v>43923</v>
      </c>
      <c r="C654" s="50" t="s">
        <v>47</v>
      </c>
      <c r="E654" s="50">
        <v>610</v>
      </c>
      <c r="F654" s="50">
        <v>81</v>
      </c>
      <c r="G654" s="50">
        <v>18</v>
      </c>
      <c r="H654" s="50">
        <v>18</v>
      </c>
      <c r="I654" s="50">
        <v>262</v>
      </c>
      <c r="J654" s="50">
        <v>12</v>
      </c>
      <c r="K654" s="50" t="s">
        <v>49</v>
      </c>
    </row>
    <row r="655" spans="1:11">
      <c r="A655" s="50">
        <v>43923</v>
      </c>
      <c r="C655" s="50" t="s">
        <v>53</v>
      </c>
      <c r="E655" s="50">
        <v>75</v>
      </c>
      <c r="K655" s="50" t="s">
        <v>281</v>
      </c>
    </row>
    <row r="656" spans="1:11">
      <c r="A656" s="50">
        <v>43923</v>
      </c>
      <c r="C656" s="50" t="s">
        <v>56</v>
      </c>
      <c r="E656" s="50">
        <v>550</v>
      </c>
      <c r="F656" s="50">
        <v>80</v>
      </c>
      <c r="G656" s="50">
        <v>23</v>
      </c>
      <c r="I656" s="50">
        <v>46</v>
      </c>
      <c r="J656" s="50">
        <v>26</v>
      </c>
      <c r="K656" s="50" t="s">
        <v>420</v>
      </c>
    </row>
    <row r="657" spans="1:11">
      <c r="A657" s="50">
        <v>43923</v>
      </c>
      <c r="C657" s="50" t="s">
        <v>58</v>
      </c>
      <c r="D657" s="50">
        <v>13201</v>
      </c>
      <c r="E657" s="50">
        <v>3270</v>
      </c>
      <c r="F657" s="50">
        <v>424</v>
      </c>
      <c r="G657" s="50">
        <v>62</v>
      </c>
      <c r="H657" s="50">
        <v>54</v>
      </c>
      <c r="I657" s="50">
        <v>283</v>
      </c>
      <c r="J657" s="50">
        <v>84</v>
      </c>
      <c r="K657" s="50" t="s">
        <v>60</v>
      </c>
    </row>
    <row r="658" spans="1:11">
      <c r="A658" s="50">
        <v>43923</v>
      </c>
      <c r="C658" s="50" t="s">
        <v>61</v>
      </c>
      <c r="E658" s="50">
        <v>58</v>
      </c>
      <c r="F658" s="50">
        <v>5</v>
      </c>
      <c r="J658" s="50">
        <v>2</v>
      </c>
      <c r="K658" s="50" t="s">
        <v>387</v>
      </c>
    </row>
    <row r="659" spans="1:11">
      <c r="A659" s="50">
        <v>43923</v>
      </c>
      <c r="C659" s="50" t="s">
        <v>63</v>
      </c>
      <c r="E659" s="50">
        <v>622</v>
      </c>
      <c r="F659" s="50">
        <v>60</v>
      </c>
      <c r="J659" s="50">
        <v>28</v>
      </c>
      <c r="K659" s="50" t="s">
        <v>65</v>
      </c>
    </row>
    <row r="660" spans="1:11">
      <c r="A660" s="50">
        <v>43923</v>
      </c>
      <c r="C660" s="50" t="s">
        <v>66</v>
      </c>
      <c r="E660" s="50">
        <v>149</v>
      </c>
      <c r="F660" s="50">
        <v>29</v>
      </c>
      <c r="G660" s="50">
        <v>3</v>
      </c>
      <c r="J660" s="50">
        <v>0</v>
      </c>
      <c r="K660" s="50" t="s">
        <v>427</v>
      </c>
    </row>
    <row r="661" spans="1:11">
      <c r="A661" s="50">
        <v>43923</v>
      </c>
      <c r="C661" s="50" t="s">
        <v>71</v>
      </c>
      <c r="E661" s="50">
        <v>430</v>
      </c>
      <c r="F661" s="50">
        <v>61</v>
      </c>
      <c r="G661" s="50">
        <v>12</v>
      </c>
      <c r="H661" s="50">
        <v>10</v>
      </c>
      <c r="J661" s="50">
        <v>27</v>
      </c>
      <c r="K661" s="50" t="s">
        <v>377</v>
      </c>
    </row>
    <row r="662" spans="1:11">
      <c r="A662" s="50">
        <v>43923</v>
      </c>
      <c r="C662" s="50" t="s">
        <v>73</v>
      </c>
      <c r="E662" s="50">
        <v>76</v>
      </c>
      <c r="F662" s="50">
        <v>9</v>
      </c>
      <c r="G662" s="50">
        <v>2</v>
      </c>
      <c r="K662" s="50" t="s">
        <v>357</v>
      </c>
    </row>
    <row r="663" spans="1:11">
      <c r="A663" s="50">
        <v>43923</v>
      </c>
      <c r="C663" s="50" t="s">
        <v>75</v>
      </c>
      <c r="E663" s="50">
        <v>51</v>
      </c>
      <c r="K663" s="50" t="s">
        <v>77</v>
      </c>
    </row>
    <row r="664" spans="1:11">
      <c r="A664" s="50">
        <v>43923</v>
      </c>
      <c r="C664" s="50" t="s">
        <v>78</v>
      </c>
      <c r="E664" s="50">
        <v>480</v>
      </c>
      <c r="F664" s="50">
        <v>64</v>
      </c>
      <c r="G664" s="50">
        <v>11</v>
      </c>
      <c r="I664" s="50">
        <v>49</v>
      </c>
      <c r="J664" s="50">
        <v>8</v>
      </c>
      <c r="K664" s="50" t="s">
        <v>80</v>
      </c>
    </row>
    <row r="665" spans="1:11">
      <c r="A665" s="50">
        <v>43923</v>
      </c>
      <c r="C665" s="50" t="s">
        <v>81</v>
      </c>
      <c r="E665" s="50">
        <v>47</v>
      </c>
      <c r="F665" s="50">
        <v>18</v>
      </c>
      <c r="G665" s="50">
        <v>3</v>
      </c>
      <c r="J665" s="50">
        <v>1</v>
      </c>
      <c r="K665" s="50" t="s">
        <v>428</v>
      </c>
    </row>
    <row r="666" spans="1:11">
      <c r="A666" s="50">
        <v>43923</v>
      </c>
      <c r="C666" s="50" t="s">
        <v>86</v>
      </c>
      <c r="E666" s="50">
        <v>155</v>
      </c>
      <c r="I666" s="50">
        <v>65</v>
      </c>
      <c r="J666" s="50">
        <v>4</v>
      </c>
      <c r="K666" s="50" t="s">
        <v>398</v>
      </c>
    </row>
    <row r="667" spans="1:11">
      <c r="A667" s="50">
        <v>43923</v>
      </c>
      <c r="C667" s="50" t="s">
        <v>88</v>
      </c>
      <c r="E667" s="50">
        <v>180</v>
      </c>
      <c r="J667" s="50">
        <v>4</v>
      </c>
      <c r="K667" s="50" t="s">
        <v>90</v>
      </c>
    </row>
    <row r="668" spans="1:11">
      <c r="A668" s="50">
        <v>43923</v>
      </c>
      <c r="C668" s="50" t="s">
        <v>97</v>
      </c>
      <c r="E668" s="50">
        <v>4052</v>
      </c>
      <c r="F668" s="50">
        <v>378</v>
      </c>
      <c r="G668" s="50">
        <v>72</v>
      </c>
      <c r="J668" s="50">
        <v>135</v>
      </c>
      <c r="K668" s="50" t="s">
        <v>99</v>
      </c>
    </row>
    <row r="669" spans="1:11">
      <c r="A669" s="50">
        <v>43923</v>
      </c>
      <c r="C669" s="50" t="s">
        <v>100</v>
      </c>
      <c r="E669" s="50">
        <v>1334</v>
      </c>
      <c r="F669" s="50">
        <v>145</v>
      </c>
      <c r="G669" s="50">
        <v>28</v>
      </c>
      <c r="H669" s="50">
        <v>24</v>
      </c>
      <c r="I669" s="50">
        <v>88</v>
      </c>
      <c r="J669" s="50">
        <v>47</v>
      </c>
      <c r="K669" s="50" t="s">
        <v>430</v>
      </c>
    </row>
    <row r="670" spans="1:11">
      <c r="A670" s="50">
        <v>43923</v>
      </c>
      <c r="B670" s="50">
        <v>0</v>
      </c>
      <c r="C670" s="50" t="s">
        <v>83</v>
      </c>
      <c r="E670" s="50">
        <v>227</v>
      </c>
      <c r="F670" s="50">
        <v>14</v>
      </c>
      <c r="J670" s="50">
        <v>3</v>
      </c>
      <c r="K670" s="50" t="s">
        <v>388</v>
      </c>
    </row>
    <row r="671" spans="1:11">
      <c r="A671" s="50">
        <v>43923</v>
      </c>
      <c r="B671" s="50">
        <v>0.33333333333333331</v>
      </c>
      <c r="C671" s="50" t="s">
        <v>44</v>
      </c>
      <c r="E671" s="50">
        <v>1003</v>
      </c>
      <c r="F671" s="50">
        <v>104</v>
      </c>
      <c r="G671" s="50">
        <v>24</v>
      </c>
      <c r="H671" s="50">
        <v>20</v>
      </c>
      <c r="J671" s="50">
        <v>23</v>
      </c>
      <c r="K671" s="50" t="s">
        <v>46</v>
      </c>
    </row>
    <row r="672" spans="1:11">
      <c r="A672" s="50">
        <v>43923</v>
      </c>
      <c r="B672" s="50">
        <v>0.33333333333333331</v>
      </c>
      <c r="C672" s="50" t="s">
        <v>91</v>
      </c>
      <c r="E672" s="50">
        <v>2271</v>
      </c>
      <c r="F672" s="50">
        <v>374</v>
      </c>
      <c r="G672" s="50">
        <v>75</v>
      </c>
      <c r="H672" s="50">
        <v>73</v>
      </c>
      <c r="I672" s="50">
        <v>263</v>
      </c>
      <c r="J672" s="50">
        <v>141</v>
      </c>
      <c r="K672" s="50" t="s">
        <v>282</v>
      </c>
    </row>
    <row r="673" spans="1:11">
      <c r="A673" s="50">
        <v>43923</v>
      </c>
      <c r="B673" s="50">
        <v>0.33333333333333331</v>
      </c>
      <c r="C673" s="50" t="s">
        <v>102</v>
      </c>
      <c r="E673" s="50">
        <v>131</v>
      </c>
      <c r="F673" s="50">
        <v>14</v>
      </c>
      <c r="G673" s="50">
        <v>5</v>
      </c>
      <c r="I673" s="50">
        <v>41</v>
      </c>
      <c r="J673" s="50">
        <v>1</v>
      </c>
      <c r="K673" s="50" t="s">
        <v>381</v>
      </c>
    </row>
    <row r="674" spans="1:11">
      <c r="A674" s="50">
        <v>43923</v>
      </c>
      <c r="B674" s="50">
        <v>0.41666666666666669</v>
      </c>
      <c r="C674" s="50" t="s">
        <v>50</v>
      </c>
      <c r="E674" s="50">
        <v>714</v>
      </c>
      <c r="F674" s="50">
        <v>119</v>
      </c>
      <c r="G674" s="50">
        <v>17</v>
      </c>
      <c r="I674" s="50">
        <v>350</v>
      </c>
      <c r="J674" s="50">
        <v>19</v>
      </c>
      <c r="K674" s="50" t="s">
        <v>280</v>
      </c>
    </row>
    <row r="675" spans="1:11">
      <c r="A675" s="50">
        <v>43923</v>
      </c>
      <c r="B675" s="50">
        <v>0.45833333333333331</v>
      </c>
      <c r="C675" s="50" t="s">
        <v>68</v>
      </c>
      <c r="E675" s="50">
        <v>422</v>
      </c>
      <c r="F675" s="50">
        <v>66</v>
      </c>
      <c r="G675" s="50">
        <v>11</v>
      </c>
      <c r="J675" s="50">
        <v>7</v>
      </c>
      <c r="K675" s="50" t="s">
        <v>70</v>
      </c>
    </row>
    <row r="676" spans="1:11">
      <c r="A676" s="50">
        <v>43923</v>
      </c>
      <c r="B676" s="50">
        <v>0.5</v>
      </c>
      <c r="C676" s="50" t="s">
        <v>41</v>
      </c>
      <c r="E676" s="50">
        <v>64</v>
      </c>
      <c r="J676" s="50">
        <v>3</v>
      </c>
      <c r="K676" s="50" t="s">
        <v>43</v>
      </c>
    </row>
    <row r="677" spans="1:11">
      <c r="A677" s="50">
        <v>43923</v>
      </c>
      <c r="B677" s="50">
        <v>0.58333333333333337</v>
      </c>
      <c r="C677" s="50" t="s">
        <v>94</v>
      </c>
      <c r="E677" s="50">
        <v>60</v>
      </c>
      <c r="F677" s="50">
        <v>4</v>
      </c>
      <c r="I677" s="50">
        <v>13</v>
      </c>
      <c r="J677" s="50">
        <v>1</v>
      </c>
      <c r="K677" s="50" t="s">
        <v>226</v>
      </c>
    </row>
    <row r="678" spans="1:11">
      <c r="A678" s="50">
        <v>43923</v>
      </c>
      <c r="B678" s="50">
        <v>0.60416666666666663</v>
      </c>
      <c r="C678" s="50" t="s">
        <v>104</v>
      </c>
      <c r="E678" s="50">
        <v>2306</v>
      </c>
      <c r="F678" s="50">
        <v>200</v>
      </c>
      <c r="H678" s="50">
        <v>53</v>
      </c>
      <c r="J678" s="50">
        <v>39</v>
      </c>
      <c r="K678" s="50" t="s">
        <v>106</v>
      </c>
    </row>
    <row r="679" spans="1:11">
      <c r="A679" s="50">
        <v>43923</v>
      </c>
      <c r="B679" s="50">
        <v>0.625</v>
      </c>
      <c r="C679" s="50" t="s">
        <v>34</v>
      </c>
      <c r="E679" s="50">
        <v>592</v>
      </c>
      <c r="F679" s="50">
        <v>94</v>
      </c>
      <c r="G679" s="50">
        <v>27</v>
      </c>
      <c r="H679" s="50">
        <v>27</v>
      </c>
      <c r="J679" s="50">
        <v>12</v>
      </c>
      <c r="K679" s="50" t="s">
        <v>279</v>
      </c>
    </row>
    <row r="680" spans="1:11">
      <c r="A680" s="50">
        <v>43923</v>
      </c>
      <c r="B680" s="50">
        <v>0.70833333333333337</v>
      </c>
      <c r="C680" s="50" t="s">
        <v>38</v>
      </c>
      <c r="E680" s="50">
        <v>20</v>
      </c>
      <c r="K680" s="50" t="s">
        <v>40</v>
      </c>
    </row>
    <row r="681" spans="1:11">
      <c r="A681" s="50">
        <v>43924</v>
      </c>
      <c r="C681" s="50" t="s">
        <v>47</v>
      </c>
      <c r="E681" s="50">
        <v>625</v>
      </c>
      <c r="F681" s="50">
        <v>82</v>
      </c>
      <c r="G681" s="50">
        <v>18</v>
      </c>
      <c r="H681" s="50">
        <v>18</v>
      </c>
      <c r="I681" s="50">
        <v>266</v>
      </c>
      <c r="J681" s="50">
        <v>14</v>
      </c>
      <c r="K681" s="50" t="s">
        <v>49</v>
      </c>
    </row>
    <row r="682" spans="1:11">
      <c r="A682" s="50">
        <v>43924</v>
      </c>
      <c r="C682" s="50" t="s">
        <v>53</v>
      </c>
      <c r="E682" s="50">
        <v>76</v>
      </c>
      <c r="K682" s="50" t="s">
        <v>281</v>
      </c>
    </row>
    <row r="683" spans="1:11">
      <c r="A683" s="50">
        <v>43924</v>
      </c>
      <c r="C683" s="50" t="s">
        <v>56</v>
      </c>
      <c r="E683" s="50">
        <v>588</v>
      </c>
      <c r="F683" s="50">
        <v>77</v>
      </c>
      <c r="G683" s="50">
        <v>21</v>
      </c>
      <c r="I683" s="50">
        <v>46</v>
      </c>
      <c r="J683" s="50">
        <v>31</v>
      </c>
      <c r="K683" s="50" t="s">
        <v>420</v>
      </c>
    </row>
    <row r="684" spans="1:11">
      <c r="A684" s="50">
        <v>43924</v>
      </c>
      <c r="C684" s="50" t="s">
        <v>58</v>
      </c>
      <c r="D684" s="50">
        <v>14030</v>
      </c>
      <c r="E684" s="50">
        <v>3456</v>
      </c>
      <c r="F684" s="50">
        <v>424</v>
      </c>
      <c r="G684" s="50">
        <v>65</v>
      </c>
      <c r="H684" s="50">
        <v>58</v>
      </c>
      <c r="I684" s="50">
        <v>284</v>
      </c>
      <c r="J684" s="50">
        <v>91</v>
      </c>
      <c r="K684" s="50" t="s">
        <v>60</v>
      </c>
    </row>
    <row r="685" spans="1:11">
      <c r="A685" s="50">
        <v>43924</v>
      </c>
      <c r="C685" s="50" t="s">
        <v>61</v>
      </c>
      <c r="E685" s="50">
        <v>59</v>
      </c>
      <c r="F685" s="50">
        <v>5</v>
      </c>
      <c r="J685" s="50">
        <v>2</v>
      </c>
      <c r="K685" s="50" t="s">
        <v>387</v>
      </c>
    </row>
    <row r="686" spans="1:11">
      <c r="A686" s="50">
        <v>43924</v>
      </c>
      <c r="C686" s="50" t="s">
        <v>63</v>
      </c>
      <c r="E686" s="50">
        <v>649</v>
      </c>
      <c r="F686" s="50">
        <v>51</v>
      </c>
      <c r="J686" s="50">
        <v>30</v>
      </c>
      <c r="K686" s="50" t="s">
        <v>65</v>
      </c>
    </row>
    <row r="687" spans="1:11">
      <c r="A687" s="50">
        <v>43924</v>
      </c>
      <c r="C687" s="50" t="s">
        <v>66</v>
      </c>
      <c r="E687" s="50">
        <v>149</v>
      </c>
      <c r="F687" s="50">
        <v>28</v>
      </c>
      <c r="G687" s="50">
        <v>3</v>
      </c>
      <c r="J687" s="50">
        <v>0</v>
      </c>
      <c r="K687" s="50" t="s">
        <v>427</v>
      </c>
    </row>
    <row r="688" spans="1:11">
      <c r="A688" s="50">
        <v>43924</v>
      </c>
      <c r="C688" s="50" t="s">
        <v>71</v>
      </c>
      <c r="E688" s="50">
        <v>444</v>
      </c>
      <c r="F688" s="50">
        <v>61</v>
      </c>
      <c r="G688" s="50">
        <v>11</v>
      </c>
      <c r="H688" s="50">
        <v>9</v>
      </c>
      <c r="J688" s="50">
        <v>28</v>
      </c>
      <c r="K688" s="50" t="s">
        <v>377</v>
      </c>
    </row>
    <row r="689" spans="1:11">
      <c r="A689" s="50">
        <v>43924</v>
      </c>
      <c r="C689" s="50" t="s">
        <v>73</v>
      </c>
      <c r="E689" s="50">
        <v>79</v>
      </c>
      <c r="F689" s="50">
        <v>10</v>
      </c>
      <c r="G689" s="50">
        <v>2</v>
      </c>
      <c r="K689" s="50" t="s">
        <v>357</v>
      </c>
    </row>
    <row r="690" spans="1:11">
      <c r="A690" s="50">
        <v>43924</v>
      </c>
      <c r="C690" s="50" t="s">
        <v>75</v>
      </c>
      <c r="E690" s="50">
        <v>56</v>
      </c>
      <c r="K690" s="50" t="s">
        <v>77</v>
      </c>
    </row>
    <row r="691" spans="1:11">
      <c r="A691" s="50">
        <v>43924</v>
      </c>
      <c r="C691" s="50" t="s">
        <v>78</v>
      </c>
      <c r="E691" s="50">
        <v>480</v>
      </c>
      <c r="F691" s="50">
        <v>75</v>
      </c>
      <c r="G691" s="50">
        <v>12</v>
      </c>
      <c r="I691" s="50">
        <v>50</v>
      </c>
      <c r="J691" s="50">
        <v>8</v>
      </c>
      <c r="K691" s="50" t="s">
        <v>80</v>
      </c>
    </row>
    <row r="692" spans="1:11">
      <c r="A692" s="50">
        <v>43924</v>
      </c>
      <c r="C692" s="50" t="s">
        <v>81</v>
      </c>
      <c r="E692" s="50">
        <v>47</v>
      </c>
      <c r="F692" s="50">
        <v>9</v>
      </c>
      <c r="G692" s="50">
        <v>3</v>
      </c>
      <c r="J692" s="50">
        <v>1</v>
      </c>
      <c r="K692" s="50" t="s">
        <v>428</v>
      </c>
    </row>
    <row r="693" spans="1:11">
      <c r="A693" s="50">
        <v>43924</v>
      </c>
      <c r="C693" s="50" t="s">
        <v>86</v>
      </c>
      <c r="E693" s="50">
        <v>165</v>
      </c>
      <c r="I693" s="50">
        <v>75</v>
      </c>
      <c r="J693" s="50">
        <v>4</v>
      </c>
      <c r="K693" s="50" t="s">
        <v>398</v>
      </c>
    </row>
    <row r="694" spans="1:11">
      <c r="A694" s="50">
        <v>43924</v>
      </c>
      <c r="C694" s="50" t="s">
        <v>88</v>
      </c>
      <c r="E694" s="50">
        <v>199</v>
      </c>
      <c r="J694" s="50">
        <v>5</v>
      </c>
      <c r="K694" s="50" t="s">
        <v>90</v>
      </c>
    </row>
    <row r="695" spans="1:11">
      <c r="A695" s="50">
        <v>43924</v>
      </c>
      <c r="C695" s="50" t="s">
        <v>97</v>
      </c>
      <c r="E695" s="50">
        <v>4188</v>
      </c>
      <c r="F695" s="50">
        <v>369</v>
      </c>
      <c r="G695" s="50">
        <v>70</v>
      </c>
      <c r="J695" s="50">
        <v>153</v>
      </c>
      <c r="K695" s="50" t="s">
        <v>99</v>
      </c>
    </row>
    <row r="696" spans="1:11">
      <c r="A696" s="50">
        <v>43924</v>
      </c>
      <c r="C696" s="50" t="s">
        <v>100</v>
      </c>
      <c r="E696" s="50">
        <v>1383</v>
      </c>
      <c r="F696" s="50">
        <v>145</v>
      </c>
      <c r="G696" s="50">
        <v>26</v>
      </c>
      <c r="H696" s="50">
        <v>23</v>
      </c>
      <c r="I696" s="50">
        <v>91</v>
      </c>
      <c r="J696" s="50">
        <v>51</v>
      </c>
      <c r="K696" s="50" t="s">
        <v>430</v>
      </c>
    </row>
    <row r="697" spans="1:11">
      <c r="A697" s="50">
        <v>43924</v>
      </c>
      <c r="B697" s="50">
        <v>0</v>
      </c>
      <c r="C697" s="50" t="s">
        <v>83</v>
      </c>
      <c r="E697" s="50">
        <v>237</v>
      </c>
      <c r="F697" s="50">
        <v>17</v>
      </c>
      <c r="J697" s="50">
        <v>3</v>
      </c>
      <c r="K697" s="50" t="s">
        <v>388</v>
      </c>
    </row>
    <row r="698" spans="1:11">
      <c r="A698" s="50">
        <v>43924</v>
      </c>
      <c r="B698" s="50">
        <v>0.33333333333333331</v>
      </c>
      <c r="C698" s="50" t="s">
        <v>41</v>
      </c>
      <c r="E698" s="50">
        <v>65</v>
      </c>
      <c r="J698" s="50">
        <v>3</v>
      </c>
      <c r="K698" s="50" t="s">
        <v>43</v>
      </c>
    </row>
    <row r="699" spans="1:11">
      <c r="A699" s="50">
        <v>43924</v>
      </c>
      <c r="B699" s="50">
        <v>0.33333333333333331</v>
      </c>
      <c r="C699" s="50" t="s">
        <v>44</v>
      </c>
      <c r="E699" s="50">
        <v>1073</v>
      </c>
      <c r="F699" s="50">
        <v>109</v>
      </c>
      <c r="G699" s="50">
        <v>30</v>
      </c>
      <c r="H699" s="50">
        <v>26</v>
      </c>
      <c r="J699" s="50">
        <v>26</v>
      </c>
      <c r="K699" s="50" t="s">
        <v>46</v>
      </c>
    </row>
    <row r="700" spans="1:11">
      <c r="A700" s="50">
        <v>43924</v>
      </c>
      <c r="B700" s="50">
        <v>0.33333333333333331</v>
      </c>
      <c r="C700" s="50" t="s">
        <v>91</v>
      </c>
      <c r="E700" s="50">
        <v>2377</v>
      </c>
      <c r="F700" s="50">
        <v>370</v>
      </c>
      <c r="G700" s="50">
        <v>75</v>
      </c>
      <c r="H700" s="50">
        <v>67</v>
      </c>
      <c r="I700" s="50">
        <v>287</v>
      </c>
      <c r="J700" s="50">
        <v>155</v>
      </c>
      <c r="K700" s="50" t="s">
        <v>285</v>
      </c>
    </row>
    <row r="701" spans="1:11">
      <c r="A701" s="50">
        <v>43924</v>
      </c>
      <c r="B701" s="50">
        <v>0.33333333333333331</v>
      </c>
      <c r="C701" s="50" t="s">
        <v>102</v>
      </c>
      <c r="E701" s="50">
        <v>138</v>
      </c>
      <c r="F701" s="50">
        <v>15</v>
      </c>
      <c r="G701" s="50">
        <v>7</v>
      </c>
      <c r="I701" s="50">
        <v>44</v>
      </c>
      <c r="J701" s="50">
        <v>1</v>
      </c>
      <c r="K701" s="50" t="s">
        <v>381</v>
      </c>
    </row>
    <row r="702" spans="1:11">
      <c r="A702" s="50">
        <v>43924</v>
      </c>
      <c r="B702" s="50">
        <v>0.35416666666666669</v>
      </c>
      <c r="C702" s="50" t="s">
        <v>50</v>
      </c>
      <c r="E702" s="50">
        <v>754</v>
      </c>
      <c r="F702" s="50">
        <v>115</v>
      </c>
      <c r="G702" s="50">
        <v>17</v>
      </c>
      <c r="I702" s="50">
        <v>397</v>
      </c>
      <c r="J702" s="50">
        <v>21</v>
      </c>
      <c r="K702" s="50" t="s">
        <v>284</v>
      </c>
    </row>
    <row r="703" spans="1:11">
      <c r="A703" s="50">
        <v>43924</v>
      </c>
      <c r="B703" s="50">
        <v>0.45833333333333331</v>
      </c>
      <c r="C703" s="50" t="s">
        <v>38</v>
      </c>
      <c r="E703" s="50">
        <v>20</v>
      </c>
      <c r="K703" s="50" t="s">
        <v>40</v>
      </c>
    </row>
    <row r="704" spans="1:11">
      <c r="A704" s="50">
        <v>43924</v>
      </c>
      <c r="B704" s="50">
        <v>0.45833333333333331</v>
      </c>
      <c r="C704" s="50" t="s">
        <v>68</v>
      </c>
      <c r="E704" s="50">
        <v>449</v>
      </c>
      <c r="F704" s="50">
        <v>49</v>
      </c>
      <c r="G704" s="50">
        <v>12</v>
      </c>
      <c r="J704" s="50">
        <v>7</v>
      </c>
      <c r="K704" s="50" t="s">
        <v>70</v>
      </c>
    </row>
    <row r="705" spans="1:11">
      <c r="A705" s="50">
        <v>43924</v>
      </c>
      <c r="B705" s="50">
        <v>0.58333333333333337</v>
      </c>
      <c r="C705" s="50" t="s">
        <v>94</v>
      </c>
      <c r="E705" s="50">
        <v>62</v>
      </c>
      <c r="F705" s="50">
        <v>6</v>
      </c>
      <c r="I705" s="50">
        <v>26</v>
      </c>
      <c r="J705" s="50">
        <v>1</v>
      </c>
      <c r="K705" s="50" t="s">
        <v>226</v>
      </c>
    </row>
    <row r="706" spans="1:11">
      <c r="A706" s="50">
        <v>43924</v>
      </c>
      <c r="B706" s="50">
        <v>0.60416666666666663</v>
      </c>
      <c r="C706" s="50" t="s">
        <v>104</v>
      </c>
      <c r="E706" s="50">
        <v>2434</v>
      </c>
      <c r="F706" s="50">
        <v>207</v>
      </c>
      <c r="H706" s="50">
        <v>57</v>
      </c>
      <c r="J706" s="50">
        <v>41</v>
      </c>
      <c r="K706" s="50" t="s">
        <v>106</v>
      </c>
    </row>
    <row r="707" spans="1:11">
      <c r="A707" s="50">
        <v>43924</v>
      </c>
      <c r="B707" s="50">
        <v>0.625</v>
      </c>
      <c r="C707" s="50" t="s">
        <v>34</v>
      </c>
      <c r="E707" s="50">
        <v>626</v>
      </c>
      <c r="F707" s="50">
        <v>100</v>
      </c>
      <c r="G707" s="50">
        <v>27</v>
      </c>
      <c r="H707" s="50">
        <v>26</v>
      </c>
      <c r="J707" s="50">
        <v>12</v>
      </c>
      <c r="K707" s="50" t="s">
        <v>283</v>
      </c>
    </row>
    <row r="708" spans="1:11">
      <c r="A708" s="50">
        <v>43925</v>
      </c>
      <c r="C708" s="50" t="s">
        <v>47</v>
      </c>
      <c r="E708" s="50">
        <v>656</v>
      </c>
      <c r="F708" s="50">
        <v>73</v>
      </c>
      <c r="G708" s="50">
        <v>19</v>
      </c>
      <c r="H708" s="50">
        <v>17</v>
      </c>
      <c r="I708" s="50">
        <v>298</v>
      </c>
      <c r="J708" s="50">
        <v>19</v>
      </c>
      <c r="K708" s="50" t="s">
        <v>49</v>
      </c>
    </row>
    <row r="709" spans="1:11">
      <c r="A709" s="50">
        <v>43925</v>
      </c>
      <c r="C709" s="50" t="s">
        <v>53</v>
      </c>
      <c r="E709" s="50">
        <v>77</v>
      </c>
      <c r="J709" s="50">
        <v>1</v>
      </c>
      <c r="K709" s="50" t="s">
        <v>287</v>
      </c>
    </row>
    <row r="710" spans="1:11">
      <c r="A710" s="50">
        <v>43925</v>
      </c>
      <c r="C710" s="50" t="s">
        <v>56</v>
      </c>
      <c r="E710" s="50">
        <v>638</v>
      </c>
      <c r="F710" s="50">
        <v>89</v>
      </c>
      <c r="G710" s="50">
        <v>21</v>
      </c>
      <c r="I710" s="50">
        <v>49</v>
      </c>
      <c r="J710" s="50">
        <v>37</v>
      </c>
      <c r="K710" s="50" t="s">
        <v>420</v>
      </c>
    </row>
    <row r="711" spans="1:11">
      <c r="A711" s="50">
        <v>43925</v>
      </c>
      <c r="C711" s="50" t="s">
        <v>58</v>
      </c>
      <c r="D711" s="50">
        <v>14625</v>
      </c>
      <c r="E711" s="50">
        <v>3584</v>
      </c>
      <c r="F711" s="50">
        <v>421</v>
      </c>
      <c r="G711" s="50">
        <v>61</v>
      </c>
      <c r="H711" s="50">
        <v>51</v>
      </c>
      <c r="I711" s="50">
        <v>305</v>
      </c>
      <c r="J711" s="50">
        <v>104</v>
      </c>
      <c r="K711" s="50" t="s">
        <v>60</v>
      </c>
    </row>
    <row r="712" spans="1:11">
      <c r="A712" s="50">
        <v>43925</v>
      </c>
      <c r="C712" s="50" t="s">
        <v>61</v>
      </c>
      <c r="E712" s="50">
        <v>61</v>
      </c>
      <c r="F712" s="50">
        <v>5</v>
      </c>
      <c r="J712" s="50">
        <v>2</v>
      </c>
      <c r="K712" s="50" t="s">
        <v>387</v>
      </c>
    </row>
    <row r="713" spans="1:11">
      <c r="A713" s="50">
        <v>43925</v>
      </c>
      <c r="C713" s="50" t="s">
        <v>63</v>
      </c>
      <c r="E713" s="50">
        <v>657</v>
      </c>
      <c r="F713" s="50">
        <v>52</v>
      </c>
      <c r="J713" s="50">
        <v>30</v>
      </c>
      <c r="K713" s="50" t="s">
        <v>65</v>
      </c>
    </row>
    <row r="714" spans="1:11">
      <c r="A714" s="50">
        <v>43925</v>
      </c>
      <c r="C714" s="50" t="s">
        <v>66</v>
      </c>
      <c r="E714" s="50">
        <v>154</v>
      </c>
      <c r="F714" s="50">
        <v>27</v>
      </c>
      <c r="G714" s="50">
        <v>3</v>
      </c>
      <c r="J714" s="50">
        <v>0</v>
      </c>
      <c r="K714" s="50" t="s">
        <v>427</v>
      </c>
    </row>
    <row r="715" spans="1:11">
      <c r="A715" s="50">
        <v>43925</v>
      </c>
      <c r="C715" s="50" t="s">
        <v>71</v>
      </c>
      <c r="E715" s="50">
        <v>452</v>
      </c>
      <c r="F715" s="50">
        <v>59</v>
      </c>
      <c r="G715" s="50">
        <v>10</v>
      </c>
      <c r="H715" s="50">
        <v>9</v>
      </c>
      <c r="J715" s="50">
        <v>30</v>
      </c>
      <c r="K715" s="50" t="s">
        <v>377</v>
      </c>
    </row>
    <row r="716" spans="1:11">
      <c r="A716" s="50">
        <v>43925</v>
      </c>
      <c r="C716" s="50" t="s">
        <v>73</v>
      </c>
      <c r="E716" s="50">
        <v>80</v>
      </c>
      <c r="F716" s="50">
        <v>10</v>
      </c>
      <c r="G716" s="50">
        <v>2</v>
      </c>
      <c r="K716" s="50" t="s">
        <v>357</v>
      </c>
    </row>
    <row r="717" spans="1:11">
      <c r="A717" s="50">
        <v>43925</v>
      </c>
      <c r="C717" s="50" t="s">
        <v>78</v>
      </c>
      <c r="E717" s="50">
        <v>504</v>
      </c>
      <c r="F717" s="50">
        <v>79</v>
      </c>
      <c r="G717" s="50">
        <v>13</v>
      </c>
      <c r="I717" s="50">
        <v>62</v>
      </c>
      <c r="J717" s="50">
        <v>9</v>
      </c>
      <c r="K717" s="50" t="s">
        <v>80</v>
      </c>
    </row>
    <row r="718" spans="1:11">
      <c r="A718" s="50">
        <v>43925</v>
      </c>
      <c r="C718" s="50" t="s">
        <v>81</v>
      </c>
      <c r="E718" s="50">
        <v>47</v>
      </c>
      <c r="F718" s="50">
        <v>12</v>
      </c>
      <c r="G718" s="50">
        <v>3</v>
      </c>
      <c r="J718" s="50">
        <v>1</v>
      </c>
      <c r="K718" s="50" t="s">
        <v>428</v>
      </c>
    </row>
    <row r="719" spans="1:11">
      <c r="A719" s="50">
        <v>43925</v>
      </c>
      <c r="C719" s="50" t="s">
        <v>86</v>
      </c>
      <c r="E719" s="50">
        <v>168</v>
      </c>
      <c r="I719" s="50">
        <v>92</v>
      </c>
      <c r="J719" s="50">
        <v>5</v>
      </c>
      <c r="K719" s="50" t="s">
        <v>398</v>
      </c>
    </row>
    <row r="720" spans="1:11">
      <c r="A720" s="50">
        <v>43925</v>
      </c>
      <c r="C720" s="50" t="s">
        <v>88</v>
      </c>
      <c r="E720" s="50">
        <v>209</v>
      </c>
      <c r="J720" s="50">
        <v>5</v>
      </c>
      <c r="K720" s="50" t="s">
        <v>90</v>
      </c>
    </row>
    <row r="721" spans="1:11">
      <c r="A721" s="50">
        <v>43925</v>
      </c>
      <c r="C721" s="50" t="s">
        <v>97</v>
      </c>
      <c r="E721" s="50">
        <v>4260</v>
      </c>
      <c r="F721" s="50">
        <v>369</v>
      </c>
      <c r="G721" s="50">
        <v>70</v>
      </c>
      <c r="J721" s="50">
        <v>164</v>
      </c>
      <c r="K721" s="50" t="s">
        <v>99</v>
      </c>
    </row>
    <row r="722" spans="1:11">
      <c r="A722" s="50">
        <v>43925</v>
      </c>
      <c r="C722" s="50" t="s">
        <v>100</v>
      </c>
      <c r="E722" s="50">
        <v>1416</v>
      </c>
      <c r="F722" s="50">
        <v>148</v>
      </c>
      <c r="G722" s="50">
        <v>28</v>
      </c>
      <c r="H722" s="50">
        <v>23</v>
      </c>
      <c r="I722" s="50">
        <v>95</v>
      </c>
      <c r="J722" s="50">
        <v>53</v>
      </c>
      <c r="K722" s="50" t="s">
        <v>430</v>
      </c>
    </row>
    <row r="723" spans="1:11">
      <c r="A723" s="50">
        <v>43925</v>
      </c>
      <c r="B723" s="50">
        <v>0</v>
      </c>
      <c r="C723" s="50" t="s">
        <v>83</v>
      </c>
      <c r="E723" s="50">
        <v>250</v>
      </c>
      <c r="J723" s="50">
        <v>3</v>
      </c>
      <c r="K723" s="50" t="s">
        <v>388</v>
      </c>
    </row>
    <row r="724" spans="1:11">
      <c r="A724" s="50">
        <v>43925</v>
      </c>
      <c r="B724" s="50">
        <v>0.33333333333333331</v>
      </c>
      <c r="C724" s="50" t="s">
        <v>44</v>
      </c>
      <c r="E724" s="50">
        <v>1106</v>
      </c>
      <c r="F724" s="50">
        <v>113</v>
      </c>
      <c r="G724" s="50">
        <v>35</v>
      </c>
      <c r="H724" s="50">
        <v>28</v>
      </c>
      <c r="J724" s="50">
        <v>28</v>
      </c>
      <c r="K724" s="50" t="s">
        <v>46</v>
      </c>
    </row>
    <row r="725" spans="1:11">
      <c r="A725" s="50">
        <v>43925</v>
      </c>
      <c r="B725" s="50">
        <v>0.33333333333333331</v>
      </c>
      <c r="C725" s="50" t="s">
        <v>91</v>
      </c>
      <c r="E725" s="50">
        <v>2442</v>
      </c>
      <c r="F725" s="50">
        <v>363</v>
      </c>
      <c r="G725" s="50">
        <v>72</v>
      </c>
      <c r="H725" s="50">
        <v>67</v>
      </c>
      <c r="I725" s="50">
        <v>314</v>
      </c>
      <c r="J725" s="50">
        <v>165</v>
      </c>
      <c r="K725" s="50" t="s">
        <v>288</v>
      </c>
    </row>
    <row r="726" spans="1:11">
      <c r="A726" s="50">
        <v>43925</v>
      </c>
      <c r="B726" s="50">
        <v>0.33333333333333331</v>
      </c>
      <c r="C726" s="50" t="s">
        <v>102</v>
      </c>
      <c r="E726" s="50">
        <v>146</v>
      </c>
      <c r="F726" s="50">
        <v>14</v>
      </c>
      <c r="G726" s="50">
        <v>7</v>
      </c>
      <c r="I726" s="50">
        <v>46</v>
      </c>
      <c r="J726" s="50">
        <v>2</v>
      </c>
      <c r="K726" s="50" t="s">
        <v>381</v>
      </c>
    </row>
    <row r="727" spans="1:11">
      <c r="A727" s="50">
        <v>43925</v>
      </c>
      <c r="B727" s="50">
        <v>0.42708333333333331</v>
      </c>
      <c r="C727" s="50" t="s">
        <v>50</v>
      </c>
      <c r="E727" s="50">
        <v>767</v>
      </c>
      <c r="F727" s="50">
        <v>112</v>
      </c>
      <c r="G727" s="50">
        <v>16</v>
      </c>
      <c r="I727" s="50">
        <v>434</v>
      </c>
      <c r="J727" s="50">
        <v>24</v>
      </c>
      <c r="K727" s="50" t="s">
        <v>286</v>
      </c>
    </row>
    <row r="728" spans="1:11">
      <c r="A728" s="50">
        <v>43925</v>
      </c>
      <c r="B728" s="50">
        <v>0.45833333333333331</v>
      </c>
      <c r="C728" s="50" t="s">
        <v>38</v>
      </c>
      <c r="E728" s="50">
        <v>21</v>
      </c>
      <c r="K728" s="50" t="s">
        <v>40</v>
      </c>
    </row>
    <row r="729" spans="1:11">
      <c r="A729" s="50">
        <v>43925</v>
      </c>
      <c r="B729" s="50">
        <v>0.45833333333333331</v>
      </c>
      <c r="C729" s="50" t="s">
        <v>68</v>
      </c>
      <c r="E729" s="50">
        <v>469</v>
      </c>
      <c r="F729" s="50">
        <v>49</v>
      </c>
      <c r="G729" s="50">
        <v>12</v>
      </c>
      <c r="J729" s="50">
        <v>7</v>
      </c>
      <c r="K729" s="50" t="s">
        <v>70</v>
      </c>
    </row>
    <row r="730" spans="1:11">
      <c r="A730" s="50">
        <v>43925</v>
      </c>
      <c r="B730" s="50">
        <v>0.54166666666666663</v>
      </c>
      <c r="C730" s="50" t="s">
        <v>41</v>
      </c>
      <c r="E730" s="50">
        <v>66</v>
      </c>
      <c r="J730" s="50">
        <v>3</v>
      </c>
      <c r="K730" s="50" t="s">
        <v>43</v>
      </c>
    </row>
    <row r="731" spans="1:11">
      <c r="A731" s="50">
        <v>43925</v>
      </c>
      <c r="B731" s="50">
        <v>0.60416666666666663</v>
      </c>
      <c r="C731" s="50" t="s">
        <v>104</v>
      </c>
      <c r="E731" s="50">
        <v>2467</v>
      </c>
      <c r="F731" s="50">
        <v>194</v>
      </c>
      <c r="H731" s="50">
        <v>59</v>
      </c>
      <c r="J731" s="50">
        <v>49</v>
      </c>
      <c r="K731" s="50" t="s">
        <v>106</v>
      </c>
    </row>
    <row r="732" spans="1:11">
      <c r="A732" s="50">
        <v>43925</v>
      </c>
      <c r="B732" s="50">
        <v>0.70833333333333337</v>
      </c>
      <c r="C732" s="50" t="s">
        <v>94</v>
      </c>
      <c r="E732" s="50">
        <v>66</v>
      </c>
      <c r="F732" s="50">
        <v>6</v>
      </c>
      <c r="I732" s="50">
        <v>26</v>
      </c>
      <c r="J732" s="50">
        <v>1</v>
      </c>
      <c r="K732" s="50" t="s">
        <v>226</v>
      </c>
    </row>
    <row r="733" spans="1:11">
      <c r="A733" s="50">
        <v>43926</v>
      </c>
      <c r="C733" s="50" t="s">
        <v>47</v>
      </c>
      <c r="E733" s="50">
        <v>670</v>
      </c>
      <c r="F733" s="50">
        <v>73</v>
      </c>
      <c r="G733" s="50">
        <v>19</v>
      </c>
      <c r="H733" s="50">
        <v>17</v>
      </c>
      <c r="I733" s="50">
        <v>369</v>
      </c>
      <c r="J733" s="50">
        <v>19</v>
      </c>
      <c r="K733" s="50" t="s">
        <v>49</v>
      </c>
    </row>
    <row r="734" spans="1:11">
      <c r="A734" s="50">
        <v>43926</v>
      </c>
      <c r="C734" s="50" t="s">
        <v>53</v>
      </c>
      <c r="E734" s="50">
        <v>77</v>
      </c>
      <c r="J734" s="50">
        <v>1</v>
      </c>
      <c r="K734" s="50" t="s">
        <v>55</v>
      </c>
    </row>
    <row r="735" spans="1:11">
      <c r="A735" s="50">
        <v>43926</v>
      </c>
      <c r="C735" s="50" t="s">
        <v>56</v>
      </c>
      <c r="E735" s="50">
        <v>669</v>
      </c>
      <c r="F735" s="50">
        <v>87</v>
      </c>
      <c r="G735" s="50">
        <v>20</v>
      </c>
      <c r="I735" s="50">
        <v>55</v>
      </c>
      <c r="J735" s="50">
        <v>40</v>
      </c>
      <c r="K735" s="50" t="s">
        <v>420</v>
      </c>
    </row>
    <row r="736" spans="1:11">
      <c r="A736" s="50">
        <v>43926</v>
      </c>
      <c r="C736" s="50" t="s">
        <v>58</v>
      </c>
      <c r="D736" s="50">
        <v>14926</v>
      </c>
      <c r="E736" s="50">
        <v>3649</v>
      </c>
      <c r="F736" s="50">
        <v>424</v>
      </c>
      <c r="G736" s="50">
        <v>56</v>
      </c>
      <c r="H736" s="50">
        <v>50</v>
      </c>
      <c r="I736" s="50">
        <v>327</v>
      </c>
      <c r="J736" s="50">
        <v>111</v>
      </c>
      <c r="K736" s="50" t="s">
        <v>60</v>
      </c>
    </row>
    <row r="737" spans="1:11">
      <c r="A737" s="50">
        <v>43926</v>
      </c>
      <c r="C737" s="50" t="s">
        <v>61</v>
      </c>
      <c r="E737" s="50">
        <v>63</v>
      </c>
      <c r="F737" s="50">
        <v>5</v>
      </c>
      <c r="J737" s="50">
        <v>2</v>
      </c>
      <c r="K737" s="50" t="s">
        <v>387</v>
      </c>
    </row>
    <row r="738" spans="1:11">
      <c r="A738" s="50">
        <v>43926</v>
      </c>
      <c r="C738" s="50" t="s">
        <v>63</v>
      </c>
      <c r="E738" s="50">
        <v>668</v>
      </c>
      <c r="F738" s="50">
        <v>49</v>
      </c>
      <c r="J738" s="50">
        <v>33</v>
      </c>
      <c r="K738" s="50" t="s">
        <v>65</v>
      </c>
    </row>
    <row r="739" spans="1:11">
      <c r="A739" s="50">
        <v>43926</v>
      </c>
      <c r="C739" s="50" t="s">
        <v>66</v>
      </c>
      <c r="E739" s="50">
        <v>160</v>
      </c>
      <c r="F739" s="50">
        <v>29</v>
      </c>
      <c r="G739" s="50">
        <v>4</v>
      </c>
      <c r="J739" s="50">
        <v>0</v>
      </c>
      <c r="K739" s="50" t="s">
        <v>427</v>
      </c>
    </row>
    <row r="740" spans="1:11">
      <c r="A740" s="50">
        <v>43926</v>
      </c>
      <c r="C740" s="50" t="s">
        <v>71</v>
      </c>
      <c r="E740" s="50">
        <v>464</v>
      </c>
      <c r="F740" s="50">
        <v>58</v>
      </c>
      <c r="G740" s="50">
        <v>12</v>
      </c>
      <c r="H740" s="50">
        <v>8</v>
      </c>
      <c r="J740" s="50">
        <v>30</v>
      </c>
      <c r="K740" s="50" t="s">
        <v>377</v>
      </c>
    </row>
    <row r="741" spans="1:11">
      <c r="A741" s="50">
        <v>43926</v>
      </c>
      <c r="C741" s="50" t="s">
        <v>73</v>
      </c>
      <c r="E741" s="50">
        <v>80</v>
      </c>
      <c r="F741" s="50">
        <v>9</v>
      </c>
      <c r="G741" s="50">
        <v>2</v>
      </c>
      <c r="K741" s="50" t="s">
        <v>357</v>
      </c>
    </row>
    <row r="742" spans="1:11">
      <c r="A742" s="50">
        <v>43926</v>
      </c>
      <c r="C742" s="50" t="s">
        <v>78</v>
      </c>
      <c r="E742" s="50">
        <v>515</v>
      </c>
      <c r="F742" s="50">
        <v>70</v>
      </c>
      <c r="G742" s="50">
        <v>13</v>
      </c>
      <c r="I742" s="50">
        <v>70</v>
      </c>
      <c r="J742" s="50">
        <v>9</v>
      </c>
      <c r="K742" s="50" t="s">
        <v>80</v>
      </c>
    </row>
    <row r="743" spans="1:11">
      <c r="A743" s="50">
        <v>43926</v>
      </c>
      <c r="C743" s="50" t="s">
        <v>81</v>
      </c>
      <c r="E743" s="50">
        <v>49</v>
      </c>
      <c r="F743" s="50">
        <v>12</v>
      </c>
      <c r="G743" s="50">
        <v>3</v>
      </c>
      <c r="J743" s="50">
        <v>1</v>
      </c>
      <c r="K743" s="50" t="s">
        <v>428</v>
      </c>
    </row>
    <row r="744" spans="1:11">
      <c r="A744" s="50">
        <v>43926</v>
      </c>
      <c r="C744" s="50" t="s">
        <v>86</v>
      </c>
      <c r="E744" s="50">
        <v>170</v>
      </c>
      <c r="I744" s="50">
        <v>93</v>
      </c>
      <c r="J744" s="50">
        <v>5</v>
      </c>
      <c r="K744" s="50" t="s">
        <v>398</v>
      </c>
    </row>
    <row r="745" spans="1:11">
      <c r="A745" s="50">
        <v>43926</v>
      </c>
      <c r="C745" s="50" t="s">
        <v>88</v>
      </c>
      <c r="E745" s="50">
        <v>214</v>
      </c>
      <c r="J745" s="50">
        <v>7</v>
      </c>
      <c r="K745" s="50" t="s">
        <v>90</v>
      </c>
    </row>
    <row r="746" spans="1:11">
      <c r="A746" s="50">
        <v>43926</v>
      </c>
      <c r="C746" s="50" t="s">
        <v>97</v>
      </c>
      <c r="E746" s="50">
        <v>4299</v>
      </c>
      <c r="F746" s="50">
        <v>380</v>
      </c>
      <c r="G746" s="50">
        <v>69</v>
      </c>
      <c r="J746" s="50">
        <v>176</v>
      </c>
      <c r="K746" s="50" t="s">
        <v>99</v>
      </c>
    </row>
    <row r="747" spans="1:11">
      <c r="A747" s="50">
        <v>43926</v>
      </c>
      <c r="C747" s="50" t="s">
        <v>100</v>
      </c>
      <c r="E747" s="50">
        <v>1431</v>
      </c>
      <c r="F747" s="50">
        <v>145</v>
      </c>
      <c r="G747" s="50">
        <v>26</v>
      </c>
      <c r="H747" s="50">
        <v>23</v>
      </c>
      <c r="J747" s="50">
        <v>57</v>
      </c>
      <c r="K747" s="50" t="s">
        <v>430</v>
      </c>
    </row>
    <row r="748" spans="1:11">
      <c r="A748" s="50">
        <v>43926</v>
      </c>
      <c r="B748" s="50">
        <v>0</v>
      </c>
      <c r="C748" s="50" t="s">
        <v>83</v>
      </c>
      <c r="E748" s="50">
        <v>258</v>
      </c>
      <c r="F748" s="50">
        <v>16</v>
      </c>
      <c r="J748" s="50">
        <v>3</v>
      </c>
      <c r="K748" s="50" t="s">
        <v>388</v>
      </c>
    </row>
    <row r="749" spans="1:11">
      <c r="A749" s="50">
        <v>43926</v>
      </c>
      <c r="B749" s="50">
        <v>0.33333333333333331</v>
      </c>
      <c r="C749" s="50" t="s">
        <v>44</v>
      </c>
      <c r="E749" s="50">
        <v>1137</v>
      </c>
      <c r="F749" s="50">
        <v>110</v>
      </c>
      <c r="G749" s="50">
        <v>30</v>
      </c>
      <c r="H749" s="50">
        <v>25</v>
      </c>
      <c r="J749" s="50">
        <v>28</v>
      </c>
      <c r="K749" s="50" t="s">
        <v>46</v>
      </c>
    </row>
    <row r="750" spans="1:11">
      <c r="A750" s="50">
        <v>43926</v>
      </c>
      <c r="B750" s="50">
        <v>0.33333333333333331</v>
      </c>
      <c r="C750" s="50" t="s">
        <v>91</v>
      </c>
      <c r="E750" s="50">
        <v>2508</v>
      </c>
      <c r="F750" s="50">
        <v>362</v>
      </c>
      <c r="G750" s="50">
        <v>74</v>
      </c>
      <c r="H750" s="50">
        <v>61</v>
      </c>
      <c r="I750" s="50">
        <v>340</v>
      </c>
      <c r="J750" s="50">
        <v>177</v>
      </c>
      <c r="K750" s="50" t="s">
        <v>290</v>
      </c>
    </row>
    <row r="751" spans="1:11">
      <c r="A751" s="50">
        <v>43926</v>
      </c>
      <c r="B751" s="50">
        <v>0.33333333333333331</v>
      </c>
      <c r="C751" s="50" t="s">
        <v>102</v>
      </c>
      <c r="E751" s="50">
        <v>146</v>
      </c>
      <c r="F751" s="50">
        <v>14</v>
      </c>
      <c r="G751" s="50">
        <v>7</v>
      </c>
      <c r="I751" s="50">
        <v>46</v>
      </c>
      <c r="J751" s="50">
        <v>2</v>
      </c>
      <c r="K751" s="50" t="s">
        <v>381</v>
      </c>
    </row>
    <row r="752" spans="1:11">
      <c r="A752" s="50">
        <v>43926</v>
      </c>
      <c r="B752" s="50">
        <v>0.42708333333333331</v>
      </c>
      <c r="C752" s="50" t="s">
        <v>50</v>
      </c>
      <c r="E752" s="50">
        <v>789</v>
      </c>
      <c r="F752" s="50">
        <v>106</v>
      </c>
      <c r="G752" s="50">
        <v>15</v>
      </c>
      <c r="I752" s="50">
        <v>460</v>
      </c>
      <c r="J752" s="50">
        <v>26</v>
      </c>
      <c r="K752" s="50" t="s">
        <v>289</v>
      </c>
    </row>
    <row r="753" spans="1:11">
      <c r="A753" s="50">
        <v>43926</v>
      </c>
      <c r="B753" s="50">
        <v>0.45833333333333331</v>
      </c>
      <c r="C753" s="50" t="s">
        <v>68</v>
      </c>
      <c r="E753" s="50">
        <v>478</v>
      </c>
      <c r="F753" s="50">
        <v>49</v>
      </c>
      <c r="G753" s="50">
        <v>12</v>
      </c>
      <c r="J753" s="50">
        <v>9</v>
      </c>
      <c r="K753" s="50" t="s">
        <v>70</v>
      </c>
    </row>
    <row r="754" spans="1:11">
      <c r="A754" s="50">
        <v>43926</v>
      </c>
      <c r="B754" s="50">
        <v>0.54166666666666663</v>
      </c>
      <c r="C754" s="50" t="s">
        <v>41</v>
      </c>
      <c r="E754" s="50">
        <v>67</v>
      </c>
      <c r="J754" s="50">
        <v>3</v>
      </c>
      <c r="K754" s="50" t="s">
        <v>43</v>
      </c>
    </row>
    <row r="755" spans="1:11">
      <c r="A755" s="50">
        <v>43926</v>
      </c>
      <c r="B755" s="50">
        <v>0.60416666666666663</v>
      </c>
      <c r="C755" s="50" t="s">
        <v>104</v>
      </c>
      <c r="E755" s="50">
        <v>2497</v>
      </c>
      <c r="F755" s="50">
        <v>194</v>
      </c>
      <c r="H755" s="50">
        <v>59</v>
      </c>
      <c r="J755" s="50">
        <v>53</v>
      </c>
      <c r="K755" s="50" t="s">
        <v>106</v>
      </c>
    </row>
    <row r="756" spans="1:11">
      <c r="A756" s="50">
        <v>43926</v>
      </c>
      <c r="B756" s="50">
        <v>0.70833333333333337</v>
      </c>
      <c r="C756" s="50" t="s">
        <v>94</v>
      </c>
      <c r="E756" s="50">
        <v>67</v>
      </c>
      <c r="F756" s="50">
        <v>5</v>
      </c>
      <c r="I756" s="50">
        <v>26</v>
      </c>
      <c r="J756" s="50">
        <v>2</v>
      </c>
      <c r="K756" s="50" t="s">
        <v>226</v>
      </c>
    </row>
    <row r="757" spans="1:11">
      <c r="A757" s="50">
        <v>43927</v>
      </c>
      <c r="C757" s="50" t="s">
        <v>47</v>
      </c>
      <c r="E757" s="50">
        <v>682</v>
      </c>
      <c r="F757" s="50">
        <v>67</v>
      </c>
      <c r="G757" s="50">
        <v>17</v>
      </c>
      <c r="H757" s="50">
        <v>17</v>
      </c>
      <c r="I757" s="50">
        <v>412</v>
      </c>
      <c r="J757" s="50">
        <v>19</v>
      </c>
      <c r="K757" s="50" t="s">
        <v>49</v>
      </c>
    </row>
    <row r="758" spans="1:11">
      <c r="A758" s="50">
        <v>43927</v>
      </c>
      <c r="C758" s="50" t="s">
        <v>56</v>
      </c>
      <c r="E758" s="50">
        <v>689</v>
      </c>
      <c r="F758" s="50">
        <v>87</v>
      </c>
      <c r="G758" s="50">
        <v>19</v>
      </c>
      <c r="I758" s="50">
        <v>56</v>
      </c>
      <c r="J758" s="50">
        <v>41</v>
      </c>
      <c r="K758" s="50" t="s">
        <v>420</v>
      </c>
    </row>
    <row r="759" spans="1:11">
      <c r="A759" s="50">
        <v>43927</v>
      </c>
      <c r="C759" s="50" t="s">
        <v>58</v>
      </c>
      <c r="D759" s="50">
        <v>15569</v>
      </c>
      <c r="E759" s="50">
        <v>3768</v>
      </c>
      <c r="F759" s="50">
        <v>418</v>
      </c>
      <c r="G759" s="50">
        <v>56</v>
      </c>
      <c r="H759" s="50">
        <v>50</v>
      </c>
      <c r="I759" s="50">
        <v>345</v>
      </c>
      <c r="J759" s="50">
        <v>123</v>
      </c>
      <c r="K759" s="50" t="s">
        <v>60</v>
      </c>
    </row>
    <row r="760" spans="1:11">
      <c r="A760" s="50">
        <v>43927</v>
      </c>
      <c r="C760" s="50" t="s">
        <v>61</v>
      </c>
      <c r="E760" s="50">
        <v>63</v>
      </c>
      <c r="F760" s="50">
        <v>2</v>
      </c>
      <c r="J760" s="50">
        <v>2</v>
      </c>
      <c r="K760" s="50" t="s">
        <v>387</v>
      </c>
    </row>
    <row r="761" spans="1:11">
      <c r="A761" s="50">
        <v>43927</v>
      </c>
      <c r="C761" s="50" t="s">
        <v>63</v>
      </c>
      <c r="E761" s="50">
        <v>679</v>
      </c>
      <c r="F761" s="50">
        <v>52</v>
      </c>
      <c r="J761" s="50">
        <v>34</v>
      </c>
      <c r="K761" s="50" t="s">
        <v>65</v>
      </c>
    </row>
    <row r="762" spans="1:11">
      <c r="A762" s="50">
        <v>43927</v>
      </c>
      <c r="C762" s="50" t="s">
        <v>66</v>
      </c>
      <c r="E762" s="50">
        <v>164</v>
      </c>
      <c r="F762" s="50">
        <v>27</v>
      </c>
      <c r="G762" s="50">
        <v>4</v>
      </c>
      <c r="J762" s="50">
        <v>0</v>
      </c>
      <c r="K762" s="50" t="s">
        <v>427</v>
      </c>
    </row>
    <row r="763" spans="1:11">
      <c r="A763" s="50">
        <v>43927</v>
      </c>
      <c r="C763" s="50" t="s">
        <v>71</v>
      </c>
      <c r="E763" s="50">
        <v>486</v>
      </c>
      <c r="F763" s="50">
        <v>59</v>
      </c>
      <c r="G763" s="50">
        <v>10</v>
      </c>
      <c r="H763" s="50">
        <v>8</v>
      </c>
      <c r="J763" s="50">
        <v>34</v>
      </c>
      <c r="K763" s="50" t="s">
        <v>377</v>
      </c>
    </row>
    <row r="764" spans="1:11">
      <c r="A764" s="50">
        <v>43927</v>
      </c>
      <c r="C764" s="50" t="s">
        <v>73</v>
      </c>
      <c r="E764" s="50">
        <v>86</v>
      </c>
      <c r="F764" s="50">
        <v>11</v>
      </c>
      <c r="G764" s="50">
        <v>2</v>
      </c>
      <c r="K764" s="50" t="s">
        <v>357</v>
      </c>
    </row>
    <row r="765" spans="1:11">
      <c r="A765" s="50">
        <v>43927</v>
      </c>
      <c r="C765" s="50" t="s">
        <v>78</v>
      </c>
      <c r="E765" s="50">
        <v>532</v>
      </c>
      <c r="F765" s="50">
        <v>70</v>
      </c>
      <c r="G765" s="50">
        <v>12</v>
      </c>
      <c r="I765" s="50">
        <v>75</v>
      </c>
      <c r="J765" s="50">
        <v>11</v>
      </c>
      <c r="K765" s="50" t="s">
        <v>80</v>
      </c>
    </row>
    <row r="766" spans="1:11">
      <c r="A766" s="50">
        <v>43927</v>
      </c>
      <c r="C766" s="50" t="s">
        <v>81</v>
      </c>
      <c r="E766" s="50">
        <v>50</v>
      </c>
      <c r="F766" s="50">
        <v>15</v>
      </c>
      <c r="G766" s="50">
        <v>3</v>
      </c>
      <c r="J766" s="50">
        <v>1</v>
      </c>
      <c r="K766" s="50" t="s">
        <v>428</v>
      </c>
    </row>
    <row r="767" spans="1:11">
      <c r="A767" s="50">
        <v>43927</v>
      </c>
      <c r="C767" s="50" t="s">
        <v>86</v>
      </c>
      <c r="E767" s="50">
        <v>178</v>
      </c>
      <c r="I767" s="50">
        <v>93</v>
      </c>
      <c r="J767" s="50">
        <v>6</v>
      </c>
      <c r="K767" s="50" t="s">
        <v>398</v>
      </c>
    </row>
    <row r="768" spans="1:11">
      <c r="A768" s="50">
        <v>43927</v>
      </c>
      <c r="C768" s="50" t="s">
        <v>88</v>
      </c>
      <c r="E768" s="50">
        <v>220</v>
      </c>
      <c r="F768" s="50">
        <v>34</v>
      </c>
      <c r="G768" s="50">
        <v>14</v>
      </c>
      <c r="J768" s="50">
        <v>7</v>
      </c>
      <c r="K768" s="50" t="s">
        <v>90</v>
      </c>
    </row>
    <row r="769" spans="1:11">
      <c r="A769" s="50">
        <v>43927</v>
      </c>
      <c r="C769" s="50" t="s">
        <v>97</v>
      </c>
      <c r="E769" s="50">
        <v>4417</v>
      </c>
      <c r="F769" s="50">
        <v>364</v>
      </c>
      <c r="G769" s="50">
        <v>67</v>
      </c>
      <c r="J769" s="50">
        <v>192</v>
      </c>
      <c r="K769" s="50" t="s">
        <v>99</v>
      </c>
    </row>
    <row r="770" spans="1:11">
      <c r="A770" s="50">
        <v>43927</v>
      </c>
      <c r="C770" s="50" t="s">
        <v>100</v>
      </c>
      <c r="E770" s="50">
        <v>1497</v>
      </c>
      <c r="F770" s="50">
        <v>132</v>
      </c>
      <c r="G770" s="50">
        <v>26</v>
      </c>
      <c r="H770" s="50">
        <v>22</v>
      </c>
      <c r="I770" s="50">
        <v>105</v>
      </c>
      <c r="J770" s="50">
        <v>60</v>
      </c>
      <c r="K770" s="50" t="s">
        <v>430</v>
      </c>
    </row>
    <row r="771" spans="1:11">
      <c r="A771" s="50">
        <v>43927</v>
      </c>
      <c r="B771" s="50">
        <v>0</v>
      </c>
      <c r="C771" s="50" t="s">
        <v>83</v>
      </c>
      <c r="E771" s="50">
        <v>261</v>
      </c>
      <c r="F771" s="50">
        <v>26</v>
      </c>
      <c r="J771" s="50">
        <v>3</v>
      </c>
      <c r="K771" s="50" t="s">
        <v>388</v>
      </c>
    </row>
    <row r="772" spans="1:11">
      <c r="A772" s="50">
        <v>43927</v>
      </c>
      <c r="B772" s="50">
        <v>0.33333333333333331</v>
      </c>
      <c r="C772" s="50" t="s">
        <v>41</v>
      </c>
      <c r="E772" s="50">
        <v>69</v>
      </c>
      <c r="J772" s="50">
        <v>3</v>
      </c>
      <c r="K772" s="50" t="s">
        <v>43</v>
      </c>
    </row>
    <row r="773" spans="1:11">
      <c r="A773" s="50">
        <v>43927</v>
      </c>
      <c r="B773" s="50">
        <v>0.33333333333333331</v>
      </c>
      <c r="C773" s="50" t="s">
        <v>44</v>
      </c>
      <c r="E773" s="50">
        <v>1173</v>
      </c>
      <c r="F773" s="50">
        <v>117</v>
      </c>
      <c r="G773" s="50">
        <v>35</v>
      </c>
      <c r="H773" s="50">
        <v>30</v>
      </c>
      <c r="J773" s="50">
        <v>31</v>
      </c>
      <c r="K773" s="50" t="s">
        <v>46</v>
      </c>
    </row>
    <row r="774" spans="1:11">
      <c r="A774" s="50">
        <v>43927</v>
      </c>
      <c r="B774" s="50">
        <v>0.33333333333333331</v>
      </c>
      <c r="C774" s="50" t="s">
        <v>91</v>
      </c>
      <c r="E774" s="50">
        <v>2546</v>
      </c>
      <c r="F774" s="50">
        <v>357</v>
      </c>
      <c r="G774" s="50">
        <v>72</v>
      </c>
      <c r="H774" s="50">
        <v>62</v>
      </c>
      <c r="I774" s="50">
        <v>350</v>
      </c>
      <c r="J774" s="50">
        <v>189</v>
      </c>
      <c r="K774" s="50" t="s">
        <v>293</v>
      </c>
    </row>
    <row r="775" spans="1:11">
      <c r="A775" s="50">
        <v>43927</v>
      </c>
      <c r="B775" s="50">
        <v>0.33333333333333331</v>
      </c>
      <c r="C775" s="50" t="s">
        <v>102</v>
      </c>
      <c r="E775" s="50">
        <v>152</v>
      </c>
      <c r="F775" s="50">
        <v>14</v>
      </c>
      <c r="G775" s="50">
        <v>8</v>
      </c>
      <c r="I775" s="50">
        <v>52</v>
      </c>
      <c r="J775" s="50">
        <v>3</v>
      </c>
      <c r="K775" s="50" t="s">
        <v>381</v>
      </c>
    </row>
    <row r="776" spans="1:11">
      <c r="A776" s="50">
        <v>43927</v>
      </c>
      <c r="B776" s="50">
        <v>0.40625</v>
      </c>
      <c r="C776" s="50" t="s">
        <v>50</v>
      </c>
      <c r="E776" s="50">
        <v>798</v>
      </c>
      <c r="F776" s="50">
        <v>99</v>
      </c>
      <c r="G776" s="50">
        <v>13</v>
      </c>
      <c r="I776" s="50">
        <v>481</v>
      </c>
      <c r="J776" s="50">
        <v>26</v>
      </c>
      <c r="K776" s="50" t="s">
        <v>292</v>
      </c>
    </row>
    <row r="777" spans="1:11">
      <c r="A777" s="50">
        <v>43927</v>
      </c>
      <c r="B777" s="50">
        <v>0.45833333333333331</v>
      </c>
      <c r="C777" s="50" t="s">
        <v>38</v>
      </c>
      <c r="E777" s="50">
        <v>21</v>
      </c>
      <c r="K777" s="50" t="s">
        <v>40</v>
      </c>
    </row>
    <row r="778" spans="1:11">
      <c r="A778" s="50">
        <v>43927</v>
      </c>
      <c r="B778" s="50">
        <v>0.45833333333333331</v>
      </c>
      <c r="C778" s="50" t="s">
        <v>68</v>
      </c>
      <c r="E778" s="50">
        <v>497</v>
      </c>
      <c r="F778" s="50">
        <v>61</v>
      </c>
      <c r="G778" s="50">
        <v>6</v>
      </c>
      <c r="J778" s="50">
        <v>9</v>
      </c>
      <c r="K778" s="50" t="s">
        <v>70</v>
      </c>
    </row>
    <row r="779" spans="1:11">
      <c r="A779" s="50">
        <v>43927</v>
      </c>
      <c r="B779" s="50">
        <v>0.58333333333333337</v>
      </c>
      <c r="C779" s="50" t="s">
        <v>94</v>
      </c>
      <c r="E779" s="50">
        <v>67</v>
      </c>
      <c r="F779" s="50">
        <v>9</v>
      </c>
      <c r="I779" s="50">
        <v>34</v>
      </c>
      <c r="J779" s="50">
        <v>2</v>
      </c>
      <c r="K779" s="50" t="s">
        <v>226</v>
      </c>
    </row>
    <row r="780" spans="1:11">
      <c r="A780" s="50">
        <v>43927</v>
      </c>
      <c r="B780" s="50">
        <v>0.60416666666666663</v>
      </c>
      <c r="C780" s="50" t="s">
        <v>104</v>
      </c>
      <c r="E780" s="50">
        <v>2611</v>
      </c>
      <c r="F780" s="50">
        <v>198</v>
      </c>
      <c r="H780" s="50">
        <v>58</v>
      </c>
      <c r="J780" s="50">
        <v>55</v>
      </c>
      <c r="K780" s="50" t="s">
        <v>106</v>
      </c>
    </row>
    <row r="781" spans="1:11">
      <c r="A781" s="50">
        <v>43927</v>
      </c>
      <c r="B781" s="50">
        <v>0.625</v>
      </c>
      <c r="C781" s="50" t="s">
        <v>34</v>
      </c>
      <c r="E781" s="50">
        <v>727</v>
      </c>
      <c r="F781" s="50">
        <v>82</v>
      </c>
      <c r="G781" s="50">
        <v>25</v>
      </c>
      <c r="H781" s="50">
        <v>24</v>
      </c>
      <c r="J781" s="50">
        <v>13</v>
      </c>
      <c r="K781" s="50" t="s">
        <v>291</v>
      </c>
    </row>
    <row r="782" spans="1:11">
      <c r="A782" s="50">
        <v>43927</v>
      </c>
      <c r="B782" s="50">
        <v>0.625</v>
      </c>
      <c r="C782" s="50" t="s">
        <v>75</v>
      </c>
      <c r="E782" s="50">
        <v>60</v>
      </c>
      <c r="I782" s="50">
        <v>1</v>
      </c>
      <c r="J782" s="50">
        <v>0</v>
      </c>
      <c r="K782" s="50" t="s">
        <v>77</v>
      </c>
    </row>
    <row r="783" spans="1:11">
      <c r="A783" s="50">
        <v>43928</v>
      </c>
      <c r="C783" s="50" t="s">
        <v>47</v>
      </c>
      <c r="E783" s="50">
        <v>690</v>
      </c>
      <c r="F783" s="50">
        <v>66</v>
      </c>
      <c r="G783" s="50">
        <v>18</v>
      </c>
      <c r="H783" s="50">
        <v>17</v>
      </c>
      <c r="I783" s="50">
        <v>452</v>
      </c>
      <c r="J783" s="50">
        <v>19</v>
      </c>
      <c r="K783" s="50" t="s">
        <v>49</v>
      </c>
    </row>
    <row r="784" spans="1:11">
      <c r="A784" s="50">
        <v>43928</v>
      </c>
      <c r="C784" s="50" t="s">
        <v>53</v>
      </c>
      <c r="E784" s="50">
        <v>78</v>
      </c>
      <c r="J784" s="50">
        <v>1</v>
      </c>
      <c r="K784" s="50" t="s">
        <v>339</v>
      </c>
    </row>
    <row r="785" spans="1:11">
      <c r="A785" s="50">
        <v>43928</v>
      </c>
      <c r="C785" s="50" t="s">
        <v>56</v>
      </c>
      <c r="E785" s="50">
        <v>729</v>
      </c>
      <c r="F785" s="50">
        <v>78</v>
      </c>
      <c r="G785" s="50">
        <v>22</v>
      </c>
      <c r="I785" s="50">
        <v>73</v>
      </c>
      <c r="J785" s="50">
        <v>44</v>
      </c>
      <c r="K785" s="50" t="s">
        <v>420</v>
      </c>
    </row>
    <row r="786" spans="1:11">
      <c r="A786" s="50">
        <v>43928</v>
      </c>
      <c r="C786" s="50" t="s">
        <v>58</v>
      </c>
      <c r="D786" s="50">
        <v>16411</v>
      </c>
      <c r="E786" s="50">
        <v>3928</v>
      </c>
      <c r="F786" s="50">
        <v>412</v>
      </c>
      <c r="G786" s="50">
        <v>51</v>
      </c>
      <c r="H786" s="50">
        <v>48</v>
      </c>
      <c r="I786" s="50">
        <v>374</v>
      </c>
      <c r="J786" s="50">
        <v>134</v>
      </c>
      <c r="K786" s="50" t="s">
        <v>60</v>
      </c>
    </row>
    <row r="787" spans="1:11">
      <c r="A787" s="50">
        <v>43928</v>
      </c>
      <c r="C787" s="50" t="s">
        <v>61</v>
      </c>
      <c r="E787" s="50">
        <v>63</v>
      </c>
      <c r="F787" s="50">
        <v>2</v>
      </c>
      <c r="J787" s="50">
        <v>2</v>
      </c>
      <c r="K787" s="50" t="s">
        <v>387</v>
      </c>
    </row>
    <row r="788" spans="1:11">
      <c r="A788" s="50">
        <v>43928</v>
      </c>
      <c r="C788" s="50" t="s">
        <v>63</v>
      </c>
      <c r="E788" s="50">
        <v>684</v>
      </c>
      <c r="F788" s="50">
        <v>49</v>
      </c>
      <c r="J788" s="50">
        <v>35</v>
      </c>
      <c r="K788" s="50" t="s">
        <v>65</v>
      </c>
    </row>
    <row r="789" spans="1:11">
      <c r="A789" s="50">
        <v>43928</v>
      </c>
      <c r="C789" s="50" t="s">
        <v>66</v>
      </c>
      <c r="E789" s="50">
        <v>171</v>
      </c>
      <c r="F789" s="50">
        <v>28</v>
      </c>
      <c r="G789" s="50">
        <v>4</v>
      </c>
      <c r="J789" s="50">
        <v>0</v>
      </c>
      <c r="K789" s="50" t="s">
        <v>427</v>
      </c>
    </row>
    <row r="790" spans="1:11">
      <c r="A790" s="50">
        <v>43928</v>
      </c>
      <c r="C790" s="50" t="s">
        <v>71</v>
      </c>
      <c r="E790" s="50">
        <v>510</v>
      </c>
      <c r="F790" s="50">
        <v>64</v>
      </c>
      <c r="G790" s="50">
        <v>10</v>
      </c>
      <c r="H790" s="50">
        <v>5</v>
      </c>
      <c r="J790" s="50">
        <v>37</v>
      </c>
      <c r="K790" s="50" t="s">
        <v>377</v>
      </c>
    </row>
    <row r="791" spans="1:11">
      <c r="A791" s="50">
        <v>43928</v>
      </c>
      <c r="C791" s="50" t="s">
        <v>73</v>
      </c>
      <c r="E791" s="50">
        <v>87</v>
      </c>
      <c r="F791" s="50">
        <v>9</v>
      </c>
      <c r="G791" s="50">
        <v>2</v>
      </c>
      <c r="K791" s="50" t="s">
        <v>357</v>
      </c>
    </row>
    <row r="792" spans="1:11">
      <c r="A792" s="50">
        <v>43928</v>
      </c>
      <c r="C792" s="50" t="s">
        <v>78</v>
      </c>
      <c r="E792" s="50">
        <v>557</v>
      </c>
      <c r="F792" s="50">
        <v>65</v>
      </c>
      <c r="G792" s="50">
        <v>9</v>
      </c>
      <c r="I792" s="50">
        <v>79</v>
      </c>
      <c r="J792" s="50">
        <v>13</v>
      </c>
      <c r="K792" s="50" t="s">
        <v>80</v>
      </c>
    </row>
    <row r="793" spans="1:11">
      <c r="A793" s="50">
        <v>43928</v>
      </c>
      <c r="C793" s="50" t="s">
        <v>86</v>
      </c>
      <c r="E793" s="50">
        <v>185</v>
      </c>
      <c r="I793" s="50">
        <v>105</v>
      </c>
      <c r="J793" s="50">
        <v>7</v>
      </c>
      <c r="K793" s="50" t="s">
        <v>398</v>
      </c>
    </row>
    <row r="794" spans="1:11">
      <c r="A794" s="50">
        <v>43928</v>
      </c>
      <c r="C794" s="50" t="s">
        <v>88</v>
      </c>
      <c r="E794" s="50">
        <v>222</v>
      </c>
      <c r="F794" s="50">
        <v>33</v>
      </c>
      <c r="G794" s="50">
        <v>13</v>
      </c>
      <c r="J794" s="50">
        <v>8</v>
      </c>
      <c r="K794" s="50" t="s">
        <v>90</v>
      </c>
    </row>
    <row r="795" spans="1:11">
      <c r="A795" s="50">
        <v>43928</v>
      </c>
      <c r="C795" s="50" t="s">
        <v>97</v>
      </c>
      <c r="E795" s="50">
        <v>4494</v>
      </c>
      <c r="F795" s="50">
        <v>337</v>
      </c>
      <c r="G795" s="50">
        <v>66</v>
      </c>
      <c r="J795" s="50">
        <v>204</v>
      </c>
      <c r="K795" s="50" t="s">
        <v>99</v>
      </c>
    </row>
    <row r="796" spans="1:11">
      <c r="A796" s="50">
        <v>43928</v>
      </c>
      <c r="C796" s="50" t="s">
        <v>100</v>
      </c>
      <c r="E796" s="50">
        <v>1536</v>
      </c>
      <c r="F796" s="50">
        <v>129</v>
      </c>
      <c r="G796" s="50">
        <v>25</v>
      </c>
      <c r="H796" s="50">
        <v>20</v>
      </c>
      <c r="I796" s="50">
        <v>123</v>
      </c>
      <c r="J796" s="50">
        <v>68</v>
      </c>
      <c r="K796" s="50" t="s">
        <v>430</v>
      </c>
    </row>
    <row r="797" spans="1:11">
      <c r="A797" s="50">
        <v>43928</v>
      </c>
      <c r="B797" s="50">
        <v>0</v>
      </c>
      <c r="C797" s="50" t="s">
        <v>83</v>
      </c>
      <c r="E797" s="50">
        <v>264</v>
      </c>
      <c r="F797" s="50">
        <v>29</v>
      </c>
      <c r="J797" s="50">
        <v>3</v>
      </c>
      <c r="K797" s="50" t="s">
        <v>388</v>
      </c>
    </row>
    <row r="798" spans="1:11">
      <c r="A798" s="50">
        <v>43928</v>
      </c>
      <c r="B798" s="50">
        <v>0.33333333333333331</v>
      </c>
      <c r="C798" s="50" t="s">
        <v>41</v>
      </c>
      <c r="E798" s="50">
        <v>69</v>
      </c>
      <c r="J798" s="50">
        <v>3</v>
      </c>
      <c r="K798" s="50" t="s">
        <v>43</v>
      </c>
    </row>
    <row r="799" spans="1:11">
      <c r="A799" s="50">
        <v>43928</v>
      </c>
      <c r="B799" s="50">
        <v>0.33333333333333331</v>
      </c>
      <c r="C799" s="50" t="s">
        <v>44</v>
      </c>
      <c r="E799" s="50">
        <v>1228</v>
      </c>
      <c r="F799" s="50">
        <v>122</v>
      </c>
      <c r="G799" s="50">
        <v>34</v>
      </c>
      <c r="H799" s="50">
        <v>26</v>
      </c>
      <c r="J799" s="50">
        <v>33</v>
      </c>
      <c r="K799" s="50" t="s">
        <v>46</v>
      </c>
    </row>
    <row r="800" spans="1:11">
      <c r="A800" s="50">
        <v>43928</v>
      </c>
      <c r="B800" s="50">
        <v>0.33333333333333331</v>
      </c>
      <c r="C800" s="50" t="s">
        <v>91</v>
      </c>
      <c r="E800" s="50">
        <v>2599</v>
      </c>
      <c r="F800" s="50">
        <v>335</v>
      </c>
      <c r="G800" s="50">
        <v>72</v>
      </c>
      <c r="H800" s="50">
        <v>65</v>
      </c>
      <c r="I800" s="50">
        <v>388</v>
      </c>
      <c r="J800" s="50">
        <v>198</v>
      </c>
      <c r="K800" s="50" t="s">
        <v>296</v>
      </c>
    </row>
    <row r="801" spans="1:11">
      <c r="A801" s="50">
        <v>43928</v>
      </c>
      <c r="B801" s="50">
        <v>0.33333333333333331</v>
      </c>
      <c r="C801" s="50" t="s">
        <v>102</v>
      </c>
      <c r="E801" s="50">
        <v>157</v>
      </c>
      <c r="F801" s="50">
        <v>15</v>
      </c>
      <c r="G801" s="50">
        <v>8</v>
      </c>
      <c r="I801" s="50">
        <v>54</v>
      </c>
      <c r="J801" s="50">
        <v>3</v>
      </c>
      <c r="K801" s="50" t="s">
        <v>381</v>
      </c>
    </row>
    <row r="802" spans="1:11">
      <c r="A802" s="50">
        <v>43928</v>
      </c>
      <c r="B802" s="50">
        <v>0.39583333333333331</v>
      </c>
      <c r="C802" s="50" t="s">
        <v>50</v>
      </c>
      <c r="E802" s="50">
        <v>808</v>
      </c>
      <c r="F802" s="50">
        <v>101</v>
      </c>
      <c r="G802" s="50">
        <v>13</v>
      </c>
      <c r="I802" s="50">
        <v>508</v>
      </c>
      <c r="J802" s="50">
        <v>28</v>
      </c>
      <c r="K802" s="50" t="s">
        <v>295</v>
      </c>
    </row>
    <row r="803" spans="1:11">
      <c r="A803" s="50">
        <v>43928</v>
      </c>
      <c r="B803" s="50">
        <v>0.39583333333333331</v>
      </c>
      <c r="C803" s="50" t="s">
        <v>81</v>
      </c>
      <c r="E803" s="50">
        <v>50</v>
      </c>
      <c r="F803" s="50">
        <v>14</v>
      </c>
      <c r="G803" s="50">
        <v>3</v>
      </c>
      <c r="J803" s="50">
        <v>1</v>
      </c>
      <c r="K803" s="50" t="s">
        <v>428</v>
      </c>
    </row>
    <row r="804" spans="1:11">
      <c r="A804" s="50">
        <v>43928</v>
      </c>
      <c r="B804" s="50">
        <v>0.45833333333333331</v>
      </c>
      <c r="C804" s="50" t="s">
        <v>38</v>
      </c>
      <c r="E804" s="50">
        <v>21</v>
      </c>
      <c r="K804" s="50" t="s">
        <v>40</v>
      </c>
    </row>
    <row r="805" spans="1:11">
      <c r="A805" s="50">
        <v>43928</v>
      </c>
      <c r="B805" s="50">
        <v>0.45833333333333331</v>
      </c>
      <c r="C805" s="50" t="s">
        <v>68</v>
      </c>
      <c r="E805" s="50">
        <v>509</v>
      </c>
      <c r="F805" s="50">
        <v>57</v>
      </c>
      <c r="G805" s="50">
        <v>6</v>
      </c>
      <c r="J805" s="50">
        <v>9</v>
      </c>
      <c r="K805" s="50" t="s">
        <v>70</v>
      </c>
    </row>
    <row r="806" spans="1:11">
      <c r="A806" s="50">
        <v>43928</v>
      </c>
      <c r="B806" s="50">
        <v>0.58333333333333337</v>
      </c>
      <c r="C806" s="50" t="s">
        <v>94</v>
      </c>
      <c r="E806" s="50">
        <v>68</v>
      </c>
      <c r="F806" s="50">
        <v>7</v>
      </c>
      <c r="I806" s="50">
        <v>42</v>
      </c>
      <c r="J806" s="50">
        <v>2</v>
      </c>
      <c r="K806" s="50" t="s">
        <v>226</v>
      </c>
    </row>
    <row r="807" spans="1:11">
      <c r="A807" s="50">
        <v>43928</v>
      </c>
      <c r="B807" s="50">
        <v>0.60416666666666663</v>
      </c>
      <c r="C807" s="50" t="s">
        <v>75</v>
      </c>
      <c r="E807" s="50">
        <v>60</v>
      </c>
      <c r="F807" s="50">
        <v>2</v>
      </c>
      <c r="J807" s="50">
        <v>0</v>
      </c>
      <c r="K807" s="50" t="s">
        <v>77</v>
      </c>
    </row>
    <row r="808" spans="1:11">
      <c r="A808" s="50">
        <v>43928</v>
      </c>
      <c r="B808" s="50">
        <v>0.60416666666666663</v>
      </c>
      <c r="C808" s="50" t="s">
        <v>104</v>
      </c>
      <c r="E808" s="50">
        <v>2695</v>
      </c>
      <c r="F808" s="50">
        <v>181</v>
      </c>
      <c r="H808" s="50">
        <v>60</v>
      </c>
      <c r="J808" s="50">
        <v>57</v>
      </c>
      <c r="K808" s="50" t="s">
        <v>106</v>
      </c>
    </row>
    <row r="809" spans="1:11">
      <c r="A809" s="50">
        <v>43928</v>
      </c>
      <c r="B809" s="50">
        <v>0.61458333333333337</v>
      </c>
      <c r="C809" s="50" t="s">
        <v>34</v>
      </c>
      <c r="E809" s="50">
        <v>760</v>
      </c>
      <c r="F809" s="50">
        <v>84</v>
      </c>
      <c r="G809" s="50">
        <v>25</v>
      </c>
      <c r="H809" s="50">
        <v>25</v>
      </c>
      <c r="I809" s="50">
        <v>170</v>
      </c>
      <c r="J809" s="50">
        <v>16</v>
      </c>
      <c r="K809" s="50" t="s">
        <v>294</v>
      </c>
    </row>
    <row r="810" spans="1:11">
      <c r="A810" s="50">
        <v>43929</v>
      </c>
      <c r="C810" s="50" t="s">
        <v>47</v>
      </c>
      <c r="E810" s="50">
        <v>694</v>
      </c>
      <c r="F810" s="50">
        <v>65</v>
      </c>
      <c r="G810" s="50">
        <v>18</v>
      </c>
      <c r="H810" s="50">
        <v>17</v>
      </c>
      <c r="I810" s="50">
        <v>461</v>
      </c>
      <c r="J810" s="50">
        <v>21</v>
      </c>
      <c r="K810" s="50" t="s">
        <v>49</v>
      </c>
    </row>
    <row r="811" spans="1:11">
      <c r="A811" s="50">
        <v>43929</v>
      </c>
      <c r="C811" s="50" t="s">
        <v>56</v>
      </c>
      <c r="E811" s="50">
        <v>756</v>
      </c>
      <c r="F811" s="50">
        <v>80</v>
      </c>
      <c r="G811" s="50">
        <v>22</v>
      </c>
      <c r="I811" s="50">
        <v>78</v>
      </c>
      <c r="J811" s="50">
        <v>45</v>
      </c>
      <c r="K811" s="50" t="s">
        <v>420</v>
      </c>
    </row>
    <row r="812" spans="1:11">
      <c r="A812" s="50">
        <v>43929</v>
      </c>
      <c r="C812" s="50" t="s">
        <v>58</v>
      </c>
      <c r="D812" s="50">
        <v>17220</v>
      </c>
      <c r="E812" s="50">
        <v>4059</v>
      </c>
      <c r="F812" s="50">
        <v>402</v>
      </c>
      <c r="G812" s="50">
        <v>49</v>
      </c>
      <c r="H812" s="50">
        <v>47</v>
      </c>
      <c r="I812" s="50">
        <v>442</v>
      </c>
      <c r="J812" s="50">
        <v>148</v>
      </c>
      <c r="K812" s="50" t="s">
        <v>60</v>
      </c>
    </row>
    <row r="813" spans="1:11">
      <c r="A813" s="50">
        <v>43929</v>
      </c>
      <c r="C813" s="50" t="s">
        <v>61</v>
      </c>
      <c r="E813" s="50">
        <v>64</v>
      </c>
      <c r="F813" s="50">
        <v>2</v>
      </c>
      <c r="J813" s="50">
        <v>2</v>
      </c>
      <c r="K813" s="50" t="s">
        <v>387</v>
      </c>
    </row>
    <row r="814" spans="1:11">
      <c r="A814" s="50">
        <v>43929</v>
      </c>
      <c r="C814" s="50" t="s">
        <v>63</v>
      </c>
      <c r="E814" s="50">
        <v>698</v>
      </c>
      <c r="F814" s="50">
        <v>38</v>
      </c>
      <c r="J814" s="50">
        <v>35</v>
      </c>
      <c r="K814" s="50" t="s">
        <v>65</v>
      </c>
    </row>
    <row r="815" spans="1:11">
      <c r="A815" s="50">
        <v>43929</v>
      </c>
      <c r="C815" s="50" t="s">
        <v>66</v>
      </c>
      <c r="E815" s="50">
        <v>174</v>
      </c>
      <c r="F815" s="50">
        <v>31</v>
      </c>
      <c r="G815" s="50">
        <v>4</v>
      </c>
      <c r="J815" s="50">
        <v>1</v>
      </c>
      <c r="K815" s="50" t="s">
        <v>427</v>
      </c>
    </row>
    <row r="816" spans="1:11">
      <c r="A816" s="50">
        <v>43929</v>
      </c>
      <c r="C816" s="50" t="s">
        <v>71</v>
      </c>
      <c r="E816" s="50">
        <v>515</v>
      </c>
      <c r="F816" s="50">
        <v>63</v>
      </c>
      <c r="G816" s="50">
        <v>10</v>
      </c>
      <c r="H816" s="50">
        <v>7</v>
      </c>
      <c r="J816" s="50">
        <v>40</v>
      </c>
      <c r="K816" s="50" t="s">
        <v>377</v>
      </c>
    </row>
    <row r="817" spans="1:11">
      <c r="A817" s="50">
        <v>43929</v>
      </c>
      <c r="C817" s="50" t="s">
        <v>73</v>
      </c>
      <c r="E817" s="50">
        <v>93</v>
      </c>
      <c r="F817" s="50">
        <v>9</v>
      </c>
      <c r="G817" s="50">
        <v>1</v>
      </c>
      <c r="K817" s="50" t="s">
        <v>357</v>
      </c>
    </row>
    <row r="818" spans="1:11">
      <c r="A818" s="50">
        <v>43929</v>
      </c>
      <c r="C818" s="50" t="s">
        <v>78</v>
      </c>
      <c r="E818" s="50">
        <v>578</v>
      </c>
      <c r="F818" s="50">
        <v>52</v>
      </c>
      <c r="G818" s="50">
        <v>12</v>
      </c>
      <c r="I818" s="50">
        <v>89</v>
      </c>
      <c r="J818" s="50">
        <v>15</v>
      </c>
      <c r="K818" s="50" t="s">
        <v>80</v>
      </c>
    </row>
    <row r="819" spans="1:11">
      <c r="A819" s="50">
        <v>43929</v>
      </c>
      <c r="C819" s="50" t="s">
        <v>86</v>
      </c>
      <c r="E819" s="50">
        <v>196</v>
      </c>
      <c r="I819" s="50">
        <v>107</v>
      </c>
      <c r="J819" s="50">
        <v>7</v>
      </c>
      <c r="K819" s="50" t="s">
        <v>398</v>
      </c>
    </row>
    <row r="820" spans="1:11">
      <c r="A820" s="50">
        <v>43929</v>
      </c>
      <c r="C820" s="50" t="s">
        <v>88</v>
      </c>
      <c r="E820" s="50">
        <v>237</v>
      </c>
      <c r="F820" s="50">
        <v>30</v>
      </c>
      <c r="G820" s="50">
        <v>15</v>
      </c>
      <c r="J820" s="50">
        <v>8</v>
      </c>
      <c r="K820" s="50" t="s">
        <v>90</v>
      </c>
    </row>
    <row r="821" spans="1:11">
      <c r="A821" s="50">
        <v>43929</v>
      </c>
      <c r="C821" s="50" t="s">
        <v>97</v>
      </c>
      <c r="E821" s="50">
        <v>4585</v>
      </c>
      <c r="F821" s="50">
        <v>330</v>
      </c>
      <c r="G821" s="50">
        <v>65</v>
      </c>
      <c r="J821" s="50">
        <v>216</v>
      </c>
      <c r="K821" s="50" t="s">
        <v>99</v>
      </c>
    </row>
    <row r="822" spans="1:11">
      <c r="A822" s="50">
        <v>43929</v>
      </c>
      <c r="C822" s="50" t="s">
        <v>100</v>
      </c>
      <c r="E822" s="50">
        <v>1570</v>
      </c>
      <c r="F822" s="50">
        <v>122</v>
      </c>
      <c r="G822" s="50">
        <v>26</v>
      </c>
      <c r="H822" s="50">
        <v>20</v>
      </c>
      <c r="I822" s="50">
        <v>130</v>
      </c>
      <c r="J822" s="50">
        <v>71</v>
      </c>
      <c r="K822" s="50" t="s">
        <v>430</v>
      </c>
    </row>
    <row r="823" spans="1:11">
      <c r="A823" s="50">
        <v>43929</v>
      </c>
      <c r="B823" s="50">
        <v>0</v>
      </c>
      <c r="C823" s="50" t="s">
        <v>83</v>
      </c>
      <c r="E823" s="50">
        <v>276</v>
      </c>
      <c r="F823" s="50">
        <v>22</v>
      </c>
      <c r="J823" s="50">
        <v>3</v>
      </c>
      <c r="K823" s="50" t="s">
        <v>388</v>
      </c>
    </row>
    <row r="824" spans="1:11">
      <c r="A824" s="50">
        <v>43929</v>
      </c>
      <c r="B824" s="50">
        <v>0.33333333333333331</v>
      </c>
      <c r="C824" s="50" t="s">
        <v>41</v>
      </c>
      <c r="E824" s="50">
        <v>72</v>
      </c>
      <c r="J824" s="50">
        <v>3</v>
      </c>
      <c r="K824" s="50" t="s">
        <v>43</v>
      </c>
    </row>
    <row r="825" spans="1:11">
      <c r="A825" s="50">
        <v>43929</v>
      </c>
      <c r="B825" s="50">
        <v>0.33333333333333331</v>
      </c>
      <c r="C825" s="50" t="s">
        <v>44</v>
      </c>
      <c r="E825" s="50">
        <v>1286</v>
      </c>
      <c r="F825" s="50">
        <v>127</v>
      </c>
      <c r="G825" s="50">
        <v>35</v>
      </c>
      <c r="H825" s="50">
        <v>27</v>
      </c>
      <c r="J825" s="50">
        <v>37</v>
      </c>
      <c r="K825" s="50" t="s">
        <v>46</v>
      </c>
    </row>
    <row r="826" spans="1:11">
      <c r="A826" s="50">
        <v>43929</v>
      </c>
      <c r="B826" s="50">
        <v>0.33333333333333331</v>
      </c>
      <c r="C826" s="50" t="s">
        <v>91</v>
      </c>
      <c r="E826" s="50">
        <v>2659</v>
      </c>
      <c r="F826" s="50">
        <v>319</v>
      </c>
      <c r="G826" s="50">
        <v>71</v>
      </c>
      <c r="H826" s="50">
        <v>64</v>
      </c>
      <c r="I826" s="50">
        <v>420</v>
      </c>
      <c r="J826" s="50">
        <v>211</v>
      </c>
      <c r="K826" s="50" t="s">
        <v>299</v>
      </c>
    </row>
    <row r="827" spans="1:11">
      <c r="A827" s="50">
        <v>43929</v>
      </c>
      <c r="B827" s="50">
        <v>0.33333333333333331</v>
      </c>
      <c r="C827" s="50" t="s">
        <v>102</v>
      </c>
      <c r="E827" s="50">
        <v>162</v>
      </c>
      <c r="F827" s="50">
        <v>12</v>
      </c>
      <c r="G827" s="50">
        <v>9</v>
      </c>
      <c r="I827" s="50">
        <v>61</v>
      </c>
      <c r="J827" s="50">
        <v>3</v>
      </c>
      <c r="K827" s="50" t="s">
        <v>381</v>
      </c>
    </row>
    <row r="828" spans="1:11">
      <c r="A828" s="50">
        <v>43929</v>
      </c>
      <c r="B828" s="50">
        <v>0.39583333333333331</v>
      </c>
      <c r="C828" s="50" t="s">
        <v>81</v>
      </c>
      <c r="E828" s="50">
        <v>50</v>
      </c>
      <c r="F828" s="50">
        <v>15</v>
      </c>
      <c r="G828" s="50">
        <v>2</v>
      </c>
      <c r="J828" s="50">
        <v>1</v>
      </c>
      <c r="K828" s="50" t="s">
        <v>428</v>
      </c>
    </row>
    <row r="829" spans="1:11">
      <c r="A829" s="50">
        <v>43929</v>
      </c>
      <c r="B829" s="50">
        <v>0.41666666666666669</v>
      </c>
      <c r="C829" s="50" t="s">
        <v>50</v>
      </c>
      <c r="E829" s="50">
        <v>829</v>
      </c>
      <c r="F829" s="50">
        <v>99</v>
      </c>
      <c r="G829" s="50">
        <v>14</v>
      </c>
      <c r="I829" s="50">
        <v>535</v>
      </c>
      <c r="J829" s="50">
        <v>31</v>
      </c>
      <c r="K829" s="50" t="s">
        <v>298</v>
      </c>
    </row>
    <row r="830" spans="1:11">
      <c r="A830" s="50">
        <v>43929</v>
      </c>
      <c r="B830" s="50">
        <v>0.45833333333333331</v>
      </c>
      <c r="C830" s="50" t="s">
        <v>38</v>
      </c>
      <c r="E830" s="50">
        <v>23</v>
      </c>
      <c r="K830" s="50" t="s">
        <v>40</v>
      </c>
    </row>
    <row r="831" spans="1:11">
      <c r="A831" s="50">
        <v>43929</v>
      </c>
      <c r="B831" s="50">
        <v>0.45833333333333331</v>
      </c>
      <c r="C831" s="50" t="s">
        <v>68</v>
      </c>
      <c r="E831" s="50">
        <v>527</v>
      </c>
      <c r="J831" s="50">
        <v>9</v>
      </c>
      <c r="K831" s="50" t="s">
        <v>70</v>
      </c>
    </row>
    <row r="832" spans="1:11">
      <c r="A832" s="50">
        <v>43929</v>
      </c>
      <c r="B832" s="50">
        <v>0.58333333333333337</v>
      </c>
      <c r="C832" s="50" t="s">
        <v>94</v>
      </c>
      <c r="E832" s="50">
        <v>72</v>
      </c>
      <c r="F832" s="50">
        <v>5</v>
      </c>
      <c r="I832" s="50">
        <v>42</v>
      </c>
      <c r="J832" s="50">
        <v>4</v>
      </c>
      <c r="K832" s="50" t="s">
        <v>96</v>
      </c>
    </row>
    <row r="833" spans="1:11">
      <c r="A833" s="50">
        <v>43929</v>
      </c>
      <c r="B833" s="50">
        <v>0.60416666666666663</v>
      </c>
      <c r="C833" s="50" t="s">
        <v>104</v>
      </c>
      <c r="E833" s="50">
        <v>2790</v>
      </c>
      <c r="F833" s="50">
        <v>170</v>
      </c>
      <c r="H833" s="50">
        <v>56</v>
      </c>
      <c r="J833" s="50">
        <v>65</v>
      </c>
      <c r="K833" s="50" t="s">
        <v>106</v>
      </c>
    </row>
    <row r="834" spans="1:11">
      <c r="A834" s="50">
        <v>43929</v>
      </c>
      <c r="B834" s="50">
        <v>0.61458333333333337</v>
      </c>
      <c r="C834" s="50" t="s">
        <v>34</v>
      </c>
      <c r="E834" s="50">
        <v>788</v>
      </c>
      <c r="F834" s="50">
        <v>79</v>
      </c>
      <c r="G834" s="50">
        <v>23</v>
      </c>
      <c r="H834" s="50">
        <v>23</v>
      </c>
      <c r="I834" s="50">
        <v>220</v>
      </c>
      <c r="J834" s="50">
        <v>16</v>
      </c>
      <c r="K834" s="50" t="s">
        <v>297</v>
      </c>
    </row>
    <row r="835" spans="1:11">
      <c r="A835" s="50">
        <v>43929</v>
      </c>
      <c r="B835" s="50">
        <v>0.625</v>
      </c>
      <c r="C835" s="50" t="s">
        <v>75</v>
      </c>
      <c r="E835" s="50">
        <v>61</v>
      </c>
      <c r="F835" s="50">
        <v>2</v>
      </c>
      <c r="J835" s="50">
        <v>0</v>
      </c>
      <c r="K835" s="50" t="s">
        <v>77</v>
      </c>
    </row>
    <row r="836" spans="1:11">
      <c r="A836" s="50">
        <v>43930</v>
      </c>
      <c r="C836" s="50" t="s">
        <v>47</v>
      </c>
      <c r="E836" s="50">
        <v>711</v>
      </c>
      <c r="F836" s="50">
        <v>62</v>
      </c>
      <c r="G836" s="50">
        <v>18</v>
      </c>
      <c r="H836" s="50">
        <v>16</v>
      </c>
      <c r="I836" s="50">
        <v>485</v>
      </c>
      <c r="J836" s="50">
        <v>21</v>
      </c>
      <c r="K836" s="50" t="s">
        <v>49</v>
      </c>
    </row>
    <row r="837" spans="1:11">
      <c r="A837" s="50">
        <v>43930</v>
      </c>
      <c r="C837" s="50" t="s">
        <v>56</v>
      </c>
      <c r="E837" s="50">
        <v>786</v>
      </c>
      <c r="F837" s="50">
        <v>80</v>
      </c>
      <c r="G837" s="50">
        <v>20</v>
      </c>
      <c r="I837" s="50">
        <v>84</v>
      </c>
      <c r="J837" s="50">
        <v>46</v>
      </c>
      <c r="K837" s="50" t="s">
        <v>420</v>
      </c>
    </row>
    <row r="838" spans="1:11">
      <c r="A838" s="50">
        <v>43930</v>
      </c>
      <c r="C838" s="50" t="s">
        <v>58</v>
      </c>
      <c r="D838" s="50">
        <v>17737</v>
      </c>
      <c r="E838" s="50">
        <v>4152</v>
      </c>
      <c r="F838" s="50">
        <v>393</v>
      </c>
      <c r="G838" s="50">
        <v>47</v>
      </c>
      <c r="H838" s="50">
        <v>45</v>
      </c>
      <c r="J838" s="50">
        <v>157</v>
      </c>
      <c r="K838" s="50" t="s">
        <v>60</v>
      </c>
    </row>
    <row r="839" spans="1:11">
      <c r="A839" s="50">
        <v>43930</v>
      </c>
      <c r="C839" s="50" t="s">
        <v>61</v>
      </c>
      <c r="E839" s="50">
        <v>67</v>
      </c>
      <c r="F839" s="50">
        <v>2</v>
      </c>
      <c r="J839" s="50">
        <v>2</v>
      </c>
      <c r="K839" s="50" t="s">
        <v>387</v>
      </c>
    </row>
    <row r="840" spans="1:11">
      <c r="A840" s="50">
        <v>43930</v>
      </c>
      <c r="C840" s="50" t="s">
        <v>63</v>
      </c>
      <c r="E840" s="50">
        <v>719</v>
      </c>
      <c r="F840" s="50">
        <v>39</v>
      </c>
      <c r="J840" s="50">
        <v>36</v>
      </c>
      <c r="K840" s="50" t="s">
        <v>65</v>
      </c>
    </row>
    <row r="841" spans="1:11">
      <c r="A841" s="50">
        <v>43930</v>
      </c>
      <c r="C841" s="50" t="s">
        <v>66</v>
      </c>
      <c r="E841" s="50">
        <v>179</v>
      </c>
      <c r="F841" s="50">
        <v>28</v>
      </c>
      <c r="G841" s="50">
        <v>5</v>
      </c>
      <c r="J841" s="50">
        <v>1</v>
      </c>
      <c r="K841" s="50" t="s">
        <v>427</v>
      </c>
    </row>
    <row r="842" spans="1:11">
      <c r="A842" s="50">
        <v>43930</v>
      </c>
      <c r="C842" s="50" t="s">
        <v>71</v>
      </c>
      <c r="E842" s="50">
        <v>547</v>
      </c>
      <c r="F842" s="50">
        <v>58</v>
      </c>
      <c r="G842" s="50">
        <v>10</v>
      </c>
      <c r="H842" s="50">
        <v>7</v>
      </c>
      <c r="J842" s="50">
        <v>42</v>
      </c>
      <c r="K842" s="50" t="s">
        <v>377</v>
      </c>
    </row>
    <row r="843" spans="1:11">
      <c r="A843" s="50">
        <v>43930</v>
      </c>
      <c r="C843" s="50" t="s">
        <v>73</v>
      </c>
      <c r="E843" s="50">
        <v>96</v>
      </c>
      <c r="F843" s="50">
        <v>9</v>
      </c>
      <c r="G843" s="50">
        <v>1</v>
      </c>
      <c r="K843" s="50" t="s">
        <v>357</v>
      </c>
    </row>
    <row r="844" spans="1:11">
      <c r="A844" s="50">
        <v>43930</v>
      </c>
      <c r="C844" s="50" t="s">
        <v>78</v>
      </c>
      <c r="E844" s="50">
        <v>604</v>
      </c>
      <c r="F844" s="50">
        <v>52</v>
      </c>
      <c r="G844" s="50">
        <v>13</v>
      </c>
      <c r="I844" s="50">
        <v>92</v>
      </c>
      <c r="J844" s="50">
        <v>16</v>
      </c>
      <c r="K844" s="50" t="s">
        <v>80</v>
      </c>
    </row>
    <row r="845" spans="1:11">
      <c r="A845" s="50">
        <v>43930</v>
      </c>
      <c r="C845" s="50" t="s">
        <v>86</v>
      </c>
      <c r="E845" s="50">
        <v>213</v>
      </c>
      <c r="I845" s="50">
        <v>113</v>
      </c>
      <c r="J845" s="50">
        <v>9</v>
      </c>
      <c r="K845" s="50" t="s">
        <v>398</v>
      </c>
    </row>
    <row r="846" spans="1:11">
      <c r="A846" s="50">
        <v>43930</v>
      </c>
      <c r="C846" s="50" t="s">
        <v>88</v>
      </c>
      <c r="E846" s="50">
        <v>256</v>
      </c>
      <c r="F846" s="50">
        <v>27</v>
      </c>
      <c r="G846" s="50">
        <v>12</v>
      </c>
      <c r="J846" s="50">
        <v>8</v>
      </c>
      <c r="K846" s="50" t="s">
        <v>90</v>
      </c>
    </row>
    <row r="847" spans="1:11">
      <c r="A847" s="50">
        <v>43930</v>
      </c>
      <c r="C847" s="50" t="s">
        <v>97</v>
      </c>
      <c r="E847" s="50">
        <v>4682</v>
      </c>
      <c r="F847" s="50">
        <v>313</v>
      </c>
      <c r="G847" s="50">
        <v>65</v>
      </c>
      <c r="J847" s="50">
        <v>230</v>
      </c>
      <c r="K847" s="50" t="s">
        <v>99</v>
      </c>
    </row>
    <row r="848" spans="1:11">
      <c r="A848" s="50">
        <v>43930</v>
      </c>
      <c r="C848" s="50" t="s">
        <v>100</v>
      </c>
      <c r="E848" s="50">
        <v>1598</v>
      </c>
      <c r="F848" s="50">
        <v>117</v>
      </c>
      <c r="G848" s="50">
        <v>24</v>
      </c>
      <c r="H848" s="50">
        <v>19</v>
      </c>
      <c r="I848" s="50">
        <v>136</v>
      </c>
      <c r="J848" s="50">
        <v>77</v>
      </c>
      <c r="K848" s="50" t="s">
        <v>430</v>
      </c>
    </row>
    <row r="849" spans="1:11">
      <c r="A849" s="50">
        <v>43930</v>
      </c>
      <c r="B849" s="50">
        <v>0</v>
      </c>
      <c r="C849" s="50" t="s">
        <v>83</v>
      </c>
      <c r="E849" s="50">
        <v>282</v>
      </c>
      <c r="F849" s="50">
        <v>23</v>
      </c>
      <c r="J849" s="50">
        <v>5</v>
      </c>
      <c r="K849" s="50" t="s">
        <v>388</v>
      </c>
    </row>
    <row r="850" spans="1:11">
      <c r="A850" s="50">
        <v>43930</v>
      </c>
      <c r="B850" s="50">
        <v>0.33333333333333331</v>
      </c>
      <c r="C850" s="50" t="s">
        <v>41</v>
      </c>
      <c r="E850" s="50">
        <v>74</v>
      </c>
      <c r="J850" s="50">
        <v>3</v>
      </c>
      <c r="K850" s="50" t="s">
        <v>43</v>
      </c>
    </row>
    <row r="851" spans="1:11">
      <c r="A851" s="50">
        <v>43930</v>
      </c>
      <c r="B851" s="50">
        <v>0.33333333333333331</v>
      </c>
      <c r="C851" s="50" t="s">
        <v>44</v>
      </c>
      <c r="E851" s="50">
        <v>1335</v>
      </c>
      <c r="F851" s="50">
        <v>117</v>
      </c>
      <c r="G851" s="50">
        <v>36</v>
      </c>
      <c r="H851" s="50">
        <v>27</v>
      </c>
      <c r="J851" s="50">
        <v>38</v>
      </c>
      <c r="K851" s="50" t="s">
        <v>46</v>
      </c>
    </row>
    <row r="852" spans="1:11">
      <c r="A852" s="50">
        <v>43930</v>
      </c>
      <c r="B852" s="50">
        <v>0.33333333333333331</v>
      </c>
      <c r="C852" s="50" t="s">
        <v>91</v>
      </c>
      <c r="E852" s="50">
        <v>2714</v>
      </c>
      <c r="F852" s="50">
        <v>301</v>
      </c>
      <c r="G852" s="50">
        <v>72</v>
      </c>
      <c r="H852" s="50">
        <v>68</v>
      </c>
      <c r="I852" s="50">
        <v>447</v>
      </c>
      <c r="J852" s="50">
        <v>219</v>
      </c>
      <c r="K852" s="50" t="s">
        <v>93</v>
      </c>
    </row>
    <row r="853" spans="1:11">
      <c r="A853" s="50">
        <v>43930</v>
      </c>
      <c r="B853" s="50">
        <v>0.33333333333333331</v>
      </c>
      <c r="C853" s="50" t="s">
        <v>102</v>
      </c>
      <c r="E853" s="50">
        <v>165</v>
      </c>
      <c r="F853" s="50">
        <v>13</v>
      </c>
      <c r="G853" s="50">
        <v>9</v>
      </c>
      <c r="I853" s="50">
        <v>69</v>
      </c>
      <c r="J853" s="50">
        <v>3</v>
      </c>
      <c r="K853" s="50" t="s">
        <v>381</v>
      </c>
    </row>
    <row r="854" spans="1:11">
      <c r="A854" s="50">
        <v>43930</v>
      </c>
      <c r="B854" s="50">
        <v>0.39583333333333331</v>
      </c>
      <c r="C854" s="50" t="s">
        <v>81</v>
      </c>
      <c r="E854" s="50">
        <v>52</v>
      </c>
      <c r="F854" s="50">
        <v>17</v>
      </c>
      <c r="G854" s="50">
        <v>2</v>
      </c>
      <c r="J854" s="50">
        <v>1</v>
      </c>
      <c r="K854" s="50" t="s">
        <v>428</v>
      </c>
    </row>
    <row r="855" spans="1:11">
      <c r="A855" s="50">
        <v>43930</v>
      </c>
      <c r="B855" s="50">
        <v>0.41666666666666669</v>
      </c>
      <c r="C855" s="50" t="s">
        <v>50</v>
      </c>
      <c r="E855" s="50">
        <v>841</v>
      </c>
      <c r="F855" s="50">
        <v>93</v>
      </c>
      <c r="G855" s="50">
        <v>13</v>
      </c>
      <c r="I855" s="50">
        <v>572</v>
      </c>
      <c r="J855" s="50">
        <v>33</v>
      </c>
      <c r="K855" s="50" t="s">
        <v>52</v>
      </c>
    </row>
    <row r="856" spans="1:11">
      <c r="A856" s="50">
        <v>43930</v>
      </c>
      <c r="B856" s="50">
        <v>0.45833333333333331</v>
      </c>
      <c r="C856" s="50" t="s">
        <v>38</v>
      </c>
      <c r="E856" s="50">
        <v>24</v>
      </c>
      <c r="K856" s="50" t="s">
        <v>40</v>
      </c>
    </row>
    <row r="857" spans="1:11">
      <c r="A857" s="50">
        <v>43930</v>
      </c>
      <c r="B857" s="50">
        <v>0.54166666666666663</v>
      </c>
      <c r="C857" s="50" t="s">
        <v>68</v>
      </c>
      <c r="E857" s="50">
        <v>542</v>
      </c>
      <c r="F857" s="50">
        <v>62</v>
      </c>
      <c r="G857" s="50">
        <v>6</v>
      </c>
      <c r="J857" s="50">
        <v>9</v>
      </c>
      <c r="K857" s="50" t="s">
        <v>70</v>
      </c>
    </row>
    <row r="858" spans="1:11">
      <c r="A858" s="50">
        <v>43930</v>
      </c>
      <c r="B858" s="50">
        <v>0.58333333333333337</v>
      </c>
      <c r="C858" s="50" t="s">
        <v>94</v>
      </c>
      <c r="E858" s="50">
        <v>72</v>
      </c>
      <c r="F858" s="50">
        <v>4</v>
      </c>
      <c r="I858" s="50">
        <v>45</v>
      </c>
      <c r="J858" s="50">
        <v>4</v>
      </c>
      <c r="K858" s="50" t="s">
        <v>96</v>
      </c>
    </row>
    <row r="859" spans="1:11">
      <c r="A859" s="50">
        <v>43930</v>
      </c>
      <c r="B859" s="50">
        <v>0.60416666666666663</v>
      </c>
      <c r="C859" s="50" t="s">
        <v>104</v>
      </c>
      <c r="E859" s="50">
        <v>2887</v>
      </c>
      <c r="F859" s="50">
        <v>165</v>
      </c>
      <c r="H859" s="50">
        <v>55</v>
      </c>
      <c r="J859" s="50">
        <v>66</v>
      </c>
      <c r="K859" s="50" t="s">
        <v>106</v>
      </c>
    </row>
    <row r="860" spans="1:11">
      <c r="A860" s="50">
        <v>43930</v>
      </c>
      <c r="B860" s="50">
        <v>0.61458333333333337</v>
      </c>
      <c r="C860" s="50" t="s">
        <v>34</v>
      </c>
      <c r="E860" s="50">
        <v>822</v>
      </c>
      <c r="F860" s="50">
        <v>87</v>
      </c>
      <c r="G860" s="50">
        <v>22</v>
      </c>
      <c r="H860" s="50">
        <v>21</v>
      </c>
      <c r="I860" s="50">
        <v>250</v>
      </c>
      <c r="J860" s="50">
        <v>17</v>
      </c>
      <c r="K860" s="50" t="s">
        <v>37</v>
      </c>
    </row>
    <row r="861" spans="1:11">
      <c r="A861" s="50">
        <v>43930</v>
      </c>
      <c r="B861" s="50">
        <v>0.625</v>
      </c>
      <c r="C861" s="50" t="s">
        <v>75</v>
      </c>
      <c r="E861" s="50">
        <v>62</v>
      </c>
      <c r="F861" s="50">
        <v>1</v>
      </c>
      <c r="J861" s="50">
        <v>0</v>
      </c>
      <c r="K861" s="50" t="s">
        <v>77</v>
      </c>
    </row>
    <row r="862" spans="1:11">
      <c r="A862" s="50">
        <v>43931</v>
      </c>
      <c r="C862" s="50" t="s">
        <v>47</v>
      </c>
      <c r="E862" s="50">
        <v>722</v>
      </c>
      <c r="F862" s="50">
        <v>54</v>
      </c>
      <c r="G862" s="50">
        <v>17</v>
      </c>
      <c r="H862" s="50">
        <v>15</v>
      </c>
      <c r="I862" s="50">
        <v>502</v>
      </c>
      <c r="J862" s="50">
        <v>22</v>
      </c>
      <c r="K862" s="50" t="s">
        <v>49</v>
      </c>
    </row>
    <row r="863" spans="1:11">
      <c r="A863" s="50">
        <v>43931</v>
      </c>
      <c r="C863" s="50" t="s">
        <v>53</v>
      </c>
      <c r="E863" s="50">
        <v>79</v>
      </c>
      <c r="J863" s="50">
        <v>1</v>
      </c>
      <c r="K863" s="50" t="s">
        <v>311</v>
      </c>
    </row>
    <row r="864" spans="1:11">
      <c r="A864" s="50">
        <v>43931</v>
      </c>
      <c r="C864" s="50" t="s">
        <v>56</v>
      </c>
      <c r="E864" s="50">
        <v>796</v>
      </c>
      <c r="F864" s="50">
        <v>73</v>
      </c>
      <c r="G864" s="50">
        <v>19</v>
      </c>
      <c r="I864" s="50">
        <v>88</v>
      </c>
      <c r="J864" s="50">
        <v>49</v>
      </c>
      <c r="K864" s="50" t="s">
        <v>420</v>
      </c>
    </row>
    <row r="865" spans="1:11">
      <c r="A865" s="50">
        <v>43931</v>
      </c>
      <c r="C865" s="50" t="s">
        <v>58</v>
      </c>
      <c r="D865" s="50">
        <v>18153</v>
      </c>
      <c r="E865" s="50">
        <v>4194</v>
      </c>
      <c r="F865" s="50">
        <v>379</v>
      </c>
      <c r="G865" s="50">
        <v>47</v>
      </c>
      <c r="H865" s="50">
        <v>47</v>
      </c>
      <c r="I865" s="50">
        <v>448</v>
      </c>
      <c r="J865" s="50">
        <v>168</v>
      </c>
      <c r="K865" s="50" t="s">
        <v>60</v>
      </c>
    </row>
    <row r="866" spans="1:11">
      <c r="A866" s="50">
        <v>43931</v>
      </c>
      <c r="C866" s="50" t="s">
        <v>61</v>
      </c>
      <c r="E866" s="50">
        <v>76</v>
      </c>
      <c r="F866" s="50">
        <v>2</v>
      </c>
      <c r="J866" s="50">
        <v>2</v>
      </c>
      <c r="K866" s="50" t="s">
        <v>387</v>
      </c>
    </row>
    <row r="867" spans="1:11">
      <c r="A867" s="50">
        <v>43931</v>
      </c>
      <c r="C867" s="50" t="s">
        <v>63</v>
      </c>
      <c r="E867" s="50">
        <v>730</v>
      </c>
      <c r="F867" s="50">
        <v>35</v>
      </c>
      <c r="J867" s="50">
        <v>36</v>
      </c>
      <c r="K867" s="50" t="s">
        <v>65</v>
      </c>
    </row>
    <row r="868" spans="1:11">
      <c r="A868" s="50">
        <v>43931</v>
      </c>
      <c r="C868" s="50" t="s">
        <v>66</v>
      </c>
      <c r="E868" s="50">
        <v>182</v>
      </c>
      <c r="F868" s="50">
        <v>25</v>
      </c>
      <c r="G868" s="50">
        <v>5</v>
      </c>
      <c r="J868" s="50">
        <v>3</v>
      </c>
      <c r="K868" s="50" t="s">
        <v>427</v>
      </c>
    </row>
    <row r="869" spans="1:11">
      <c r="A869" s="50">
        <v>43931</v>
      </c>
      <c r="C869" s="50" t="s">
        <v>71</v>
      </c>
      <c r="E869" s="50">
        <v>567</v>
      </c>
      <c r="F869" s="50">
        <v>63</v>
      </c>
      <c r="G869" s="50">
        <v>11</v>
      </c>
      <c r="H869" s="50">
        <v>8</v>
      </c>
      <c r="J869" s="50">
        <v>42</v>
      </c>
      <c r="K869" s="50" t="s">
        <v>377</v>
      </c>
    </row>
    <row r="870" spans="1:11">
      <c r="A870" s="50">
        <v>43931</v>
      </c>
      <c r="C870" s="50" t="s">
        <v>73</v>
      </c>
      <c r="E870" s="50">
        <v>100</v>
      </c>
      <c r="F870" s="50">
        <v>7</v>
      </c>
      <c r="G870" s="50">
        <v>1</v>
      </c>
      <c r="K870" s="50" t="s">
        <v>357</v>
      </c>
    </row>
    <row r="871" spans="1:11">
      <c r="A871" s="50">
        <v>43931</v>
      </c>
      <c r="C871" s="50" t="s">
        <v>78</v>
      </c>
      <c r="E871" s="50">
        <v>632</v>
      </c>
      <c r="F871" s="50">
        <v>60</v>
      </c>
      <c r="G871" s="50">
        <v>11</v>
      </c>
      <c r="I871" s="50">
        <v>93</v>
      </c>
      <c r="J871" s="50">
        <v>17</v>
      </c>
      <c r="K871" s="50" t="s">
        <v>80</v>
      </c>
    </row>
    <row r="872" spans="1:11">
      <c r="A872" s="50">
        <v>43931</v>
      </c>
      <c r="C872" s="50" t="s">
        <v>86</v>
      </c>
      <c r="E872" s="50">
        <v>215</v>
      </c>
      <c r="I872" s="50">
        <v>118</v>
      </c>
      <c r="J872" s="50">
        <v>10</v>
      </c>
      <c r="K872" s="50" t="s">
        <v>398</v>
      </c>
    </row>
    <row r="873" spans="1:11">
      <c r="A873" s="50">
        <v>43931</v>
      </c>
      <c r="C873" s="50" t="s">
        <v>88</v>
      </c>
      <c r="E873" s="50">
        <v>265</v>
      </c>
      <c r="F873" s="50">
        <v>32</v>
      </c>
      <c r="G873" s="50">
        <v>13</v>
      </c>
      <c r="J873" s="50">
        <v>8</v>
      </c>
      <c r="K873" s="50" t="s">
        <v>90</v>
      </c>
    </row>
    <row r="874" spans="1:11">
      <c r="A874" s="50">
        <v>43931</v>
      </c>
      <c r="C874" s="50" t="s">
        <v>97</v>
      </c>
      <c r="E874" s="50">
        <v>4731</v>
      </c>
      <c r="F874" s="50">
        <v>304</v>
      </c>
      <c r="G874" s="50">
        <v>67</v>
      </c>
      <c r="J874" s="50">
        <v>237</v>
      </c>
      <c r="K874" s="50" t="s">
        <v>99</v>
      </c>
    </row>
    <row r="875" spans="1:11">
      <c r="A875" s="50">
        <v>43931</v>
      </c>
      <c r="C875" s="50" t="s">
        <v>100</v>
      </c>
      <c r="E875" s="50">
        <v>1627</v>
      </c>
      <c r="F875" s="50">
        <v>115</v>
      </c>
      <c r="G875" s="50">
        <v>24</v>
      </c>
      <c r="H875" s="50">
        <v>18</v>
      </c>
      <c r="I875" s="50">
        <v>136</v>
      </c>
      <c r="J875" s="50">
        <v>83</v>
      </c>
      <c r="K875" s="50" t="s">
        <v>430</v>
      </c>
    </row>
    <row r="876" spans="1:11">
      <c r="A876" s="50">
        <v>43931</v>
      </c>
      <c r="B876" s="50">
        <v>0</v>
      </c>
      <c r="C876" s="50" t="s">
        <v>83</v>
      </c>
      <c r="E876" s="50">
        <v>294</v>
      </c>
      <c r="F876" s="50">
        <v>22</v>
      </c>
      <c r="J876" s="50">
        <v>5</v>
      </c>
      <c r="K876" s="50" t="s">
        <v>388</v>
      </c>
    </row>
    <row r="877" spans="1:11">
      <c r="A877" s="50">
        <v>43931</v>
      </c>
      <c r="B877" s="50">
        <v>0.33333333333333331</v>
      </c>
      <c r="C877" s="50" t="s">
        <v>41</v>
      </c>
      <c r="E877" s="50">
        <v>77</v>
      </c>
      <c r="J877" s="50">
        <v>3</v>
      </c>
      <c r="K877" s="50" t="s">
        <v>43</v>
      </c>
    </row>
    <row r="878" spans="1:11">
      <c r="A878" s="50">
        <v>43931</v>
      </c>
      <c r="B878" s="50">
        <v>0.33333333333333331</v>
      </c>
      <c r="C878" s="50" t="s">
        <v>44</v>
      </c>
      <c r="E878" s="50">
        <v>1375</v>
      </c>
      <c r="F878" s="50">
        <v>107</v>
      </c>
      <c r="G878" s="50">
        <v>33</v>
      </c>
      <c r="H878" s="50">
        <v>25</v>
      </c>
      <c r="J878" s="50">
        <v>42</v>
      </c>
      <c r="K878" s="50" t="s">
        <v>46</v>
      </c>
    </row>
    <row r="879" spans="1:11">
      <c r="A879" s="50">
        <v>43931</v>
      </c>
      <c r="B879" s="50">
        <v>0.33333333333333331</v>
      </c>
      <c r="C879" s="50" t="s">
        <v>91</v>
      </c>
      <c r="E879" s="50">
        <v>2776</v>
      </c>
      <c r="F879" s="50">
        <v>297</v>
      </c>
      <c r="G879" s="50">
        <v>68</v>
      </c>
      <c r="H879" s="50">
        <v>62</v>
      </c>
      <c r="I879" s="50">
        <v>466</v>
      </c>
      <c r="J879" s="50">
        <v>227</v>
      </c>
      <c r="K879" s="50" t="s">
        <v>303</v>
      </c>
    </row>
    <row r="880" spans="1:11">
      <c r="A880" s="50">
        <v>43931</v>
      </c>
      <c r="B880" s="50">
        <v>0.33333333333333331</v>
      </c>
      <c r="C880" s="50" t="s">
        <v>102</v>
      </c>
      <c r="E880" s="50">
        <v>168</v>
      </c>
      <c r="F880" s="50">
        <v>15</v>
      </c>
      <c r="G880" s="50">
        <v>9</v>
      </c>
      <c r="I880" s="50">
        <v>76</v>
      </c>
      <c r="J880" s="50">
        <v>3</v>
      </c>
      <c r="K880" s="50" t="s">
        <v>381</v>
      </c>
    </row>
    <row r="881" spans="1:11">
      <c r="A881" s="50">
        <v>43931</v>
      </c>
      <c r="B881" s="50">
        <v>0.39583333333333331</v>
      </c>
      <c r="C881" s="50" t="s">
        <v>81</v>
      </c>
      <c r="E881" s="50">
        <v>53</v>
      </c>
      <c r="F881" s="50">
        <v>13</v>
      </c>
      <c r="G881" s="50">
        <v>2</v>
      </c>
      <c r="J881" s="50">
        <v>1</v>
      </c>
      <c r="K881" s="50" t="s">
        <v>428</v>
      </c>
    </row>
    <row r="882" spans="1:11">
      <c r="A882" s="50">
        <v>43931</v>
      </c>
      <c r="B882" s="50">
        <v>0.41666666666666669</v>
      </c>
      <c r="C882" s="50" t="s">
        <v>50</v>
      </c>
      <c r="E882" s="50">
        <v>854</v>
      </c>
      <c r="F882" s="50">
        <v>87</v>
      </c>
      <c r="G882" s="50">
        <v>13</v>
      </c>
      <c r="I882" s="50">
        <v>593</v>
      </c>
      <c r="J882" s="50">
        <v>33</v>
      </c>
      <c r="K882" s="50" t="s">
        <v>304</v>
      </c>
    </row>
    <row r="883" spans="1:11">
      <c r="A883" s="50">
        <v>43931</v>
      </c>
      <c r="B883" s="50">
        <v>0.54166666666666663</v>
      </c>
      <c r="C883" s="50" t="s">
        <v>68</v>
      </c>
      <c r="E883" s="50">
        <v>560</v>
      </c>
      <c r="F883" s="50">
        <v>69</v>
      </c>
      <c r="G883" s="50">
        <v>6</v>
      </c>
      <c r="J883" s="50">
        <v>9</v>
      </c>
      <c r="K883" s="50" t="s">
        <v>70</v>
      </c>
    </row>
    <row r="884" spans="1:11">
      <c r="A884" s="50">
        <v>43931</v>
      </c>
      <c r="B884" s="50">
        <v>0.60416666666666663</v>
      </c>
      <c r="C884" s="50" t="s">
        <v>104</v>
      </c>
      <c r="E884" s="50">
        <v>2927</v>
      </c>
      <c r="F884" s="50">
        <v>152</v>
      </c>
      <c r="H884" s="50">
        <v>50</v>
      </c>
      <c r="J884" s="50">
        <v>71</v>
      </c>
      <c r="K884" s="50" t="s">
        <v>106</v>
      </c>
    </row>
    <row r="885" spans="1:11">
      <c r="A885" s="50">
        <v>43931</v>
      </c>
      <c r="B885" s="50">
        <v>0.61458333333333337</v>
      </c>
      <c r="C885" s="50" t="s">
        <v>34</v>
      </c>
      <c r="E885" s="50">
        <v>850</v>
      </c>
      <c r="J885" s="50">
        <v>18</v>
      </c>
      <c r="K885" s="50" t="s">
        <v>310</v>
      </c>
    </row>
    <row r="886" spans="1:11">
      <c r="A886" s="50">
        <v>43931</v>
      </c>
      <c r="B886" s="50">
        <v>0.66666666666666663</v>
      </c>
      <c r="C886" s="50" t="s">
        <v>94</v>
      </c>
      <c r="E886" s="50">
        <v>74</v>
      </c>
      <c r="F886" s="50">
        <v>4</v>
      </c>
      <c r="I886" s="50">
        <v>49</v>
      </c>
      <c r="J886" s="50">
        <v>4</v>
      </c>
      <c r="K886" s="50" t="s">
        <v>96</v>
      </c>
    </row>
    <row r="887" spans="1:11">
      <c r="A887" s="50">
        <v>43932</v>
      </c>
      <c r="C887" s="50" t="s">
        <v>47</v>
      </c>
      <c r="E887" s="50">
        <v>736</v>
      </c>
      <c r="F887" s="50">
        <v>50</v>
      </c>
      <c r="G887" s="50">
        <v>16</v>
      </c>
      <c r="H887" s="50">
        <v>15</v>
      </c>
      <c r="I887" s="50">
        <v>527</v>
      </c>
      <c r="J887" s="50">
        <v>22</v>
      </c>
      <c r="K887" s="50" t="s">
        <v>49</v>
      </c>
    </row>
    <row r="888" spans="1:11">
      <c r="A888" s="50">
        <v>43932</v>
      </c>
      <c r="C888" s="50" t="s">
        <v>53</v>
      </c>
      <c r="E888" s="50">
        <v>79</v>
      </c>
      <c r="J888" s="50">
        <v>1</v>
      </c>
      <c r="K888" s="50" t="s">
        <v>312</v>
      </c>
    </row>
    <row r="889" spans="1:11">
      <c r="A889" s="50">
        <v>43932</v>
      </c>
      <c r="C889" s="50" t="s">
        <v>56</v>
      </c>
      <c r="E889" s="50">
        <v>834</v>
      </c>
      <c r="F889" s="50">
        <v>68</v>
      </c>
      <c r="G889" s="50">
        <v>20</v>
      </c>
      <c r="I889" s="50">
        <v>93</v>
      </c>
      <c r="J889" s="50">
        <v>53</v>
      </c>
      <c r="K889" s="50" t="s">
        <v>420</v>
      </c>
    </row>
    <row r="890" spans="1:11">
      <c r="A890" s="50">
        <v>43932</v>
      </c>
      <c r="C890" s="50" t="s">
        <v>58</v>
      </c>
      <c r="D890" s="50">
        <v>18515</v>
      </c>
      <c r="E890" s="50">
        <v>4243</v>
      </c>
      <c r="F890" s="50">
        <v>364</v>
      </c>
      <c r="G890" s="50">
        <v>48</v>
      </c>
      <c r="H890" s="50">
        <v>44</v>
      </c>
      <c r="I890" s="50">
        <v>463</v>
      </c>
      <c r="J890" s="50">
        <v>176</v>
      </c>
      <c r="K890" s="50" t="s">
        <v>60</v>
      </c>
    </row>
    <row r="891" spans="1:11">
      <c r="A891" s="50">
        <v>43932</v>
      </c>
      <c r="C891" s="50" t="s">
        <v>61</v>
      </c>
      <c r="E891" s="50">
        <v>91</v>
      </c>
      <c r="F891" s="50">
        <v>2</v>
      </c>
      <c r="J891" s="50">
        <v>2</v>
      </c>
      <c r="K891" s="50" t="s">
        <v>387</v>
      </c>
    </row>
    <row r="892" spans="1:11">
      <c r="A892" s="50">
        <v>43932</v>
      </c>
      <c r="C892" s="50" t="s">
        <v>63</v>
      </c>
      <c r="E892" s="50">
        <v>743</v>
      </c>
      <c r="F892" s="50">
        <v>35</v>
      </c>
      <c r="J892" s="50">
        <v>36</v>
      </c>
      <c r="K892" s="50" t="s">
        <v>65</v>
      </c>
    </row>
    <row r="893" spans="1:11">
      <c r="A893" s="50">
        <v>43932</v>
      </c>
      <c r="C893" s="50" t="s">
        <v>66</v>
      </c>
      <c r="E893" s="50">
        <v>183</v>
      </c>
      <c r="F893" s="50">
        <v>23</v>
      </c>
      <c r="G893" s="50">
        <v>5</v>
      </c>
      <c r="J893" s="50">
        <v>3</v>
      </c>
      <c r="K893" s="50" t="s">
        <v>427</v>
      </c>
    </row>
    <row r="894" spans="1:11">
      <c r="A894" s="50">
        <v>43932</v>
      </c>
      <c r="C894" s="50" t="s">
        <v>71</v>
      </c>
      <c r="E894" s="50">
        <v>576</v>
      </c>
      <c r="F894" s="50">
        <v>64</v>
      </c>
      <c r="G894" s="50">
        <v>11</v>
      </c>
      <c r="H894" s="50">
        <v>9</v>
      </c>
      <c r="J894" s="50">
        <v>44</v>
      </c>
      <c r="K894" s="50" t="s">
        <v>377</v>
      </c>
    </row>
    <row r="895" spans="1:11">
      <c r="A895" s="50">
        <v>43932</v>
      </c>
      <c r="C895" s="50" t="s">
        <v>73</v>
      </c>
      <c r="E895" s="50">
        <v>103</v>
      </c>
      <c r="F895" s="50">
        <v>8</v>
      </c>
      <c r="G895" s="50">
        <v>2</v>
      </c>
      <c r="J895" s="50">
        <v>1</v>
      </c>
      <c r="K895" s="50" t="s">
        <v>357</v>
      </c>
    </row>
    <row r="896" spans="1:11">
      <c r="A896" s="50">
        <v>43932</v>
      </c>
      <c r="C896" s="50" t="s">
        <v>78</v>
      </c>
      <c r="E896" s="50">
        <v>641</v>
      </c>
      <c r="F896" s="50">
        <v>60</v>
      </c>
      <c r="G896" s="50">
        <v>11</v>
      </c>
      <c r="I896" s="50">
        <v>102</v>
      </c>
      <c r="J896" s="50">
        <v>18</v>
      </c>
      <c r="K896" s="50" t="s">
        <v>80</v>
      </c>
    </row>
    <row r="897" spans="1:11">
      <c r="A897" s="50">
        <v>43932</v>
      </c>
      <c r="C897" s="50" t="s">
        <v>86</v>
      </c>
      <c r="E897" s="50">
        <v>249</v>
      </c>
      <c r="I897" s="50">
        <v>118</v>
      </c>
      <c r="J897" s="50">
        <v>10</v>
      </c>
      <c r="K897" s="50" t="s">
        <v>398</v>
      </c>
    </row>
    <row r="898" spans="1:11">
      <c r="A898" s="50">
        <v>43932</v>
      </c>
      <c r="C898" s="50" t="s">
        <v>88</v>
      </c>
      <c r="E898" s="50">
        <v>275</v>
      </c>
      <c r="F898" s="50">
        <v>32</v>
      </c>
      <c r="G898" s="50">
        <v>14</v>
      </c>
      <c r="J898" s="50">
        <v>8</v>
      </c>
      <c r="K898" s="50" t="s">
        <v>90</v>
      </c>
    </row>
    <row r="899" spans="1:11">
      <c r="A899" s="50">
        <v>43932</v>
      </c>
      <c r="C899" s="50" t="s">
        <v>97</v>
      </c>
      <c r="E899" s="50">
        <v>4771</v>
      </c>
      <c r="F899" s="50">
        <v>290</v>
      </c>
      <c r="G899" s="50">
        <v>67</v>
      </c>
      <c r="J899" s="50">
        <v>243</v>
      </c>
      <c r="K899" s="50" t="s">
        <v>99</v>
      </c>
    </row>
    <row r="900" spans="1:11">
      <c r="A900" s="50">
        <v>43932</v>
      </c>
      <c r="C900" s="50" t="s">
        <v>100</v>
      </c>
      <c r="E900" s="50">
        <v>1653</v>
      </c>
      <c r="F900" s="50">
        <v>112</v>
      </c>
      <c r="G900" s="50">
        <v>20</v>
      </c>
      <c r="H900" s="50">
        <v>15</v>
      </c>
      <c r="I900" s="50">
        <v>148</v>
      </c>
      <c r="J900" s="50">
        <v>85</v>
      </c>
      <c r="K900" s="50" t="s">
        <v>430</v>
      </c>
    </row>
    <row r="901" spans="1:11">
      <c r="A901" s="50">
        <v>43932</v>
      </c>
      <c r="B901" s="50">
        <v>0</v>
      </c>
      <c r="C901" s="50" t="s">
        <v>83</v>
      </c>
      <c r="E901" s="50">
        <v>306</v>
      </c>
      <c r="J901" s="50">
        <v>6</v>
      </c>
      <c r="K901" s="50" t="s">
        <v>388</v>
      </c>
    </row>
    <row r="902" spans="1:11">
      <c r="A902" s="50">
        <v>43932</v>
      </c>
      <c r="B902" s="50">
        <v>0.33333333333333331</v>
      </c>
      <c r="C902" s="50" t="s">
        <v>44</v>
      </c>
      <c r="E902" s="50">
        <v>1419</v>
      </c>
      <c r="F902" s="50">
        <v>99</v>
      </c>
      <c r="G902" s="50">
        <v>33</v>
      </c>
      <c r="H902" s="50">
        <v>24</v>
      </c>
      <c r="J902" s="50">
        <v>44</v>
      </c>
      <c r="K902" s="50" t="s">
        <v>46</v>
      </c>
    </row>
    <row r="903" spans="1:11">
      <c r="A903" s="50">
        <v>43932</v>
      </c>
      <c r="B903" s="50">
        <v>0.33333333333333331</v>
      </c>
      <c r="C903" s="50" t="s">
        <v>91</v>
      </c>
      <c r="E903" s="50">
        <v>2818</v>
      </c>
      <c r="F903" s="50">
        <v>282</v>
      </c>
      <c r="G903" s="50">
        <v>68</v>
      </c>
      <c r="H903" s="50">
        <v>59</v>
      </c>
      <c r="I903" s="50">
        <v>493</v>
      </c>
      <c r="J903" s="50">
        <v>229</v>
      </c>
      <c r="K903" s="50" t="s">
        <v>313</v>
      </c>
    </row>
    <row r="904" spans="1:11">
      <c r="A904" s="50">
        <v>43932</v>
      </c>
      <c r="B904" s="50">
        <v>0.33333333333333331</v>
      </c>
      <c r="C904" s="50" t="s">
        <v>102</v>
      </c>
      <c r="E904" s="50">
        <v>168</v>
      </c>
      <c r="F904" s="50">
        <v>14</v>
      </c>
      <c r="G904" s="50">
        <v>9</v>
      </c>
      <c r="I904" s="50">
        <v>79</v>
      </c>
      <c r="J904" s="50">
        <v>4</v>
      </c>
      <c r="K904" s="50" t="s">
        <v>381</v>
      </c>
    </row>
    <row r="905" spans="1:11">
      <c r="A905" s="50">
        <v>43932</v>
      </c>
      <c r="B905" s="50">
        <v>0.39583333333333331</v>
      </c>
      <c r="C905" s="50" t="s">
        <v>50</v>
      </c>
      <c r="E905" s="50">
        <v>861</v>
      </c>
      <c r="I905" s="50">
        <v>612</v>
      </c>
      <c r="J905" s="50">
        <v>33</v>
      </c>
      <c r="K905" s="50" t="s">
        <v>302</v>
      </c>
    </row>
    <row r="906" spans="1:11">
      <c r="A906" s="50">
        <v>43932</v>
      </c>
      <c r="B906" s="50">
        <v>0.39583333333333331</v>
      </c>
      <c r="C906" s="50" t="s">
        <v>81</v>
      </c>
      <c r="E906" s="50">
        <v>55</v>
      </c>
      <c r="F906" s="50">
        <v>13</v>
      </c>
      <c r="G906" s="50">
        <v>2</v>
      </c>
      <c r="J906" s="50">
        <v>1</v>
      </c>
      <c r="K906" s="50" t="s">
        <v>428</v>
      </c>
    </row>
    <row r="907" spans="1:11">
      <c r="A907" s="50">
        <v>43932</v>
      </c>
      <c r="B907" s="50">
        <v>0.41666666666666669</v>
      </c>
      <c r="C907" s="50" t="s">
        <v>41</v>
      </c>
      <c r="E907" s="50">
        <v>77</v>
      </c>
      <c r="J907" s="50">
        <v>3</v>
      </c>
      <c r="K907" s="50" t="s">
        <v>43</v>
      </c>
    </row>
    <row r="908" spans="1:11">
      <c r="A908" s="50">
        <v>43932</v>
      </c>
      <c r="B908" s="50">
        <v>0.45833333333333331</v>
      </c>
      <c r="C908" s="50" t="s">
        <v>38</v>
      </c>
      <c r="E908" s="50">
        <v>24</v>
      </c>
      <c r="K908" s="50" t="s">
        <v>40</v>
      </c>
    </row>
    <row r="909" spans="1:11">
      <c r="A909" s="50">
        <v>43932</v>
      </c>
      <c r="B909" s="50">
        <v>0.45833333333333331</v>
      </c>
      <c r="C909" s="50" t="s">
        <v>68</v>
      </c>
      <c r="E909" s="50">
        <v>568</v>
      </c>
      <c r="J909" s="50">
        <v>10</v>
      </c>
      <c r="K909" s="50" t="s">
        <v>70</v>
      </c>
    </row>
    <row r="910" spans="1:11">
      <c r="A910" s="50">
        <v>43932</v>
      </c>
      <c r="B910" s="50">
        <v>0.60416666666666663</v>
      </c>
      <c r="C910" s="50" t="s">
        <v>104</v>
      </c>
      <c r="E910" s="50">
        <v>2985</v>
      </c>
      <c r="F910" s="50">
        <v>149</v>
      </c>
      <c r="H910" s="50">
        <v>50</v>
      </c>
      <c r="J910" s="50">
        <v>77</v>
      </c>
      <c r="K910" s="50" t="s">
        <v>106</v>
      </c>
    </row>
    <row r="911" spans="1:11">
      <c r="A911" s="50">
        <v>43932</v>
      </c>
      <c r="B911" s="50">
        <v>0.66666666666666663</v>
      </c>
      <c r="C911" s="50" t="s">
        <v>94</v>
      </c>
      <c r="E911" s="50">
        <v>75</v>
      </c>
      <c r="F911" s="50">
        <v>8</v>
      </c>
      <c r="I911" s="50">
        <v>50</v>
      </c>
      <c r="J911" s="50">
        <v>4</v>
      </c>
      <c r="K911" s="50" t="s">
        <v>96</v>
      </c>
    </row>
    <row r="912" spans="1:11">
      <c r="A912" s="50">
        <v>43932</v>
      </c>
      <c r="B912" s="50">
        <v>0.70833333333333337</v>
      </c>
      <c r="C912" s="50" t="s">
        <v>34</v>
      </c>
      <c r="E912" s="50">
        <v>878</v>
      </c>
      <c r="F912" s="50">
        <v>76</v>
      </c>
      <c r="G912" s="50">
        <v>23</v>
      </c>
      <c r="H912" s="50">
        <v>21</v>
      </c>
      <c r="I912" s="50">
        <v>300</v>
      </c>
      <c r="J912" s="50">
        <v>18</v>
      </c>
      <c r="K912" s="50" t="s">
        <v>310</v>
      </c>
    </row>
    <row r="913" spans="1:11">
      <c r="A913" s="50">
        <v>43933</v>
      </c>
      <c r="C913" s="50" t="s">
        <v>47</v>
      </c>
      <c r="E913" s="50">
        <v>740</v>
      </c>
      <c r="F913" s="50">
        <v>48</v>
      </c>
      <c r="G913" s="50">
        <v>17</v>
      </c>
      <c r="H913" s="50">
        <v>14</v>
      </c>
      <c r="I913" s="50">
        <v>554</v>
      </c>
      <c r="J913" s="50">
        <v>23</v>
      </c>
      <c r="K913" s="50" t="s">
        <v>49</v>
      </c>
    </row>
    <row r="914" spans="1:11">
      <c r="A914" s="50">
        <v>43933</v>
      </c>
      <c r="C914" s="50" t="s">
        <v>53</v>
      </c>
      <c r="E914" s="50">
        <v>80</v>
      </c>
      <c r="J914" s="50">
        <v>1</v>
      </c>
      <c r="K914" s="50" t="s">
        <v>322</v>
      </c>
    </row>
    <row r="915" spans="1:11">
      <c r="A915" s="50">
        <v>43933</v>
      </c>
      <c r="C915" s="50" t="s">
        <v>56</v>
      </c>
      <c r="E915" s="50">
        <v>846</v>
      </c>
      <c r="F915" s="50">
        <v>65</v>
      </c>
      <c r="G915" s="50">
        <v>19</v>
      </c>
      <c r="I915" s="50">
        <v>97</v>
      </c>
      <c r="J915" s="50">
        <v>54</v>
      </c>
      <c r="K915" s="50" t="s">
        <v>420</v>
      </c>
    </row>
    <row r="916" spans="1:11">
      <c r="A916" s="50">
        <v>43933</v>
      </c>
      <c r="C916" s="50" t="s">
        <v>58</v>
      </c>
      <c r="D916" s="50">
        <v>18691</v>
      </c>
      <c r="E916" s="50">
        <v>4265</v>
      </c>
      <c r="F916" s="50">
        <v>363</v>
      </c>
      <c r="G916" s="50">
        <v>47</v>
      </c>
      <c r="H916" s="50">
        <v>43</v>
      </c>
      <c r="I916" s="50">
        <v>479</v>
      </c>
      <c r="J916" s="50">
        <v>183</v>
      </c>
      <c r="K916" s="50" t="s">
        <v>60</v>
      </c>
    </row>
    <row r="917" spans="1:11">
      <c r="A917" s="50">
        <v>43933</v>
      </c>
      <c r="C917" s="50" t="s">
        <v>61</v>
      </c>
      <c r="E917" s="50">
        <v>91</v>
      </c>
      <c r="F917" s="50">
        <v>2</v>
      </c>
      <c r="J917" s="50">
        <v>2</v>
      </c>
      <c r="K917" s="50" t="s">
        <v>387</v>
      </c>
    </row>
    <row r="918" spans="1:11">
      <c r="A918" s="50">
        <v>43933</v>
      </c>
      <c r="C918" s="50" t="s">
        <v>63</v>
      </c>
      <c r="E918" s="50">
        <v>747</v>
      </c>
      <c r="F918" s="50">
        <v>35</v>
      </c>
      <c r="J918" s="50">
        <v>36</v>
      </c>
      <c r="K918" s="50" t="s">
        <v>65</v>
      </c>
    </row>
    <row r="919" spans="1:11">
      <c r="A919" s="50">
        <v>43933</v>
      </c>
      <c r="C919" s="50" t="s">
        <v>66</v>
      </c>
      <c r="E919" s="50">
        <v>183</v>
      </c>
      <c r="F919" s="50">
        <v>22</v>
      </c>
      <c r="G919" s="50">
        <v>5</v>
      </c>
      <c r="J919" s="50">
        <v>3</v>
      </c>
      <c r="K919" s="50" t="s">
        <v>427</v>
      </c>
    </row>
    <row r="920" spans="1:11">
      <c r="A920" s="50">
        <v>43933</v>
      </c>
      <c r="C920" s="50" t="s">
        <v>71</v>
      </c>
      <c r="E920" s="50">
        <v>586</v>
      </c>
      <c r="F920" s="50">
        <v>67</v>
      </c>
      <c r="G920" s="50">
        <v>10</v>
      </c>
      <c r="H920" s="50">
        <v>10</v>
      </c>
      <c r="J920" s="50">
        <v>49</v>
      </c>
      <c r="K920" s="50" t="s">
        <v>377</v>
      </c>
    </row>
    <row r="921" spans="1:11">
      <c r="A921" s="50">
        <v>43933</v>
      </c>
      <c r="C921" s="50" t="s">
        <v>73</v>
      </c>
      <c r="E921" s="50">
        <v>104</v>
      </c>
      <c r="F921" s="50">
        <v>7</v>
      </c>
      <c r="G921" s="50">
        <v>2</v>
      </c>
      <c r="J921" s="50">
        <v>1</v>
      </c>
      <c r="K921" s="50" t="s">
        <v>357</v>
      </c>
    </row>
    <row r="922" spans="1:11">
      <c r="A922" s="50">
        <v>43933</v>
      </c>
      <c r="C922" s="50" t="s">
        <v>78</v>
      </c>
      <c r="E922" s="50">
        <v>649</v>
      </c>
      <c r="F922" s="50">
        <v>58</v>
      </c>
      <c r="G922" s="50">
        <v>9</v>
      </c>
      <c r="I922" s="50">
        <v>109</v>
      </c>
      <c r="J922" s="50">
        <v>21</v>
      </c>
      <c r="K922" s="50" t="s">
        <v>80</v>
      </c>
    </row>
    <row r="923" spans="1:11">
      <c r="A923" s="50">
        <v>43933</v>
      </c>
      <c r="C923" s="50" t="s">
        <v>86</v>
      </c>
      <c r="E923" s="50">
        <v>251</v>
      </c>
      <c r="I923" s="50">
        <v>119</v>
      </c>
      <c r="J923" s="50">
        <v>11</v>
      </c>
      <c r="K923" s="50" t="s">
        <v>398</v>
      </c>
    </row>
    <row r="924" spans="1:11">
      <c r="A924" s="50">
        <v>43933</v>
      </c>
      <c r="C924" s="50" t="s">
        <v>88</v>
      </c>
      <c r="E924" s="50">
        <v>286</v>
      </c>
      <c r="F924" s="50">
        <v>32</v>
      </c>
      <c r="G924" s="50">
        <v>14</v>
      </c>
      <c r="J924" s="50">
        <v>8</v>
      </c>
      <c r="K924" s="50" t="s">
        <v>90</v>
      </c>
    </row>
    <row r="925" spans="1:11">
      <c r="A925" s="50">
        <v>43933</v>
      </c>
      <c r="C925" s="50" t="s">
        <v>97</v>
      </c>
      <c r="E925" s="50">
        <v>4808</v>
      </c>
      <c r="F925" s="50">
        <v>299</v>
      </c>
      <c r="G925" s="50">
        <v>66</v>
      </c>
      <c r="J925" s="50">
        <v>251</v>
      </c>
      <c r="K925" s="50" t="s">
        <v>99</v>
      </c>
    </row>
    <row r="926" spans="1:11">
      <c r="A926" s="50">
        <v>43933</v>
      </c>
      <c r="C926" s="50" t="s">
        <v>100</v>
      </c>
      <c r="E926" s="50">
        <v>1666</v>
      </c>
      <c r="F926" s="50">
        <v>110</v>
      </c>
      <c r="G926" s="50">
        <v>22</v>
      </c>
      <c r="H926" s="50">
        <v>14</v>
      </c>
      <c r="I926" s="50">
        <v>157</v>
      </c>
      <c r="J926" s="50">
        <v>91</v>
      </c>
      <c r="K926" s="50" t="s">
        <v>430</v>
      </c>
    </row>
    <row r="927" spans="1:11">
      <c r="A927" s="50">
        <v>43933</v>
      </c>
      <c r="B927" s="50">
        <v>0</v>
      </c>
      <c r="C927" s="50" t="s">
        <v>83</v>
      </c>
      <c r="E927" s="50">
        <v>315</v>
      </c>
      <c r="F927" s="50">
        <v>23</v>
      </c>
      <c r="J927" s="50">
        <v>7</v>
      </c>
      <c r="K927" s="50" t="s">
        <v>388</v>
      </c>
    </row>
    <row r="928" spans="1:11">
      <c r="A928" s="50">
        <v>43933</v>
      </c>
      <c r="B928" s="50">
        <v>0.33333333333333331</v>
      </c>
      <c r="C928" s="50" t="s">
        <v>44</v>
      </c>
      <c r="E928" s="50">
        <v>1441</v>
      </c>
      <c r="F928" s="50">
        <v>95</v>
      </c>
      <c r="G928" s="50">
        <v>33</v>
      </c>
      <c r="H928" s="50">
        <v>22</v>
      </c>
      <c r="J928" s="50">
        <v>49</v>
      </c>
      <c r="K928" s="50" t="s">
        <v>46</v>
      </c>
    </row>
    <row r="929" spans="1:11">
      <c r="A929" s="50">
        <v>43933</v>
      </c>
      <c r="B929" s="50">
        <v>0.33333333333333331</v>
      </c>
      <c r="C929" s="50" t="s">
        <v>91</v>
      </c>
      <c r="E929" s="50">
        <v>2869</v>
      </c>
      <c r="F929" s="50">
        <v>269</v>
      </c>
      <c r="G929" s="50">
        <v>63</v>
      </c>
      <c r="H929" s="50">
        <v>56</v>
      </c>
      <c r="I929" s="50">
        <v>511</v>
      </c>
      <c r="J929" s="50">
        <v>244</v>
      </c>
      <c r="K929" s="50" t="s">
        <v>323</v>
      </c>
    </row>
    <row r="930" spans="1:11">
      <c r="A930" s="50">
        <v>43933</v>
      </c>
      <c r="B930" s="50">
        <v>0.33333333333333331</v>
      </c>
      <c r="C930" s="50" t="s">
        <v>102</v>
      </c>
      <c r="E930" s="50">
        <v>168</v>
      </c>
      <c r="F930" s="50">
        <v>13</v>
      </c>
      <c r="G930" s="50">
        <v>9</v>
      </c>
      <c r="I930" s="50">
        <v>80</v>
      </c>
      <c r="J930" s="50">
        <v>5</v>
      </c>
      <c r="K930" s="50" t="s">
        <v>381</v>
      </c>
    </row>
    <row r="931" spans="1:11">
      <c r="A931" s="50">
        <v>43933</v>
      </c>
      <c r="B931" s="50">
        <v>0.39583333333333331</v>
      </c>
      <c r="C931" s="50" t="s">
        <v>81</v>
      </c>
      <c r="E931" s="50">
        <v>57</v>
      </c>
      <c r="F931" s="50">
        <v>16</v>
      </c>
      <c r="G931" s="50">
        <v>2</v>
      </c>
      <c r="J931" s="50">
        <v>1</v>
      </c>
      <c r="K931" s="50" t="s">
        <v>428</v>
      </c>
    </row>
    <row r="932" spans="1:11">
      <c r="A932" s="50">
        <v>43933</v>
      </c>
      <c r="B932" s="50">
        <v>0.41666666666666669</v>
      </c>
      <c r="C932" s="50" t="s">
        <v>50</v>
      </c>
      <c r="E932" s="50">
        <v>877</v>
      </c>
      <c r="F932" s="50">
        <v>86</v>
      </c>
      <c r="G932" s="50">
        <v>12</v>
      </c>
      <c r="I932" s="50">
        <v>629</v>
      </c>
      <c r="J932" s="50">
        <v>33</v>
      </c>
      <c r="K932" s="50" t="s">
        <v>314</v>
      </c>
    </row>
    <row r="933" spans="1:11">
      <c r="A933" s="50">
        <v>43933</v>
      </c>
      <c r="B933" s="50">
        <v>0.45833333333333331</v>
      </c>
      <c r="C933" s="50" t="s">
        <v>68</v>
      </c>
      <c r="E933" s="50">
        <v>576</v>
      </c>
      <c r="F933" s="50">
        <v>60</v>
      </c>
      <c r="G933" s="50">
        <v>5</v>
      </c>
      <c r="J933" s="50">
        <v>10</v>
      </c>
      <c r="K933" s="50" t="s">
        <v>70</v>
      </c>
    </row>
    <row r="934" spans="1:11">
      <c r="A934" s="50">
        <v>43933</v>
      </c>
      <c r="B934" s="50">
        <v>0.60416666666666663</v>
      </c>
      <c r="C934" s="50" t="s">
        <v>104</v>
      </c>
      <c r="E934" s="50">
        <v>3002</v>
      </c>
      <c r="F934" s="50">
        <v>153</v>
      </c>
      <c r="H934" s="50">
        <v>49</v>
      </c>
      <c r="J934" s="50">
        <v>79</v>
      </c>
      <c r="K934" s="50" t="s">
        <v>106</v>
      </c>
    </row>
    <row r="935" spans="1:11">
      <c r="A935" s="50">
        <v>43933</v>
      </c>
      <c r="B935" s="50">
        <v>0.61458333333333337</v>
      </c>
      <c r="C935" s="50" t="s">
        <v>34</v>
      </c>
      <c r="E935" s="50">
        <v>899</v>
      </c>
      <c r="J935" s="50">
        <v>18</v>
      </c>
      <c r="K935" s="50" t="s">
        <v>340</v>
      </c>
    </row>
    <row r="936" spans="1:11">
      <c r="A936" s="50">
        <v>43933</v>
      </c>
      <c r="B936" s="50">
        <v>0.625</v>
      </c>
      <c r="C936" s="50" t="s">
        <v>94</v>
      </c>
      <c r="E936" s="50">
        <v>77</v>
      </c>
      <c r="F936" s="50">
        <v>5</v>
      </c>
      <c r="I936" s="50">
        <v>52</v>
      </c>
      <c r="J936" s="50">
        <v>4</v>
      </c>
      <c r="K936" s="50" t="s">
        <v>96</v>
      </c>
    </row>
    <row r="937" spans="1:11">
      <c r="A937" s="50">
        <v>43934</v>
      </c>
      <c r="C937" s="50" t="s">
        <v>47</v>
      </c>
      <c r="E937" s="50">
        <v>749</v>
      </c>
      <c r="F937" s="50">
        <v>48</v>
      </c>
      <c r="G937" s="50">
        <v>16</v>
      </c>
      <c r="H937" s="50">
        <v>12</v>
      </c>
      <c r="I937" s="50">
        <v>570</v>
      </c>
      <c r="J937" s="50">
        <v>24</v>
      </c>
      <c r="K937" s="50" t="s">
        <v>49</v>
      </c>
    </row>
    <row r="938" spans="1:11">
      <c r="A938" s="50">
        <v>43934</v>
      </c>
      <c r="C938" s="50" t="s">
        <v>53</v>
      </c>
      <c r="E938" s="50">
        <v>80</v>
      </c>
      <c r="J938" s="50">
        <v>1</v>
      </c>
      <c r="K938" s="50" t="s">
        <v>330</v>
      </c>
    </row>
    <row r="939" spans="1:11">
      <c r="A939" s="50">
        <v>43934</v>
      </c>
      <c r="C939" s="50" t="s">
        <v>56</v>
      </c>
      <c r="E939" s="50">
        <v>859</v>
      </c>
      <c r="F939" s="50">
        <v>68</v>
      </c>
      <c r="G939" s="50">
        <v>17</v>
      </c>
      <c r="I939" s="50">
        <v>97</v>
      </c>
      <c r="J939" s="50">
        <v>55</v>
      </c>
      <c r="K939" s="50" t="s">
        <v>420</v>
      </c>
    </row>
    <row r="940" spans="1:11">
      <c r="A940" s="50">
        <v>43934</v>
      </c>
      <c r="C940" s="50" t="s">
        <v>58</v>
      </c>
      <c r="D940" s="50">
        <v>18996</v>
      </c>
      <c r="E940" s="50">
        <v>4315</v>
      </c>
      <c r="F940" s="50">
        <v>364</v>
      </c>
      <c r="G940" s="50">
        <v>47</v>
      </c>
      <c r="H940" s="50">
        <v>42</v>
      </c>
      <c r="I940" s="50">
        <v>490</v>
      </c>
      <c r="J940" s="50">
        <v>186</v>
      </c>
      <c r="K940" s="50" t="s">
        <v>60</v>
      </c>
    </row>
    <row r="941" spans="1:11">
      <c r="A941" s="50">
        <v>43934</v>
      </c>
      <c r="C941" s="50" t="s">
        <v>61</v>
      </c>
      <c r="E941" s="50">
        <v>92</v>
      </c>
      <c r="F941" s="50">
        <v>2</v>
      </c>
      <c r="J941" s="50">
        <v>2</v>
      </c>
      <c r="K941" s="50" t="s">
        <v>387</v>
      </c>
    </row>
    <row r="942" spans="1:11">
      <c r="A942" s="50">
        <v>43934</v>
      </c>
      <c r="C942" s="50" t="s">
        <v>63</v>
      </c>
      <c r="E942" s="50">
        <v>750</v>
      </c>
      <c r="F942" s="50">
        <v>34</v>
      </c>
      <c r="J942" s="50">
        <v>37</v>
      </c>
      <c r="K942" s="50" t="s">
        <v>65</v>
      </c>
    </row>
    <row r="943" spans="1:11">
      <c r="A943" s="50">
        <v>43934</v>
      </c>
      <c r="C943" s="50" t="s">
        <v>66</v>
      </c>
      <c r="E943" s="50">
        <v>184</v>
      </c>
      <c r="F943" s="50">
        <v>24</v>
      </c>
      <c r="G943" s="50">
        <v>5</v>
      </c>
      <c r="J943" s="50">
        <v>3</v>
      </c>
      <c r="K943" s="50" t="s">
        <v>427</v>
      </c>
    </row>
    <row r="944" spans="1:11">
      <c r="A944" s="50">
        <v>43934</v>
      </c>
      <c r="C944" s="50" t="s">
        <v>71</v>
      </c>
      <c r="E944" s="50">
        <v>592</v>
      </c>
      <c r="F944" s="50">
        <v>67</v>
      </c>
      <c r="G944" s="50">
        <v>10</v>
      </c>
      <c r="H944" s="50">
        <v>10</v>
      </c>
      <c r="J944" s="50">
        <v>51</v>
      </c>
      <c r="K944" s="50" t="s">
        <v>377</v>
      </c>
    </row>
    <row r="945" spans="1:11">
      <c r="A945" s="50">
        <v>43934</v>
      </c>
      <c r="C945" s="50" t="s">
        <v>73</v>
      </c>
      <c r="E945" s="50">
        <v>104</v>
      </c>
      <c r="F945" s="50">
        <v>7</v>
      </c>
      <c r="G945" s="50">
        <v>2</v>
      </c>
      <c r="J945" s="50">
        <v>1</v>
      </c>
      <c r="K945" s="50" t="s">
        <v>357</v>
      </c>
    </row>
    <row r="946" spans="1:11">
      <c r="A946" s="50">
        <v>43934</v>
      </c>
      <c r="C946" s="50" t="s">
        <v>78</v>
      </c>
      <c r="E946" s="50">
        <v>657</v>
      </c>
      <c r="F946" s="50">
        <v>58</v>
      </c>
      <c r="G946" s="50">
        <v>10</v>
      </c>
      <c r="I946" s="50">
        <v>119</v>
      </c>
      <c r="J946" s="50">
        <v>21</v>
      </c>
      <c r="K946" s="50" t="s">
        <v>80</v>
      </c>
    </row>
    <row r="947" spans="1:11">
      <c r="A947" s="50">
        <v>43934</v>
      </c>
      <c r="C947" s="50" t="s">
        <v>86</v>
      </c>
      <c r="E947" s="50">
        <v>251</v>
      </c>
      <c r="I947" s="50">
        <v>128</v>
      </c>
      <c r="J947" s="50">
        <v>12</v>
      </c>
      <c r="K947" s="50" t="s">
        <v>398</v>
      </c>
    </row>
    <row r="948" spans="1:11">
      <c r="A948" s="50">
        <v>43934</v>
      </c>
      <c r="C948" s="50" t="s">
        <v>88</v>
      </c>
      <c r="E948" s="50">
        <v>293</v>
      </c>
      <c r="F948" s="50">
        <v>32</v>
      </c>
      <c r="G948" s="50">
        <v>17</v>
      </c>
      <c r="J948" s="50">
        <v>8</v>
      </c>
      <c r="K948" s="50" t="s">
        <v>90</v>
      </c>
    </row>
    <row r="949" spans="1:11">
      <c r="A949" s="50">
        <v>43934</v>
      </c>
      <c r="C949" s="50" t="s">
        <v>97</v>
      </c>
      <c r="E949" s="50">
        <v>4852</v>
      </c>
      <c r="F949" s="50">
        <v>299</v>
      </c>
      <c r="G949" s="50">
        <v>62</v>
      </c>
      <c r="J949" s="50">
        <v>257</v>
      </c>
      <c r="K949" s="50" t="s">
        <v>99</v>
      </c>
    </row>
    <row r="950" spans="1:11">
      <c r="A950" s="50">
        <v>43934</v>
      </c>
      <c r="C950" s="50" t="s">
        <v>100</v>
      </c>
      <c r="E950" s="50">
        <v>1680</v>
      </c>
      <c r="F950" s="50">
        <v>106</v>
      </c>
      <c r="G950" s="50">
        <v>21</v>
      </c>
      <c r="H950" s="50">
        <v>12</v>
      </c>
      <c r="I950" s="50">
        <v>157</v>
      </c>
      <c r="J950" s="50">
        <v>93</v>
      </c>
      <c r="K950" s="50" t="s">
        <v>430</v>
      </c>
    </row>
    <row r="951" spans="1:11">
      <c r="A951" s="50">
        <v>43934</v>
      </c>
      <c r="B951" s="50">
        <v>0</v>
      </c>
      <c r="C951" s="50" t="s">
        <v>83</v>
      </c>
      <c r="E951" s="50">
        <v>321</v>
      </c>
      <c r="F951" s="50">
        <v>23</v>
      </c>
      <c r="J951" s="50">
        <v>7</v>
      </c>
      <c r="K951" s="50" t="s">
        <v>388</v>
      </c>
    </row>
    <row r="952" spans="1:11">
      <c r="A952" s="50">
        <v>43934</v>
      </c>
      <c r="B952" s="50">
        <v>0.33333333333333331</v>
      </c>
      <c r="C952" s="50" t="s">
        <v>41</v>
      </c>
      <c r="E952" s="50">
        <v>78</v>
      </c>
      <c r="J952" s="50">
        <v>3</v>
      </c>
      <c r="K952" s="50" t="s">
        <v>43</v>
      </c>
    </row>
    <row r="953" spans="1:11">
      <c r="A953" s="50">
        <v>43934</v>
      </c>
      <c r="B953" s="50">
        <v>0.33333333333333331</v>
      </c>
      <c r="C953" s="50" t="s">
        <v>44</v>
      </c>
      <c r="E953" s="50">
        <v>1456</v>
      </c>
      <c r="F953" s="50">
        <v>92</v>
      </c>
      <c r="G953" s="50">
        <v>32</v>
      </c>
      <c r="H953" s="50">
        <v>21</v>
      </c>
      <c r="J953" s="50">
        <v>49</v>
      </c>
      <c r="K953" s="50" t="s">
        <v>46</v>
      </c>
    </row>
    <row r="954" spans="1:11">
      <c r="A954" s="50">
        <v>43934</v>
      </c>
      <c r="B954" s="50">
        <v>0.33333333333333331</v>
      </c>
      <c r="C954" s="50" t="s">
        <v>91</v>
      </c>
      <c r="E954" s="50">
        <v>2900</v>
      </c>
      <c r="F954" s="50">
        <v>274</v>
      </c>
      <c r="G954" s="50">
        <v>63</v>
      </c>
      <c r="H954" s="50">
        <v>55</v>
      </c>
      <c r="I954" s="50">
        <v>517</v>
      </c>
      <c r="J954" s="50">
        <v>251</v>
      </c>
      <c r="K954" s="50" t="s">
        <v>331</v>
      </c>
    </row>
    <row r="955" spans="1:11">
      <c r="A955" s="50">
        <v>43934</v>
      </c>
      <c r="B955" s="50">
        <v>0.33333333333333331</v>
      </c>
      <c r="C955" s="50" t="s">
        <v>102</v>
      </c>
      <c r="E955" s="50">
        <v>170</v>
      </c>
      <c r="F955" s="50">
        <v>13</v>
      </c>
      <c r="G955" s="50">
        <v>9</v>
      </c>
      <c r="I955" s="50">
        <v>84</v>
      </c>
      <c r="J955" s="50">
        <v>5</v>
      </c>
      <c r="K955" s="50" t="s">
        <v>381</v>
      </c>
    </row>
    <row r="956" spans="1:11">
      <c r="A956" s="50">
        <v>43934</v>
      </c>
      <c r="B956" s="50">
        <v>0.39583333333333331</v>
      </c>
      <c r="C956" s="50" t="s">
        <v>81</v>
      </c>
      <c r="E956" s="50">
        <v>57</v>
      </c>
      <c r="F956" s="50">
        <v>16</v>
      </c>
      <c r="G956" s="50">
        <v>2</v>
      </c>
      <c r="J956" s="50">
        <v>1</v>
      </c>
      <c r="K956" s="50" t="s">
        <v>428</v>
      </c>
    </row>
    <row r="957" spans="1:11">
      <c r="A957" s="50">
        <v>43934</v>
      </c>
      <c r="B957" s="50">
        <v>0.41666666666666669</v>
      </c>
      <c r="C957" s="50" t="s">
        <v>50</v>
      </c>
      <c r="E957" s="50">
        <v>888</v>
      </c>
      <c r="I957" s="50">
        <v>653</v>
      </c>
      <c r="J957" s="50">
        <v>34</v>
      </c>
      <c r="K957" s="50" t="s">
        <v>324</v>
      </c>
    </row>
    <row r="958" spans="1:11">
      <c r="A958" s="50">
        <v>43934</v>
      </c>
      <c r="B958" s="50">
        <v>0.45833333333333331</v>
      </c>
      <c r="C958" s="50" t="s">
        <v>38</v>
      </c>
      <c r="E958" s="50">
        <v>24</v>
      </c>
      <c r="K958" s="50" t="s">
        <v>40</v>
      </c>
    </row>
    <row r="959" spans="1:11">
      <c r="A959" s="50">
        <v>43934</v>
      </c>
      <c r="B959" s="50">
        <v>0.45833333333333331</v>
      </c>
      <c r="C959" s="50" t="s">
        <v>68</v>
      </c>
      <c r="E959" s="50">
        <v>580</v>
      </c>
      <c r="F959" s="50">
        <v>40</v>
      </c>
      <c r="G959" s="50">
        <v>5</v>
      </c>
      <c r="J959" s="50">
        <v>10</v>
      </c>
      <c r="K959" s="50" t="s">
        <v>70</v>
      </c>
    </row>
    <row r="960" spans="1:11">
      <c r="A960" s="50">
        <v>43934</v>
      </c>
      <c r="B960" s="50">
        <v>0.58333333333333337</v>
      </c>
      <c r="C960" s="50" t="s">
        <v>94</v>
      </c>
      <c r="E960" s="50">
        <v>78</v>
      </c>
      <c r="F960" s="50">
        <v>4</v>
      </c>
      <c r="I960" s="50">
        <v>52</v>
      </c>
      <c r="J960" s="50">
        <v>4</v>
      </c>
      <c r="K960" s="50" t="s">
        <v>96</v>
      </c>
    </row>
    <row r="961" spans="1:11">
      <c r="A961" s="50">
        <v>43934</v>
      </c>
      <c r="B961" s="50">
        <v>0.60416666666666663</v>
      </c>
      <c r="C961" s="50" t="s">
        <v>104</v>
      </c>
      <c r="E961" s="50">
        <v>3019</v>
      </c>
      <c r="F961" s="50">
        <v>154</v>
      </c>
      <c r="H961" s="50">
        <v>50</v>
      </c>
      <c r="J961" s="50">
        <v>83</v>
      </c>
      <c r="K961" s="50" t="s">
        <v>106</v>
      </c>
    </row>
    <row r="962" spans="1:11">
      <c r="A962" s="50">
        <v>43934</v>
      </c>
      <c r="B962" s="50">
        <v>0.61458333333333337</v>
      </c>
      <c r="C962" s="50" t="s">
        <v>34</v>
      </c>
      <c r="E962" s="50">
        <v>906</v>
      </c>
      <c r="J962" s="50">
        <v>19</v>
      </c>
      <c r="K962" s="50" t="s">
        <v>340</v>
      </c>
    </row>
    <row r="963" spans="1:11">
      <c r="A963" s="50">
        <v>43935</v>
      </c>
      <c r="C963" s="50" t="s">
        <v>47</v>
      </c>
      <c r="E963" s="50">
        <v>755</v>
      </c>
      <c r="F963" s="50">
        <v>48</v>
      </c>
      <c r="G963" s="50">
        <v>14</v>
      </c>
      <c r="H963" s="50">
        <v>8</v>
      </c>
      <c r="I963" s="50">
        <v>597</v>
      </c>
      <c r="J963" s="50">
        <v>25</v>
      </c>
      <c r="K963" s="50" t="s">
        <v>49</v>
      </c>
    </row>
    <row r="964" spans="1:11">
      <c r="A964" s="50">
        <v>43935</v>
      </c>
      <c r="C964" s="50" t="s">
        <v>56</v>
      </c>
      <c r="E964" s="50">
        <v>879</v>
      </c>
      <c r="F964" s="50">
        <v>68</v>
      </c>
      <c r="G964" s="50">
        <v>14</v>
      </c>
      <c r="I964" s="50">
        <v>98</v>
      </c>
      <c r="J964" s="50">
        <v>57</v>
      </c>
      <c r="K964" s="50" t="s">
        <v>420</v>
      </c>
    </row>
    <row r="965" spans="1:11">
      <c r="A965" s="50">
        <v>43935</v>
      </c>
      <c r="C965" s="50" t="s">
        <v>58</v>
      </c>
      <c r="D965" s="50">
        <v>19543</v>
      </c>
      <c r="E965" s="50">
        <v>4368</v>
      </c>
      <c r="F965" s="50">
        <v>365</v>
      </c>
      <c r="G965" s="50">
        <v>46</v>
      </c>
      <c r="H965" s="50">
        <v>41</v>
      </c>
      <c r="I965" s="50">
        <v>490</v>
      </c>
      <c r="J965" s="50">
        <v>191</v>
      </c>
      <c r="K965" s="50" t="s">
        <v>60</v>
      </c>
    </row>
    <row r="966" spans="1:11">
      <c r="A966" s="50">
        <v>43935</v>
      </c>
      <c r="C966" s="50" t="s">
        <v>61</v>
      </c>
      <c r="E966" s="50">
        <v>105</v>
      </c>
      <c r="F966" s="50">
        <v>2</v>
      </c>
      <c r="J966" s="50">
        <v>2</v>
      </c>
      <c r="K966" s="50" t="s">
        <v>387</v>
      </c>
    </row>
    <row r="967" spans="1:11">
      <c r="A967" s="50">
        <v>43935</v>
      </c>
      <c r="C967" s="50" t="s">
        <v>63</v>
      </c>
      <c r="E967" s="50">
        <v>753</v>
      </c>
      <c r="F967" s="50">
        <v>34</v>
      </c>
      <c r="J967" s="50">
        <v>37</v>
      </c>
      <c r="K967" s="50" t="s">
        <v>65</v>
      </c>
    </row>
    <row r="968" spans="1:11">
      <c r="A968" s="50">
        <v>43935</v>
      </c>
      <c r="C968" s="50" t="s">
        <v>66</v>
      </c>
      <c r="E968" s="50">
        <v>185</v>
      </c>
      <c r="F968" s="50">
        <v>21</v>
      </c>
      <c r="G968" s="50">
        <v>5</v>
      </c>
      <c r="J968" s="50">
        <v>3</v>
      </c>
      <c r="K968" s="50" t="s">
        <v>427</v>
      </c>
    </row>
    <row r="969" spans="1:11">
      <c r="A969" s="50">
        <v>43935</v>
      </c>
      <c r="C969" s="50" t="s">
        <v>71</v>
      </c>
      <c r="E969" s="50">
        <v>603</v>
      </c>
      <c r="F969" s="50">
        <v>60</v>
      </c>
      <c r="G969" s="50">
        <v>11</v>
      </c>
      <c r="H969" s="50">
        <v>10</v>
      </c>
      <c r="J969" s="50">
        <v>54</v>
      </c>
      <c r="K969" s="50" t="s">
        <v>377</v>
      </c>
    </row>
    <row r="970" spans="1:11">
      <c r="A970" s="50">
        <v>43935</v>
      </c>
      <c r="C970" s="50" t="s">
        <v>73</v>
      </c>
      <c r="E970" s="50">
        <v>105</v>
      </c>
      <c r="F970" s="50">
        <v>7</v>
      </c>
      <c r="G970" s="50">
        <v>2</v>
      </c>
      <c r="J970" s="50">
        <v>1</v>
      </c>
      <c r="K970" s="50" t="s">
        <v>357</v>
      </c>
    </row>
    <row r="971" spans="1:11">
      <c r="A971" s="50">
        <v>43935</v>
      </c>
      <c r="C971" s="50" t="s">
        <v>78</v>
      </c>
      <c r="E971" s="50">
        <v>664</v>
      </c>
      <c r="F971" s="50">
        <v>59</v>
      </c>
      <c r="G971" s="50">
        <v>9</v>
      </c>
      <c r="I971" s="50">
        <v>120</v>
      </c>
      <c r="J971" s="50">
        <v>21</v>
      </c>
      <c r="K971" s="50" t="s">
        <v>80</v>
      </c>
    </row>
    <row r="972" spans="1:11">
      <c r="A972" s="50">
        <v>43935</v>
      </c>
      <c r="C972" s="50" t="s">
        <v>86</v>
      </c>
      <c r="E972" s="50">
        <v>258</v>
      </c>
      <c r="I972" s="50">
        <v>128</v>
      </c>
      <c r="J972" s="50">
        <v>13</v>
      </c>
      <c r="K972" s="50" t="s">
        <v>398</v>
      </c>
    </row>
    <row r="973" spans="1:11">
      <c r="A973" s="50">
        <v>43935</v>
      </c>
      <c r="C973" s="50" t="s">
        <v>88</v>
      </c>
      <c r="E973" s="50">
        <v>297</v>
      </c>
      <c r="F973" s="50">
        <v>35</v>
      </c>
      <c r="G973" s="50">
        <v>16</v>
      </c>
      <c r="J973" s="50">
        <v>10</v>
      </c>
      <c r="K973" s="50" t="s">
        <v>90</v>
      </c>
    </row>
    <row r="974" spans="1:11">
      <c r="A974" s="50">
        <v>43935</v>
      </c>
      <c r="C974" s="50" t="s">
        <v>97</v>
      </c>
      <c r="E974" s="50">
        <v>4919</v>
      </c>
      <c r="F974" s="50">
        <v>283</v>
      </c>
      <c r="G974" s="50">
        <v>61</v>
      </c>
      <c r="J974" s="50">
        <v>267</v>
      </c>
      <c r="K974" s="50" t="s">
        <v>99</v>
      </c>
    </row>
    <row r="975" spans="1:11">
      <c r="A975" s="50">
        <v>43935</v>
      </c>
      <c r="C975" s="50" t="s">
        <v>100</v>
      </c>
      <c r="E975" s="50">
        <v>1707</v>
      </c>
      <c r="F975" s="50">
        <v>100</v>
      </c>
      <c r="G975" s="50">
        <v>20</v>
      </c>
      <c r="H975" s="50">
        <v>11</v>
      </c>
      <c r="I975" s="50">
        <v>165</v>
      </c>
      <c r="J975" s="50">
        <v>94</v>
      </c>
      <c r="K975" s="50" t="s">
        <v>430</v>
      </c>
    </row>
    <row r="976" spans="1:11">
      <c r="A976" s="50">
        <v>43935</v>
      </c>
      <c r="B976" s="50">
        <v>0</v>
      </c>
      <c r="C976" s="50" t="s">
        <v>83</v>
      </c>
      <c r="E976" s="50">
        <v>325</v>
      </c>
      <c r="F976" s="50">
        <v>22</v>
      </c>
      <c r="J976" s="50">
        <v>8</v>
      </c>
      <c r="K976" s="50" t="s">
        <v>388</v>
      </c>
    </row>
    <row r="977" spans="1:11">
      <c r="A977" s="50">
        <v>43935</v>
      </c>
      <c r="B977" s="50">
        <v>0.33333333333333331</v>
      </c>
      <c r="C977" s="50" t="s">
        <v>41</v>
      </c>
      <c r="E977" s="50">
        <v>79</v>
      </c>
      <c r="J977" s="50">
        <v>3</v>
      </c>
      <c r="K977" s="50" t="s">
        <v>43</v>
      </c>
    </row>
    <row r="978" spans="1:11">
      <c r="A978" s="50">
        <v>43935</v>
      </c>
      <c r="B978" s="50">
        <v>0.33333333333333331</v>
      </c>
      <c r="C978" s="50" t="s">
        <v>44</v>
      </c>
      <c r="E978" s="50">
        <v>1470</v>
      </c>
      <c r="F978" s="50">
        <v>85</v>
      </c>
      <c r="G978" s="50">
        <v>31</v>
      </c>
      <c r="H978" s="50">
        <v>21</v>
      </c>
      <c r="J978" s="50">
        <v>49</v>
      </c>
      <c r="K978" s="50" t="s">
        <v>46</v>
      </c>
    </row>
    <row r="979" spans="1:11">
      <c r="A979" s="50">
        <v>43935</v>
      </c>
      <c r="B979" s="50">
        <v>0.33333333333333331</v>
      </c>
      <c r="C979" s="50" t="s">
        <v>91</v>
      </c>
      <c r="E979" s="50">
        <v>2912</v>
      </c>
      <c r="F979" s="50">
        <v>274</v>
      </c>
      <c r="G979" s="50">
        <v>63</v>
      </c>
      <c r="H979" s="50">
        <v>54</v>
      </c>
      <c r="I979" s="50">
        <v>524</v>
      </c>
      <c r="J979" s="50">
        <v>258</v>
      </c>
      <c r="K979" s="50" t="s">
        <v>341</v>
      </c>
    </row>
    <row r="980" spans="1:11">
      <c r="A980" s="50">
        <v>43935</v>
      </c>
      <c r="B980" s="50">
        <v>0.33333333333333331</v>
      </c>
      <c r="C980" s="50" t="s">
        <v>102</v>
      </c>
      <c r="E980" s="50">
        <v>171</v>
      </c>
      <c r="F980" s="50">
        <v>13</v>
      </c>
      <c r="G980" s="50">
        <v>9</v>
      </c>
      <c r="I980" s="50">
        <v>88</v>
      </c>
      <c r="J980" s="50">
        <v>5</v>
      </c>
      <c r="K980" s="50" t="s">
        <v>381</v>
      </c>
    </row>
    <row r="981" spans="1:11">
      <c r="A981" s="50">
        <v>43935</v>
      </c>
      <c r="B981" s="50">
        <v>0.39583333333333331</v>
      </c>
      <c r="C981" s="50" t="s">
        <v>81</v>
      </c>
      <c r="E981" s="50">
        <v>57</v>
      </c>
      <c r="F981" s="50">
        <v>10</v>
      </c>
      <c r="G981" s="50">
        <v>2</v>
      </c>
      <c r="J981" s="50">
        <v>1</v>
      </c>
      <c r="K981" s="50" t="s">
        <v>428</v>
      </c>
    </row>
    <row r="982" spans="1:11">
      <c r="A982" s="50">
        <v>43935</v>
      </c>
      <c r="B982" s="50">
        <v>0.41666666666666669</v>
      </c>
      <c r="C982" s="50" t="s">
        <v>50</v>
      </c>
      <c r="E982" s="50">
        <v>894</v>
      </c>
      <c r="F982" s="50">
        <v>86</v>
      </c>
      <c r="G982" s="50">
        <v>9</v>
      </c>
      <c r="I982" s="50">
        <v>663</v>
      </c>
      <c r="J982" s="50">
        <v>34</v>
      </c>
      <c r="K982" s="50" t="s">
        <v>338</v>
      </c>
    </row>
    <row r="983" spans="1:11">
      <c r="A983" s="50">
        <v>43935</v>
      </c>
      <c r="B983" s="50">
        <v>0.45833333333333331</v>
      </c>
      <c r="C983" s="50" t="s">
        <v>38</v>
      </c>
      <c r="E983" s="50">
        <v>24</v>
      </c>
      <c r="K983" s="50" t="s">
        <v>40</v>
      </c>
    </row>
    <row r="984" spans="1:11">
      <c r="A984" s="50">
        <v>43935</v>
      </c>
      <c r="B984" s="50">
        <v>0.45833333333333331</v>
      </c>
      <c r="C984" s="50" t="s">
        <v>68</v>
      </c>
      <c r="E984" s="50">
        <v>589</v>
      </c>
      <c r="F984" s="50">
        <v>47</v>
      </c>
      <c r="G984" s="50">
        <v>4</v>
      </c>
      <c r="J984" s="50">
        <v>11</v>
      </c>
      <c r="K984" s="50" t="s">
        <v>70</v>
      </c>
    </row>
    <row r="985" spans="1:11">
      <c r="A985" s="50">
        <v>43935</v>
      </c>
      <c r="B985" s="50">
        <v>0.58333333333333337</v>
      </c>
      <c r="C985" s="50" t="s">
        <v>94</v>
      </c>
      <c r="E985" s="50">
        <v>78</v>
      </c>
      <c r="F985" s="50">
        <v>3</v>
      </c>
      <c r="I985" s="50">
        <v>56</v>
      </c>
      <c r="J985" s="50">
        <v>4</v>
      </c>
      <c r="K985" s="50" t="s">
        <v>96</v>
      </c>
    </row>
    <row r="986" spans="1:11">
      <c r="A986" s="50">
        <v>43935</v>
      </c>
      <c r="B986" s="50">
        <v>0.60416666666666663</v>
      </c>
      <c r="C986" s="50" t="s">
        <v>104</v>
      </c>
      <c r="E986" s="50">
        <v>3066</v>
      </c>
      <c r="F986" s="50">
        <v>149</v>
      </c>
      <c r="H986" s="50">
        <v>52</v>
      </c>
      <c r="J986" s="50">
        <v>87</v>
      </c>
      <c r="K986" s="50" t="s">
        <v>106</v>
      </c>
    </row>
    <row r="987" spans="1:11">
      <c r="A987" s="50">
        <v>43935</v>
      </c>
      <c r="B987" s="50">
        <v>0.61458333333333337</v>
      </c>
      <c r="C987" s="50" t="s">
        <v>34</v>
      </c>
      <c r="E987" s="50">
        <v>912</v>
      </c>
      <c r="F987" s="50">
        <v>78</v>
      </c>
      <c r="G987" s="50">
        <v>22</v>
      </c>
      <c r="H987" s="50">
        <v>22</v>
      </c>
      <c r="I987" s="50">
        <v>400</v>
      </c>
      <c r="J987" s="50">
        <v>19</v>
      </c>
      <c r="K987" s="50" t="s">
        <v>340</v>
      </c>
    </row>
    <row r="988" spans="1:11">
      <c r="A988" s="50">
        <v>43935</v>
      </c>
      <c r="B988" s="50">
        <v>0.65625</v>
      </c>
      <c r="C988" s="50" t="s">
        <v>75</v>
      </c>
      <c r="E988" s="50">
        <v>64</v>
      </c>
      <c r="F988" s="50">
        <v>0</v>
      </c>
      <c r="J988" s="50">
        <v>0</v>
      </c>
      <c r="K988" s="50" t="s">
        <v>77</v>
      </c>
    </row>
    <row r="989" spans="1:11">
      <c r="A989" s="50">
        <v>43936</v>
      </c>
      <c r="C989" s="50" t="s">
        <v>47</v>
      </c>
      <c r="E989" s="50">
        <v>768</v>
      </c>
      <c r="F989" s="50">
        <v>45</v>
      </c>
      <c r="G989" s="50">
        <v>9</v>
      </c>
      <c r="H989" s="50">
        <v>7</v>
      </c>
      <c r="I989" s="50">
        <v>610</v>
      </c>
      <c r="J989" s="50">
        <v>25</v>
      </c>
      <c r="K989" s="50" t="s">
        <v>49</v>
      </c>
    </row>
    <row r="990" spans="1:11">
      <c r="A990" s="50">
        <v>43936</v>
      </c>
      <c r="C990" s="50" t="s">
        <v>53</v>
      </c>
      <c r="E990" s="50">
        <v>80</v>
      </c>
      <c r="J990" s="50">
        <v>1</v>
      </c>
      <c r="K990" s="50" t="s">
        <v>344</v>
      </c>
    </row>
    <row r="991" spans="1:11">
      <c r="A991" s="50">
        <v>43936</v>
      </c>
      <c r="C991" s="50" t="s">
        <v>56</v>
      </c>
      <c r="E991" s="50">
        <v>890</v>
      </c>
      <c r="F991" s="50">
        <v>61</v>
      </c>
      <c r="G991" s="50">
        <v>16</v>
      </c>
      <c r="I991" s="50">
        <v>105</v>
      </c>
      <c r="J991" s="50">
        <v>63</v>
      </c>
      <c r="K991" s="50" t="s">
        <v>420</v>
      </c>
    </row>
    <row r="992" spans="1:11">
      <c r="A992" s="50">
        <v>43936</v>
      </c>
      <c r="C992" s="50" t="s">
        <v>58</v>
      </c>
      <c r="D992" s="50">
        <v>20004</v>
      </c>
      <c r="E992" s="50">
        <v>4432</v>
      </c>
      <c r="F992" s="50">
        <v>352</v>
      </c>
      <c r="G992" s="50">
        <v>41</v>
      </c>
      <c r="H992" s="50">
        <v>37</v>
      </c>
      <c r="I992" s="50">
        <v>502</v>
      </c>
      <c r="J992" s="50">
        <v>196</v>
      </c>
      <c r="K992" s="50" t="s">
        <v>60</v>
      </c>
    </row>
    <row r="993" spans="1:11">
      <c r="A993" s="50">
        <v>43936</v>
      </c>
      <c r="C993" s="50" t="s">
        <v>61</v>
      </c>
      <c r="E993" s="50">
        <v>105</v>
      </c>
      <c r="F993" s="50">
        <v>2</v>
      </c>
      <c r="J993" s="50">
        <v>2</v>
      </c>
      <c r="K993" s="50" t="s">
        <v>387</v>
      </c>
    </row>
    <row r="994" spans="1:11">
      <c r="A994" s="50">
        <v>43936</v>
      </c>
      <c r="C994" s="50" t="s">
        <v>63</v>
      </c>
      <c r="E994" s="50">
        <v>759</v>
      </c>
      <c r="F994" s="50">
        <v>36</v>
      </c>
      <c r="J994" s="50">
        <v>38</v>
      </c>
      <c r="K994" s="50" t="s">
        <v>65</v>
      </c>
    </row>
    <row r="995" spans="1:11">
      <c r="A995" s="50">
        <v>43936</v>
      </c>
      <c r="C995" s="50" t="s">
        <v>66</v>
      </c>
      <c r="E995" s="50">
        <v>188</v>
      </c>
      <c r="F995" s="50">
        <v>17</v>
      </c>
      <c r="G995" s="50">
        <v>5</v>
      </c>
      <c r="J995" s="50">
        <v>3</v>
      </c>
      <c r="K995" s="50" t="s">
        <v>427</v>
      </c>
    </row>
    <row r="996" spans="1:11">
      <c r="A996" s="50">
        <v>43936</v>
      </c>
      <c r="C996" s="50" t="s">
        <v>71</v>
      </c>
      <c r="E996" s="50">
        <v>616</v>
      </c>
      <c r="F996" s="50">
        <v>54</v>
      </c>
      <c r="G996" s="50">
        <v>12</v>
      </c>
      <c r="H996" s="50">
        <v>10</v>
      </c>
      <c r="J996" s="50">
        <v>55</v>
      </c>
      <c r="K996" s="50" t="s">
        <v>377</v>
      </c>
    </row>
    <row r="997" spans="1:11">
      <c r="A997" s="50">
        <v>43936</v>
      </c>
      <c r="C997" s="50" t="s">
        <v>73</v>
      </c>
      <c r="E997" s="50">
        <v>106</v>
      </c>
      <c r="F997" s="50">
        <v>7</v>
      </c>
      <c r="G997" s="50">
        <v>2</v>
      </c>
      <c r="J997" s="50">
        <v>2</v>
      </c>
      <c r="K997" s="50" t="s">
        <v>357</v>
      </c>
    </row>
    <row r="998" spans="1:11">
      <c r="A998" s="50">
        <v>43936</v>
      </c>
      <c r="C998" s="50" t="s">
        <v>78</v>
      </c>
      <c r="E998" s="50">
        <v>676</v>
      </c>
      <c r="F998" s="50">
        <v>47</v>
      </c>
      <c r="G998" s="50">
        <v>9</v>
      </c>
      <c r="I998" s="50">
        <v>123</v>
      </c>
      <c r="J998" s="50">
        <v>23</v>
      </c>
      <c r="K998" s="50" t="s">
        <v>80</v>
      </c>
    </row>
    <row r="999" spans="1:11">
      <c r="A999" s="50">
        <v>43936</v>
      </c>
      <c r="C999" s="50" t="s">
        <v>86</v>
      </c>
      <c r="E999" s="50">
        <v>261</v>
      </c>
      <c r="I999" s="50">
        <v>144</v>
      </c>
      <c r="J999" s="50">
        <v>13</v>
      </c>
      <c r="K999" s="50" t="s">
        <v>398</v>
      </c>
    </row>
    <row r="1000" spans="1:11">
      <c r="A1000" s="50">
        <v>43936</v>
      </c>
      <c r="C1000" s="50" t="s">
        <v>88</v>
      </c>
      <c r="E1000" s="50">
        <v>303</v>
      </c>
      <c r="F1000" s="50">
        <v>28</v>
      </c>
      <c r="G1000" s="50">
        <v>14</v>
      </c>
      <c r="J1000" s="50">
        <v>11</v>
      </c>
      <c r="K1000" s="50" t="s">
        <v>90</v>
      </c>
    </row>
    <row r="1001" spans="1:11">
      <c r="A1001" s="50">
        <v>43936</v>
      </c>
      <c r="C1001" s="50" t="s">
        <v>97</v>
      </c>
      <c r="E1001" s="50">
        <v>4968</v>
      </c>
      <c r="F1001" s="50">
        <v>256</v>
      </c>
      <c r="G1001" s="50">
        <v>58</v>
      </c>
      <c r="J1001" s="50">
        <v>284</v>
      </c>
      <c r="K1001" s="50" t="s">
        <v>99</v>
      </c>
    </row>
    <row r="1002" spans="1:11">
      <c r="A1002" s="50">
        <v>43936</v>
      </c>
      <c r="C1002" s="50" t="s">
        <v>100</v>
      </c>
      <c r="E1002" s="50">
        <v>1723</v>
      </c>
      <c r="F1002" s="50">
        <v>94</v>
      </c>
      <c r="G1002" s="50">
        <v>20</v>
      </c>
      <c r="H1002" s="50">
        <v>12</v>
      </c>
      <c r="I1002" s="50">
        <v>175</v>
      </c>
      <c r="J1002" s="50">
        <v>94</v>
      </c>
      <c r="K1002" s="50" t="s">
        <v>430</v>
      </c>
    </row>
    <row r="1003" spans="1:11">
      <c r="A1003" s="50">
        <v>43936</v>
      </c>
      <c r="B1003" s="50">
        <v>0</v>
      </c>
      <c r="C1003" s="50" t="s">
        <v>83</v>
      </c>
      <c r="E1003" s="50">
        <v>329</v>
      </c>
      <c r="F1003" s="50">
        <v>22</v>
      </c>
      <c r="J1003" s="50">
        <v>8</v>
      </c>
      <c r="K1003" s="50" t="s">
        <v>388</v>
      </c>
    </row>
    <row r="1004" spans="1:11">
      <c r="A1004" s="50">
        <v>43936</v>
      </c>
      <c r="B1004" s="50">
        <v>0.33333333333333331</v>
      </c>
      <c r="C1004" s="50" t="s">
        <v>41</v>
      </c>
      <c r="E1004" s="50">
        <v>79</v>
      </c>
      <c r="J1004" s="50">
        <v>3</v>
      </c>
      <c r="K1004" s="50" t="s">
        <v>43</v>
      </c>
    </row>
    <row r="1005" spans="1:11">
      <c r="A1005" s="50">
        <v>43936</v>
      </c>
      <c r="B1005" s="50">
        <v>0.33333333333333331</v>
      </c>
      <c r="C1005" s="50" t="s">
        <v>44</v>
      </c>
      <c r="E1005" s="50">
        <v>1489</v>
      </c>
      <c r="F1005" s="50">
        <v>82</v>
      </c>
      <c r="G1005" s="50">
        <v>30</v>
      </c>
      <c r="H1005" s="50">
        <v>18</v>
      </c>
      <c r="J1005" s="50">
        <v>53</v>
      </c>
      <c r="K1005" s="50" t="s">
        <v>46</v>
      </c>
    </row>
    <row r="1006" spans="1:11">
      <c r="A1006" s="50">
        <v>43936</v>
      </c>
      <c r="B1006" s="50">
        <v>0.33333333333333331</v>
      </c>
      <c r="C1006" s="50" t="s">
        <v>91</v>
      </c>
      <c r="E1006" s="50">
        <v>2927</v>
      </c>
      <c r="F1006" s="50">
        <v>265</v>
      </c>
      <c r="G1006" s="50">
        <v>60</v>
      </c>
      <c r="H1006" s="50">
        <v>50</v>
      </c>
      <c r="I1006" s="50">
        <v>548</v>
      </c>
      <c r="J1006" s="50">
        <v>263</v>
      </c>
      <c r="K1006" s="50" t="s">
        <v>345</v>
      </c>
    </row>
    <row r="1007" spans="1:11">
      <c r="A1007" s="50">
        <v>43936</v>
      </c>
      <c r="B1007" s="50">
        <v>0.33333333333333331</v>
      </c>
      <c r="C1007" s="50" t="s">
        <v>102</v>
      </c>
      <c r="E1007" s="50">
        <v>171</v>
      </c>
      <c r="F1007" s="50">
        <v>13</v>
      </c>
      <c r="G1007" s="50">
        <v>9</v>
      </c>
      <c r="I1007" s="50">
        <v>92</v>
      </c>
      <c r="J1007" s="50">
        <v>5</v>
      </c>
      <c r="K1007" s="50" t="s">
        <v>381</v>
      </c>
    </row>
    <row r="1008" spans="1:11">
      <c r="A1008" s="50">
        <v>43936</v>
      </c>
      <c r="B1008" s="50">
        <v>0.39583333333333331</v>
      </c>
      <c r="C1008" s="50" t="s">
        <v>81</v>
      </c>
      <c r="E1008" s="50">
        <v>59</v>
      </c>
      <c r="F1008" s="50">
        <v>11</v>
      </c>
      <c r="G1008" s="50">
        <v>2</v>
      </c>
      <c r="J1008" s="50">
        <v>1</v>
      </c>
      <c r="K1008" s="50" t="s">
        <v>428</v>
      </c>
    </row>
    <row r="1009" spans="1:11">
      <c r="A1009" s="50">
        <v>43936</v>
      </c>
      <c r="B1009" s="50">
        <v>0.41666666666666669</v>
      </c>
      <c r="C1009" s="50" t="s">
        <v>50</v>
      </c>
      <c r="E1009" s="50">
        <v>904</v>
      </c>
      <c r="F1009" s="50">
        <v>80</v>
      </c>
      <c r="G1009" s="50">
        <v>7</v>
      </c>
      <c r="I1009" s="50">
        <v>682</v>
      </c>
      <c r="J1009" s="50">
        <v>36</v>
      </c>
      <c r="K1009" s="50" t="s">
        <v>342</v>
      </c>
    </row>
    <row r="1010" spans="1:11">
      <c r="A1010" s="50">
        <v>43936</v>
      </c>
      <c r="B1010" s="50">
        <v>0.45833333333333331</v>
      </c>
      <c r="C1010" s="50" t="s">
        <v>38</v>
      </c>
      <c r="E1010" s="50">
        <v>24</v>
      </c>
      <c r="K1010" s="50" t="s">
        <v>40</v>
      </c>
    </row>
    <row r="1011" spans="1:11">
      <c r="A1011" s="50">
        <v>43936</v>
      </c>
      <c r="B1011" s="50">
        <v>0.45833333333333331</v>
      </c>
      <c r="C1011" s="50" t="s">
        <v>68</v>
      </c>
      <c r="E1011" s="50">
        <v>596</v>
      </c>
      <c r="F1011" s="50">
        <v>46</v>
      </c>
      <c r="G1011" s="50">
        <v>4</v>
      </c>
      <c r="J1011" s="50">
        <v>12</v>
      </c>
      <c r="K1011" s="50" t="s">
        <v>70</v>
      </c>
    </row>
    <row r="1012" spans="1:11">
      <c r="A1012" s="50">
        <v>43936</v>
      </c>
      <c r="B1012" s="50">
        <v>0.60416666666666663</v>
      </c>
      <c r="C1012" s="50" t="s">
        <v>104</v>
      </c>
      <c r="E1012" s="50">
        <v>3113</v>
      </c>
      <c r="F1012" s="50">
        <v>136</v>
      </c>
      <c r="H1012" s="50">
        <v>50</v>
      </c>
      <c r="J1012" s="50">
        <v>91</v>
      </c>
      <c r="K1012" s="50" t="s">
        <v>106</v>
      </c>
    </row>
    <row r="1013" spans="1:11">
      <c r="A1013" s="50">
        <v>43936</v>
      </c>
      <c r="B1013" s="50">
        <v>0.61458333333333337</v>
      </c>
      <c r="C1013" s="50" t="s">
        <v>34</v>
      </c>
      <c r="E1013" s="50">
        <v>929</v>
      </c>
      <c r="F1013" s="50">
        <v>69</v>
      </c>
      <c r="G1013" s="50">
        <v>20</v>
      </c>
      <c r="H1013" s="50">
        <v>20</v>
      </c>
      <c r="I1013" s="50">
        <v>450</v>
      </c>
      <c r="J1013" s="50">
        <v>22</v>
      </c>
      <c r="K1013" s="50" t="s">
        <v>346</v>
      </c>
    </row>
    <row r="1014" spans="1:11">
      <c r="A1014" s="50">
        <v>43936</v>
      </c>
      <c r="B1014" s="50">
        <v>0.64236111111111116</v>
      </c>
      <c r="C1014" s="50" t="s">
        <v>75</v>
      </c>
      <c r="E1014" s="50">
        <v>64</v>
      </c>
      <c r="F1014" s="50">
        <v>0</v>
      </c>
      <c r="J1014" s="50">
        <v>0</v>
      </c>
      <c r="K1014" s="50" t="s">
        <v>77</v>
      </c>
    </row>
    <row r="1015" spans="1:11">
      <c r="A1015" s="50">
        <v>43936</v>
      </c>
      <c r="B1015" s="50">
        <v>0.66666666666666663</v>
      </c>
      <c r="C1015" s="50" t="s">
        <v>94</v>
      </c>
      <c r="E1015" s="50">
        <v>78</v>
      </c>
      <c r="F1015" s="50">
        <v>3</v>
      </c>
      <c r="I1015" s="50">
        <v>62</v>
      </c>
      <c r="J1015" s="50">
        <v>4</v>
      </c>
      <c r="K1015" s="50" t="s">
        <v>96</v>
      </c>
    </row>
    <row r="1016" spans="1:11">
      <c r="A1016" s="50">
        <v>43937</v>
      </c>
      <c r="C1016" s="50" t="s">
        <v>47</v>
      </c>
      <c r="E1016" s="50">
        <v>781</v>
      </c>
      <c r="F1016" s="50">
        <v>46</v>
      </c>
      <c r="G1016" s="50">
        <v>8</v>
      </c>
      <c r="H1016" s="50">
        <v>6</v>
      </c>
      <c r="I1016" s="50">
        <v>623</v>
      </c>
      <c r="J1016" s="50">
        <v>25</v>
      </c>
      <c r="K1016" s="50" t="s">
        <v>49</v>
      </c>
    </row>
    <row r="1017" spans="1:11">
      <c r="A1017" s="50">
        <v>43937</v>
      </c>
      <c r="C1017" s="50" t="s">
        <v>53</v>
      </c>
      <c r="E1017" s="50">
        <v>80</v>
      </c>
      <c r="J1017" s="50">
        <v>1</v>
      </c>
      <c r="K1017" s="50" t="s">
        <v>359</v>
      </c>
    </row>
    <row r="1018" spans="1:11">
      <c r="A1018" s="50">
        <v>43937</v>
      </c>
      <c r="C1018" s="50" t="s">
        <v>56</v>
      </c>
      <c r="E1018" s="50">
        <v>907</v>
      </c>
      <c r="F1018" s="50">
        <v>60</v>
      </c>
      <c r="G1018" s="50">
        <v>15</v>
      </c>
      <c r="I1018" s="50">
        <v>105</v>
      </c>
      <c r="J1018" s="50">
        <v>65</v>
      </c>
      <c r="K1018" s="50" t="s">
        <v>420</v>
      </c>
    </row>
    <row r="1019" spans="1:11">
      <c r="A1019" s="50">
        <v>43937</v>
      </c>
      <c r="C1019" s="50" t="s">
        <v>58</v>
      </c>
      <c r="D1019" s="50">
        <v>20687</v>
      </c>
      <c r="E1019" s="50">
        <v>4497</v>
      </c>
      <c r="F1019" s="50">
        <v>350</v>
      </c>
      <c r="G1019" s="50">
        <v>38</v>
      </c>
      <c r="H1019" s="50">
        <v>33</v>
      </c>
      <c r="I1019" s="50">
        <v>520</v>
      </c>
      <c r="J1019" s="50">
        <v>202</v>
      </c>
      <c r="K1019" s="50" t="s">
        <v>60</v>
      </c>
    </row>
    <row r="1020" spans="1:11">
      <c r="A1020" s="50">
        <v>43937</v>
      </c>
      <c r="C1020" s="50" t="s">
        <v>61</v>
      </c>
      <c r="E1020" s="50">
        <v>106</v>
      </c>
      <c r="F1020" s="50">
        <v>4</v>
      </c>
      <c r="J1020" s="50">
        <v>3</v>
      </c>
      <c r="K1020" s="50" t="s">
        <v>387</v>
      </c>
    </row>
    <row r="1021" spans="1:11">
      <c r="A1021" s="50">
        <v>43937</v>
      </c>
      <c r="C1021" s="50" t="s">
        <v>63</v>
      </c>
      <c r="E1021" s="50">
        <v>764</v>
      </c>
      <c r="F1021" s="50">
        <v>37</v>
      </c>
      <c r="J1021" s="50">
        <v>39</v>
      </c>
      <c r="K1021" s="50" t="s">
        <v>65</v>
      </c>
    </row>
    <row r="1022" spans="1:11">
      <c r="A1022" s="50">
        <v>43937</v>
      </c>
      <c r="C1022" s="50" t="s">
        <v>66</v>
      </c>
      <c r="E1022" s="50">
        <v>189</v>
      </c>
      <c r="F1022" s="50">
        <v>18</v>
      </c>
      <c r="G1022" s="50">
        <v>5</v>
      </c>
      <c r="J1022" s="50">
        <v>3</v>
      </c>
      <c r="K1022" s="50" t="s">
        <v>427</v>
      </c>
    </row>
    <row r="1023" spans="1:11">
      <c r="A1023" s="50">
        <v>43937</v>
      </c>
      <c r="C1023" s="50" t="s">
        <v>71</v>
      </c>
      <c r="E1023" s="50">
        <v>625</v>
      </c>
      <c r="F1023" s="50">
        <v>52</v>
      </c>
      <c r="G1023" s="50">
        <v>11</v>
      </c>
      <c r="H1023" s="50">
        <v>9</v>
      </c>
      <c r="J1023" s="50">
        <v>56</v>
      </c>
      <c r="K1023" s="50" t="s">
        <v>377</v>
      </c>
    </row>
    <row r="1024" spans="1:11">
      <c r="A1024" s="50">
        <v>43937</v>
      </c>
      <c r="C1024" s="50" t="s">
        <v>73</v>
      </c>
      <c r="E1024" s="50">
        <v>106</v>
      </c>
      <c r="F1024" s="50">
        <v>5</v>
      </c>
      <c r="G1024" s="50">
        <v>2</v>
      </c>
      <c r="J1024" s="50">
        <v>2</v>
      </c>
      <c r="K1024" s="50" t="s">
        <v>357</v>
      </c>
    </row>
    <row r="1025" spans="1:11">
      <c r="A1025" s="50">
        <v>43937</v>
      </c>
      <c r="C1025" s="50" t="s">
        <v>78</v>
      </c>
      <c r="E1025" s="50">
        <v>680</v>
      </c>
      <c r="F1025" s="50">
        <v>56</v>
      </c>
      <c r="G1025" s="50">
        <v>7</v>
      </c>
      <c r="I1025" s="50">
        <v>138</v>
      </c>
      <c r="J1025" s="50">
        <v>25</v>
      </c>
      <c r="K1025" s="50" t="s">
        <v>80</v>
      </c>
    </row>
    <row r="1026" spans="1:11">
      <c r="A1026" s="50">
        <v>43937</v>
      </c>
      <c r="C1026" s="50" t="s">
        <v>86</v>
      </c>
      <c r="E1026" s="50">
        <v>265</v>
      </c>
      <c r="I1026" s="50">
        <v>154</v>
      </c>
      <c r="J1026" s="50">
        <v>14</v>
      </c>
      <c r="K1026" s="50" t="s">
        <v>398</v>
      </c>
    </row>
    <row r="1027" spans="1:11">
      <c r="A1027" s="50">
        <v>43937</v>
      </c>
      <c r="C1027" s="50" t="s">
        <v>88</v>
      </c>
      <c r="E1027" s="50">
        <v>309</v>
      </c>
      <c r="F1027" s="50">
        <v>28</v>
      </c>
      <c r="G1027" s="50">
        <v>14</v>
      </c>
      <c r="J1027" s="50">
        <v>11</v>
      </c>
      <c r="K1027" s="50" t="s">
        <v>90</v>
      </c>
    </row>
    <row r="1028" spans="1:11">
      <c r="A1028" s="50">
        <v>43937</v>
      </c>
      <c r="C1028" s="50" t="s">
        <v>97</v>
      </c>
      <c r="E1028" s="50">
        <v>4997</v>
      </c>
      <c r="F1028" s="50">
        <v>250</v>
      </c>
      <c r="G1028" s="50">
        <v>57</v>
      </c>
      <c r="J1028" s="50">
        <v>297</v>
      </c>
      <c r="K1028" s="50" t="s">
        <v>99</v>
      </c>
    </row>
    <row r="1029" spans="1:11">
      <c r="A1029" s="50">
        <v>43937</v>
      </c>
      <c r="C1029" s="50" t="s">
        <v>100</v>
      </c>
      <c r="E1029" s="50">
        <v>1740</v>
      </c>
      <c r="F1029" s="50">
        <v>91</v>
      </c>
      <c r="G1029" s="50">
        <v>17</v>
      </c>
      <c r="H1029" s="50">
        <v>12</v>
      </c>
      <c r="I1029" s="50">
        <v>178</v>
      </c>
      <c r="J1029" s="50">
        <v>95</v>
      </c>
      <c r="K1029" s="50" t="s">
        <v>430</v>
      </c>
    </row>
    <row r="1030" spans="1:11">
      <c r="A1030" s="50">
        <v>43937</v>
      </c>
      <c r="B1030" s="50">
        <v>0</v>
      </c>
      <c r="C1030" s="50" t="s">
        <v>83</v>
      </c>
      <c r="E1030" s="50">
        <v>343</v>
      </c>
      <c r="F1030" s="50">
        <v>22</v>
      </c>
      <c r="J1030" s="50">
        <v>8</v>
      </c>
      <c r="K1030" s="50" t="s">
        <v>388</v>
      </c>
    </row>
    <row r="1031" spans="1:11">
      <c r="A1031" s="50">
        <v>43937</v>
      </c>
      <c r="B1031" s="50">
        <v>0.33333333333333331</v>
      </c>
      <c r="C1031" s="50" t="s">
        <v>41</v>
      </c>
      <c r="E1031" s="50">
        <v>79</v>
      </c>
      <c r="J1031" s="50">
        <v>3</v>
      </c>
      <c r="K1031" s="50" t="s">
        <v>43</v>
      </c>
    </row>
    <row r="1032" spans="1:11">
      <c r="A1032" s="50">
        <v>43937</v>
      </c>
      <c r="B1032" s="50">
        <v>0.33333333333333331</v>
      </c>
      <c r="C1032" s="50" t="s">
        <v>44</v>
      </c>
      <c r="E1032" s="50">
        <v>1515</v>
      </c>
      <c r="F1032" s="50">
        <v>70</v>
      </c>
      <c r="G1032" s="50">
        <v>26</v>
      </c>
      <c r="H1032" s="50">
        <v>12</v>
      </c>
      <c r="J1032" s="50">
        <v>55</v>
      </c>
      <c r="K1032" s="50" t="s">
        <v>46</v>
      </c>
    </row>
    <row r="1033" spans="1:11">
      <c r="A1033" s="50">
        <v>43937</v>
      </c>
      <c r="B1033" s="50">
        <v>0.33333333333333331</v>
      </c>
      <c r="C1033" s="50" t="s">
        <v>91</v>
      </c>
      <c r="E1033" s="50">
        <v>2953</v>
      </c>
      <c r="F1033" s="50">
        <v>249</v>
      </c>
      <c r="G1033" s="50">
        <v>59</v>
      </c>
      <c r="H1033" s="50">
        <v>49</v>
      </c>
      <c r="I1033" s="50">
        <v>568</v>
      </c>
      <c r="J1033" s="50">
        <v>269</v>
      </c>
      <c r="K1033" s="50" t="s">
        <v>360</v>
      </c>
    </row>
    <row r="1034" spans="1:11">
      <c r="A1034" s="50">
        <v>43937</v>
      </c>
      <c r="B1034" s="50">
        <v>0.33333333333333331</v>
      </c>
      <c r="C1034" s="50" t="s">
        <v>102</v>
      </c>
      <c r="E1034" s="50">
        <v>171</v>
      </c>
      <c r="F1034" s="50">
        <v>9</v>
      </c>
      <c r="G1034" s="50">
        <v>7</v>
      </c>
      <c r="I1034" s="50">
        <v>94</v>
      </c>
      <c r="J1034" s="50">
        <v>6</v>
      </c>
      <c r="K1034" s="50" t="s">
        <v>381</v>
      </c>
    </row>
    <row r="1035" spans="1:11">
      <c r="A1035" s="50">
        <v>43937</v>
      </c>
      <c r="B1035" s="50">
        <v>0.375</v>
      </c>
      <c r="C1035" s="50" t="s">
        <v>50</v>
      </c>
      <c r="E1035" s="50">
        <v>912</v>
      </c>
      <c r="F1035" s="50">
        <v>76</v>
      </c>
      <c r="G1035" s="50">
        <v>6</v>
      </c>
      <c r="I1035" s="50">
        <v>711</v>
      </c>
      <c r="J1035" s="50">
        <v>37</v>
      </c>
      <c r="K1035" s="50" t="s">
        <v>343</v>
      </c>
    </row>
    <row r="1036" spans="1:11">
      <c r="A1036" s="50">
        <v>43937</v>
      </c>
      <c r="B1036" s="50">
        <v>0.39583333333333331</v>
      </c>
      <c r="C1036" s="50" t="s">
        <v>81</v>
      </c>
      <c r="E1036" s="50">
        <v>60</v>
      </c>
      <c r="F1036" s="50">
        <v>10</v>
      </c>
      <c r="G1036" s="50">
        <v>2</v>
      </c>
      <c r="J1036" s="50">
        <v>1</v>
      </c>
      <c r="K1036" s="50" t="s">
        <v>428</v>
      </c>
    </row>
    <row r="1037" spans="1:11">
      <c r="A1037" s="50">
        <v>43937</v>
      </c>
      <c r="B1037" s="50">
        <v>0.45833333333333331</v>
      </c>
      <c r="C1037" s="50" t="s">
        <v>38</v>
      </c>
      <c r="E1037" s="50">
        <v>24</v>
      </c>
      <c r="K1037" s="50" t="s">
        <v>40</v>
      </c>
    </row>
    <row r="1038" spans="1:11">
      <c r="A1038" s="50">
        <v>43937</v>
      </c>
      <c r="B1038" s="50">
        <v>0.52083333333333337</v>
      </c>
      <c r="C1038" s="50" t="s">
        <v>68</v>
      </c>
      <c r="E1038" s="50">
        <v>599</v>
      </c>
      <c r="F1038" s="50">
        <v>40</v>
      </c>
      <c r="G1038" s="50">
        <v>3</v>
      </c>
      <c r="J1038" s="50">
        <v>13</v>
      </c>
      <c r="K1038" s="50" t="s">
        <v>70</v>
      </c>
    </row>
    <row r="1039" spans="1:11">
      <c r="A1039" s="50">
        <v>43937</v>
      </c>
      <c r="B1039" s="50">
        <v>0.60416666666666663</v>
      </c>
      <c r="C1039" s="50" t="s">
        <v>104</v>
      </c>
      <c r="E1039" s="50">
        <v>3148</v>
      </c>
      <c r="F1039" s="50">
        <v>135</v>
      </c>
      <c r="H1039" s="50">
        <v>51</v>
      </c>
      <c r="J1039" s="50">
        <v>95</v>
      </c>
      <c r="K1039" s="50" t="s">
        <v>106</v>
      </c>
    </row>
    <row r="1040" spans="1:11">
      <c r="A1040" s="50">
        <v>43937</v>
      </c>
      <c r="B1040" s="50">
        <v>0.61458333333333337</v>
      </c>
      <c r="C1040" s="50" t="s">
        <v>34</v>
      </c>
      <c r="E1040" s="50">
        <v>943</v>
      </c>
      <c r="F1040" s="50">
        <v>61</v>
      </c>
      <c r="G1040" s="50">
        <v>20</v>
      </c>
      <c r="H1040" s="50">
        <v>20</v>
      </c>
      <c r="I1040" s="50">
        <v>500</v>
      </c>
      <c r="J1040" s="50">
        <v>23</v>
      </c>
      <c r="K1040" s="50" t="s">
        <v>358</v>
      </c>
    </row>
    <row r="1041" spans="1:11">
      <c r="A1041" s="50">
        <v>43937</v>
      </c>
      <c r="B1041" s="50">
        <v>0.625</v>
      </c>
      <c r="C1041" s="50" t="s">
        <v>94</v>
      </c>
      <c r="E1041" s="50">
        <v>78</v>
      </c>
      <c r="F1041" s="50">
        <v>2</v>
      </c>
      <c r="I1041" s="50">
        <v>62</v>
      </c>
      <c r="J1041" s="50">
        <v>5</v>
      </c>
      <c r="K1041" s="50" t="s">
        <v>96</v>
      </c>
    </row>
    <row r="1042" spans="1:11">
      <c r="A1042" s="50">
        <v>43937</v>
      </c>
      <c r="B1042" s="50">
        <v>0.64583333333333337</v>
      </c>
      <c r="C1042" s="50" t="s">
        <v>75</v>
      </c>
      <c r="E1042" s="50">
        <v>65</v>
      </c>
      <c r="F1042" s="50">
        <v>0</v>
      </c>
      <c r="J1042" s="50">
        <v>0</v>
      </c>
      <c r="K1042" s="50" t="s">
        <v>77</v>
      </c>
    </row>
    <row r="1043" spans="1:11">
      <c r="A1043" s="50">
        <v>43938</v>
      </c>
      <c r="C1043" s="50" t="s">
        <v>47</v>
      </c>
      <c r="E1043" s="50">
        <v>794</v>
      </c>
      <c r="F1043" s="50">
        <v>40</v>
      </c>
      <c r="G1043" s="50">
        <v>8</v>
      </c>
      <c r="H1043" s="50">
        <v>5</v>
      </c>
      <c r="I1043" s="50">
        <v>632</v>
      </c>
      <c r="J1043" s="50">
        <v>25</v>
      </c>
      <c r="K1043" s="50" t="s">
        <v>49</v>
      </c>
    </row>
    <row r="1044" spans="1:11">
      <c r="A1044" s="50">
        <v>43938</v>
      </c>
      <c r="C1044" s="50" t="s">
        <v>53</v>
      </c>
      <c r="E1044" s="50">
        <v>81</v>
      </c>
      <c r="J1044" s="50">
        <v>1</v>
      </c>
      <c r="K1044" s="50" t="s">
        <v>363</v>
      </c>
    </row>
    <row r="1045" spans="1:11">
      <c r="A1045" s="50">
        <v>43938</v>
      </c>
      <c r="C1045" s="50" t="s">
        <v>56</v>
      </c>
      <c r="E1045" s="50">
        <v>930</v>
      </c>
      <c r="F1045" s="50">
        <v>66</v>
      </c>
      <c r="G1045" s="50">
        <v>13</v>
      </c>
      <c r="I1045" s="50">
        <v>106</v>
      </c>
      <c r="J1045" s="50">
        <v>67</v>
      </c>
      <c r="K1045" s="50" t="s">
        <v>420</v>
      </c>
    </row>
    <row r="1046" spans="1:11">
      <c r="A1046" s="50">
        <v>43938</v>
      </c>
      <c r="C1046" s="50" t="s">
        <v>58</v>
      </c>
      <c r="D1046" s="50">
        <v>21128</v>
      </c>
      <c r="E1046" s="50">
        <v>4557</v>
      </c>
      <c r="F1046" s="50">
        <v>329</v>
      </c>
      <c r="G1046" s="50">
        <v>39</v>
      </c>
      <c r="H1046" s="50">
        <v>33</v>
      </c>
      <c r="I1046" s="50">
        <v>532</v>
      </c>
      <c r="J1046" s="50">
        <v>208</v>
      </c>
      <c r="K1046" s="50" t="s">
        <v>60</v>
      </c>
    </row>
    <row r="1047" spans="1:11">
      <c r="A1047" s="50">
        <v>43938</v>
      </c>
      <c r="C1047" s="50" t="s">
        <v>63</v>
      </c>
      <c r="E1047" s="50">
        <v>770</v>
      </c>
      <c r="F1047" s="50">
        <v>33</v>
      </c>
      <c r="J1047" s="50">
        <v>40</v>
      </c>
      <c r="K1047" s="50" t="s">
        <v>65</v>
      </c>
    </row>
    <row r="1048" spans="1:11">
      <c r="A1048" s="50">
        <v>43938</v>
      </c>
      <c r="C1048" s="50" t="s">
        <v>66</v>
      </c>
      <c r="E1048" s="50">
        <v>191</v>
      </c>
      <c r="F1048" s="50">
        <v>18</v>
      </c>
      <c r="G1048" s="50">
        <v>5</v>
      </c>
      <c r="J1048" s="50">
        <v>3</v>
      </c>
      <c r="K1048" s="50" t="s">
        <v>427</v>
      </c>
    </row>
    <row r="1049" spans="1:11">
      <c r="A1049" s="50">
        <v>43938</v>
      </c>
      <c r="C1049" s="50" t="s">
        <v>71</v>
      </c>
      <c r="E1049" s="50">
        <v>634</v>
      </c>
      <c r="F1049" s="50">
        <v>44</v>
      </c>
      <c r="G1049" s="50">
        <v>10</v>
      </c>
      <c r="H1049" s="50">
        <v>8</v>
      </c>
      <c r="J1049" s="50">
        <v>59</v>
      </c>
      <c r="K1049" s="50" t="s">
        <v>377</v>
      </c>
    </row>
    <row r="1050" spans="1:11">
      <c r="A1050" s="50">
        <v>43938</v>
      </c>
      <c r="C1050" s="50" t="s">
        <v>73</v>
      </c>
      <c r="E1050" s="50">
        <v>107</v>
      </c>
      <c r="F1050" s="50">
        <v>4</v>
      </c>
      <c r="G1050" s="50">
        <v>2</v>
      </c>
      <c r="J1050" s="50">
        <v>3</v>
      </c>
      <c r="K1050" s="50" t="s">
        <v>357</v>
      </c>
    </row>
    <row r="1051" spans="1:11">
      <c r="A1051" s="50">
        <v>43938</v>
      </c>
      <c r="C1051" s="50" t="s">
        <v>78</v>
      </c>
      <c r="E1051" s="50">
        <v>683</v>
      </c>
      <c r="F1051" s="50">
        <v>41</v>
      </c>
      <c r="G1051" s="50">
        <v>9</v>
      </c>
      <c r="I1051" s="50">
        <v>144</v>
      </c>
      <c r="J1051" s="50">
        <v>27</v>
      </c>
      <c r="K1051" s="50" t="s">
        <v>80</v>
      </c>
    </row>
    <row r="1052" spans="1:11">
      <c r="A1052" s="50">
        <v>43938</v>
      </c>
      <c r="C1052" s="50" t="s">
        <v>86</v>
      </c>
      <c r="E1052" s="50">
        <v>266</v>
      </c>
      <c r="I1052" s="50">
        <v>161</v>
      </c>
      <c r="J1052" s="50">
        <v>14</v>
      </c>
      <c r="K1052" s="50" t="s">
        <v>398</v>
      </c>
    </row>
    <row r="1053" spans="1:11">
      <c r="A1053" s="50">
        <v>43938</v>
      </c>
      <c r="C1053" s="50" t="s">
        <v>88</v>
      </c>
      <c r="E1053" s="50">
        <v>322</v>
      </c>
      <c r="F1053" s="50">
        <v>25</v>
      </c>
      <c r="G1053" s="50">
        <v>13</v>
      </c>
      <c r="J1053" s="50">
        <v>12</v>
      </c>
      <c r="K1053" s="50" t="s">
        <v>90</v>
      </c>
    </row>
    <row r="1054" spans="1:11">
      <c r="A1054" s="50">
        <v>43938</v>
      </c>
      <c r="C1054" s="50" t="s">
        <v>97</v>
      </c>
      <c r="E1054" s="50">
        <v>5029</v>
      </c>
      <c r="F1054" s="50">
        <v>234</v>
      </c>
      <c r="G1054" s="50">
        <v>55</v>
      </c>
      <c r="J1054" s="50">
        <v>303</v>
      </c>
      <c r="K1054" s="50" t="s">
        <v>99</v>
      </c>
    </row>
    <row r="1055" spans="1:11">
      <c r="A1055" s="50">
        <v>43938</v>
      </c>
      <c r="C1055" s="50" t="s">
        <v>100</v>
      </c>
      <c r="E1055" s="50">
        <v>1759</v>
      </c>
      <c r="F1055" s="50">
        <v>84</v>
      </c>
      <c r="G1055" s="50">
        <v>16</v>
      </c>
      <c r="H1055" s="50">
        <v>10</v>
      </c>
      <c r="I1055" s="50">
        <v>184</v>
      </c>
      <c r="J1055" s="50">
        <v>99</v>
      </c>
      <c r="K1055" s="50" t="s">
        <v>430</v>
      </c>
    </row>
    <row r="1056" spans="1:11">
      <c r="A1056" s="50">
        <v>43938</v>
      </c>
      <c r="B1056" s="50">
        <v>0</v>
      </c>
      <c r="C1056" s="50" t="s">
        <v>83</v>
      </c>
      <c r="E1056" s="50">
        <v>350</v>
      </c>
      <c r="F1056" s="50">
        <v>20</v>
      </c>
      <c r="J1056" s="50">
        <v>9</v>
      </c>
      <c r="K1056" s="50" t="s">
        <v>388</v>
      </c>
    </row>
    <row r="1057" spans="1:11">
      <c r="A1057" s="50">
        <v>43938</v>
      </c>
      <c r="B1057" s="50">
        <v>0.33333333333333331</v>
      </c>
      <c r="C1057" s="50" t="s">
        <v>44</v>
      </c>
      <c r="E1057" s="50">
        <v>1553</v>
      </c>
      <c r="F1057" s="50">
        <v>69</v>
      </c>
      <c r="G1057" s="50">
        <v>25</v>
      </c>
      <c r="H1057" s="50">
        <v>13</v>
      </c>
      <c r="J1057" s="50">
        <v>67</v>
      </c>
      <c r="K1057" s="50" t="s">
        <v>46</v>
      </c>
    </row>
    <row r="1058" spans="1:11">
      <c r="A1058" s="50">
        <v>43938</v>
      </c>
      <c r="B1058" s="50">
        <v>0.33333333333333331</v>
      </c>
      <c r="C1058" s="50" t="s">
        <v>91</v>
      </c>
      <c r="E1058" s="50">
        <v>2977</v>
      </c>
      <c r="F1058" s="50">
        <v>254</v>
      </c>
      <c r="G1058" s="50">
        <v>57</v>
      </c>
      <c r="H1058" s="50">
        <v>44</v>
      </c>
      <c r="I1058" s="50">
        <v>580</v>
      </c>
      <c r="J1058" s="50">
        <v>270</v>
      </c>
      <c r="K1058" s="50" t="s">
        <v>364</v>
      </c>
    </row>
    <row r="1059" spans="1:11">
      <c r="A1059" s="50">
        <v>43938</v>
      </c>
      <c r="B1059" s="50">
        <v>0.33333333333333331</v>
      </c>
      <c r="C1059" s="50" t="s">
        <v>102</v>
      </c>
      <c r="E1059" s="50">
        <v>172</v>
      </c>
      <c r="F1059" s="50">
        <v>8</v>
      </c>
      <c r="G1059" s="50">
        <v>6</v>
      </c>
      <c r="I1059" s="50">
        <v>96</v>
      </c>
      <c r="J1059" s="50">
        <v>6</v>
      </c>
      <c r="K1059" s="50" t="s">
        <v>381</v>
      </c>
    </row>
    <row r="1060" spans="1:11">
      <c r="A1060" s="50">
        <v>43938</v>
      </c>
      <c r="B1060" s="50">
        <v>0.375</v>
      </c>
      <c r="C1060" s="50" t="s">
        <v>50</v>
      </c>
      <c r="E1060" s="50">
        <v>918</v>
      </c>
      <c r="F1060" s="50">
        <v>68</v>
      </c>
      <c r="G1060" s="50">
        <v>7</v>
      </c>
      <c r="I1060" s="50">
        <v>720</v>
      </c>
      <c r="J1060" s="50">
        <v>37</v>
      </c>
      <c r="K1060" s="50" t="s">
        <v>362</v>
      </c>
    </row>
    <row r="1061" spans="1:11">
      <c r="A1061" s="50">
        <v>43938</v>
      </c>
      <c r="B1061" s="50">
        <v>0.39583333333333331</v>
      </c>
      <c r="C1061" s="50" t="s">
        <v>81</v>
      </c>
      <c r="E1061" s="50">
        <v>60</v>
      </c>
      <c r="F1061" s="50">
        <v>8</v>
      </c>
      <c r="G1061" s="50">
        <v>2</v>
      </c>
      <c r="J1061" s="50">
        <v>1</v>
      </c>
      <c r="K1061" s="50" t="s">
        <v>428</v>
      </c>
    </row>
    <row r="1062" spans="1:11">
      <c r="A1062" s="50">
        <v>43938</v>
      </c>
      <c r="B1062" s="50">
        <v>0.45833333333333331</v>
      </c>
      <c r="C1062" s="50" t="s">
        <v>38</v>
      </c>
      <c r="E1062" s="50">
        <v>24</v>
      </c>
      <c r="K1062" s="50" t="s">
        <v>40</v>
      </c>
    </row>
    <row r="1063" spans="1:11">
      <c r="A1063" s="50">
        <v>43938</v>
      </c>
      <c r="B1063" s="50">
        <v>0.45833333333333331</v>
      </c>
      <c r="C1063" s="50" t="s">
        <v>68</v>
      </c>
      <c r="E1063" s="50">
        <v>607</v>
      </c>
      <c r="F1063" s="50">
        <v>40</v>
      </c>
      <c r="G1063" s="50">
        <v>3</v>
      </c>
      <c r="J1063" s="50">
        <v>14</v>
      </c>
      <c r="K1063" s="50" t="s">
        <v>70</v>
      </c>
    </row>
    <row r="1064" spans="1:11">
      <c r="A1064" s="50">
        <v>43938</v>
      </c>
      <c r="B1064" s="50">
        <v>0.5</v>
      </c>
      <c r="C1064" s="50" t="s">
        <v>41</v>
      </c>
      <c r="E1064" s="50">
        <v>82</v>
      </c>
      <c r="J1064" s="50">
        <v>3</v>
      </c>
      <c r="K1064" s="50" t="s">
        <v>43</v>
      </c>
    </row>
    <row r="1065" spans="1:11">
      <c r="A1065" s="50">
        <v>43938</v>
      </c>
      <c r="B1065" s="50">
        <v>0.54166666666666663</v>
      </c>
      <c r="C1065" s="50" t="s">
        <v>61</v>
      </c>
      <c r="E1065" s="50">
        <v>108</v>
      </c>
      <c r="F1065" s="50">
        <v>4</v>
      </c>
      <c r="J1065" s="50">
        <v>3</v>
      </c>
      <c r="K1065" s="50" t="s">
        <v>387</v>
      </c>
    </row>
    <row r="1066" spans="1:11">
      <c r="A1066" s="50">
        <v>43938</v>
      </c>
      <c r="B1066" s="50">
        <v>0.58333333333333337</v>
      </c>
      <c r="C1066" s="50" t="s">
        <v>94</v>
      </c>
      <c r="E1066" s="50">
        <v>78</v>
      </c>
      <c r="F1066" s="50">
        <v>2</v>
      </c>
      <c r="I1066" s="50">
        <v>66</v>
      </c>
      <c r="J1066" s="50">
        <v>5</v>
      </c>
      <c r="K1066" s="50" t="s">
        <v>96</v>
      </c>
    </row>
    <row r="1067" spans="1:11">
      <c r="A1067" s="50">
        <v>43938</v>
      </c>
      <c r="B1067" s="50">
        <v>0.60416666666666663</v>
      </c>
      <c r="C1067" s="50" t="s">
        <v>104</v>
      </c>
      <c r="E1067" s="50">
        <v>3171</v>
      </c>
      <c r="F1067" s="50">
        <v>123</v>
      </c>
      <c r="H1067" s="50">
        <v>45</v>
      </c>
      <c r="J1067" s="50">
        <v>99</v>
      </c>
      <c r="K1067" s="50" t="s">
        <v>106</v>
      </c>
    </row>
    <row r="1068" spans="1:11">
      <c r="A1068" s="50">
        <v>43938</v>
      </c>
      <c r="B1068" s="50">
        <v>0.61458333333333337</v>
      </c>
      <c r="C1068" s="50" t="s">
        <v>34</v>
      </c>
      <c r="E1068" s="50">
        <v>960</v>
      </c>
      <c r="F1068" s="50">
        <v>58</v>
      </c>
      <c r="G1068" s="50">
        <v>20</v>
      </c>
      <c r="H1068" s="50">
        <v>20</v>
      </c>
      <c r="I1068" s="50">
        <v>540</v>
      </c>
      <c r="J1068" s="50">
        <v>24</v>
      </c>
      <c r="K1068" s="50" t="s">
        <v>361</v>
      </c>
    </row>
    <row r="1069" spans="1:11">
      <c r="A1069" s="50">
        <v>43938</v>
      </c>
      <c r="B1069" s="50">
        <v>0.66666666666666663</v>
      </c>
      <c r="C1069" s="50" t="s">
        <v>75</v>
      </c>
      <c r="E1069" s="50">
        <v>66</v>
      </c>
      <c r="F1069" s="50">
        <v>0</v>
      </c>
      <c r="J1069" s="50">
        <v>0</v>
      </c>
      <c r="K1069" s="50" t="s">
        <v>77</v>
      </c>
    </row>
    <row r="1070" spans="1:11">
      <c r="A1070" s="50">
        <v>43939</v>
      </c>
      <c r="C1070" s="50" t="s">
        <v>47</v>
      </c>
      <c r="E1070" s="50">
        <v>798</v>
      </c>
      <c r="F1070" s="50">
        <v>44</v>
      </c>
      <c r="G1070" s="50">
        <v>7</v>
      </c>
      <c r="H1070" s="50">
        <v>5</v>
      </c>
      <c r="I1070" s="50">
        <v>636</v>
      </c>
      <c r="J1070" s="50">
        <v>25</v>
      </c>
      <c r="K1070" s="50" t="s">
        <v>49</v>
      </c>
    </row>
    <row r="1071" spans="1:11">
      <c r="A1071" s="50">
        <v>43939</v>
      </c>
      <c r="C1071" s="50" t="s">
        <v>53</v>
      </c>
      <c r="E1071" s="50">
        <v>81</v>
      </c>
      <c r="J1071" s="50">
        <v>1</v>
      </c>
      <c r="K1071" s="50" t="s">
        <v>366</v>
      </c>
    </row>
    <row r="1072" spans="1:11">
      <c r="A1072" s="50">
        <v>43939</v>
      </c>
      <c r="C1072" s="50" t="s">
        <v>56</v>
      </c>
      <c r="E1072" s="50">
        <v>956</v>
      </c>
      <c r="F1072" s="50">
        <v>64</v>
      </c>
      <c r="G1072" s="50">
        <v>11</v>
      </c>
      <c r="I1072" s="50">
        <v>109</v>
      </c>
      <c r="J1072" s="50">
        <v>69</v>
      </c>
      <c r="K1072" s="50" t="s">
        <v>420</v>
      </c>
    </row>
    <row r="1073" spans="1:11">
      <c r="A1073" s="50">
        <v>43939</v>
      </c>
      <c r="C1073" s="50" t="s">
        <v>58</v>
      </c>
      <c r="D1073" s="50">
        <v>21570</v>
      </c>
      <c r="E1073" s="50">
        <v>4606</v>
      </c>
      <c r="F1073" s="50">
        <v>315</v>
      </c>
      <c r="G1073" s="50">
        <v>34</v>
      </c>
      <c r="H1073" s="50">
        <v>33</v>
      </c>
      <c r="I1073" s="50">
        <v>553</v>
      </c>
      <c r="J1073" s="50">
        <v>212</v>
      </c>
      <c r="K1073" s="50" t="s">
        <v>60</v>
      </c>
    </row>
    <row r="1074" spans="1:11">
      <c r="A1074" s="50">
        <v>43939</v>
      </c>
      <c r="C1074" s="50" t="s">
        <v>63</v>
      </c>
      <c r="E1074" s="50">
        <v>773</v>
      </c>
      <c r="F1074" s="50">
        <v>29</v>
      </c>
      <c r="J1074" s="50">
        <v>40</v>
      </c>
      <c r="K1074" s="50" t="s">
        <v>65</v>
      </c>
    </row>
    <row r="1075" spans="1:11">
      <c r="A1075" s="50">
        <v>43939</v>
      </c>
      <c r="C1075" s="50" t="s">
        <v>66</v>
      </c>
      <c r="E1075" s="50">
        <v>192</v>
      </c>
      <c r="F1075" s="50">
        <v>17</v>
      </c>
      <c r="G1075" s="50">
        <v>5</v>
      </c>
      <c r="J1075" s="50">
        <v>3</v>
      </c>
      <c r="K1075" s="50" t="s">
        <v>427</v>
      </c>
    </row>
    <row r="1076" spans="1:11">
      <c r="A1076" s="50">
        <v>43939</v>
      </c>
      <c r="C1076" s="50" t="s">
        <v>71</v>
      </c>
      <c r="E1076" s="50">
        <v>637</v>
      </c>
      <c r="F1076" s="50">
        <v>44</v>
      </c>
      <c r="G1076" s="50">
        <v>10</v>
      </c>
      <c r="H1076" s="50">
        <v>8</v>
      </c>
      <c r="J1076" s="50">
        <v>59</v>
      </c>
      <c r="K1076" s="50" t="s">
        <v>377</v>
      </c>
    </row>
    <row r="1077" spans="1:11">
      <c r="A1077" s="50">
        <v>43939</v>
      </c>
      <c r="C1077" s="50" t="s">
        <v>73</v>
      </c>
      <c r="E1077" s="50">
        <v>108</v>
      </c>
      <c r="F1077" s="50">
        <v>4</v>
      </c>
      <c r="G1077" s="50">
        <v>2</v>
      </c>
      <c r="J1077" s="50">
        <v>3</v>
      </c>
      <c r="K1077" s="50" t="s">
        <v>357</v>
      </c>
    </row>
    <row r="1078" spans="1:11">
      <c r="A1078" s="50">
        <v>43939</v>
      </c>
      <c r="C1078" s="50" t="s">
        <v>78</v>
      </c>
      <c r="E1078" s="50">
        <v>699</v>
      </c>
      <c r="F1078" s="50">
        <v>44</v>
      </c>
      <c r="G1078" s="50">
        <v>7</v>
      </c>
      <c r="I1078" s="50">
        <v>150</v>
      </c>
      <c r="J1078" s="50">
        <v>27</v>
      </c>
      <c r="K1078" s="50" t="s">
        <v>80</v>
      </c>
    </row>
    <row r="1079" spans="1:11">
      <c r="A1079" s="50">
        <v>43939</v>
      </c>
      <c r="C1079" s="50" t="s">
        <v>86</v>
      </c>
      <c r="E1079" s="50">
        <v>266</v>
      </c>
      <c r="I1079" s="50">
        <v>176</v>
      </c>
      <c r="J1079" s="50">
        <v>14</v>
      </c>
      <c r="K1079" s="50" t="s">
        <v>398</v>
      </c>
    </row>
    <row r="1080" spans="1:11">
      <c r="A1080" s="50">
        <v>43939</v>
      </c>
      <c r="C1080" s="50" t="s">
        <v>88</v>
      </c>
      <c r="E1080" s="50">
        <v>333</v>
      </c>
      <c r="F1080" s="50">
        <v>23</v>
      </c>
      <c r="G1080" s="50">
        <v>12</v>
      </c>
      <c r="J1080" s="50">
        <v>13</v>
      </c>
      <c r="K1080" s="50" t="s">
        <v>90</v>
      </c>
    </row>
    <row r="1081" spans="1:11">
      <c r="A1081" s="50">
        <v>43939</v>
      </c>
      <c r="C1081" s="50" t="s">
        <v>97</v>
      </c>
      <c r="E1081" s="50">
        <v>5051</v>
      </c>
      <c r="F1081" s="50">
        <v>231</v>
      </c>
      <c r="G1081" s="50">
        <v>52</v>
      </c>
      <c r="J1081" s="50">
        <v>311</v>
      </c>
      <c r="K1081" s="50" t="s">
        <v>99</v>
      </c>
    </row>
    <row r="1082" spans="1:11">
      <c r="A1082" s="50">
        <v>43939</v>
      </c>
      <c r="C1082" s="50" t="s">
        <v>100</v>
      </c>
      <c r="E1082" s="50">
        <v>1768</v>
      </c>
      <c r="F1082" s="50">
        <v>83</v>
      </c>
      <c r="G1082" s="50">
        <v>18</v>
      </c>
      <c r="H1082" s="50">
        <v>10</v>
      </c>
      <c r="I1082" s="50">
        <v>185</v>
      </c>
      <c r="J1082" s="50">
        <v>104</v>
      </c>
      <c r="K1082" s="50" t="s">
        <v>430</v>
      </c>
    </row>
    <row r="1083" spans="1:11">
      <c r="A1083" s="50">
        <v>43939</v>
      </c>
      <c r="B1083" s="50">
        <v>0</v>
      </c>
      <c r="C1083" s="50" t="s">
        <v>83</v>
      </c>
      <c r="E1083" s="50">
        <v>353</v>
      </c>
      <c r="F1083" s="50">
        <v>19</v>
      </c>
      <c r="J1083" s="50">
        <v>10</v>
      </c>
      <c r="K1083" s="50" t="s">
        <v>388</v>
      </c>
    </row>
    <row r="1084" spans="1:11">
      <c r="A1084" s="50">
        <v>43939</v>
      </c>
      <c r="B1084" s="50">
        <v>0.33333333333333331</v>
      </c>
      <c r="C1084" s="50" t="s">
        <v>44</v>
      </c>
      <c r="E1084" s="50">
        <v>1586</v>
      </c>
      <c r="F1084" s="50">
        <v>71</v>
      </c>
      <c r="G1084" s="50">
        <v>22</v>
      </c>
      <c r="H1084" s="50">
        <v>12</v>
      </c>
      <c r="J1084" s="50">
        <v>69</v>
      </c>
      <c r="K1084" s="50" t="s">
        <v>46</v>
      </c>
    </row>
    <row r="1085" spans="1:11">
      <c r="A1085" s="50">
        <v>43939</v>
      </c>
      <c r="B1085" s="50">
        <v>0.33333333333333331</v>
      </c>
      <c r="C1085" s="50" t="s">
        <v>91</v>
      </c>
      <c r="E1085" s="50">
        <v>2994</v>
      </c>
      <c r="F1085" s="50">
        <v>244</v>
      </c>
      <c r="G1085" s="50">
        <v>56</v>
      </c>
      <c r="H1085" s="50">
        <v>42</v>
      </c>
      <c r="I1085" s="50">
        <v>606</v>
      </c>
      <c r="J1085" s="50">
        <v>277</v>
      </c>
      <c r="K1085" s="50" t="s">
        <v>367</v>
      </c>
    </row>
    <row r="1086" spans="1:11">
      <c r="A1086" s="50">
        <v>43939</v>
      </c>
      <c r="B1086" s="50">
        <v>0.33333333333333331</v>
      </c>
      <c r="C1086" s="50" t="s">
        <v>102</v>
      </c>
      <c r="E1086" s="50">
        <v>174</v>
      </c>
      <c r="F1086" s="50">
        <v>6</v>
      </c>
      <c r="G1086" s="50">
        <v>6</v>
      </c>
      <c r="I1086" s="50">
        <v>99</v>
      </c>
      <c r="J1086" s="50">
        <v>7</v>
      </c>
      <c r="K1086" s="50" t="s">
        <v>381</v>
      </c>
    </row>
    <row r="1087" spans="1:11">
      <c r="A1087" s="50">
        <v>43939</v>
      </c>
      <c r="B1087" s="50">
        <v>0.39583333333333331</v>
      </c>
      <c r="C1087" s="50" t="s">
        <v>81</v>
      </c>
      <c r="E1087" s="50">
        <v>61</v>
      </c>
      <c r="F1087" s="50">
        <v>11</v>
      </c>
      <c r="G1087" s="50">
        <v>4</v>
      </c>
      <c r="J1087" s="50">
        <v>1</v>
      </c>
      <c r="K1087" s="50" t="s">
        <v>428</v>
      </c>
    </row>
    <row r="1088" spans="1:11">
      <c r="A1088" s="50">
        <v>43939</v>
      </c>
      <c r="B1088" s="50">
        <v>0.40625</v>
      </c>
      <c r="C1088" s="50" t="s">
        <v>50</v>
      </c>
      <c r="E1088" s="50">
        <v>924</v>
      </c>
      <c r="I1088" s="50">
        <v>753</v>
      </c>
      <c r="J1088" s="50">
        <v>40</v>
      </c>
      <c r="K1088" s="50" t="s">
        <v>365</v>
      </c>
    </row>
    <row r="1089" spans="1:11">
      <c r="A1089" s="50">
        <v>43939</v>
      </c>
      <c r="B1089" s="50">
        <v>0.52083333333333337</v>
      </c>
      <c r="C1089" s="50" t="s">
        <v>68</v>
      </c>
      <c r="E1089" s="50">
        <v>623</v>
      </c>
      <c r="F1089" s="50">
        <v>26</v>
      </c>
      <c r="G1089" s="50">
        <v>4</v>
      </c>
      <c r="J1089" s="50">
        <v>15</v>
      </c>
      <c r="K1089" s="50" t="s">
        <v>70</v>
      </c>
    </row>
    <row r="1090" spans="1:11">
      <c r="A1090" s="50">
        <v>43939</v>
      </c>
      <c r="B1090" s="50">
        <v>0.54166666666666663</v>
      </c>
      <c r="C1090" s="50" t="s">
        <v>61</v>
      </c>
      <c r="E1090" s="50">
        <v>111</v>
      </c>
      <c r="F1090" s="50">
        <v>4</v>
      </c>
      <c r="J1090" s="50">
        <v>3</v>
      </c>
      <c r="K1090" s="50" t="s">
        <v>387</v>
      </c>
    </row>
    <row r="1091" spans="1:11">
      <c r="A1091" s="50">
        <v>43939</v>
      </c>
      <c r="B1091" s="50">
        <v>0.60416666666666663</v>
      </c>
      <c r="C1091" s="50" t="s">
        <v>104</v>
      </c>
      <c r="E1091" s="50">
        <v>3211</v>
      </c>
      <c r="F1091" s="50">
        <v>114</v>
      </c>
      <c r="H1091" s="50">
        <v>44</v>
      </c>
      <c r="J1091" s="50">
        <v>105</v>
      </c>
      <c r="K1091" s="50" t="s">
        <v>106</v>
      </c>
    </row>
    <row r="1092" spans="1:11">
      <c r="A1092" s="50">
        <v>43939</v>
      </c>
      <c r="B1092" s="50">
        <v>0.61458333333333337</v>
      </c>
      <c r="C1092" s="50" t="s">
        <v>34</v>
      </c>
      <c r="E1092" s="50">
        <v>987</v>
      </c>
      <c r="J1092" s="50">
        <v>25</v>
      </c>
      <c r="K1092" s="50" t="s">
        <v>352</v>
      </c>
    </row>
    <row r="1093" spans="1:11">
      <c r="A1093" s="50">
        <v>43939</v>
      </c>
      <c r="B1093" s="50">
        <v>0.625</v>
      </c>
      <c r="C1093" s="50" t="s">
        <v>94</v>
      </c>
      <c r="E1093" s="50">
        <v>78</v>
      </c>
      <c r="F1093" s="50">
        <v>2</v>
      </c>
      <c r="I1093" s="50">
        <v>69</v>
      </c>
      <c r="J1093" s="50">
        <v>5</v>
      </c>
      <c r="K1093" s="50" t="s">
        <v>96</v>
      </c>
    </row>
    <row r="1094" spans="1:11">
      <c r="A1094" s="50">
        <v>43940</v>
      </c>
      <c r="C1094" s="50" t="s">
        <v>47</v>
      </c>
      <c r="E1094" s="50">
        <v>803</v>
      </c>
      <c r="F1094" s="50">
        <v>40</v>
      </c>
      <c r="G1094" s="50">
        <v>7</v>
      </c>
      <c r="H1094" s="50">
        <v>5</v>
      </c>
      <c r="I1094" s="50">
        <v>653</v>
      </c>
      <c r="J1094" s="50">
        <v>25</v>
      </c>
      <c r="K1094" s="50" t="s">
        <v>49</v>
      </c>
    </row>
    <row r="1095" spans="1:11">
      <c r="A1095" s="50">
        <v>43940</v>
      </c>
      <c r="C1095" s="50" t="s">
        <v>53</v>
      </c>
      <c r="E1095" s="50">
        <v>81</v>
      </c>
      <c r="J1095" s="50">
        <v>1</v>
      </c>
      <c r="K1095" s="50" t="s">
        <v>369</v>
      </c>
    </row>
    <row r="1096" spans="1:11">
      <c r="A1096" s="50">
        <v>43940</v>
      </c>
      <c r="C1096" s="50" t="s">
        <v>56</v>
      </c>
      <c r="E1096" s="50">
        <v>980</v>
      </c>
      <c r="F1096" s="50">
        <v>61</v>
      </c>
      <c r="G1096" s="50">
        <v>12</v>
      </c>
      <c r="I1096" s="50">
        <v>113</v>
      </c>
      <c r="J1096" s="50">
        <v>71</v>
      </c>
      <c r="K1096" s="50" t="s">
        <v>420</v>
      </c>
    </row>
    <row r="1097" spans="1:11">
      <c r="A1097" s="50">
        <v>43940</v>
      </c>
      <c r="C1097" s="50" t="s">
        <v>58</v>
      </c>
      <c r="D1097" s="50">
        <v>21752</v>
      </c>
      <c r="E1097" s="50">
        <v>4617</v>
      </c>
      <c r="F1097" s="50">
        <v>315</v>
      </c>
      <c r="G1097" s="50">
        <v>35</v>
      </c>
      <c r="H1097" s="50">
        <v>33</v>
      </c>
      <c r="I1097" s="50">
        <v>558</v>
      </c>
      <c r="J1097" s="50">
        <v>215</v>
      </c>
      <c r="K1097" s="50" t="s">
        <v>60</v>
      </c>
    </row>
    <row r="1098" spans="1:11">
      <c r="A1098" s="50">
        <v>43940</v>
      </c>
      <c r="C1098" s="50" t="s">
        <v>63</v>
      </c>
      <c r="E1098" s="50">
        <v>778</v>
      </c>
      <c r="F1098" s="50">
        <v>28</v>
      </c>
      <c r="J1098" s="50">
        <v>41</v>
      </c>
      <c r="K1098" s="50" t="s">
        <v>65</v>
      </c>
    </row>
    <row r="1099" spans="1:11">
      <c r="A1099" s="50">
        <v>43940</v>
      </c>
      <c r="C1099" s="50" t="s">
        <v>66</v>
      </c>
      <c r="E1099" s="50">
        <v>192</v>
      </c>
      <c r="F1099" s="50">
        <v>16</v>
      </c>
      <c r="G1099" s="50">
        <v>5</v>
      </c>
      <c r="J1099" s="50">
        <v>5</v>
      </c>
      <c r="K1099" s="50" t="s">
        <v>427</v>
      </c>
    </row>
    <row r="1100" spans="1:11">
      <c r="A1100" s="50">
        <v>43940</v>
      </c>
      <c r="C1100" s="50" t="s">
        <v>71</v>
      </c>
      <c r="E1100" s="50">
        <v>638</v>
      </c>
      <c r="F1100" s="50">
        <v>43</v>
      </c>
      <c r="G1100" s="50">
        <v>9</v>
      </c>
      <c r="H1100" s="50">
        <v>4</v>
      </c>
      <c r="J1100" s="50">
        <v>61</v>
      </c>
      <c r="K1100" s="50" t="s">
        <v>377</v>
      </c>
    </row>
    <row r="1101" spans="1:11">
      <c r="A1101" s="50">
        <v>43940</v>
      </c>
      <c r="C1101" s="50" t="s">
        <v>73</v>
      </c>
      <c r="E1101" s="50">
        <v>108</v>
      </c>
      <c r="F1101" s="50">
        <v>4</v>
      </c>
      <c r="G1101" s="50">
        <v>2</v>
      </c>
      <c r="J1101" s="50">
        <v>3</v>
      </c>
      <c r="K1101" s="50" t="s">
        <v>357</v>
      </c>
    </row>
    <row r="1102" spans="1:11">
      <c r="A1102" s="50">
        <v>43940</v>
      </c>
      <c r="C1102" s="50" t="s">
        <v>78</v>
      </c>
      <c r="E1102" s="50">
        <v>705</v>
      </c>
      <c r="F1102" s="50">
        <v>45</v>
      </c>
      <c r="G1102" s="50">
        <v>7</v>
      </c>
      <c r="I1102" s="50">
        <v>150</v>
      </c>
      <c r="J1102" s="50">
        <v>27</v>
      </c>
      <c r="K1102" s="50" t="s">
        <v>80</v>
      </c>
    </row>
    <row r="1103" spans="1:11">
      <c r="A1103" s="50">
        <v>43940</v>
      </c>
      <c r="C1103" s="50" t="s">
        <v>86</v>
      </c>
      <c r="E1103" s="50">
        <v>268</v>
      </c>
      <c r="I1103" s="50">
        <v>180</v>
      </c>
      <c r="J1103" s="50">
        <v>15</v>
      </c>
      <c r="K1103" s="50" t="s">
        <v>398</v>
      </c>
    </row>
    <row r="1104" spans="1:11">
      <c r="A1104" s="50">
        <v>43940</v>
      </c>
      <c r="C1104" s="50" t="s">
        <v>88</v>
      </c>
      <c r="E1104" s="50">
        <v>334</v>
      </c>
      <c r="F1104" s="50">
        <v>23</v>
      </c>
      <c r="G1104" s="50">
        <v>12</v>
      </c>
      <c r="J1104" s="50">
        <v>13</v>
      </c>
      <c r="K1104" s="50" t="s">
        <v>90</v>
      </c>
    </row>
    <row r="1105" spans="1:11">
      <c r="A1105" s="50">
        <v>43940</v>
      </c>
      <c r="C1105" s="50" t="s">
        <v>97</v>
      </c>
      <c r="E1105" s="50">
        <v>5062</v>
      </c>
      <c r="F1105" s="50">
        <v>234</v>
      </c>
      <c r="G1105" s="50">
        <v>52</v>
      </c>
      <c r="J1105" s="50">
        <v>316</v>
      </c>
      <c r="K1105" s="50" t="s">
        <v>99</v>
      </c>
    </row>
    <row r="1106" spans="1:11">
      <c r="A1106" s="50">
        <v>43940</v>
      </c>
      <c r="C1106" s="50" t="s">
        <v>100</v>
      </c>
      <c r="E1106" s="50">
        <v>1775</v>
      </c>
      <c r="F1106" s="50">
        <v>81</v>
      </c>
      <c r="G1106" s="50">
        <v>16</v>
      </c>
      <c r="H1106" s="50">
        <v>9</v>
      </c>
      <c r="I1106" s="50">
        <v>204</v>
      </c>
      <c r="J1106" s="50">
        <v>107</v>
      </c>
      <c r="K1106" s="50" t="s">
        <v>430</v>
      </c>
    </row>
    <row r="1107" spans="1:11">
      <c r="A1107" s="50">
        <v>43940</v>
      </c>
      <c r="B1107" s="50">
        <v>0</v>
      </c>
      <c r="C1107" s="50" t="s">
        <v>83</v>
      </c>
      <c r="E1107" s="50">
        <v>355</v>
      </c>
      <c r="F1107" s="50">
        <v>19</v>
      </c>
      <c r="J1107" s="50">
        <v>11</v>
      </c>
      <c r="K1107" s="50" t="s">
        <v>388</v>
      </c>
    </row>
    <row r="1108" spans="1:11">
      <c r="A1108" s="50">
        <v>43940</v>
      </c>
      <c r="B1108" s="50">
        <v>0.33333333333333331</v>
      </c>
      <c r="C1108" s="50" t="s">
        <v>44</v>
      </c>
      <c r="E1108" s="50">
        <v>1599</v>
      </c>
      <c r="F1108" s="50">
        <v>78</v>
      </c>
      <c r="G1108" s="50">
        <v>20</v>
      </c>
      <c r="H1108" s="50">
        <v>13</v>
      </c>
      <c r="J1108" s="50">
        <v>69</v>
      </c>
      <c r="K1108" s="50" t="s">
        <v>46</v>
      </c>
    </row>
    <row r="1109" spans="1:11">
      <c r="A1109" s="50">
        <v>43940</v>
      </c>
      <c r="B1109" s="50">
        <v>0.33333333333333331</v>
      </c>
      <c r="C1109" s="50" t="s">
        <v>91</v>
      </c>
      <c r="E1109" s="50">
        <v>3032</v>
      </c>
      <c r="F1109" s="50">
        <v>237</v>
      </c>
      <c r="G1109" s="50">
        <v>54</v>
      </c>
      <c r="H1109" s="50">
        <v>42</v>
      </c>
      <c r="I1109" s="50">
        <v>616</v>
      </c>
      <c r="J1109" s="50">
        <v>281</v>
      </c>
      <c r="K1109" s="50" t="s">
        <v>370</v>
      </c>
    </row>
    <row r="1110" spans="1:11">
      <c r="A1110" s="50">
        <v>43940</v>
      </c>
      <c r="B1110" s="50">
        <v>0.33333333333333331</v>
      </c>
      <c r="C1110" s="50" t="s">
        <v>102</v>
      </c>
      <c r="E1110" s="50">
        <v>175</v>
      </c>
      <c r="F1110" s="50">
        <v>11</v>
      </c>
      <c r="G1110" s="50">
        <v>6</v>
      </c>
      <c r="I1110" s="50">
        <v>99</v>
      </c>
      <c r="J1110" s="50">
        <v>7</v>
      </c>
      <c r="K1110" s="50" t="s">
        <v>381</v>
      </c>
    </row>
    <row r="1111" spans="1:11">
      <c r="A1111" s="50">
        <v>43940</v>
      </c>
      <c r="B1111" s="50">
        <v>0.39583333333333331</v>
      </c>
      <c r="C1111" s="50" t="s">
        <v>81</v>
      </c>
      <c r="E1111" s="50">
        <v>62</v>
      </c>
      <c r="F1111" s="50">
        <v>6</v>
      </c>
      <c r="G1111" s="50">
        <v>2</v>
      </c>
      <c r="J1111" s="50">
        <v>1</v>
      </c>
      <c r="K1111" s="50" t="s">
        <v>428</v>
      </c>
    </row>
    <row r="1112" spans="1:11">
      <c r="A1112" s="50">
        <v>43940</v>
      </c>
      <c r="B1112" s="50">
        <v>0.41666666666666669</v>
      </c>
      <c r="C1112" s="50" t="s">
        <v>50</v>
      </c>
      <c r="E1112" s="50">
        <v>927</v>
      </c>
      <c r="I1112" s="50">
        <v>764</v>
      </c>
      <c r="J1112" s="50">
        <v>40</v>
      </c>
      <c r="K1112" s="50" t="s">
        <v>368</v>
      </c>
    </row>
    <row r="1113" spans="1:11">
      <c r="A1113" s="50">
        <v>43940</v>
      </c>
      <c r="B1113" s="50">
        <v>0.45833333333333331</v>
      </c>
      <c r="C1113" s="50" t="s">
        <v>38</v>
      </c>
      <c r="E1113" s="50">
        <v>24</v>
      </c>
      <c r="K1113" s="50" t="s">
        <v>40</v>
      </c>
    </row>
    <row r="1114" spans="1:11">
      <c r="A1114" s="50">
        <v>43940</v>
      </c>
      <c r="B1114" s="50">
        <v>0.45833333333333331</v>
      </c>
      <c r="C1114" s="50" t="s">
        <v>68</v>
      </c>
      <c r="E1114" s="50">
        <v>626</v>
      </c>
      <c r="F1114" s="50">
        <v>26</v>
      </c>
      <c r="G1114" s="50">
        <v>4</v>
      </c>
      <c r="J1114" s="50">
        <v>15</v>
      </c>
      <c r="K1114" s="50" t="s">
        <v>70</v>
      </c>
    </row>
    <row r="1115" spans="1:11">
      <c r="A1115" s="50">
        <v>43940</v>
      </c>
      <c r="B1115" s="50">
        <v>0.54166666666666663</v>
      </c>
      <c r="C1115" s="50" t="s">
        <v>61</v>
      </c>
      <c r="E1115" s="50">
        <v>111</v>
      </c>
      <c r="F1115" s="50">
        <v>4</v>
      </c>
      <c r="J1115" s="50">
        <v>3</v>
      </c>
      <c r="K1115" s="50" t="s">
        <v>387</v>
      </c>
    </row>
    <row r="1116" spans="1:11">
      <c r="A1116" s="50">
        <v>43940</v>
      </c>
      <c r="B1116" s="50">
        <v>0.54166666666666663</v>
      </c>
      <c r="C1116" s="50" t="s">
        <v>94</v>
      </c>
      <c r="E1116" s="50">
        <v>78</v>
      </c>
      <c r="F1116" s="50">
        <v>2</v>
      </c>
      <c r="I1116" s="50">
        <v>69</v>
      </c>
      <c r="J1116" s="50">
        <v>5</v>
      </c>
      <c r="K1116" s="50" t="s">
        <v>96</v>
      </c>
    </row>
    <row r="1117" spans="1:11">
      <c r="A1117" s="50">
        <v>43940</v>
      </c>
      <c r="B1117" s="50">
        <v>0.60416666666666663</v>
      </c>
      <c r="C1117" s="50" t="s">
        <v>104</v>
      </c>
      <c r="E1117" s="50">
        <v>3238</v>
      </c>
      <c r="F1117" s="50">
        <v>116</v>
      </c>
      <c r="H1117" s="50">
        <v>43</v>
      </c>
      <c r="J1117" s="50">
        <v>105</v>
      </c>
      <c r="K1117" s="50" t="s">
        <v>106</v>
      </c>
    </row>
    <row r="1118" spans="1:11">
      <c r="A1118" s="50">
        <v>43940</v>
      </c>
      <c r="B1118" s="50">
        <v>0.61458333333333337</v>
      </c>
      <c r="C1118" s="50" t="s">
        <v>34</v>
      </c>
      <c r="E1118" s="50">
        <v>1003</v>
      </c>
      <c r="J1118" s="50">
        <v>25</v>
      </c>
      <c r="K1118" s="50" t="s">
        <v>352</v>
      </c>
    </row>
    <row r="1119" spans="1:11">
      <c r="A1119" s="50">
        <v>43941</v>
      </c>
      <c r="C1119" s="50" t="s">
        <v>47</v>
      </c>
      <c r="E1119" s="50">
        <v>806</v>
      </c>
      <c r="F1119" s="50">
        <v>40</v>
      </c>
      <c r="G1119" s="50">
        <v>6</v>
      </c>
      <c r="H1119" s="50">
        <v>3</v>
      </c>
      <c r="I1119" s="50">
        <v>664</v>
      </c>
      <c r="J1119" s="50">
        <v>25</v>
      </c>
      <c r="K1119" s="50" t="s">
        <v>49</v>
      </c>
    </row>
    <row r="1120" spans="1:11">
      <c r="A1120" s="50">
        <v>43941</v>
      </c>
      <c r="C1120" s="50" t="s">
        <v>53</v>
      </c>
      <c r="E1120" s="50">
        <v>81</v>
      </c>
      <c r="J1120" s="50">
        <v>1</v>
      </c>
      <c r="K1120" s="50" t="s">
        <v>354</v>
      </c>
    </row>
    <row r="1121" spans="1:11">
      <c r="A1121" s="50">
        <v>43941</v>
      </c>
      <c r="C1121" s="50" t="s">
        <v>56</v>
      </c>
      <c r="E1121" s="50">
        <v>989</v>
      </c>
      <c r="F1121" s="50">
        <v>62</v>
      </c>
      <c r="G1121" s="50">
        <v>11</v>
      </c>
      <c r="I1121" s="50">
        <v>113</v>
      </c>
      <c r="J1121" s="50">
        <v>72</v>
      </c>
      <c r="K1121" s="50" t="s">
        <v>420</v>
      </c>
    </row>
    <row r="1122" spans="1:11">
      <c r="A1122" s="50">
        <v>43941</v>
      </c>
      <c r="C1122" s="50" t="s">
        <v>58</v>
      </c>
      <c r="D1122" s="50">
        <v>22130</v>
      </c>
      <c r="E1122" s="50">
        <v>4644</v>
      </c>
      <c r="F1122" s="50">
        <v>321</v>
      </c>
      <c r="G1122" s="50">
        <v>34</v>
      </c>
      <c r="H1122" s="50">
        <v>29</v>
      </c>
      <c r="I1122" s="50">
        <v>561</v>
      </c>
      <c r="J1122" s="50">
        <v>217</v>
      </c>
      <c r="K1122" s="50" t="s">
        <v>60</v>
      </c>
    </row>
    <row r="1123" spans="1:11">
      <c r="A1123" s="50">
        <v>43941</v>
      </c>
      <c r="C1123" s="50" t="s">
        <v>63</v>
      </c>
      <c r="E1123" s="50">
        <v>785</v>
      </c>
      <c r="F1123" s="50">
        <v>29</v>
      </c>
      <c r="J1123" s="50">
        <v>42</v>
      </c>
      <c r="K1123" s="50" t="s">
        <v>65</v>
      </c>
    </row>
    <row r="1124" spans="1:11">
      <c r="A1124" s="50">
        <v>43941</v>
      </c>
      <c r="C1124" s="50" t="s">
        <v>66</v>
      </c>
      <c r="E1124" s="50">
        <v>195</v>
      </c>
      <c r="F1124" s="50">
        <v>14</v>
      </c>
      <c r="G1124" s="50">
        <v>4</v>
      </c>
      <c r="J1124" s="50">
        <v>6</v>
      </c>
      <c r="K1124" s="50" t="s">
        <v>427</v>
      </c>
    </row>
    <row r="1125" spans="1:11">
      <c r="A1125" s="50">
        <v>43941</v>
      </c>
      <c r="C1125" s="50" t="s">
        <v>71</v>
      </c>
      <c r="E1125" s="50">
        <v>648</v>
      </c>
      <c r="F1125" s="50">
        <v>44</v>
      </c>
      <c r="G1125" s="50">
        <v>10</v>
      </c>
      <c r="H1125" s="50">
        <v>5</v>
      </c>
      <c r="J1125" s="50">
        <v>63</v>
      </c>
      <c r="K1125" s="50" t="s">
        <v>377</v>
      </c>
    </row>
    <row r="1126" spans="1:11">
      <c r="A1126" s="50">
        <v>43941</v>
      </c>
      <c r="C1126" s="50" t="s">
        <v>73</v>
      </c>
      <c r="E1126" s="50">
        <v>108</v>
      </c>
      <c r="F1126" s="50">
        <v>4</v>
      </c>
      <c r="G1126" s="50">
        <v>2</v>
      </c>
      <c r="J1126" s="50">
        <v>3</v>
      </c>
      <c r="K1126" s="50" t="s">
        <v>357</v>
      </c>
    </row>
    <row r="1127" spans="1:11">
      <c r="A1127" s="50">
        <v>43941</v>
      </c>
      <c r="C1127" s="50" t="s">
        <v>78</v>
      </c>
      <c r="E1127" s="50">
        <v>711</v>
      </c>
      <c r="F1127" s="50">
        <v>42</v>
      </c>
      <c r="G1127" s="50">
        <v>7</v>
      </c>
      <c r="I1127" s="50">
        <v>159</v>
      </c>
      <c r="J1127" s="50">
        <v>27</v>
      </c>
      <c r="K1127" s="50" t="s">
        <v>80</v>
      </c>
    </row>
    <row r="1128" spans="1:11">
      <c r="A1128" s="50">
        <v>43941</v>
      </c>
      <c r="C1128" s="50" t="s">
        <v>86</v>
      </c>
      <c r="E1128" s="50">
        <v>272</v>
      </c>
      <c r="I1128" s="50">
        <v>180</v>
      </c>
      <c r="J1128" s="50">
        <v>15</v>
      </c>
      <c r="K1128" s="50" t="s">
        <v>398</v>
      </c>
    </row>
    <row r="1129" spans="1:11">
      <c r="A1129" s="50">
        <v>43941</v>
      </c>
      <c r="C1129" s="50" t="s">
        <v>88</v>
      </c>
      <c r="E1129" s="50">
        <v>336</v>
      </c>
      <c r="F1129" s="50">
        <v>24</v>
      </c>
      <c r="G1129" s="50">
        <v>12</v>
      </c>
      <c r="J1129" s="50">
        <v>13</v>
      </c>
      <c r="K1129" s="50" t="s">
        <v>90</v>
      </c>
    </row>
    <row r="1130" spans="1:11">
      <c r="A1130" s="50">
        <v>43941</v>
      </c>
      <c r="C1130" s="50" t="s">
        <v>97</v>
      </c>
      <c r="E1130" s="50">
        <v>5094</v>
      </c>
      <c r="F1130" s="50">
        <v>218</v>
      </c>
      <c r="G1130" s="50">
        <v>48</v>
      </c>
      <c r="J1130" s="50">
        <v>327</v>
      </c>
      <c r="K1130" s="50" t="s">
        <v>99</v>
      </c>
    </row>
    <row r="1131" spans="1:11">
      <c r="A1131" s="50">
        <v>43941</v>
      </c>
      <c r="C1131" s="50" t="s">
        <v>100</v>
      </c>
      <c r="E1131" s="50">
        <v>1792</v>
      </c>
      <c r="F1131" s="50">
        <v>76</v>
      </c>
      <c r="G1131" s="50">
        <v>15</v>
      </c>
      <c r="H1131" s="50">
        <v>9</v>
      </c>
      <c r="I1131" s="50">
        <v>206</v>
      </c>
      <c r="J1131" s="50">
        <v>110</v>
      </c>
      <c r="K1131" s="50" t="s">
        <v>430</v>
      </c>
    </row>
    <row r="1132" spans="1:11">
      <c r="A1132" s="50">
        <v>43941</v>
      </c>
      <c r="B1132" s="50">
        <v>0</v>
      </c>
      <c r="C1132" s="50" t="s">
        <v>83</v>
      </c>
      <c r="E1132" s="50">
        <v>355</v>
      </c>
      <c r="F1132" s="50">
        <v>19</v>
      </c>
      <c r="J1132" s="50">
        <v>11</v>
      </c>
      <c r="K1132" s="50" t="s">
        <v>388</v>
      </c>
    </row>
    <row r="1133" spans="1:11">
      <c r="A1133" s="50">
        <v>43941</v>
      </c>
      <c r="B1133" s="50">
        <v>0.33333333333333331</v>
      </c>
      <c r="C1133" s="50" t="s">
        <v>44</v>
      </c>
      <c r="E1133" s="50">
        <v>1613</v>
      </c>
      <c r="F1133" s="50">
        <v>71</v>
      </c>
      <c r="G1133" s="50">
        <v>19</v>
      </c>
      <c r="H1133" s="50">
        <v>11</v>
      </c>
      <c r="J1133" s="50">
        <v>73</v>
      </c>
      <c r="K1133" s="50" t="s">
        <v>46</v>
      </c>
    </row>
    <row r="1134" spans="1:11">
      <c r="A1134" s="50">
        <v>43941</v>
      </c>
      <c r="B1134" s="50">
        <v>0.33333333333333331</v>
      </c>
      <c r="C1134" s="50" t="s">
        <v>91</v>
      </c>
      <c r="E1134" s="50">
        <v>3058</v>
      </c>
      <c r="F1134" s="50">
        <v>237</v>
      </c>
      <c r="G1134" s="50">
        <v>55</v>
      </c>
      <c r="H1134" s="50">
        <v>42</v>
      </c>
      <c r="I1134" s="50">
        <v>621</v>
      </c>
      <c r="J1134" s="50">
        <v>288</v>
      </c>
      <c r="K1134" s="50" t="s">
        <v>355</v>
      </c>
    </row>
    <row r="1135" spans="1:11">
      <c r="A1135" s="50">
        <v>43941</v>
      </c>
      <c r="B1135" s="50">
        <v>0.33333333333333331</v>
      </c>
      <c r="C1135" s="50" t="s">
        <v>102</v>
      </c>
      <c r="E1135" s="50">
        <v>175</v>
      </c>
      <c r="F1135" s="50">
        <v>11</v>
      </c>
      <c r="G1135" s="50">
        <v>5</v>
      </c>
      <c r="I1135" s="50">
        <v>99</v>
      </c>
      <c r="J1135" s="50">
        <v>7</v>
      </c>
      <c r="K1135" s="50" t="s">
        <v>381</v>
      </c>
    </row>
    <row r="1136" spans="1:11">
      <c r="A1136" s="50">
        <v>43941</v>
      </c>
      <c r="B1136" s="50">
        <v>0.39583333333333331</v>
      </c>
      <c r="C1136" s="50" t="s">
        <v>50</v>
      </c>
      <c r="E1136" s="50">
        <v>928</v>
      </c>
      <c r="I1136" s="50">
        <v>770</v>
      </c>
      <c r="J1136" s="50">
        <v>42</v>
      </c>
      <c r="K1136" s="50" t="s">
        <v>353</v>
      </c>
    </row>
    <row r="1137" spans="1:11">
      <c r="A1137" s="50">
        <v>43941</v>
      </c>
      <c r="B1137" s="50">
        <v>0.39583333333333331</v>
      </c>
      <c r="C1137" s="50" t="s">
        <v>81</v>
      </c>
      <c r="E1137" s="50">
        <v>63</v>
      </c>
      <c r="F1137" s="50">
        <v>6</v>
      </c>
      <c r="G1137" s="50">
        <v>2</v>
      </c>
      <c r="J1137" s="50">
        <v>1</v>
      </c>
      <c r="K1137" s="50" t="s">
        <v>428</v>
      </c>
    </row>
    <row r="1138" spans="1:11">
      <c r="A1138" s="50">
        <v>43941</v>
      </c>
      <c r="B1138" s="50">
        <v>0.45833333333333331</v>
      </c>
      <c r="C1138" s="50" t="s">
        <v>38</v>
      </c>
      <c r="E1138" s="50">
        <v>24</v>
      </c>
      <c r="K1138" s="50" t="s">
        <v>40</v>
      </c>
    </row>
    <row r="1139" spans="1:11">
      <c r="A1139" s="50">
        <v>43941</v>
      </c>
      <c r="B1139" s="50">
        <v>0.45833333333333331</v>
      </c>
      <c r="C1139" s="50" t="s">
        <v>68</v>
      </c>
      <c r="E1139" s="50">
        <v>633</v>
      </c>
      <c r="F1139" s="50">
        <v>33</v>
      </c>
      <c r="G1139" s="50">
        <v>5</v>
      </c>
      <c r="J1139" s="50">
        <v>15</v>
      </c>
      <c r="K1139" s="50" t="s">
        <v>70</v>
      </c>
    </row>
    <row r="1140" spans="1:11">
      <c r="A1140" s="50">
        <v>43941</v>
      </c>
      <c r="B1140" s="50">
        <v>0.54166666666666663</v>
      </c>
      <c r="C1140" s="50" t="s">
        <v>41</v>
      </c>
      <c r="E1140" s="50">
        <v>86</v>
      </c>
      <c r="J1140" s="50">
        <v>3</v>
      </c>
      <c r="K1140" s="50" t="s">
        <v>43</v>
      </c>
    </row>
    <row r="1141" spans="1:11">
      <c r="A1141" s="50">
        <v>43941</v>
      </c>
      <c r="B1141" s="50">
        <v>0.54166666666666663</v>
      </c>
      <c r="C1141" s="50" t="s">
        <v>61</v>
      </c>
      <c r="E1141" s="50">
        <v>114</v>
      </c>
      <c r="F1141" s="50">
        <v>5</v>
      </c>
      <c r="J1141" s="50">
        <v>5</v>
      </c>
      <c r="K1141" s="50" t="s">
        <v>387</v>
      </c>
    </row>
    <row r="1142" spans="1:11">
      <c r="A1142" s="50">
        <v>43941</v>
      </c>
      <c r="B1142" s="50">
        <v>0.58333333333333337</v>
      </c>
      <c r="C1142" s="50" t="s">
        <v>94</v>
      </c>
      <c r="E1142" s="50">
        <v>78</v>
      </c>
      <c r="F1142" s="50">
        <v>2</v>
      </c>
      <c r="I1142" s="50">
        <v>69</v>
      </c>
      <c r="J1142" s="50">
        <v>5</v>
      </c>
      <c r="K1142" s="50" t="s">
        <v>96</v>
      </c>
    </row>
    <row r="1143" spans="1:11">
      <c r="A1143" s="50">
        <v>43941</v>
      </c>
      <c r="B1143" s="50">
        <v>0.60416666666666663</v>
      </c>
      <c r="C1143" s="50" t="s">
        <v>104</v>
      </c>
      <c r="E1143" s="50">
        <v>3254</v>
      </c>
      <c r="F1143" s="50">
        <v>121</v>
      </c>
      <c r="H1143" s="50">
        <v>43</v>
      </c>
      <c r="J1143" s="50">
        <v>107</v>
      </c>
      <c r="K1143" s="50" t="s">
        <v>106</v>
      </c>
    </row>
    <row r="1144" spans="1:11">
      <c r="A1144" s="50">
        <v>43941</v>
      </c>
      <c r="B1144" s="50">
        <v>0.61458333333333337</v>
      </c>
      <c r="C1144" s="50" t="s">
        <v>34</v>
      </c>
      <c r="E1144" s="50">
        <v>1012</v>
      </c>
      <c r="F1144" s="50">
        <v>45</v>
      </c>
      <c r="G1144" s="50">
        <v>16</v>
      </c>
      <c r="H1144" s="50">
        <v>16</v>
      </c>
      <c r="I1144" s="50">
        <v>640</v>
      </c>
      <c r="J1144" s="50">
        <v>28</v>
      </c>
      <c r="K1144" s="50" t="s">
        <v>352</v>
      </c>
    </row>
    <row r="1145" spans="1:11">
      <c r="A1145" s="50">
        <v>43941</v>
      </c>
      <c r="B1145" s="50">
        <v>0.625</v>
      </c>
      <c r="C1145" s="50" t="s">
        <v>75</v>
      </c>
      <c r="E1145" s="50">
        <v>67</v>
      </c>
      <c r="F1145" s="50">
        <v>0</v>
      </c>
      <c r="J1145" s="50">
        <v>0</v>
      </c>
      <c r="K1145" s="50" t="s">
        <v>77</v>
      </c>
    </row>
    <row r="1146" spans="1:11">
      <c r="A1146" s="50">
        <v>43942</v>
      </c>
      <c r="C1146" s="50" t="s">
        <v>47</v>
      </c>
      <c r="E1146" s="50">
        <v>809</v>
      </c>
      <c r="F1146" s="50">
        <v>33</v>
      </c>
      <c r="G1146" s="50">
        <v>3</v>
      </c>
      <c r="H1146" s="50">
        <v>3</v>
      </c>
      <c r="I1146" s="50">
        <v>679</v>
      </c>
      <c r="J1146" s="50">
        <v>26</v>
      </c>
      <c r="K1146" s="50" t="s">
        <v>49</v>
      </c>
    </row>
    <row r="1147" spans="1:11">
      <c r="A1147" s="50">
        <v>43942</v>
      </c>
      <c r="C1147" s="50" t="s">
        <v>53</v>
      </c>
      <c r="E1147" s="50">
        <v>81</v>
      </c>
      <c r="J1147" s="50">
        <v>1</v>
      </c>
      <c r="K1147" s="50" t="s">
        <v>372</v>
      </c>
    </row>
    <row r="1148" spans="1:11">
      <c r="A1148" s="50">
        <v>43942</v>
      </c>
      <c r="C1148" s="50" t="s">
        <v>56</v>
      </c>
      <c r="E1148" s="50">
        <v>995</v>
      </c>
      <c r="F1148" s="50">
        <v>60</v>
      </c>
      <c r="G1148" s="50">
        <v>8</v>
      </c>
      <c r="I1148" s="50">
        <v>115</v>
      </c>
      <c r="J1148" s="50">
        <v>74</v>
      </c>
      <c r="K1148" s="50" t="s">
        <v>420</v>
      </c>
    </row>
    <row r="1149" spans="1:11">
      <c r="A1149" s="50">
        <v>43942</v>
      </c>
      <c r="C1149" s="50" t="s">
        <v>58</v>
      </c>
      <c r="D1149" s="50">
        <v>22509</v>
      </c>
      <c r="E1149" s="50">
        <v>4670</v>
      </c>
      <c r="F1149" s="50">
        <v>304</v>
      </c>
      <c r="G1149" s="50">
        <v>32</v>
      </c>
      <c r="H1149" s="50">
        <v>29</v>
      </c>
      <c r="I1149" s="50">
        <v>581</v>
      </c>
      <c r="J1149" s="50">
        <v>222</v>
      </c>
      <c r="K1149" s="50" t="s">
        <v>60</v>
      </c>
    </row>
    <row r="1150" spans="1:11">
      <c r="A1150" s="50">
        <v>43942</v>
      </c>
      <c r="C1150" s="50" t="s">
        <v>63</v>
      </c>
      <c r="E1150" s="50">
        <v>787</v>
      </c>
      <c r="F1150" s="50">
        <v>27</v>
      </c>
      <c r="J1150" s="50">
        <v>43</v>
      </c>
      <c r="K1150" s="50" t="s">
        <v>65</v>
      </c>
    </row>
    <row r="1151" spans="1:11">
      <c r="A1151" s="50">
        <v>43942</v>
      </c>
      <c r="C1151" s="50" t="s">
        <v>66</v>
      </c>
      <c r="E1151" s="50">
        <v>195</v>
      </c>
      <c r="F1151" s="50">
        <v>12</v>
      </c>
      <c r="G1151" s="50">
        <v>4</v>
      </c>
      <c r="J1151" s="50">
        <v>6</v>
      </c>
      <c r="K1151" s="50" t="s">
        <v>427</v>
      </c>
    </row>
    <row r="1152" spans="1:11">
      <c r="A1152" s="50">
        <v>43942</v>
      </c>
      <c r="C1152" s="50" t="s">
        <v>71</v>
      </c>
      <c r="E1152" s="50">
        <v>653</v>
      </c>
      <c r="F1152" s="50">
        <v>37</v>
      </c>
      <c r="G1152" s="50">
        <v>7</v>
      </c>
      <c r="H1152" s="50">
        <v>4</v>
      </c>
      <c r="J1152" s="50">
        <v>64</v>
      </c>
      <c r="K1152" s="50" t="s">
        <v>377</v>
      </c>
    </row>
    <row r="1153" spans="1:11">
      <c r="A1153" s="50">
        <v>43942</v>
      </c>
      <c r="C1153" s="50" t="s">
        <v>73</v>
      </c>
      <c r="E1153" s="50">
        <v>108</v>
      </c>
      <c r="F1153" s="50">
        <v>4</v>
      </c>
      <c r="G1153" s="50">
        <v>1</v>
      </c>
      <c r="J1153" s="50">
        <v>3</v>
      </c>
      <c r="K1153" s="50" t="s">
        <v>357</v>
      </c>
    </row>
    <row r="1154" spans="1:11">
      <c r="A1154" s="50">
        <v>43942</v>
      </c>
      <c r="C1154" s="50" t="s">
        <v>78</v>
      </c>
      <c r="E1154" s="50">
        <v>718</v>
      </c>
      <c r="F1154" s="50">
        <v>48</v>
      </c>
      <c r="G1154" s="50">
        <v>8</v>
      </c>
      <c r="I1154" s="50">
        <v>159</v>
      </c>
      <c r="J1154" s="50">
        <v>29</v>
      </c>
      <c r="K1154" s="50" t="s">
        <v>80</v>
      </c>
    </row>
    <row r="1155" spans="1:11">
      <c r="A1155" s="50">
        <v>43942</v>
      </c>
      <c r="C1155" s="50" t="s">
        <v>88</v>
      </c>
      <c r="E1155" s="50">
        <v>340</v>
      </c>
      <c r="F1155" s="50">
        <v>24</v>
      </c>
      <c r="G1155" s="50">
        <v>12</v>
      </c>
      <c r="J1155" s="50">
        <v>13</v>
      </c>
      <c r="K1155" s="50" t="s">
        <v>90</v>
      </c>
    </row>
    <row r="1156" spans="1:11">
      <c r="A1156" s="50">
        <v>43942</v>
      </c>
      <c r="C1156" s="50" t="s">
        <v>97</v>
      </c>
      <c r="E1156" s="50">
        <v>5126</v>
      </c>
      <c r="F1156" s="50">
        <v>205</v>
      </c>
      <c r="G1156" s="50">
        <v>47</v>
      </c>
      <c r="J1156" s="50">
        <v>335</v>
      </c>
      <c r="K1156" s="50" t="s">
        <v>99</v>
      </c>
    </row>
    <row r="1157" spans="1:11">
      <c r="A1157" s="50">
        <v>43942</v>
      </c>
      <c r="C1157" s="50" t="s">
        <v>100</v>
      </c>
      <c r="E1157" s="50">
        <v>1799</v>
      </c>
      <c r="F1157" s="50">
        <v>73</v>
      </c>
      <c r="G1157" s="50">
        <v>14</v>
      </c>
      <c r="H1157" s="50">
        <v>11</v>
      </c>
      <c r="I1157" s="50">
        <v>210</v>
      </c>
      <c r="J1157" s="50">
        <v>115</v>
      </c>
      <c r="K1157" s="50" t="s">
        <v>430</v>
      </c>
    </row>
    <row r="1158" spans="1:11">
      <c r="A1158" s="50">
        <v>43942</v>
      </c>
      <c r="B1158" s="50">
        <v>0</v>
      </c>
      <c r="C1158" s="50" t="s">
        <v>83</v>
      </c>
      <c r="E1158" s="50">
        <v>359</v>
      </c>
      <c r="F1158" s="50">
        <v>19</v>
      </c>
      <c r="J1158" s="50">
        <v>11</v>
      </c>
      <c r="K1158" s="50" t="s">
        <v>388</v>
      </c>
    </row>
    <row r="1159" spans="1:11">
      <c r="A1159" s="50">
        <v>43942</v>
      </c>
      <c r="B1159" s="50">
        <v>0.33333333333333331</v>
      </c>
      <c r="C1159" s="50" t="s">
        <v>44</v>
      </c>
      <c r="E1159" s="50">
        <v>1622</v>
      </c>
      <c r="F1159" s="50">
        <v>66</v>
      </c>
      <c r="G1159" s="50">
        <v>17</v>
      </c>
      <c r="H1159" s="50">
        <v>11</v>
      </c>
      <c r="J1159" s="50">
        <v>77</v>
      </c>
      <c r="K1159" s="50" t="s">
        <v>46</v>
      </c>
    </row>
    <row r="1160" spans="1:11">
      <c r="A1160" s="50">
        <v>43942</v>
      </c>
      <c r="B1160" s="50">
        <v>0.33333333333333331</v>
      </c>
      <c r="C1160" s="50" t="s">
        <v>91</v>
      </c>
      <c r="E1160" s="50">
        <v>3065</v>
      </c>
      <c r="F1160" s="50">
        <v>236</v>
      </c>
      <c r="G1160" s="50">
        <v>54</v>
      </c>
      <c r="H1160" s="50">
        <v>36</v>
      </c>
      <c r="I1160" s="50">
        <v>639</v>
      </c>
      <c r="J1160" s="50">
        <v>291</v>
      </c>
      <c r="K1160" s="50" t="s">
        <v>373</v>
      </c>
    </row>
    <row r="1161" spans="1:11">
      <c r="A1161" s="50">
        <v>43942</v>
      </c>
      <c r="B1161" s="50">
        <v>0.33333333333333331</v>
      </c>
      <c r="C1161" s="50" t="s">
        <v>102</v>
      </c>
      <c r="E1161" s="50">
        <v>176</v>
      </c>
      <c r="F1161" s="50">
        <v>9</v>
      </c>
      <c r="G1161" s="50">
        <v>4</v>
      </c>
      <c r="I1161" s="50">
        <v>99</v>
      </c>
      <c r="J1161" s="50">
        <v>8</v>
      </c>
      <c r="K1161" s="50" t="s">
        <v>381</v>
      </c>
    </row>
    <row r="1162" spans="1:11">
      <c r="A1162" s="50">
        <v>43942</v>
      </c>
      <c r="B1162" s="50">
        <v>0.38541666666666669</v>
      </c>
      <c r="C1162" s="50" t="s">
        <v>50</v>
      </c>
      <c r="E1162" s="50">
        <v>928</v>
      </c>
      <c r="F1162" s="50">
        <v>54</v>
      </c>
      <c r="G1162" s="50">
        <v>9</v>
      </c>
      <c r="I1162" s="50">
        <v>781</v>
      </c>
      <c r="J1162" s="50">
        <v>44</v>
      </c>
      <c r="K1162" s="50" t="s">
        <v>356</v>
      </c>
    </row>
    <row r="1163" spans="1:11">
      <c r="A1163" s="50">
        <v>43942</v>
      </c>
      <c r="B1163" s="50">
        <v>0.39583333333333331</v>
      </c>
      <c r="C1163" s="50" t="s">
        <v>81</v>
      </c>
      <c r="E1163" s="50">
        <v>63</v>
      </c>
      <c r="F1163" s="50">
        <v>10</v>
      </c>
      <c r="G1163" s="50">
        <v>2</v>
      </c>
      <c r="J1163" s="50">
        <v>2</v>
      </c>
      <c r="K1163" s="50" t="s">
        <v>428</v>
      </c>
    </row>
    <row r="1164" spans="1:11">
      <c r="A1164" s="50">
        <v>43942</v>
      </c>
      <c r="B1164" s="50">
        <v>0.41666666666666669</v>
      </c>
      <c r="C1164" s="50" t="s">
        <v>86</v>
      </c>
      <c r="E1164" s="50">
        <v>276</v>
      </c>
      <c r="I1164" s="50">
        <v>192</v>
      </c>
      <c r="J1164" s="50">
        <v>16</v>
      </c>
      <c r="K1164" s="50" t="s">
        <v>398</v>
      </c>
    </row>
    <row r="1165" spans="1:11">
      <c r="A1165" s="50">
        <v>43942</v>
      </c>
      <c r="B1165" s="50">
        <v>0.45833333333333331</v>
      </c>
      <c r="C1165" s="50" t="s">
        <v>38</v>
      </c>
      <c r="E1165" s="50">
        <v>24</v>
      </c>
      <c r="K1165" s="50" t="s">
        <v>40</v>
      </c>
    </row>
    <row r="1166" spans="1:11">
      <c r="A1166" s="50">
        <v>43942</v>
      </c>
      <c r="B1166" s="50">
        <v>0.47916666666666669</v>
      </c>
      <c r="C1166" s="50" t="s">
        <v>75</v>
      </c>
      <c r="E1166" s="50">
        <v>67</v>
      </c>
      <c r="F1166" s="50">
        <v>0</v>
      </c>
      <c r="J1166" s="50">
        <v>0</v>
      </c>
      <c r="K1166" s="50" t="s">
        <v>77</v>
      </c>
    </row>
    <row r="1167" spans="1:11">
      <c r="A1167" s="50">
        <v>43942</v>
      </c>
      <c r="B1167" s="50">
        <v>0.5</v>
      </c>
      <c r="C1167" s="50" t="s">
        <v>68</v>
      </c>
      <c r="E1167" s="50">
        <v>643</v>
      </c>
      <c r="F1167" s="50">
        <v>35</v>
      </c>
      <c r="G1167" s="50">
        <v>5</v>
      </c>
      <c r="J1167" s="50">
        <v>15</v>
      </c>
      <c r="K1167" s="50" t="s">
        <v>70</v>
      </c>
    </row>
    <row r="1168" spans="1:11">
      <c r="A1168" s="50">
        <v>43942</v>
      </c>
      <c r="B1168" s="50">
        <v>0.54166666666666663</v>
      </c>
      <c r="C1168" s="50" t="s">
        <v>41</v>
      </c>
      <c r="E1168" s="50">
        <v>86</v>
      </c>
      <c r="J1168" s="50">
        <v>3</v>
      </c>
      <c r="K1168" s="50" t="s">
        <v>43</v>
      </c>
    </row>
    <row r="1169" spans="1:11">
      <c r="A1169" s="50">
        <v>43942</v>
      </c>
      <c r="B1169" s="50">
        <v>0.5625</v>
      </c>
      <c r="C1169" s="50" t="s">
        <v>61</v>
      </c>
      <c r="E1169" s="50">
        <v>115</v>
      </c>
      <c r="F1169" s="50">
        <v>3</v>
      </c>
      <c r="J1169" s="50">
        <v>6</v>
      </c>
      <c r="K1169" s="50" t="s">
        <v>387</v>
      </c>
    </row>
    <row r="1170" spans="1:11">
      <c r="A1170" s="50">
        <v>43942</v>
      </c>
      <c r="B1170" s="50">
        <v>0.60416666666666663</v>
      </c>
      <c r="C1170" s="50" t="s">
        <v>104</v>
      </c>
      <c r="E1170" s="50">
        <v>3280</v>
      </c>
      <c r="F1170" s="50">
        <v>110</v>
      </c>
      <c r="H1170" s="50">
        <v>41</v>
      </c>
      <c r="J1170" s="50">
        <v>109</v>
      </c>
      <c r="K1170" s="50" t="s">
        <v>106</v>
      </c>
    </row>
    <row r="1171" spans="1:11">
      <c r="A1171" s="50">
        <v>43942</v>
      </c>
      <c r="B1171" s="50">
        <v>0.61458333333333337</v>
      </c>
      <c r="C1171" s="50" t="s">
        <v>34</v>
      </c>
      <c r="E1171" s="50">
        <v>1017</v>
      </c>
      <c r="F1171" s="50">
        <v>43</v>
      </c>
      <c r="G1171" s="50">
        <v>18</v>
      </c>
      <c r="H1171" s="50">
        <v>18</v>
      </c>
      <c r="I1171" s="50">
        <v>680</v>
      </c>
      <c r="J1171" s="50">
        <v>29</v>
      </c>
      <c r="K1171" s="50" t="s">
        <v>371</v>
      </c>
    </row>
    <row r="1172" spans="1:11">
      <c r="A1172" s="50">
        <v>43942</v>
      </c>
      <c r="B1172" s="50">
        <v>0.70833333333333337</v>
      </c>
      <c r="C1172" s="50" t="s">
        <v>94</v>
      </c>
      <c r="E1172" s="50">
        <v>78</v>
      </c>
      <c r="F1172" s="50">
        <v>2</v>
      </c>
      <c r="I1172" s="50">
        <v>69</v>
      </c>
      <c r="J1172" s="50">
        <v>5</v>
      </c>
      <c r="K1172" s="50" t="s">
        <v>96</v>
      </c>
    </row>
    <row r="1173" spans="1:11">
      <c r="A1173" s="50">
        <v>43943</v>
      </c>
      <c r="C1173" s="50" t="s">
        <v>47</v>
      </c>
      <c r="E1173" s="50">
        <v>811</v>
      </c>
      <c r="F1173" s="50">
        <v>33</v>
      </c>
      <c r="G1173" s="50">
        <v>3</v>
      </c>
      <c r="H1173" s="50">
        <v>3</v>
      </c>
      <c r="I1173" s="50">
        <v>683</v>
      </c>
      <c r="J1173" s="50">
        <v>26</v>
      </c>
      <c r="K1173" s="50" t="s">
        <v>49</v>
      </c>
    </row>
    <row r="1174" spans="1:11">
      <c r="A1174" s="50">
        <v>43943</v>
      </c>
      <c r="C1174" s="50" t="s">
        <v>53</v>
      </c>
      <c r="E1174" s="50">
        <v>81</v>
      </c>
      <c r="J1174" s="50">
        <v>1</v>
      </c>
      <c r="K1174" s="50" t="s">
        <v>376</v>
      </c>
    </row>
    <row r="1175" spans="1:11">
      <c r="A1175" s="50">
        <v>43943</v>
      </c>
      <c r="C1175" s="50" t="s">
        <v>56</v>
      </c>
      <c r="E1175" s="50">
        <v>1006</v>
      </c>
      <c r="F1175" s="50">
        <v>57</v>
      </c>
      <c r="G1175" s="50">
        <v>5</v>
      </c>
      <c r="I1175" s="50">
        <v>116</v>
      </c>
      <c r="J1175" s="50">
        <v>76</v>
      </c>
      <c r="K1175" s="50" t="s">
        <v>420</v>
      </c>
    </row>
    <row r="1176" spans="1:11">
      <c r="A1176" s="50">
        <v>43943</v>
      </c>
      <c r="C1176" s="50" t="s">
        <v>58</v>
      </c>
      <c r="D1176" s="50">
        <v>22872</v>
      </c>
      <c r="E1176" s="50">
        <v>4691</v>
      </c>
      <c r="F1176" s="50">
        <v>288</v>
      </c>
      <c r="G1176" s="50">
        <v>30</v>
      </c>
      <c r="H1176" s="50">
        <v>27</v>
      </c>
      <c r="I1176" s="50">
        <v>589</v>
      </c>
      <c r="J1176" s="50">
        <v>227</v>
      </c>
      <c r="K1176" s="50" t="s">
        <v>60</v>
      </c>
    </row>
    <row r="1177" spans="1:11">
      <c r="A1177" s="50">
        <v>43943</v>
      </c>
      <c r="C1177" s="50" t="s">
        <v>63</v>
      </c>
      <c r="E1177" s="50">
        <v>791</v>
      </c>
      <c r="F1177" s="50">
        <v>26</v>
      </c>
      <c r="J1177" s="50">
        <v>43</v>
      </c>
      <c r="K1177" s="50" t="s">
        <v>65</v>
      </c>
    </row>
    <row r="1178" spans="1:11">
      <c r="A1178" s="50">
        <v>43943</v>
      </c>
      <c r="C1178" s="50" t="s">
        <v>66</v>
      </c>
      <c r="E1178" s="50">
        <v>196</v>
      </c>
      <c r="F1178" s="50">
        <v>12</v>
      </c>
      <c r="G1178" s="50">
        <v>4</v>
      </c>
      <c r="J1178" s="50">
        <v>6</v>
      </c>
      <c r="K1178" s="50" t="s">
        <v>427</v>
      </c>
    </row>
    <row r="1179" spans="1:11">
      <c r="A1179" s="50">
        <v>43943</v>
      </c>
      <c r="C1179" s="50" t="s">
        <v>71</v>
      </c>
      <c r="E1179" s="50">
        <v>660</v>
      </c>
      <c r="F1179" s="50">
        <v>37</v>
      </c>
      <c r="G1179" s="50">
        <v>6</v>
      </c>
      <c r="H1179" s="50">
        <v>4</v>
      </c>
      <c r="J1179" s="50">
        <v>66</v>
      </c>
      <c r="K1179" s="50" t="s">
        <v>377</v>
      </c>
    </row>
    <row r="1180" spans="1:11">
      <c r="A1180" s="50">
        <v>43943</v>
      </c>
      <c r="C1180" s="50" t="s">
        <v>73</v>
      </c>
      <c r="E1180" s="50">
        <v>108</v>
      </c>
      <c r="F1180" s="50">
        <v>4</v>
      </c>
      <c r="G1180" s="50">
        <v>1</v>
      </c>
      <c r="J1180" s="50">
        <v>3</v>
      </c>
      <c r="K1180" s="50" t="s">
        <v>357</v>
      </c>
    </row>
    <row r="1181" spans="1:11">
      <c r="A1181" s="50">
        <v>43943</v>
      </c>
      <c r="C1181" s="50" t="s">
        <v>78</v>
      </c>
      <c r="E1181" s="50">
        <v>724</v>
      </c>
      <c r="F1181" s="50">
        <v>52</v>
      </c>
      <c r="G1181" s="50">
        <v>6</v>
      </c>
      <c r="I1181" s="50">
        <v>162</v>
      </c>
      <c r="J1181" s="50">
        <v>29</v>
      </c>
      <c r="K1181" s="50" t="s">
        <v>80</v>
      </c>
    </row>
    <row r="1182" spans="1:11">
      <c r="A1182" s="50">
        <v>43943</v>
      </c>
      <c r="C1182" s="50" t="s">
        <v>88</v>
      </c>
      <c r="E1182" s="50">
        <v>341</v>
      </c>
      <c r="F1182" s="50">
        <v>23</v>
      </c>
      <c r="G1182" s="50">
        <v>9</v>
      </c>
      <c r="J1182" s="50">
        <v>14</v>
      </c>
      <c r="K1182" s="50" t="s">
        <v>90</v>
      </c>
    </row>
    <row r="1183" spans="1:11">
      <c r="A1183" s="50">
        <v>43943</v>
      </c>
      <c r="C1183" s="50" t="s">
        <v>97</v>
      </c>
      <c r="E1183" s="50">
        <v>5147</v>
      </c>
      <c r="F1183" s="50">
        <v>192</v>
      </c>
      <c r="G1183" s="50">
        <v>46</v>
      </c>
      <c r="J1183" s="50">
        <v>339</v>
      </c>
      <c r="K1183" s="50" t="s">
        <v>99</v>
      </c>
    </row>
    <row r="1184" spans="1:11">
      <c r="A1184" s="50">
        <v>43943</v>
      </c>
      <c r="C1184" s="50" t="s">
        <v>100</v>
      </c>
      <c r="E1184" s="50">
        <v>1805</v>
      </c>
      <c r="F1184" s="50">
        <v>74</v>
      </c>
      <c r="G1184" s="50">
        <v>13</v>
      </c>
      <c r="H1184" s="50">
        <v>11</v>
      </c>
      <c r="I1184" s="50">
        <v>210</v>
      </c>
      <c r="J1184" s="50">
        <v>118</v>
      </c>
      <c r="K1184" s="50" t="s">
        <v>430</v>
      </c>
    </row>
    <row r="1185" spans="1:11">
      <c r="A1185" s="50">
        <v>43943</v>
      </c>
      <c r="B1185" s="50">
        <v>0</v>
      </c>
      <c r="C1185" s="50" t="s">
        <v>83</v>
      </c>
      <c r="E1185" s="50">
        <v>368</v>
      </c>
      <c r="F1185" s="50">
        <v>18</v>
      </c>
      <c r="J1185" s="50">
        <v>11</v>
      </c>
      <c r="K1185" s="50" t="s">
        <v>388</v>
      </c>
    </row>
    <row r="1186" spans="1:11">
      <c r="A1186" s="50">
        <v>43943</v>
      </c>
      <c r="B1186" s="50">
        <v>0.33333333333333331</v>
      </c>
      <c r="C1186" s="50" t="s">
        <v>44</v>
      </c>
      <c r="E1186" s="50">
        <v>1643</v>
      </c>
      <c r="F1186" s="50">
        <v>67</v>
      </c>
      <c r="G1186" s="50">
        <v>14</v>
      </c>
      <c r="H1186" s="50">
        <v>10</v>
      </c>
      <c r="J1186" s="50">
        <v>77</v>
      </c>
      <c r="K1186" s="50" t="s">
        <v>46</v>
      </c>
    </row>
    <row r="1187" spans="1:11">
      <c r="A1187" s="50">
        <v>43943</v>
      </c>
      <c r="B1187" s="50">
        <v>0.33333333333333331</v>
      </c>
      <c r="C1187" s="50" t="s">
        <v>91</v>
      </c>
      <c r="E1187" s="50">
        <v>3089</v>
      </c>
      <c r="F1187" s="50">
        <v>213</v>
      </c>
      <c r="G1187" s="50">
        <v>42</v>
      </c>
      <c r="H1187" s="50">
        <v>32</v>
      </c>
      <c r="I1187" s="50">
        <v>661</v>
      </c>
      <c r="J1187" s="50">
        <v>295</v>
      </c>
      <c r="K1187" s="50" t="s">
        <v>378</v>
      </c>
    </row>
    <row r="1188" spans="1:11">
      <c r="A1188" s="50">
        <v>43943</v>
      </c>
      <c r="B1188" s="50">
        <v>0.33333333333333331</v>
      </c>
      <c r="C1188" s="50" t="s">
        <v>102</v>
      </c>
      <c r="E1188" s="50">
        <v>176</v>
      </c>
      <c r="F1188" s="50">
        <v>6</v>
      </c>
      <c r="G1188" s="50">
        <v>3</v>
      </c>
      <c r="I1188" s="50">
        <v>131</v>
      </c>
      <c r="J1188" s="50">
        <v>8</v>
      </c>
      <c r="K1188" s="50" t="s">
        <v>381</v>
      </c>
    </row>
    <row r="1189" spans="1:11">
      <c r="A1189" s="50">
        <v>43943</v>
      </c>
      <c r="B1189" s="50">
        <v>0.39583333333333331</v>
      </c>
      <c r="C1189" s="50" t="s">
        <v>81</v>
      </c>
      <c r="E1189" s="50">
        <v>63</v>
      </c>
      <c r="F1189" s="50">
        <v>10</v>
      </c>
      <c r="G1189" s="50">
        <v>2</v>
      </c>
      <c r="J1189" s="50">
        <v>3</v>
      </c>
      <c r="K1189" s="50" t="s">
        <v>428</v>
      </c>
    </row>
    <row r="1190" spans="1:11">
      <c r="A1190" s="50">
        <v>43943</v>
      </c>
      <c r="B1190" s="50">
        <v>0.40625</v>
      </c>
      <c r="C1190" s="50" t="s">
        <v>50</v>
      </c>
      <c r="E1190" s="50">
        <v>928</v>
      </c>
      <c r="F1190" s="50">
        <v>49</v>
      </c>
      <c r="G1190" s="50">
        <v>7</v>
      </c>
      <c r="I1190" s="50">
        <v>786</v>
      </c>
      <c r="J1190" s="50">
        <v>45</v>
      </c>
      <c r="K1190" s="50" t="s">
        <v>374</v>
      </c>
    </row>
    <row r="1191" spans="1:11">
      <c r="A1191" s="50">
        <v>43943</v>
      </c>
      <c r="B1191" s="50">
        <v>0.41666666666666669</v>
      </c>
      <c r="C1191" s="50" t="s">
        <v>86</v>
      </c>
      <c r="E1191" s="50">
        <v>282</v>
      </c>
      <c r="I1191" s="50">
        <v>194</v>
      </c>
      <c r="J1191" s="50">
        <v>16</v>
      </c>
      <c r="K1191" s="50" t="s">
        <v>398</v>
      </c>
    </row>
    <row r="1192" spans="1:11">
      <c r="A1192" s="50">
        <v>43943</v>
      </c>
      <c r="B1192" s="50">
        <v>0.45833333333333331</v>
      </c>
      <c r="C1192" s="50" t="s">
        <v>38</v>
      </c>
      <c r="E1192" s="50">
        <v>24</v>
      </c>
      <c r="K1192" s="50" t="s">
        <v>40</v>
      </c>
    </row>
    <row r="1193" spans="1:11">
      <c r="A1193" s="50">
        <v>43943</v>
      </c>
      <c r="B1193" s="50">
        <v>0.45833333333333331</v>
      </c>
      <c r="C1193" s="50" t="s">
        <v>68</v>
      </c>
      <c r="E1193" s="50">
        <v>648</v>
      </c>
      <c r="J1193" s="50">
        <v>15</v>
      </c>
      <c r="K1193" s="50" t="s">
        <v>70</v>
      </c>
    </row>
    <row r="1194" spans="1:11">
      <c r="A1194" s="50">
        <v>43943</v>
      </c>
      <c r="B1194" s="50">
        <v>0.5625</v>
      </c>
      <c r="C1194" s="50" t="s">
        <v>61</v>
      </c>
      <c r="E1194" s="50">
        <v>117</v>
      </c>
      <c r="F1194" s="50">
        <v>3</v>
      </c>
      <c r="J1194" s="50">
        <v>6</v>
      </c>
      <c r="K1194" s="50" t="s">
        <v>387</v>
      </c>
    </row>
    <row r="1195" spans="1:11">
      <c r="A1195" s="50">
        <v>43943</v>
      </c>
      <c r="B1195" s="50">
        <v>0.60416666666666663</v>
      </c>
      <c r="C1195" s="50" t="s">
        <v>104</v>
      </c>
      <c r="E1195" s="50">
        <v>3320</v>
      </c>
      <c r="F1195" s="50">
        <v>110</v>
      </c>
      <c r="H1195" s="50">
        <v>44</v>
      </c>
      <c r="J1195" s="50">
        <v>110</v>
      </c>
      <c r="K1195" s="50" t="s">
        <v>106</v>
      </c>
    </row>
    <row r="1196" spans="1:11">
      <c r="A1196" s="50">
        <v>43943</v>
      </c>
      <c r="B1196" s="50">
        <v>0.61458333333333337</v>
      </c>
      <c r="C1196" s="50" t="s">
        <v>34</v>
      </c>
      <c r="E1196" s="50">
        <v>1026</v>
      </c>
      <c r="F1196" s="50">
        <v>37</v>
      </c>
      <c r="G1196" s="50">
        <v>15</v>
      </c>
      <c r="H1196" s="50">
        <v>15</v>
      </c>
      <c r="I1196" s="50">
        <v>710</v>
      </c>
      <c r="J1196" s="50">
        <v>31</v>
      </c>
      <c r="K1196" s="50" t="s">
        <v>375</v>
      </c>
    </row>
    <row r="1197" spans="1:11">
      <c r="A1197" s="50">
        <v>43943</v>
      </c>
      <c r="B1197" s="50">
        <v>0.625</v>
      </c>
      <c r="C1197" s="50" t="s">
        <v>94</v>
      </c>
      <c r="E1197" s="50">
        <v>78</v>
      </c>
      <c r="F1197" s="50">
        <v>3</v>
      </c>
      <c r="I1197" s="50">
        <v>69</v>
      </c>
      <c r="J1197" s="50">
        <v>5</v>
      </c>
      <c r="K1197" s="50" t="s">
        <v>96</v>
      </c>
    </row>
    <row r="1198" spans="1:11">
      <c r="A1198" s="50">
        <v>43943</v>
      </c>
      <c r="B1198" s="50">
        <v>0.66666666666666663</v>
      </c>
      <c r="C1198" s="50" t="s">
        <v>75</v>
      </c>
      <c r="E1198" s="50">
        <v>67</v>
      </c>
      <c r="F1198" s="50">
        <v>0</v>
      </c>
      <c r="J1198" s="50">
        <v>0</v>
      </c>
      <c r="K1198" s="50" t="s">
        <v>77</v>
      </c>
    </row>
    <row r="1199" spans="1:11">
      <c r="A1199" s="50">
        <v>43943</v>
      </c>
      <c r="B1199" s="50">
        <v>0.75</v>
      </c>
      <c r="C1199" s="50" t="s">
        <v>41</v>
      </c>
      <c r="E1199" s="50">
        <v>87</v>
      </c>
      <c r="J1199" s="50">
        <v>3</v>
      </c>
      <c r="K1199" s="50" t="s">
        <v>43</v>
      </c>
    </row>
    <row r="1200" spans="1:11">
      <c r="A1200" s="50">
        <v>43944</v>
      </c>
      <c r="C1200" s="50" t="s">
        <v>47</v>
      </c>
      <c r="E1200" s="50">
        <v>811</v>
      </c>
      <c r="F1200" s="50">
        <v>32</v>
      </c>
      <c r="G1200" s="50">
        <v>3</v>
      </c>
      <c r="H1200" s="50">
        <v>2</v>
      </c>
      <c r="I1200" s="50">
        <v>692</v>
      </c>
      <c r="J1200" s="50">
        <v>26</v>
      </c>
      <c r="K1200" s="50" t="s">
        <v>49</v>
      </c>
    </row>
    <row r="1201" spans="1:11">
      <c r="A1201" s="50">
        <v>43944</v>
      </c>
      <c r="C1201" s="50" t="s">
        <v>53</v>
      </c>
      <c r="E1201" s="50">
        <v>81</v>
      </c>
      <c r="J1201" s="50">
        <v>1</v>
      </c>
      <c r="K1201" s="50" t="s">
        <v>384</v>
      </c>
    </row>
    <row r="1202" spans="1:11">
      <c r="A1202" s="50">
        <v>43944</v>
      </c>
      <c r="C1202" s="50" t="s">
        <v>56</v>
      </c>
      <c r="E1202" s="50">
        <v>1014</v>
      </c>
      <c r="F1202" s="50">
        <v>57</v>
      </c>
      <c r="G1202" s="50">
        <v>5</v>
      </c>
      <c r="I1202" s="50">
        <v>118</v>
      </c>
      <c r="J1202" s="50">
        <v>76</v>
      </c>
      <c r="K1202" s="50" t="s">
        <v>420</v>
      </c>
    </row>
    <row r="1203" spans="1:11">
      <c r="A1203" s="50">
        <v>43944</v>
      </c>
      <c r="C1203" s="50" t="s">
        <v>58</v>
      </c>
      <c r="D1203" s="50">
        <v>23330</v>
      </c>
      <c r="E1203" s="50">
        <v>4721</v>
      </c>
      <c r="F1203" s="50">
        <v>284</v>
      </c>
      <c r="G1203" s="50">
        <v>29</v>
      </c>
      <c r="H1203" s="50">
        <v>27</v>
      </c>
      <c r="I1203" s="50">
        <v>592</v>
      </c>
      <c r="J1203" s="50">
        <v>231</v>
      </c>
      <c r="K1203" s="50" t="s">
        <v>60</v>
      </c>
    </row>
    <row r="1204" spans="1:11">
      <c r="A1204" s="50">
        <v>43944</v>
      </c>
      <c r="C1204" s="50" t="s">
        <v>63</v>
      </c>
      <c r="E1204" s="50">
        <v>794</v>
      </c>
      <c r="F1204" s="50">
        <v>26</v>
      </c>
      <c r="J1204" s="50">
        <v>43</v>
      </c>
      <c r="K1204" s="50" t="s">
        <v>65</v>
      </c>
    </row>
    <row r="1205" spans="1:11">
      <c r="A1205" s="50">
        <v>43944</v>
      </c>
      <c r="C1205" s="50" t="s">
        <v>66</v>
      </c>
      <c r="E1205" s="50">
        <v>196</v>
      </c>
      <c r="F1205" s="50">
        <v>11</v>
      </c>
      <c r="G1205" s="50">
        <v>4</v>
      </c>
      <c r="J1205" s="50">
        <v>6</v>
      </c>
      <c r="K1205" s="50" t="s">
        <v>427</v>
      </c>
    </row>
    <row r="1206" spans="1:11">
      <c r="A1206" s="50">
        <v>43944</v>
      </c>
      <c r="C1206" s="50" t="s">
        <v>71</v>
      </c>
      <c r="E1206" s="50">
        <v>667</v>
      </c>
      <c r="F1206" s="50">
        <v>35</v>
      </c>
      <c r="G1206" s="50">
        <v>6</v>
      </c>
      <c r="H1206" s="50">
        <v>4</v>
      </c>
      <c r="J1206" s="50">
        <v>66</v>
      </c>
      <c r="K1206" s="50" t="s">
        <v>377</v>
      </c>
    </row>
    <row r="1207" spans="1:11">
      <c r="A1207" s="50">
        <v>43944</v>
      </c>
      <c r="C1207" s="50" t="s">
        <v>73</v>
      </c>
      <c r="E1207" s="50">
        <v>108</v>
      </c>
      <c r="F1207" s="50">
        <v>4</v>
      </c>
      <c r="G1207" s="50">
        <v>1</v>
      </c>
      <c r="J1207" s="50">
        <v>3</v>
      </c>
      <c r="K1207" s="50" t="s">
        <v>357</v>
      </c>
    </row>
    <row r="1208" spans="1:11">
      <c r="A1208" s="50">
        <v>43944</v>
      </c>
      <c r="C1208" s="50" t="s">
        <v>78</v>
      </c>
      <c r="E1208" s="50">
        <v>736</v>
      </c>
      <c r="F1208" s="50">
        <v>37</v>
      </c>
      <c r="G1208" s="50">
        <v>2</v>
      </c>
      <c r="I1208" s="50">
        <v>170</v>
      </c>
      <c r="J1208" s="50">
        <v>31</v>
      </c>
      <c r="K1208" s="50" t="s">
        <v>80</v>
      </c>
    </row>
    <row r="1209" spans="1:11">
      <c r="A1209" s="50">
        <v>43944</v>
      </c>
      <c r="C1209" s="50" t="s">
        <v>88</v>
      </c>
      <c r="E1209" s="50">
        <v>354</v>
      </c>
      <c r="F1209" s="50">
        <v>21</v>
      </c>
      <c r="G1209" s="50">
        <v>9</v>
      </c>
      <c r="J1209" s="50">
        <v>14</v>
      </c>
      <c r="K1209" s="50" t="s">
        <v>90</v>
      </c>
    </row>
    <row r="1210" spans="1:11">
      <c r="A1210" s="50">
        <v>43944</v>
      </c>
      <c r="C1210" s="50" t="s">
        <v>97</v>
      </c>
      <c r="E1210" s="50">
        <v>5180</v>
      </c>
      <c r="F1210" s="50">
        <v>194</v>
      </c>
      <c r="G1210" s="50">
        <v>44</v>
      </c>
      <c r="J1210" s="50">
        <v>348</v>
      </c>
      <c r="K1210" s="50" t="s">
        <v>99</v>
      </c>
    </row>
    <row r="1211" spans="1:11">
      <c r="A1211" s="50">
        <v>43944</v>
      </c>
      <c r="C1211" s="50" t="s">
        <v>100</v>
      </c>
      <c r="E1211" s="50">
        <v>1821</v>
      </c>
      <c r="F1211" s="50">
        <v>70</v>
      </c>
      <c r="G1211" s="50">
        <v>13</v>
      </c>
      <c r="H1211" s="50">
        <v>10</v>
      </c>
      <c r="I1211" s="50">
        <v>211</v>
      </c>
      <c r="J1211" s="50">
        <v>123</v>
      </c>
      <c r="K1211" s="50" t="s">
        <v>430</v>
      </c>
    </row>
    <row r="1212" spans="1:11">
      <c r="A1212" s="50">
        <v>43944</v>
      </c>
      <c r="B1212" s="50">
        <v>0</v>
      </c>
      <c r="C1212" s="50" t="s">
        <v>83</v>
      </c>
      <c r="E1212" s="50">
        <v>375</v>
      </c>
      <c r="F1212" s="50">
        <v>15</v>
      </c>
      <c r="J1212" s="50">
        <v>12</v>
      </c>
      <c r="K1212" s="50" t="s">
        <v>388</v>
      </c>
    </row>
    <row r="1213" spans="1:11">
      <c r="A1213" s="50">
        <v>43944</v>
      </c>
      <c r="B1213" s="50">
        <v>0.33333333333333331</v>
      </c>
      <c r="C1213" s="50" t="s">
        <v>44</v>
      </c>
      <c r="E1213" s="50">
        <v>1670</v>
      </c>
      <c r="F1213" s="50">
        <v>66</v>
      </c>
      <c r="G1213" s="50">
        <v>11</v>
      </c>
      <c r="H1213" s="50">
        <v>7</v>
      </c>
      <c r="J1213" s="50">
        <v>79</v>
      </c>
      <c r="K1213" s="50" t="s">
        <v>46</v>
      </c>
    </row>
    <row r="1214" spans="1:11">
      <c r="A1214" s="50">
        <v>43944</v>
      </c>
      <c r="B1214" s="50">
        <v>0.33333333333333331</v>
      </c>
      <c r="C1214" s="50" t="s">
        <v>91</v>
      </c>
      <c r="E1214" s="50">
        <v>3106</v>
      </c>
      <c r="F1214" s="50">
        <v>215</v>
      </c>
      <c r="G1214" s="50">
        <v>41</v>
      </c>
      <c r="H1214" s="50">
        <v>32</v>
      </c>
      <c r="I1214" s="50">
        <v>676</v>
      </c>
      <c r="J1214" s="50">
        <v>298</v>
      </c>
      <c r="K1214" s="50" t="s">
        <v>383</v>
      </c>
    </row>
    <row r="1215" spans="1:11">
      <c r="A1215" s="50">
        <v>43944</v>
      </c>
      <c r="B1215" s="50">
        <v>0.33333333333333331</v>
      </c>
      <c r="C1215" s="50" t="s">
        <v>102</v>
      </c>
      <c r="E1215" s="50">
        <v>178</v>
      </c>
      <c r="F1215" s="50">
        <v>6</v>
      </c>
      <c r="G1215" s="50">
        <v>3</v>
      </c>
      <c r="I1215" s="50">
        <v>133</v>
      </c>
      <c r="J1215" s="50">
        <v>8</v>
      </c>
      <c r="K1215" s="50" t="s">
        <v>381</v>
      </c>
    </row>
    <row r="1216" spans="1:11">
      <c r="A1216" s="50">
        <v>43944</v>
      </c>
      <c r="B1216" s="50">
        <v>0.375</v>
      </c>
      <c r="C1216" s="50" t="s">
        <v>50</v>
      </c>
      <c r="E1216" s="50">
        <v>931</v>
      </c>
      <c r="F1216" s="50">
        <v>42</v>
      </c>
      <c r="G1216" s="50">
        <v>7</v>
      </c>
      <c r="I1216" s="50">
        <v>793</v>
      </c>
      <c r="J1216" s="50">
        <v>45</v>
      </c>
      <c r="K1216" s="50" t="s">
        <v>386</v>
      </c>
    </row>
    <row r="1217" spans="1:11">
      <c r="A1217" s="50">
        <v>43944</v>
      </c>
      <c r="B1217" s="50">
        <v>0.39583333333333331</v>
      </c>
      <c r="C1217" s="50" t="s">
        <v>81</v>
      </c>
      <c r="E1217" s="50">
        <v>65</v>
      </c>
      <c r="F1217" s="50">
        <v>8</v>
      </c>
      <c r="G1217" s="50">
        <v>2</v>
      </c>
      <c r="J1217" s="50">
        <v>3</v>
      </c>
      <c r="K1217" s="50" t="s">
        <v>428</v>
      </c>
    </row>
    <row r="1218" spans="1:11">
      <c r="A1218" s="50">
        <v>43944</v>
      </c>
      <c r="B1218" s="50">
        <v>0.41666666666666669</v>
      </c>
      <c r="C1218" s="50" t="s">
        <v>86</v>
      </c>
      <c r="E1218" s="50">
        <v>282</v>
      </c>
      <c r="I1218" s="50">
        <v>198</v>
      </c>
      <c r="J1218" s="50">
        <v>16</v>
      </c>
      <c r="K1218" s="50" t="s">
        <v>398</v>
      </c>
    </row>
    <row r="1219" spans="1:11">
      <c r="A1219" s="50">
        <v>43944</v>
      </c>
      <c r="B1219" s="50">
        <v>0.45833333333333331</v>
      </c>
      <c r="C1219" s="50" t="s">
        <v>38</v>
      </c>
      <c r="E1219" s="50">
        <v>25</v>
      </c>
      <c r="K1219" s="50" t="s">
        <v>40</v>
      </c>
    </row>
    <row r="1220" spans="1:11">
      <c r="A1220" s="50">
        <v>43944</v>
      </c>
      <c r="B1220" s="50">
        <v>0.45833333333333331</v>
      </c>
      <c r="C1220" s="50" t="s">
        <v>68</v>
      </c>
      <c r="E1220" s="50">
        <v>654</v>
      </c>
      <c r="F1220" s="50">
        <v>38</v>
      </c>
      <c r="G1220" s="50">
        <v>7</v>
      </c>
      <c r="J1220" s="50">
        <v>15</v>
      </c>
      <c r="K1220" s="50" t="s">
        <v>70</v>
      </c>
    </row>
    <row r="1221" spans="1:11">
      <c r="A1221" s="50">
        <v>43944</v>
      </c>
      <c r="B1221" s="50">
        <v>0.54166666666666663</v>
      </c>
      <c r="C1221" s="50" t="s">
        <v>75</v>
      </c>
      <c r="E1221" s="50">
        <v>68</v>
      </c>
      <c r="F1221" s="50">
        <v>0</v>
      </c>
      <c r="J1221" s="50">
        <v>0</v>
      </c>
      <c r="K1221" s="50" t="s">
        <v>77</v>
      </c>
    </row>
    <row r="1222" spans="1:11">
      <c r="A1222" s="50">
        <v>43944</v>
      </c>
      <c r="B1222" s="50">
        <v>0.5625</v>
      </c>
      <c r="C1222" s="50" t="s">
        <v>61</v>
      </c>
      <c r="E1222" s="50">
        <v>117</v>
      </c>
      <c r="F1222" s="50">
        <v>3</v>
      </c>
      <c r="J1222" s="50">
        <v>6</v>
      </c>
      <c r="K1222" s="50" t="s">
        <v>387</v>
      </c>
    </row>
    <row r="1223" spans="1:11">
      <c r="A1223" s="50">
        <v>43944</v>
      </c>
      <c r="B1223" s="50">
        <v>0.58333333333333337</v>
      </c>
      <c r="C1223" s="50" t="s">
        <v>41</v>
      </c>
      <c r="E1223" s="50">
        <v>88</v>
      </c>
      <c r="F1223" s="50">
        <v>5</v>
      </c>
      <c r="G1223" s="50">
        <v>2</v>
      </c>
      <c r="J1223" s="50">
        <v>3</v>
      </c>
      <c r="K1223" s="50" t="s">
        <v>43</v>
      </c>
    </row>
    <row r="1224" spans="1:11">
      <c r="A1224" s="50">
        <v>43944</v>
      </c>
      <c r="B1224" s="50">
        <v>0.60416666666666663</v>
      </c>
      <c r="C1224" s="50" t="s">
        <v>104</v>
      </c>
      <c r="E1224" s="50">
        <v>3337</v>
      </c>
      <c r="F1224" s="50">
        <v>96</v>
      </c>
      <c r="H1224" s="50">
        <v>44</v>
      </c>
      <c r="J1224" s="50">
        <v>113</v>
      </c>
      <c r="K1224" s="50" t="s">
        <v>106</v>
      </c>
    </row>
    <row r="1225" spans="1:11">
      <c r="A1225" s="50">
        <v>43944</v>
      </c>
      <c r="B1225" s="50">
        <v>0.61458333333333337</v>
      </c>
      <c r="C1225" s="50" t="s">
        <v>34</v>
      </c>
      <c r="E1225" s="50">
        <v>1037</v>
      </c>
      <c r="F1225" s="50">
        <v>35</v>
      </c>
      <c r="G1225" s="50">
        <v>14</v>
      </c>
      <c r="H1225" s="50">
        <v>14</v>
      </c>
      <c r="I1225" s="50">
        <v>750</v>
      </c>
      <c r="J1225" s="50">
        <v>31</v>
      </c>
      <c r="K1225" s="50" t="s">
        <v>382</v>
      </c>
    </row>
    <row r="1226" spans="1:11">
      <c r="A1226" s="50">
        <v>43944</v>
      </c>
      <c r="B1226" s="50">
        <v>0.625</v>
      </c>
      <c r="C1226" s="50" t="s">
        <v>94</v>
      </c>
      <c r="E1226" s="50">
        <v>78</v>
      </c>
      <c r="F1226" s="50">
        <v>4</v>
      </c>
      <c r="I1226" s="50">
        <v>69</v>
      </c>
      <c r="J1226" s="50">
        <v>5</v>
      </c>
      <c r="K1226" s="50" t="s">
        <v>96</v>
      </c>
    </row>
    <row r="1227" spans="1:11">
      <c r="A1227" s="50">
        <v>43945</v>
      </c>
      <c r="C1227" s="50" t="s">
        <v>47</v>
      </c>
      <c r="E1227" s="50">
        <v>813</v>
      </c>
      <c r="F1227" s="50">
        <v>24</v>
      </c>
      <c r="G1227" s="50">
        <v>2</v>
      </c>
      <c r="H1227" s="50">
        <v>1</v>
      </c>
      <c r="I1227" s="50">
        <v>698</v>
      </c>
      <c r="J1227" s="50">
        <v>30</v>
      </c>
      <c r="K1227" s="50" t="s">
        <v>49</v>
      </c>
    </row>
    <row r="1228" spans="1:11">
      <c r="A1228" s="50">
        <v>43945</v>
      </c>
      <c r="C1228" s="50" t="s">
        <v>53</v>
      </c>
      <c r="E1228" s="50">
        <v>82</v>
      </c>
      <c r="J1228" s="50">
        <v>1</v>
      </c>
      <c r="K1228" s="50" t="s">
        <v>391</v>
      </c>
    </row>
    <row r="1229" spans="1:11">
      <c r="A1229" s="50">
        <v>43945</v>
      </c>
      <c r="C1229" s="50" t="s">
        <v>56</v>
      </c>
      <c r="E1229" s="50">
        <v>1021</v>
      </c>
      <c r="F1229" s="50">
        <v>55</v>
      </c>
      <c r="G1229" s="50">
        <v>8</v>
      </c>
      <c r="I1229" s="50">
        <v>119</v>
      </c>
      <c r="J1229" s="50">
        <v>76</v>
      </c>
      <c r="K1229" s="50" t="s">
        <v>420</v>
      </c>
    </row>
    <row r="1230" spans="1:11">
      <c r="A1230" s="50">
        <v>43945</v>
      </c>
      <c r="C1230" s="50" t="s">
        <v>58</v>
      </c>
      <c r="D1230" s="50">
        <v>23694</v>
      </c>
      <c r="E1230" s="50">
        <v>4741</v>
      </c>
      <c r="F1230" s="50">
        <v>278</v>
      </c>
      <c r="G1230" s="50">
        <v>26</v>
      </c>
      <c r="H1230" s="50">
        <v>25</v>
      </c>
      <c r="I1230" s="50">
        <v>600</v>
      </c>
      <c r="J1230" s="50">
        <v>236</v>
      </c>
      <c r="K1230" s="50" t="s">
        <v>60</v>
      </c>
    </row>
    <row r="1231" spans="1:11">
      <c r="A1231" s="50">
        <v>43945</v>
      </c>
      <c r="C1231" s="50" t="s">
        <v>63</v>
      </c>
      <c r="E1231" s="50">
        <v>799</v>
      </c>
      <c r="F1231" s="50">
        <v>29</v>
      </c>
      <c r="J1231" s="50">
        <v>44</v>
      </c>
      <c r="K1231" s="50" t="s">
        <v>65</v>
      </c>
    </row>
    <row r="1232" spans="1:11">
      <c r="A1232" s="50">
        <v>43945</v>
      </c>
      <c r="C1232" s="50" t="s">
        <v>66</v>
      </c>
      <c r="E1232" s="50">
        <v>196</v>
      </c>
      <c r="F1232" s="50">
        <v>11</v>
      </c>
      <c r="G1232" s="50">
        <v>4</v>
      </c>
      <c r="J1232" s="50">
        <v>6</v>
      </c>
      <c r="K1232" s="50" t="s">
        <v>427</v>
      </c>
    </row>
    <row r="1233" spans="1:11">
      <c r="A1233" s="50">
        <v>43945</v>
      </c>
      <c r="C1233" s="50" t="s">
        <v>71</v>
      </c>
      <c r="E1233" s="50">
        <v>670</v>
      </c>
      <c r="F1233" s="50">
        <v>36</v>
      </c>
      <c r="G1233" s="50">
        <v>6</v>
      </c>
      <c r="H1233" s="50">
        <v>4</v>
      </c>
      <c r="J1233" s="50">
        <v>68</v>
      </c>
      <c r="K1233" s="50" t="s">
        <v>377</v>
      </c>
    </row>
    <row r="1234" spans="1:11">
      <c r="A1234" s="50">
        <v>43945</v>
      </c>
      <c r="C1234" s="50" t="s">
        <v>73</v>
      </c>
      <c r="E1234" s="50">
        <v>108</v>
      </c>
      <c r="F1234" s="50">
        <v>3</v>
      </c>
      <c r="G1234" s="50">
        <v>0</v>
      </c>
      <c r="J1234" s="50">
        <v>3</v>
      </c>
      <c r="K1234" s="50" t="s">
        <v>357</v>
      </c>
    </row>
    <row r="1235" spans="1:11">
      <c r="A1235" s="50">
        <v>43945</v>
      </c>
      <c r="C1235" s="50" t="s">
        <v>78</v>
      </c>
      <c r="E1235" s="50">
        <v>745</v>
      </c>
      <c r="F1235" s="50">
        <v>43</v>
      </c>
      <c r="G1235" s="50">
        <v>4</v>
      </c>
      <c r="I1235" s="50">
        <v>175</v>
      </c>
      <c r="J1235" s="50">
        <v>31</v>
      </c>
      <c r="K1235" s="50" t="s">
        <v>80</v>
      </c>
    </row>
    <row r="1236" spans="1:11">
      <c r="A1236" s="50">
        <v>43945</v>
      </c>
      <c r="C1236" s="50" t="s">
        <v>88</v>
      </c>
      <c r="E1236" s="50">
        <v>359</v>
      </c>
      <c r="F1236" s="50">
        <v>21</v>
      </c>
      <c r="G1236" s="50">
        <v>9</v>
      </c>
      <c r="J1236" s="50">
        <v>14</v>
      </c>
      <c r="K1236" s="50" t="s">
        <v>90</v>
      </c>
    </row>
    <row r="1237" spans="1:11">
      <c r="A1237" s="50">
        <v>43945</v>
      </c>
      <c r="C1237" s="50" t="s">
        <v>97</v>
      </c>
      <c r="E1237" s="50">
        <v>5202</v>
      </c>
      <c r="F1237" s="50">
        <v>181</v>
      </c>
      <c r="G1237" s="50">
        <v>40</v>
      </c>
      <c r="J1237" s="50">
        <v>350</v>
      </c>
      <c r="K1237" s="50" t="s">
        <v>99</v>
      </c>
    </row>
    <row r="1238" spans="1:11">
      <c r="A1238" s="50">
        <v>43945</v>
      </c>
      <c r="C1238" s="50" t="s">
        <v>100</v>
      </c>
      <c r="E1238" s="50">
        <v>1830</v>
      </c>
      <c r="F1238" s="50">
        <v>66</v>
      </c>
      <c r="G1238" s="50">
        <v>14</v>
      </c>
      <c r="H1238" s="50">
        <v>10</v>
      </c>
      <c r="I1238" s="50">
        <v>218</v>
      </c>
      <c r="J1238" s="50">
        <v>127</v>
      </c>
      <c r="K1238" s="50" t="s">
        <v>430</v>
      </c>
    </row>
    <row r="1239" spans="1:11">
      <c r="A1239" s="50">
        <v>43945</v>
      </c>
      <c r="B1239" s="50">
        <v>0</v>
      </c>
      <c r="C1239" s="50" t="s">
        <v>83</v>
      </c>
      <c r="E1239" s="50">
        <v>376</v>
      </c>
      <c r="F1239" s="50">
        <v>15</v>
      </c>
      <c r="J1239" s="50">
        <v>14</v>
      </c>
      <c r="K1239" s="50" t="s">
        <v>388</v>
      </c>
    </row>
    <row r="1240" spans="1:11">
      <c r="A1240" s="50">
        <v>43945</v>
      </c>
      <c r="B1240" s="50">
        <v>0.33333333333333331</v>
      </c>
      <c r="C1240" s="50" t="s">
        <v>44</v>
      </c>
      <c r="E1240" s="50">
        <v>1694</v>
      </c>
      <c r="F1240" s="50">
        <v>60</v>
      </c>
      <c r="G1240" s="50">
        <v>11</v>
      </c>
      <c r="H1240" s="50">
        <v>8</v>
      </c>
      <c r="J1240" s="50">
        <v>82</v>
      </c>
      <c r="K1240" s="50" t="s">
        <v>46</v>
      </c>
    </row>
    <row r="1241" spans="1:11">
      <c r="A1241" s="50">
        <v>43945</v>
      </c>
      <c r="B1241" s="50">
        <v>0.33333333333333331</v>
      </c>
      <c r="C1241" s="50" t="s">
        <v>91</v>
      </c>
      <c r="E1241" s="50">
        <v>3121</v>
      </c>
      <c r="F1241" s="50">
        <v>214</v>
      </c>
      <c r="G1241" s="50">
        <v>42</v>
      </c>
      <c r="H1241" s="50">
        <v>33</v>
      </c>
      <c r="I1241" s="50">
        <v>682</v>
      </c>
      <c r="J1241" s="50">
        <v>299</v>
      </c>
      <c r="K1241" s="50" t="s">
        <v>392</v>
      </c>
    </row>
    <row r="1242" spans="1:11">
      <c r="A1242" s="50">
        <v>43945</v>
      </c>
      <c r="B1242" s="50">
        <v>0.33333333333333331</v>
      </c>
      <c r="C1242" s="50" t="s">
        <v>102</v>
      </c>
      <c r="E1242" s="50">
        <v>180</v>
      </c>
      <c r="F1242" s="50">
        <v>6</v>
      </c>
      <c r="G1242" s="50">
        <v>3</v>
      </c>
      <c r="I1242" s="50">
        <v>133</v>
      </c>
      <c r="J1242" s="50">
        <v>8</v>
      </c>
      <c r="K1242" s="50" t="s">
        <v>381</v>
      </c>
    </row>
    <row r="1243" spans="1:11">
      <c r="A1243" s="50">
        <v>43945</v>
      </c>
      <c r="B1243" s="50">
        <v>0.38541666666666669</v>
      </c>
      <c r="C1243" s="50" t="s">
        <v>50</v>
      </c>
      <c r="E1243" s="50">
        <v>936</v>
      </c>
      <c r="F1243" s="50">
        <v>40</v>
      </c>
      <c r="G1243" s="50">
        <v>7</v>
      </c>
      <c r="I1243" s="50">
        <v>800</v>
      </c>
      <c r="J1243" s="50">
        <v>46</v>
      </c>
      <c r="K1243" s="50" t="s">
        <v>385</v>
      </c>
    </row>
    <row r="1244" spans="1:11">
      <c r="A1244" s="50">
        <v>43945</v>
      </c>
      <c r="B1244" s="50">
        <v>0.39583333333333331</v>
      </c>
      <c r="C1244" s="50" t="s">
        <v>41</v>
      </c>
      <c r="E1244" s="50">
        <v>88</v>
      </c>
      <c r="F1244" s="50">
        <v>4</v>
      </c>
      <c r="G1244" s="50">
        <v>2</v>
      </c>
      <c r="J1244" s="50">
        <v>3</v>
      </c>
      <c r="K1244" s="50" t="s">
        <v>43</v>
      </c>
    </row>
    <row r="1245" spans="1:11">
      <c r="A1245" s="50">
        <v>43945</v>
      </c>
      <c r="B1245" s="50">
        <v>0.39583333333333331</v>
      </c>
      <c r="C1245" s="50" t="s">
        <v>81</v>
      </c>
      <c r="E1245" s="50">
        <v>70</v>
      </c>
      <c r="F1245" s="50">
        <v>4</v>
      </c>
      <c r="G1245" s="50">
        <v>1</v>
      </c>
      <c r="J1245" s="50">
        <v>3</v>
      </c>
      <c r="K1245" s="50" t="s">
        <v>428</v>
      </c>
    </row>
    <row r="1246" spans="1:11">
      <c r="A1246" s="50">
        <v>43945</v>
      </c>
      <c r="B1246" s="50">
        <v>0.41666666666666669</v>
      </c>
      <c r="C1246" s="50" t="s">
        <v>86</v>
      </c>
      <c r="E1246" s="50">
        <v>284</v>
      </c>
      <c r="I1246" s="50">
        <v>206</v>
      </c>
      <c r="J1246" s="50">
        <v>16</v>
      </c>
      <c r="K1246" s="50" t="s">
        <v>398</v>
      </c>
    </row>
    <row r="1247" spans="1:11">
      <c r="A1247" s="50">
        <v>43945</v>
      </c>
      <c r="B1247" s="50">
        <v>0.45833333333333331</v>
      </c>
      <c r="C1247" s="50" t="s">
        <v>38</v>
      </c>
      <c r="E1247" s="50">
        <v>25</v>
      </c>
      <c r="K1247" s="50" t="s">
        <v>40</v>
      </c>
    </row>
    <row r="1248" spans="1:11">
      <c r="A1248" s="50">
        <v>43945</v>
      </c>
      <c r="B1248" s="50">
        <v>0.45833333333333331</v>
      </c>
      <c r="C1248" s="50" t="s">
        <v>68</v>
      </c>
      <c r="E1248" s="50">
        <v>660</v>
      </c>
      <c r="J1248" s="50">
        <v>16</v>
      </c>
      <c r="K1248" s="50" t="s">
        <v>70</v>
      </c>
    </row>
    <row r="1249" spans="1:11">
      <c r="A1249" s="50">
        <v>43945</v>
      </c>
      <c r="B1249" s="50">
        <v>0.54166666666666663</v>
      </c>
      <c r="C1249" s="50" t="s">
        <v>61</v>
      </c>
      <c r="E1249" s="50">
        <v>117</v>
      </c>
      <c r="F1249" s="50">
        <v>3</v>
      </c>
      <c r="J1249" s="50">
        <v>7</v>
      </c>
      <c r="K1249" s="50" t="s">
        <v>387</v>
      </c>
    </row>
    <row r="1250" spans="1:11">
      <c r="A1250" s="50">
        <v>43945</v>
      </c>
      <c r="B1250" s="50">
        <v>0.58333333333333337</v>
      </c>
      <c r="C1250" s="50" t="s">
        <v>94</v>
      </c>
      <c r="E1250" s="50">
        <v>78</v>
      </c>
      <c r="F1250" s="50">
        <v>3</v>
      </c>
      <c r="I1250" s="50">
        <v>69</v>
      </c>
      <c r="J1250" s="50">
        <v>5</v>
      </c>
      <c r="K1250" s="50" t="s">
        <v>96</v>
      </c>
    </row>
    <row r="1251" spans="1:11">
      <c r="A1251" s="50">
        <v>43945</v>
      </c>
      <c r="B1251" s="50">
        <v>0.60416666666666663</v>
      </c>
      <c r="C1251" s="50" t="s">
        <v>104</v>
      </c>
      <c r="E1251" s="50">
        <v>3366</v>
      </c>
      <c r="F1251" s="50">
        <v>83</v>
      </c>
      <c r="H1251" s="50">
        <v>42</v>
      </c>
      <c r="J1251" s="50">
        <v>114</v>
      </c>
      <c r="K1251" s="50" t="s">
        <v>106</v>
      </c>
    </row>
    <row r="1252" spans="1:11">
      <c r="A1252" s="50">
        <v>43945</v>
      </c>
      <c r="B1252" s="50">
        <v>0.61458333333333337</v>
      </c>
      <c r="C1252" s="50" t="s">
        <v>34</v>
      </c>
      <c r="E1252" s="50">
        <v>1052</v>
      </c>
      <c r="F1252" s="50">
        <v>40</v>
      </c>
      <c r="G1252" s="50">
        <v>14</v>
      </c>
      <c r="H1252" s="50">
        <v>14</v>
      </c>
      <c r="I1252" s="50">
        <v>780</v>
      </c>
      <c r="J1252" s="50">
        <v>31</v>
      </c>
      <c r="K1252" s="50" t="s">
        <v>390</v>
      </c>
    </row>
    <row r="1253" spans="1:11">
      <c r="A1253" s="50">
        <v>43945</v>
      </c>
      <c r="B1253" s="50">
        <v>0.70833333333333337</v>
      </c>
      <c r="C1253" s="50" t="s">
        <v>75</v>
      </c>
      <c r="E1253" s="50">
        <v>71</v>
      </c>
      <c r="F1253" s="50">
        <v>0</v>
      </c>
      <c r="J1253" s="50">
        <v>0</v>
      </c>
      <c r="K1253" s="50" t="s">
        <v>77</v>
      </c>
    </row>
    <row r="1254" spans="1:11">
      <c r="A1254" s="50">
        <v>43946</v>
      </c>
      <c r="C1254" s="50" t="s">
        <v>47</v>
      </c>
      <c r="E1254" s="50">
        <v>816</v>
      </c>
      <c r="F1254" s="50">
        <v>23</v>
      </c>
      <c r="G1254" s="50">
        <v>1</v>
      </c>
      <c r="H1254" s="50">
        <v>0</v>
      </c>
      <c r="I1254" s="50">
        <v>710</v>
      </c>
      <c r="J1254" s="50">
        <v>30</v>
      </c>
      <c r="K1254" s="50" t="s">
        <v>49</v>
      </c>
    </row>
    <row r="1255" spans="1:11">
      <c r="A1255" s="50">
        <v>43946</v>
      </c>
      <c r="C1255" s="50" t="s">
        <v>53</v>
      </c>
      <c r="E1255" s="50">
        <v>82</v>
      </c>
      <c r="J1255" s="50">
        <v>1</v>
      </c>
      <c r="K1255" s="50" t="s">
        <v>399</v>
      </c>
    </row>
    <row r="1256" spans="1:11">
      <c r="A1256" s="50">
        <v>43946</v>
      </c>
      <c r="C1256" s="50" t="s">
        <v>56</v>
      </c>
      <c r="E1256" s="50">
        <v>1029</v>
      </c>
      <c r="F1256" s="50">
        <v>54</v>
      </c>
      <c r="G1256" s="50">
        <v>7</v>
      </c>
      <c r="I1256" s="50">
        <v>119</v>
      </c>
      <c r="J1256" s="50">
        <v>76</v>
      </c>
      <c r="K1256" s="50" t="s">
        <v>420</v>
      </c>
    </row>
    <row r="1257" spans="1:11">
      <c r="A1257" s="50">
        <v>43946</v>
      </c>
      <c r="C1257" s="50" t="s">
        <v>58</v>
      </c>
      <c r="D1257" s="50">
        <v>24058</v>
      </c>
      <c r="E1257" s="50">
        <v>4754</v>
      </c>
      <c r="F1257" s="50">
        <v>271</v>
      </c>
      <c r="G1257" s="50">
        <v>27</v>
      </c>
      <c r="H1257" s="50">
        <v>26</v>
      </c>
      <c r="J1257" s="50">
        <v>237</v>
      </c>
      <c r="K1257" s="50" t="s">
        <v>60</v>
      </c>
    </row>
    <row r="1258" spans="1:11">
      <c r="A1258" s="50">
        <v>43946</v>
      </c>
      <c r="C1258" s="50" t="s">
        <v>63</v>
      </c>
      <c r="E1258" s="50">
        <v>800</v>
      </c>
      <c r="F1258" s="50">
        <v>28</v>
      </c>
      <c r="J1258" s="50">
        <v>44</v>
      </c>
      <c r="K1258" s="50" t="s">
        <v>65</v>
      </c>
    </row>
    <row r="1259" spans="1:11">
      <c r="A1259" s="50">
        <v>43946</v>
      </c>
      <c r="C1259" s="50" t="s">
        <v>66</v>
      </c>
      <c r="E1259" s="50">
        <v>196</v>
      </c>
      <c r="F1259" s="50">
        <v>11</v>
      </c>
      <c r="G1259" s="50">
        <v>4</v>
      </c>
      <c r="J1259" s="50">
        <v>6</v>
      </c>
      <c r="K1259" s="50" t="s">
        <v>427</v>
      </c>
    </row>
    <row r="1260" spans="1:11">
      <c r="A1260" s="50">
        <v>43946</v>
      </c>
      <c r="C1260" s="50" t="s">
        <v>71</v>
      </c>
      <c r="E1260" s="50">
        <v>671</v>
      </c>
      <c r="F1260" s="50">
        <v>35</v>
      </c>
      <c r="G1260" s="50">
        <v>4</v>
      </c>
      <c r="H1260" s="50">
        <v>3</v>
      </c>
      <c r="J1260" s="50">
        <v>69</v>
      </c>
      <c r="K1260" s="50" t="s">
        <v>377</v>
      </c>
    </row>
    <row r="1261" spans="1:11">
      <c r="A1261" s="50">
        <v>43946</v>
      </c>
      <c r="C1261" s="50" t="s">
        <v>73</v>
      </c>
      <c r="E1261" s="50">
        <v>108</v>
      </c>
      <c r="F1261" s="50">
        <v>3</v>
      </c>
      <c r="G1261" s="50">
        <v>0</v>
      </c>
      <c r="J1261" s="50">
        <v>3</v>
      </c>
      <c r="K1261" s="50" t="s">
        <v>357</v>
      </c>
    </row>
    <row r="1262" spans="1:11">
      <c r="A1262" s="50">
        <v>43946</v>
      </c>
      <c r="C1262" s="50" t="s">
        <v>78</v>
      </c>
      <c r="E1262" s="50">
        <v>753</v>
      </c>
      <c r="J1262" s="50">
        <v>31</v>
      </c>
      <c r="K1262" s="50" t="s">
        <v>80</v>
      </c>
    </row>
    <row r="1263" spans="1:11">
      <c r="A1263" s="50">
        <v>43946</v>
      </c>
      <c r="C1263" s="50" t="s">
        <v>88</v>
      </c>
      <c r="E1263" s="50">
        <v>360</v>
      </c>
      <c r="F1263" s="50">
        <v>23</v>
      </c>
      <c r="G1263" s="50">
        <v>8</v>
      </c>
      <c r="J1263" s="50">
        <v>14</v>
      </c>
      <c r="K1263" s="50" t="s">
        <v>90</v>
      </c>
    </row>
    <row r="1264" spans="1:11">
      <c r="A1264" s="50">
        <v>43946</v>
      </c>
      <c r="C1264" s="50" t="s">
        <v>97</v>
      </c>
      <c r="E1264" s="50">
        <v>5215</v>
      </c>
      <c r="F1264" s="50">
        <v>187</v>
      </c>
      <c r="G1264" s="50">
        <v>40</v>
      </c>
      <c r="J1264" s="50">
        <v>360</v>
      </c>
      <c r="K1264" s="50" t="s">
        <v>99</v>
      </c>
    </row>
    <row r="1265" spans="1:11">
      <c r="A1265" s="50">
        <v>43946</v>
      </c>
      <c r="C1265" s="50" t="s">
        <v>100</v>
      </c>
      <c r="E1265" s="50">
        <v>1835</v>
      </c>
      <c r="F1265" s="50">
        <v>68</v>
      </c>
      <c r="G1265" s="50">
        <v>14</v>
      </c>
      <c r="H1265" s="50">
        <v>10</v>
      </c>
      <c r="I1265" s="50">
        <v>218</v>
      </c>
      <c r="J1265" s="50">
        <v>129</v>
      </c>
      <c r="K1265" s="50" t="s">
        <v>430</v>
      </c>
    </row>
    <row r="1266" spans="1:11">
      <c r="A1266" s="50">
        <v>43946</v>
      </c>
      <c r="B1266" s="50">
        <v>0</v>
      </c>
      <c r="C1266" s="50" t="s">
        <v>83</v>
      </c>
      <c r="E1266" s="50">
        <v>379</v>
      </c>
      <c r="F1266" s="50">
        <v>13</v>
      </c>
      <c r="J1266" s="50">
        <v>14</v>
      </c>
      <c r="K1266" s="50" t="s">
        <v>388</v>
      </c>
    </row>
    <row r="1267" spans="1:11">
      <c r="A1267" s="50">
        <v>43946</v>
      </c>
      <c r="B1267" s="50">
        <v>6.9444444444444447E-4</v>
      </c>
      <c r="C1267" s="50" t="s">
        <v>86</v>
      </c>
      <c r="E1267" s="50">
        <v>287</v>
      </c>
      <c r="I1267" s="50">
        <v>215</v>
      </c>
      <c r="J1267" s="50">
        <v>17</v>
      </c>
      <c r="K1267" s="50" t="s">
        <v>398</v>
      </c>
    </row>
    <row r="1268" spans="1:11">
      <c r="A1268" s="50">
        <v>43946</v>
      </c>
      <c r="B1268" s="50">
        <v>0.33333333333333331</v>
      </c>
      <c r="C1268" s="50" t="s">
        <v>44</v>
      </c>
      <c r="E1268" s="50">
        <v>1708</v>
      </c>
      <c r="F1268" s="50">
        <v>61</v>
      </c>
      <c r="G1268" s="50">
        <v>11</v>
      </c>
      <c r="H1268" s="50">
        <v>10</v>
      </c>
      <c r="J1268" s="50">
        <v>83</v>
      </c>
      <c r="K1268" s="50" t="s">
        <v>46</v>
      </c>
    </row>
    <row r="1269" spans="1:11">
      <c r="A1269" s="50">
        <v>43946</v>
      </c>
      <c r="B1269" s="50">
        <v>0.33333333333333331</v>
      </c>
      <c r="C1269" s="50" t="s">
        <v>91</v>
      </c>
      <c r="E1269" s="50">
        <v>3142</v>
      </c>
      <c r="F1269" s="50">
        <v>198</v>
      </c>
      <c r="G1269" s="50">
        <v>40</v>
      </c>
      <c r="H1269" s="50">
        <v>30</v>
      </c>
      <c r="I1269" s="50">
        <v>698</v>
      </c>
      <c r="J1269" s="50">
        <v>304</v>
      </c>
      <c r="K1269" s="50" t="s">
        <v>400</v>
      </c>
    </row>
    <row r="1270" spans="1:11">
      <c r="A1270" s="50">
        <v>43946</v>
      </c>
      <c r="B1270" s="50">
        <v>0.33333333333333331</v>
      </c>
      <c r="C1270" s="50" t="s">
        <v>102</v>
      </c>
      <c r="E1270" s="50">
        <v>181</v>
      </c>
      <c r="F1270" s="50">
        <v>6</v>
      </c>
      <c r="G1270" s="50">
        <v>3</v>
      </c>
      <c r="I1270" s="50">
        <v>133</v>
      </c>
      <c r="J1270" s="50">
        <v>8</v>
      </c>
      <c r="K1270" s="50" t="s">
        <v>381</v>
      </c>
    </row>
    <row r="1271" spans="1:11">
      <c r="A1271" s="50">
        <v>43946</v>
      </c>
      <c r="B1271" s="50">
        <v>0.39583333333333331</v>
      </c>
      <c r="C1271" s="50" t="s">
        <v>50</v>
      </c>
      <c r="E1271" s="50">
        <v>938</v>
      </c>
      <c r="J1271" s="50">
        <v>46</v>
      </c>
      <c r="K1271" s="50" t="s">
        <v>415</v>
      </c>
    </row>
    <row r="1272" spans="1:11">
      <c r="A1272" s="50">
        <v>43946</v>
      </c>
      <c r="B1272" s="50">
        <v>0.39583333333333331</v>
      </c>
      <c r="C1272" s="50" t="s">
        <v>81</v>
      </c>
      <c r="E1272" s="50">
        <v>71</v>
      </c>
      <c r="F1272" s="50">
        <v>6</v>
      </c>
      <c r="G1272" s="50">
        <v>1</v>
      </c>
      <c r="J1272" s="50">
        <v>5</v>
      </c>
      <c r="K1272" s="50" t="s">
        <v>428</v>
      </c>
    </row>
    <row r="1273" spans="1:11">
      <c r="A1273" s="50">
        <v>43946</v>
      </c>
      <c r="B1273" s="50">
        <v>0.45833333333333331</v>
      </c>
      <c r="C1273" s="50" t="s">
        <v>38</v>
      </c>
      <c r="E1273" s="50">
        <v>25</v>
      </c>
      <c r="K1273" s="50" t="s">
        <v>40</v>
      </c>
    </row>
    <row r="1274" spans="1:11">
      <c r="A1274" s="50">
        <v>43946</v>
      </c>
      <c r="B1274" s="50">
        <v>0.5</v>
      </c>
      <c r="C1274" s="50" t="s">
        <v>68</v>
      </c>
      <c r="E1274" s="50">
        <v>667</v>
      </c>
      <c r="F1274" s="50">
        <v>32</v>
      </c>
      <c r="G1274" s="50">
        <v>8</v>
      </c>
      <c r="J1274" s="50">
        <v>16</v>
      </c>
      <c r="K1274" s="50" t="s">
        <v>70</v>
      </c>
    </row>
    <row r="1275" spans="1:11">
      <c r="A1275" s="50">
        <v>43946</v>
      </c>
      <c r="B1275" s="50">
        <v>0.5</v>
      </c>
      <c r="C1275" s="50" t="s">
        <v>94</v>
      </c>
      <c r="E1275" s="50">
        <v>78</v>
      </c>
      <c r="F1275" s="50">
        <v>3</v>
      </c>
      <c r="I1275" s="50">
        <v>69</v>
      </c>
      <c r="J1275" s="50">
        <v>5</v>
      </c>
      <c r="K1275" s="50" t="s">
        <v>96</v>
      </c>
    </row>
    <row r="1276" spans="1:11">
      <c r="A1276" s="50">
        <v>43946</v>
      </c>
      <c r="B1276" s="50">
        <v>0.54166666666666663</v>
      </c>
      <c r="C1276" s="50" t="s">
        <v>61</v>
      </c>
      <c r="E1276" s="50">
        <v>120</v>
      </c>
      <c r="F1276" s="50">
        <v>3</v>
      </c>
      <c r="J1276" s="50">
        <v>7</v>
      </c>
      <c r="K1276" s="50" t="s">
        <v>387</v>
      </c>
    </row>
    <row r="1277" spans="1:11">
      <c r="A1277" s="50">
        <v>43946</v>
      </c>
      <c r="B1277" s="50">
        <v>0.60416666666666663</v>
      </c>
      <c r="C1277" s="50" t="s">
        <v>104</v>
      </c>
      <c r="E1277" s="50">
        <v>3397</v>
      </c>
      <c r="F1277" s="50">
        <v>77</v>
      </c>
      <c r="H1277" s="50">
        <v>38</v>
      </c>
      <c r="J1277" s="50">
        <v>115</v>
      </c>
      <c r="K1277" s="50" t="s">
        <v>106</v>
      </c>
    </row>
    <row r="1278" spans="1:11">
      <c r="A1278" s="50">
        <v>43947</v>
      </c>
      <c r="C1278" s="50" t="s">
        <v>47</v>
      </c>
      <c r="E1278" s="50">
        <v>816</v>
      </c>
      <c r="F1278" s="50">
        <v>21</v>
      </c>
      <c r="G1278" s="50">
        <v>0</v>
      </c>
      <c r="H1278" s="50">
        <v>0</v>
      </c>
      <c r="I1278" s="50">
        <v>724</v>
      </c>
      <c r="J1278" s="50">
        <v>30</v>
      </c>
      <c r="K1278" s="50" t="s">
        <v>49</v>
      </c>
    </row>
    <row r="1279" spans="1:11">
      <c r="A1279" s="50">
        <v>43947</v>
      </c>
      <c r="C1279" s="50" t="s">
        <v>53</v>
      </c>
      <c r="E1279" s="50">
        <v>82</v>
      </c>
      <c r="J1279" s="50">
        <v>1</v>
      </c>
      <c r="K1279" s="50" t="s">
        <v>401</v>
      </c>
    </row>
    <row r="1280" spans="1:11">
      <c r="A1280" s="50">
        <v>43947</v>
      </c>
      <c r="C1280" s="50" t="s">
        <v>56</v>
      </c>
      <c r="E1280" s="50">
        <v>1033</v>
      </c>
      <c r="F1280" s="50">
        <v>54</v>
      </c>
      <c r="G1280" s="50">
        <v>5</v>
      </c>
      <c r="I1280" s="50">
        <v>120</v>
      </c>
      <c r="J1280" s="50">
        <v>77</v>
      </c>
      <c r="K1280" s="50" t="s">
        <v>420</v>
      </c>
    </row>
    <row r="1281" spans="1:11">
      <c r="A1281" s="50">
        <v>43947</v>
      </c>
      <c r="C1281" s="50" t="s">
        <v>58</v>
      </c>
      <c r="D1281" s="50">
        <v>24255</v>
      </c>
      <c r="E1281" s="50">
        <v>4760</v>
      </c>
      <c r="F1281" s="50">
        <v>271</v>
      </c>
      <c r="G1281" s="50">
        <v>25</v>
      </c>
      <c r="H1281" s="50">
        <v>24</v>
      </c>
      <c r="I1281" s="50">
        <v>610</v>
      </c>
      <c r="J1281" s="50">
        <v>239</v>
      </c>
      <c r="K1281" s="50" t="s">
        <v>60</v>
      </c>
    </row>
    <row r="1282" spans="1:11">
      <c r="A1282" s="50">
        <v>43947</v>
      </c>
      <c r="C1282" s="50" t="s">
        <v>63</v>
      </c>
      <c r="E1282" s="50">
        <v>802</v>
      </c>
      <c r="F1282" s="50">
        <v>28</v>
      </c>
      <c r="J1282" s="50">
        <v>45</v>
      </c>
      <c r="K1282" s="50" t="s">
        <v>65</v>
      </c>
    </row>
    <row r="1283" spans="1:11">
      <c r="A1283" s="50">
        <v>43947</v>
      </c>
      <c r="C1283" s="50" t="s">
        <v>66</v>
      </c>
      <c r="E1283" s="50">
        <v>196</v>
      </c>
      <c r="F1283" s="50">
        <v>11</v>
      </c>
      <c r="G1283" s="50">
        <v>4</v>
      </c>
      <c r="J1283" s="50">
        <v>6</v>
      </c>
      <c r="K1283" s="50" t="s">
        <v>427</v>
      </c>
    </row>
    <row r="1284" spans="1:11">
      <c r="A1284" s="50">
        <v>43947</v>
      </c>
      <c r="C1284" s="50" t="s">
        <v>71</v>
      </c>
      <c r="E1284" s="50">
        <v>672</v>
      </c>
      <c r="F1284" s="50">
        <v>32</v>
      </c>
      <c r="G1284" s="50">
        <v>3</v>
      </c>
      <c r="H1284" s="50">
        <v>3</v>
      </c>
      <c r="J1284" s="50">
        <v>70</v>
      </c>
      <c r="K1284" s="50" t="s">
        <v>377</v>
      </c>
    </row>
    <row r="1285" spans="1:11">
      <c r="A1285" s="50">
        <v>43947</v>
      </c>
      <c r="C1285" s="50" t="s">
        <v>73</v>
      </c>
      <c r="E1285" s="50">
        <v>110</v>
      </c>
      <c r="F1285" s="50">
        <v>3</v>
      </c>
      <c r="G1285" s="50">
        <v>0</v>
      </c>
      <c r="J1285" s="50">
        <v>3</v>
      </c>
      <c r="K1285" s="50" t="s">
        <v>357</v>
      </c>
    </row>
    <row r="1286" spans="1:11">
      <c r="A1286" s="50">
        <v>43947</v>
      </c>
      <c r="C1286" s="50" t="s">
        <v>78</v>
      </c>
      <c r="E1286" s="50">
        <v>761</v>
      </c>
      <c r="F1286" s="50">
        <v>38</v>
      </c>
      <c r="G1286" s="50">
        <v>4</v>
      </c>
      <c r="I1286" s="50">
        <v>176</v>
      </c>
      <c r="J1286" s="50">
        <v>31</v>
      </c>
      <c r="K1286" s="50" t="s">
        <v>80</v>
      </c>
    </row>
    <row r="1287" spans="1:11">
      <c r="A1287" s="50">
        <v>43947</v>
      </c>
      <c r="C1287" s="50" t="s">
        <v>88</v>
      </c>
      <c r="E1287" s="50">
        <v>361</v>
      </c>
      <c r="F1287" s="50">
        <v>21</v>
      </c>
      <c r="G1287" s="50">
        <v>8</v>
      </c>
      <c r="J1287" s="50">
        <v>16</v>
      </c>
      <c r="K1287" s="50" t="s">
        <v>90</v>
      </c>
    </row>
    <row r="1288" spans="1:11">
      <c r="A1288" s="50">
        <v>43947</v>
      </c>
      <c r="C1288" s="50" t="s">
        <v>97</v>
      </c>
      <c r="E1288" s="50">
        <v>5226</v>
      </c>
      <c r="F1288" s="50">
        <v>196</v>
      </c>
      <c r="G1288" s="50">
        <v>41</v>
      </c>
      <c r="J1288" s="50">
        <v>362</v>
      </c>
      <c r="K1288" s="50" t="s">
        <v>99</v>
      </c>
    </row>
    <row r="1289" spans="1:11">
      <c r="A1289" s="50">
        <v>43947</v>
      </c>
      <c r="C1289" s="50" t="s">
        <v>100</v>
      </c>
      <c r="E1289" s="50">
        <v>1837</v>
      </c>
      <c r="F1289" s="50">
        <v>70</v>
      </c>
      <c r="G1289" s="50">
        <v>15</v>
      </c>
      <c r="H1289" s="50">
        <v>9</v>
      </c>
      <c r="I1289" s="50">
        <v>218</v>
      </c>
      <c r="J1289" s="50">
        <v>131</v>
      </c>
      <c r="K1289" s="50" t="s">
        <v>430</v>
      </c>
    </row>
    <row r="1290" spans="1:11">
      <c r="A1290" s="50">
        <v>43947</v>
      </c>
      <c r="B1290" s="50">
        <v>0</v>
      </c>
      <c r="C1290" s="50" t="s">
        <v>83</v>
      </c>
      <c r="E1290" s="50">
        <v>380</v>
      </c>
      <c r="F1290" s="50">
        <v>12</v>
      </c>
      <c r="J1290" s="50">
        <v>15</v>
      </c>
      <c r="K1290" s="50" t="s">
        <v>388</v>
      </c>
    </row>
    <row r="1291" spans="1:11">
      <c r="A1291" s="50">
        <v>43947</v>
      </c>
      <c r="B1291" s="50">
        <v>6.9444444444444447E-4</v>
      </c>
      <c r="C1291" s="50" t="s">
        <v>86</v>
      </c>
      <c r="E1291" s="50">
        <v>293</v>
      </c>
      <c r="I1291" s="50">
        <v>216</v>
      </c>
      <c r="J1291" s="50">
        <v>18</v>
      </c>
      <c r="K1291" s="50" t="s">
        <v>398</v>
      </c>
    </row>
    <row r="1292" spans="1:11">
      <c r="A1292" s="50">
        <v>43947</v>
      </c>
      <c r="B1292" s="50">
        <v>0.33333333333333331</v>
      </c>
      <c r="C1292" s="50" t="s">
        <v>44</v>
      </c>
      <c r="E1292" s="50">
        <v>1714</v>
      </c>
      <c r="F1292" s="50">
        <v>54</v>
      </c>
      <c r="G1292" s="50">
        <v>9</v>
      </c>
      <c r="H1292" s="50">
        <v>9</v>
      </c>
      <c r="J1292" s="50">
        <v>83</v>
      </c>
      <c r="K1292" s="50" t="s">
        <v>46</v>
      </c>
    </row>
    <row r="1293" spans="1:11">
      <c r="A1293" s="50">
        <v>43947</v>
      </c>
      <c r="B1293" s="50">
        <v>0.33333333333333331</v>
      </c>
      <c r="C1293" s="50" t="s">
        <v>91</v>
      </c>
      <c r="E1293" s="50">
        <v>3161</v>
      </c>
      <c r="F1293" s="50">
        <v>192</v>
      </c>
      <c r="G1293" s="50">
        <v>37</v>
      </c>
      <c r="H1293" s="50">
        <v>26</v>
      </c>
      <c r="I1293" s="50">
        <v>704</v>
      </c>
      <c r="J1293" s="50">
        <v>306</v>
      </c>
      <c r="K1293" s="50" t="s">
        <v>402</v>
      </c>
    </row>
    <row r="1294" spans="1:11">
      <c r="A1294" s="50">
        <v>43947</v>
      </c>
      <c r="B1294" s="50">
        <v>0.33333333333333331</v>
      </c>
      <c r="C1294" s="50" t="s">
        <v>102</v>
      </c>
      <c r="E1294" s="50">
        <v>181</v>
      </c>
      <c r="F1294" s="50">
        <v>6</v>
      </c>
      <c r="G1294" s="50">
        <v>3</v>
      </c>
      <c r="I1294" s="50">
        <v>133</v>
      </c>
      <c r="J1294" s="50">
        <v>8</v>
      </c>
      <c r="K1294" s="50" t="s">
        <v>381</v>
      </c>
    </row>
    <row r="1295" spans="1:11">
      <c r="A1295" s="50">
        <v>43947</v>
      </c>
      <c r="B1295" s="50">
        <v>0.39583333333333331</v>
      </c>
      <c r="C1295" s="50" t="s">
        <v>50</v>
      </c>
      <c r="E1295" s="50">
        <v>940</v>
      </c>
      <c r="J1295" s="50">
        <v>46</v>
      </c>
      <c r="K1295" s="50" t="s">
        <v>415</v>
      </c>
    </row>
    <row r="1296" spans="1:11">
      <c r="A1296" s="50">
        <v>43947</v>
      </c>
      <c r="B1296" s="50">
        <v>0.39583333333333331</v>
      </c>
      <c r="C1296" s="50" t="s">
        <v>81</v>
      </c>
      <c r="E1296" s="50">
        <v>72</v>
      </c>
      <c r="F1296" s="50">
        <v>9</v>
      </c>
      <c r="G1296" s="50">
        <v>2</v>
      </c>
      <c r="J1296" s="50">
        <v>5</v>
      </c>
      <c r="K1296" s="50" t="s">
        <v>428</v>
      </c>
    </row>
    <row r="1297" spans="1:11">
      <c r="A1297" s="50">
        <v>43947</v>
      </c>
      <c r="B1297" s="50">
        <v>0.5</v>
      </c>
      <c r="C1297" s="50" t="s">
        <v>68</v>
      </c>
      <c r="E1297" s="50">
        <v>670</v>
      </c>
      <c r="F1297" s="50">
        <v>26</v>
      </c>
      <c r="G1297" s="50">
        <v>7</v>
      </c>
      <c r="J1297" s="50">
        <v>16</v>
      </c>
      <c r="K1297" s="50" t="s">
        <v>70</v>
      </c>
    </row>
    <row r="1298" spans="1:11">
      <c r="A1298" s="50">
        <v>43947</v>
      </c>
      <c r="B1298" s="50">
        <v>0.5</v>
      </c>
      <c r="C1298" s="50" t="s">
        <v>94</v>
      </c>
      <c r="E1298" s="50">
        <v>80</v>
      </c>
      <c r="F1298" s="50">
        <v>3</v>
      </c>
      <c r="I1298" s="50">
        <v>69</v>
      </c>
      <c r="J1298" s="50">
        <v>5</v>
      </c>
      <c r="K1298" s="50" t="s">
        <v>96</v>
      </c>
    </row>
    <row r="1299" spans="1:11">
      <c r="A1299" s="50">
        <v>43947</v>
      </c>
      <c r="B1299" s="50">
        <v>0.54166666666666663</v>
      </c>
      <c r="C1299" s="50" t="s">
        <v>61</v>
      </c>
      <c r="E1299" s="50">
        <v>120</v>
      </c>
      <c r="F1299" s="50">
        <v>3</v>
      </c>
      <c r="J1299" s="50">
        <v>7</v>
      </c>
      <c r="K1299" s="50" t="s">
        <v>387</v>
      </c>
    </row>
    <row r="1300" spans="1:11">
      <c r="A1300" s="50">
        <v>43947</v>
      </c>
      <c r="B1300" s="50">
        <v>0.60416666666666663</v>
      </c>
      <c r="C1300" s="50" t="s">
        <v>104</v>
      </c>
      <c r="E1300" s="50">
        <v>3400</v>
      </c>
      <c r="F1300" s="50">
        <v>75</v>
      </c>
      <c r="H1300" s="50">
        <v>26</v>
      </c>
      <c r="J1300" s="50">
        <v>115</v>
      </c>
      <c r="K1300" s="50" t="s">
        <v>106</v>
      </c>
    </row>
    <row r="1301" spans="1:11">
      <c r="A1301" s="50">
        <v>43948</v>
      </c>
      <c r="C1301" s="50" t="s">
        <v>47</v>
      </c>
      <c r="E1301" s="50">
        <v>816</v>
      </c>
      <c r="F1301" s="50">
        <v>17</v>
      </c>
      <c r="G1301" s="50">
        <v>1</v>
      </c>
      <c r="H1301" s="50">
        <v>0</v>
      </c>
      <c r="I1301" s="50">
        <v>738</v>
      </c>
      <c r="J1301" s="50">
        <v>30</v>
      </c>
      <c r="K1301" s="50" t="s">
        <v>49</v>
      </c>
    </row>
    <row r="1302" spans="1:11">
      <c r="A1302" s="50">
        <v>43948</v>
      </c>
      <c r="C1302" s="50" t="s">
        <v>53</v>
      </c>
      <c r="E1302" s="50">
        <v>82</v>
      </c>
      <c r="J1302" s="50">
        <v>1</v>
      </c>
      <c r="K1302" s="50" t="s">
        <v>418</v>
      </c>
    </row>
    <row r="1303" spans="1:11">
      <c r="A1303" s="50">
        <v>43948</v>
      </c>
      <c r="C1303" s="50" t="s">
        <v>56</v>
      </c>
      <c r="E1303" s="50">
        <v>1040</v>
      </c>
      <c r="F1303" s="50">
        <v>55</v>
      </c>
      <c r="G1303" s="50">
        <v>5</v>
      </c>
      <c r="I1303" s="50">
        <v>120</v>
      </c>
      <c r="J1303" s="50">
        <v>78</v>
      </c>
      <c r="K1303" s="50" t="s">
        <v>420</v>
      </c>
    </row>
    <row r="1304" spans="1:11">
      <c r="A1304" s="50">
        <v>43948</v>
      </c>
      <c r="C1304" s="50" t="s">
        <v>63</v>
      </c>
      <c r="E1304" s="50">
        <v>807</v>
      </c>
      <c r="F1304" s="50">
        <v>29</v>
      </c>
      <c r="J1304" s="50">
        <v>45</v>
      </c>
      <c r="K1304" s="50" t="s">
        <v>65</v>
      </c>
    </row>
    <row r="1305" spans="1:11">
      <c r="A1305" s="50">
        <v>43948</v>
      </c>
      <c r="C1305" s="50" t="s">
        <v>66</v>
      </c>
      <c r="E1305" s="50">
        <v>196</v>
      </c>
      <c r="F1305" s="50">
        <v>9</v>
      </c>
      <c r="G1305" s="50">
        <v>4</v>
      </c>
      <c r="J1305" s="50">
        <v>7</v>
      </c>
      <c r="K1305" s="50" t="s">
        <v>427</v>
      </c>
    </row>
    <row r="1306" spans="1:11">
      <c r="A1306" s="50">
        <v>43948</v>
      </c>
      <c r="C1306" s="50" t="s">
        <v>71</v>
      </c>
      <c r="E1306" s="50">
        <v>675</v>
      </c>
      <c r="F1306" s="50">
        <v>28</v>
      </c>
      <c r="G1306" s="50">
        <v>3</v>
      </c>
      <c r="H1306" s="50">
        <v>3</v>
      </c>
      <c r="K1306" s="50" t="s">
        <v>377</v>
      </c>
    </row>
    <row r="1307" spans="1:11">
      <c r="A1307" s="50">
        <v>43948</v>
      </c>
      <c r="C1307" s="50" t="s">
        <v>73</v>
      </c>
      <c r="E1307" s="50">
        <v>110</v>
      </c>
      <c r="F1307" s="50">
        <v>2</v>
      </c>
      <c r="G1307" s="50">
        <v>0</v>
      </c>
      <c r="J1307" s="50">
        <v>3</v>
      </c>
      <c r="K1307" s="50" t="s">
        <v>357</v>
      </c>
    </row>
    <row r="1308" spans="1:11">
      <c r="A1308" s="50">
        <v>43948</v>
      </c>
      <c r="C1308" s="50" t="s">
        <v>78</v>
      </c>
      <c r="E1308" s="50">
        <v>767</v>
      </c>
      <c r="F1308" s="50">
        <v>39</v>
      </c>
      <c r="G1308" s="50">
        <v>2</v>
      </c>
      <c r="I1308" s="50">
        <v>176</v>
      </c>
      <c r="J1308" s="50">
        <v>31</v>
      </c>
      <c r="K1308" s="50" t="s">
        <v>80</v>
      </c>
    </row>
    <row r="1309" spans="1:11">
      <c r="A1309" s="50">
        <v>43948</v>
      </c>
      <c r="C1309" s="50" t="s">
        <v>88</v>
      </c>
      <c r="E1309" s="50">
        <v>361</v>
      </c>
      <c r="F1309" s="50">
        <v>21</v>
      </c>
      <c r="G1309" s="50">
        <v>8</v>
      </c>
      <c r="J1309" s="50">
        <v>17</v>
      </c>
      <c r="K1309" s="50" t="s">
        <v>90</v>
      </c>
    </row>
    <row r="1310" spans="1:11">
      <c r="A1310" s="50">
        <v>43948</v>
      </c>
      <c r="C1310" s="50" t="s">
        <v>97</v>
      </c>
      <c r="E1310" s="50">
        <v>5227</v>
      </c>
      <c r="F1310" s="50">
        <v>188</v>
      </c>
      <c r="G1310" s="50">
        <v>36</v>
      </c>
      <c r="J1310" s="50">
        <v>364</v>
      </c>
      <c r="K1310" s="50" t="s">
        <v>99</v>
      </c>
    </row>
    <row r="1311" spans="1:11">
      <c r="A1311" s="50">
        <v>43948</v>
      </c>
      <c r="C1311" s="50" t="s">
        <v>100</v>
      </c>
      <c r="E1311" s="50">
        <v>1850</v>
      </c>
      <c r="F1311" s="50">
        <v>60</v>
      </c>
      <c r="G1311" s="50">
        <v>14</v>
      </c>
      <c r="H1311" s="50">
        <v>10</v>
      </c>
      <c r="I1311" s="50">
        <v>220</v>
      </c>
      <c r="J1311" s="50">
        <v>132</v>
      </c>
      <c r="K1311" s="50" t="s">
        <v>430</v>
      </c>
    </row>
    <row r="1312" spans="1:11">
      <c r="A1312" s="50">
        <v>43948</v>
      </c>
      <c r="B1312" s="50">
        <v>0</v>
      </c>
      <c r="C1312" s="50" t="s">
        <v>83</v>
      </c>
      <c r="E1312" s="50">
        <v>382</v>
      </c>
      <c r="F1312" s="50">
        <v>13</v>
      </c>
      <c r="J1312" s="50">
        <v>15</v>
      </c>
      <c r="K1312" s="50" t="s">
        <v>388</v>
      </c>
    </row>
    <row r="1313" spans="1:11">
      <c r="A1313" s="50">
        <v>43948</v>
      </c>
      <c r="B1313" s="50">
        <v>0.33333333333333331</v>
      </c>
      <c r="C1313" s="50" t="s">
        <v>44</v>
      </c>
      <c r="E1313" s="50">
        <v>1722</v>
      </c>
      <c r="F1313" s="50">
        <v>54</v>
      </c>
      <c r="G1313" s="50">
        <v>10</v>
      </c>
      <c r="H1313" s="50">
        <v>9</v>
      </c>
      <c r="J1313" s="50">
        <v>83</v>
      </c>
      <c r="K1313" s="50" t="s">
        <v>46</v>
      </c>
    </row>
    <row r="1314" spans="1:11">
      <c r="A1314" s="50">
        <v>43948</v>
      </c>
      <c r="B1314" s="50">
        <v>0.33333333333333331</v>
      </c>
      <c r="C1314" s="50" t="s">
        <v>91</v>
      </c>
      <c r="E1314" s="50">
        <v>3169</v>
      </c>
      <c r="F1314" s="50">
        <v>188</v>
      </c>
      <c r="G1314" s="50">
        <v>34</v>
      </c>
      <c r="H1314" s="50">
        <v>25</v>
      </c>
      <c r="I1314" s="50">
        <v>709</v>
      </c>
      <c r="J1314" s="50">
        <v>311</v>
      </c>
      <c r="K1314" s="50" t="s">
        <v>416</v>
      </c>
    </row>
    <row r="1315" spans="1:11">
      <c r="A1315" s="50">
        <v>43948</v>
      </c>
      <c r="B1315" s="50">
        <v>0.33333333333333331</v>
      </c>
      <c r="C1315" s="50" t="s">
        <v>102</v>
      </c>
      <c r="E1315" s="50">
        <v>185</v>
      </c>
      <c r="F1315" s="50">
        <v>7</v>
      </c>
      <c r="G1315" s="50">
        <v>3</v>
      </c>
      <c r="I1315" s="50">
        <v>134</v>
      </c>
      <c r="J1315" s="50">
        <v>8</v>
      </c>
      <c r="K1315" s="50" t="s">
        <v>381</v>
      </c>
    </row>
    <row r="1316" spans="1:11">
      <c r="A1316" s="50">
        <v>43948</v>
      </c>
      <c r="B1316" s="50">
        <v>0.39583333333333331</v>
      </c>
      <c r="C1316" s="50" t="s">
        <v>81</v>
      </c>
      <c r="E1316" s="50">
        <v>73</v>
      </c>
      <c r="F1316" s="50">
        <v>12</v>
      </c>
      <c r="G1316" s="50">
        <v>3</v>
      </c>
      <c r="J1316" s="50">
        <v>5</v>
      </c>
      <c r="K1316" s="50" t="s">
        <v>428</v>
      </c>
    </row>
    <row r="1317" spans="1:11">
      <c r="A1317" s="50">
        <v>43948</v>
      </c>
      <c r="B1317" s="50">
        <v>0.41666666666666669</v>
      </c>
      <c r="C1317" s="50" t="s">
        <v>86</v>
      </c>
      <c r="E1317" s="50">
        <v>293</v>
      </c>
      <c r="I1317" s="50">
        <v>216</v>
      </c>
      <c r="J1317" s="50">
        <v>18</v>
      </c>
      <c r="K1317" s="50" t="s">
        <v>398</v>
      </c>
    </row>
    <row r="1318" spans="1:11">
      <c r="A1318" s="50">
        <v>43948</v>
      </c>
      <c r="B1318" s="50">
        <v>0.42708333333333331</v>
      </c>
      <c r="C1318" s="50" t="s">
        <v>41</v>
      </c>
      <c r="E1318" s="50">
        <v>94</v>
      </c>
      <c r="F1318" s="50">
        <v>2</v>
      </c>
      <c r="G1318" s="50">
        <v>2</v>
      </c>
      <c r="J1318" s="50">
        <v>3</v>
      </c>
      <c r="K1318" s="50" t="s">
        <v>43</v>
      </c>
    </row>
    <row r="1319" spans="1:11">
      <c r="A1319" s="50">
        <v>43948</v>
      </c>
      <c r="B1319" s="50">
        <v>0.4375</v>
      </c>
      <c r="C1319" s="50" t="s">
        <v>50</v>
      </c>
      <c r="E1319" s="50">
        <v>941</v>
      </c>
      <c r="J1319" s="50">
        <v>46</v>
      </c>
      <c r="K1319" s="50" t="s">
        <v>415</v>
      </c>
    </row>
    <row r="1320" spans="1:11">
      <c r="A1320" s="50">
        <v>43948</v>
      </c>
      <c r="B1320" s="50">
        <v>0.45833333333333331</v>
      </c>
      <c r="C1320" s="50" t="s">
        <v>38</v>
      </c>
      <c r="E1320" s="50">
        <v>25</v>
      </c>
      <c r="K1320" s="50" t="s">
        <v>40</v>
      </c>
    </row>
    <row r="1321" spans="1:11">
      <c r="A1321" s="50">
        <v>43948</v>
      </c>
      <c r="B1321" s="50">
        <v>0.5</v>
      </c>
      <c r="C1321" s="50" t="s">
        <v>58</v>
      </c>
      <c r="F1321" s="50">
        <v>270</v>
      </c>
      <c r="G1321" s="50">
        <v>26</v>
      </c>
      <c r="H1321" s="50">
        <v>24</v>
      </c>
      <c r="I1321" s="50">
        <v>610</v>
      </c>
      <c r="K1321" s="50" t="s">
        <v>60</v>
      </c>
    </row>
    <row r="1322" spans="1:11">
      <c r="A1322" s="50">
        <v>43948</v>
      </c>
      <c r="B1322" s="50">
        <v>0.5</v>
      </c>
      <c r="C1322" s="50" t="s">
        <v>68</v>
      </c>
      <c r="E1322" s="50">
        <v>674</v>
      </c>
      <c r="F1322" s="50">
        <v>32</v>
      </c>
      <c r="G1322" s="50">
        <v>7</v>
      </c>
      <c r="J1322" s="50">
        <v>16</v>
      </c>
      <c r="K1322" s="50" t="s">
        <v>70</v>
      </c>
    </row>
    <row r="1323" spans="1:11">
      <c r="A1323" s="50">
        <v>43948</v>
      </c>
      <c r="B1323" s="50">
        <v>0.5625</v>
      </c>
      <c r="C1323" s="50" t="s">
        <v>61</v>
      </c>
      <c r="E1323" s="50">
        <v>121</v>
      </c>
      <c r="F1323" s="50">
        <v>3</v>
      </c>
      <c r="J1323" s="50">
        <v>7</v>
      </c>
      <c r="K1323" s="50" t="s">
        <v>387</v>
      </c>
    </row>
    <row r="1324" spans="1:11">
      <c r="A1324" s="50">
        <v>43948</v>
      </c>
      <c r="B1324" s="50">
        <v>0.58333333333333337</v>
      </c>
      <c r="C1324" s="50" t="s">
        <v>94</v>
      </c>
      <c r="E1324" s="50">
        <v>83</v>
      </c>
      <c r="F1324" s="50">
        <v>4</v>
      </c>
      <c r="I1324" s="50">
        <v>69</v>
      </c>
      <c r="J1324" s="50">
        <v>5</v>
      </c>
      <c r="K1324" s="50" t="s">
        <v>96</v>
      </c>
    </row>
    <row r="1325" spans="1:11">
      <c r="A1325" s="50">
        <v>43948</v>
      </c>
      <c r="B1325" s="50">
        <v>0.60416666666666663</v>
      </c>
      <c r="C1325" s="50" t="s">
        <v>104</v>
      </c>
      <c r="E1325" s="50">
        <v>3418</v>
      </c>
      <c r="F1325" s="50">
        <v>73</v>
      </c>
      <c r="H1325" s="50">
        <v>24</v>
      </c>
      <c r="J1325" s="50">
        <v>119</v>
      </c>
      <c r="K1325" s="50" t="s">
        <v>106</v>
      </c>
    </row>
    <row r="1326" spans="1:11">
      <c r="A1326" s="50">
        <v>43948</v>
      </c>
      <c r="B1326" s="50">
        <v>0.61458333333333337</v>
      </c>
      <c r="C1326" s="50" t="s">
        <v>34</v>
      </c>
      <c r="E1326" s="50">
        <v>1088</v>
      </c>
      <c r="F1326" s="50">
        <v>42</v>
      </c>
      <c r="G1326" s="50">
        <v>15</v>
      </c>
      <c r="H1326" s="50">
        <v>14</v>
      </c>
      <c r="I1326" s="50">
        <v>830</v>
      </c>
      <c r="J1326" s="50">
        <v>33</v>
      </c>
      <c r="K1326" s="50" t="s">
        <v>414</v>
      </c>
    </row>
    <row r="1327" spans="1:11">
      <c r="A1327" s="50">
        <v>43948</v>
      </c>
      <c r="B1327" s="50">
        <v>0.64583333333333337</v>
      </c>
      <c r="C1327" s="50" t="s">
        <v>75</v>
      </c>
      <c r="E1327" s="50">
        <v>75</v>
      </c>
      <c r="F1327" s="50">
        <v>0</v>
      </c>
      <c r="J1327" s="50">
        <v>0</v>
      </c>
      <c r="K1327" s="50" t="s">
        <v>77</v>
      </c>
    </row>
    <row r="1328" spans="1:11">
      <c r="A1328" s="50">
        <v>43949</v>
      </c>
      <c r="C1328" s="50" t="s">
        <v>47</v>
      </c>
      <c r="E1328" s="50">
        <v>818</v>
      </c>
      <c r="F1328" s="50">
        <v>15</v>
      </c>
      <c r="G1328" s="50">
        <v>1</v>
      </c>
      <c r="H1328" s="50">
        <v>0</v>
      </c>
      <c r="I1328" s="50">
        <v>747</v>
      </c>
      <c r="J1328" s="50">
        <v>30</v>
      </c>
      <c r="K1328" s="50" t="s">
        <v>49</v>
      </c>
    </row>
    <row r="1329" spans="1:11">
      <c r="A1329" s="50">
        <v>43949</v>
      </c>
      <c r="C1329" s="50" t="s">
        <v>53</v>
      </c>
      <c r="E1329" s="50">
        <v>82</v>
      </c>
      <c r="J1329" s="50">
        <v>1</v>
      </c>
      <c r="K1329" s="50" t="s">
        <v>426</v>
      </c>
    </row>
    <row r="1330" spans="1:11">
      <c r="A1330" s="50">
        <v>43949</v>
      </c>
      <c r="C1330" s="50" t="s">
        <v>56</v>
      </c>
      <c r="E1330" s="50">
        <v>1044</v>
      </c>
      <c r="F1330" s="50">
        <v>49</v>
      </c>
      <c r="G1330" s="50">
        <v>5</v>
      </c>
      <c r="I1330" s="50">
        <v>121</v>
      </c>
      <c r="J1330" s="50">
        <v>78</v>
      </c>
      <c r="K1330" s="50" t="s">
        <v>420</v>
      </c>
    </row>
    <row r="1331" spans="1:11">
      <c r="A1331" s="50">
        <v>43949</v>
      </c>
      <c r="C1331" s="50" t="s">
        <v>63</v>
      </c>
      <c r="E1331" s="50">
        <v>809</v>
      </c>
      <c r="F1331" s="50">
        <v>27</v>
      </c>
      <c r="J1331" s="50">
        <v>45</v>
      </c>
      <c r="K1331" s="50" t="s">
        <v>65</v>
      </c>
    </row>
    <row r="1332" spans="1:11">
      <c r="A1332" s="50">
        <v>43949</v>
      </c>
      <c r="C1332" s="50" t="s">
        <v>66</v>
      </c>
      <c r="E1332" s="50">
        <v>197</v>
      </c>
      <c r="F1332" s="50">
        <v>9</v>
      </c>
      <c r="G1332" s="50">
        <v>4</v>
      </c>
      <c r="J1332" s="50">
        <v>7</v>
      </c>
      <c r="K1332" s="50" t="s">
        <v>427</v>
      </c>
    </row>
    <row r="1333" spans="1:11">
      <c r="A1333" s="50">
        <v>43949</v>
      </c>
      <c r="C1333" s="50" t="s">
        <v>68</v>
      </c>
      <c r="E1333" s="50">
        <v>677</v>
      </c>
      <c r="F1333" s="50">
        <v>29</v>
      </c>
      <c r="G1333" s="50">
        <v>7</v>
      </c>
      <c r="J1333" s="50">
        <v>17</v>
      </c>
      <c r="K1333" s="50" t="s">
        <v>70</v>
      </c>
    </row>
    <row r="1334" spans="1:11">
      <c r="A1334" s="50">
        <v>43949</v>
      </c>
      <c r="C1334" s="50" t="s">
        <v>71</v>
      </c>
      <c r="F1334" s="50">
        <v>26</v>
      </c>
      <c r="G1334" s="50">
        <v>3</v>
      </c>
      <c r="H1334" s="50">
        <v>3</v>
      </c>
      <c r="K1334" s="50" t="s">
        <v>377</v>
      </c>
    </row>
    <row r="1335" spans="1:11">
      <c r="A1335" s="50">
        <v>43949</v>
      </c>
      <c r="C1335" s="50" t="s">
        <v>73</v>
      </c>
      <c r="E1335" s="50">
        <v>111</v>
      </c>
      <c r="F1335" s="50">
        <v>2</v>
      </c>
      <c r="G1335" s="50">
        <v>0</v>
      </c>
      <c r="J1335" s="50">
        <v>3</v>
      </c>
      <c r="K1335" s="50" t="s">
        <v>357</v>
      </c>
    </row>
    <row r="1336" spans="1:11">
      <c r="A1336" s="50">
        <v>43949</v>
      </c>
      <c r="C1336" s="50" t="s">
        <v>78</v>
      </c>
      <c r="E1336" s="50">
        <v>775</v>
      </c>
      <c r="F1336" s="50">
        <v>44</v>
      </c>
      <c r="G1336" s="50">
        <v>3</v>
      </c>
      <c r="I1336" s="50">
        <v>176</v>
      </c>
      <c r="J1336" s="50">
        <v>33</v>
      </c>
      <c r="K1336" s="50" t="s">
        <v>80</v>
      </c>
    </row>
    <row r="1337" spans="1:11">
      <c r="A1337" s="50">
        <v>43949</v>
      </c>
      <c r="C1337" s="50" t="s">
        <v>88</v>
      </c>
      <c r="E1337" s="50">
        <v>362</v>
      </c>
      <c r="F1337" s="50">
        <v>21</v>
      </c>
      <c r="G1337" s="50">
        <v>8</v>
      </c>
      <c r="J1337" s="50">
        <v>17</v>
      </c>
      <c r="K1337" s="50" t="s">
        <v>90</v>
      </c>
    </row>
    <row r="1338" spans="1:11">
      <c r="A1338" s="50">
        <v>43949</v>
      </c>
      <c r="C1338" s="50" t="s">
        <v>100</v>
      </c>
      <c r="E1338" s="50">
        <v>1852</v>
      </c>
      <c r="F1338" s="50">
        <v>56</v>
      </c>
      <c r="G1338" s="50">
        <v>13</v>
      </c>
      <c r="H1338" s="50">
        <v>9</v>
      </c>
      <c r="I1338" s="50">
        <v>233</v>
      </c>
      <c r="J1338" s="50">
        <v>135</v>
      </c>
      <c r="K1338" s="50" t="s">
        <v>430</v>
      </c>
    </row>
    <row r="1339" spans="1:11">
      <c r="A1339" s="50">
        <v>43949</v>
      </c>
      <c r="B1339" s="50">
        <v>0</v>
      </c>
      <c r="C1339" s="50" t="s">
        <v>83</v>
      </c>
      <c r="E1339" s="50">
        <v>383</v>
      </c>
      <c r="F1339" s="50">
        <v>13</v>
      </c>
      <c r="J1339" s="50">
        <v>15</v>
      </c>
      <c r="K1339" s="50" t="s">
        <v>388</v>
      </c>
    </row>
    <row r="1340" spans="1:11">
      <c r="A1340" s="50">
        <v>43949</v>
      </c>
      <c r="B1340" s="50">
        <v>0.33333333333333331</v>
      </c>
      <c r="C1340" s="50" t="s">
        <v>44</v>
      </c>
      <c r="E1340" s="50">
        <v>1733</v>
      </c>
      <c r="F1340" s="50">
        <v>47</v>
      </c>
      <c r="G1340" s="50">
        <v>7</v>
      </c>
      <c r="H1340" s="50">
        <v>7</v>
      </c>
      <c r="J1340" s="50">
        <v>83</v>
      </c>
      <c r="K1340" s="50" t="s">
        <v>46</v>
      </c>
    </row>
    <row r="1341" spans="1:11">
      <c r="A1341" s="50">
        <v>43949</v>
      </c>
      <c r="B1341" s="50">
        <v>0.33333333333333331</v>
      </c>
      <c r="C1341" s="50" t="s">
        <v>91</v>
      </c>
      <c r="E1341" s="50">
        <v>3176</v>
      </c>
      <c r="F1341" s="50">
        <v>186</v>
      </c>
      <c r="G1341" s="50">
        <v>30</v>
      </c>
      <c r="H1341" s="50">
        <v>22</v>
      </c>
      <c r="I1341" s="50">
        <v>712</v>
      </c>
      <c r="J1341" s="50">
        <v>316</v>
      </c>
      <c r="K1341" s="50" t="s">
        <v>431</v>
      </c>
    </row>
    <row r="1342" spans="1:11">
      <c r="A1342" s="50">
        <v>43949</v>
      </c>
      <c r="B1342" s="50">
        <v>0.33333333333333331</v>
      </c>
      <c r="C1342" s="50" t="s">
        <v>102</v>
      </c>
      <c r="E1342" s="50">
        <v>185</v>
      </c>
      <c r="F1342" s="50">
        <v>7</v>
      </c>
      <c r="G1342" s="50">
        <v>3</v>
      </c>
      <c r="I1342" s="50">
        <v>134</v>
      </c>
      <c r="J1342" s="50">
        <v>8</v>
      </c>
      <c r="K1342" s="50" t="s">
        <v>381</v>
      </c>
    </row>
    <row r="1343" spans="1:11">
      <c r="A1343" s="50">
        <v>43949</v>
      </c>
      <c r="B1343" s="50">
        <v>0.39583333333333331</v>
      </c>
      <c r="C1343" s="50" t="s">
        <v>50</v>
      </c>
      <c r="E1343" s="50">
        <v>943</v>
      </c>
      <c r="F1343" s="50">
        <v>28</v>
      </c>
      <c r="G1343" s="50">
        <v>7</v>
      </c>
      <c r="J1343" s="50">
        <v>49</v>
      </c>
      <c r="K1343" s="50" t="s">
        <v>419</v>
      </c>
    </row>
    <row r="1344" spans="1:11">
      <c r="A1344" s="50">
        <v>43949</v>
      </c>
      <c r="B1344" s="50">
        <v>0.39583333333333331</v>
      </c>
      <c r="C1344" s="50" t="s">
        <v>81</v>
      </c>
      <c r="E1344" s="50">
        <v>74</v>
      </c>
      <c r="F1344" s="50">
        <v>10</v>
      </c>
      <c r="G1344" s="50">
        <v>2</v>
      </c>
      <c r="J1344" s="50">
        <v>6</v>
      </c>
      <c r="K1344" s="50" t="s">
        <v>428</v>
      </c>
    </row>
    <row r="1345" spans="1:11">
      <c r="A1345" s="50">
        <v>43949</v>
      </c>
      <c r="B1345" s="50">
        <v>0.40277777777777779</v>
      </c>
      <c r="C1345" s="50" t="s">
        <v>41</v>
      </c>
      <c r="E1345" s="50">
        <v>94</v>
      </c>
      <c r="F1345" s="50">
        <v>4</v>
      </c>
      <c r="G1345" s="50">
        <v>2</v>
      </c>
      <c r="J1345" s="50">
        <v>3</v>
      </c>
      <c r="K1345" s="50" t="s">
        <v>43</v>
      </c>
    </row>
    <row r="1346" spans="1:11">
      <c r="A1346" s="50">
        <v>43949</v>
      </c>
      <c r="B1346" s="50">
        <v>0.41666666666666669</v>
      </c>
      <c r="C1346" s="50" t="s">
        <v>86</v>
      </c>
      <c r="E1346" s="50">
        <v>295</v>
      </c>
      <c r="I1346" s="50">
        <v>223</v>
      </c>
      <c r="J1346" s="50">
        <v>20</v>
      </c>
      <c r="K1346" s="50" t="s">
        <v>398</v>
      </c>
    </row>
    <row r="1347" spans="1:11">
      <c r="A1347" s="50">
        <v>43949</v>
      </c>
      <c r="B1347" s="50">
        <v>0.45833333333333331</v>
      </c>
      <c r="C1347" s="50" t="s">
        <v>38</v>
      </c>
      <c r="E1347" s="50">
        <v>25</v>
      </c>
      <c r="K1347" s="50" t="s">
        <v>40</v>
      </c>
    </row>
    <row r="1348" spans="1:11">
      <c r="A1348" s="50">
        <v>43949</v>
      </c>
      <c r="B1348" s="50">
        <v>0.5</v>
      </c>
      <c r="C1348" s="50" t="s">
        <v>94</v>
      </c>
      <c r="E1348" s="50">
        <v>85</v>
      </c>
      <c r="F1348" s="50">
        <v>5</v>
      </c>
      <c r="I1348" s="50">
        <v>71</v>
      </c>
      <c r="J1348" s="50">
        <v>5</v>
      </c>
      <c r="K1348" s="50" t="s">
        <v>96</v>
      </c>
    </row>
    <row r="1349" spans="1:11">
      <c r="A1349" s="50">
        <v>43949</v>
      </c>
      <c r="B1349" s="50">
        <v>0.5625</v>
      </c>
      <c r="C1349" s="50" t="s">
        <v>61</v>
      </c>
      <c r="E1349" s="50">
        <v>121</v>
      </c>
      <c r="F1349" s="50">
        <v>3</v>
      </c>
      <c r="J1349" s="50">
        <v>8</v>
      </c>
      <c r="K1349" s="50" t="s">
        <v>387</v>
      </c>
    </row>
    <row r="1350" spans="1:11">
      <c r="A1350" s="50">
        <v>43949</v>
      </c>
      <c r="B1350" s="50">
        <v>0.60416666666666663</v>
      </c>
      <c r="C1350" s="50" t="s">
        <v>104</v>
      </c>
      <c r="E1350" s="50">
        <v>3433</v>
      </c>
      <c r="F1350" s="50">
        <v>84</v>
      </c>
      <c r="H1350" s="50">
        <v>19</v>
      </c>
      <c r="J1350" s="50">
        <v>119</v>
      </c>
      <c r="K1350" s="50" t="s">
        <v>106</v>
      </c>
    </row>
    <row r="1351" spans="1:11">
      <c r="A1351" s="50">
        <v>43949</v>
      </c>
      <c r="B1351" s="50">
        <v>0.61458333333333337</v>
      </c>
      <c r="C1351" s="50" t="s">
        <v>34</v>
      </c>
      <c r="E1351" s="50">
        <v>1093</v>
      </c>
      <c r="F1351" s="50">
        <v>39</v>
      </c>
      <c r="G1351" s="50">
        <v>12</v>
      </c>
      <c r="H1351" s="50">
        <v>11</v>
      </c>
      <c r="I1351" s="50">
        <v>840</v>
      </c>
      <c r="J1351" s="50">
        <v>33</v>
      </c>
      <c r="K1351" s="50" t="s">
        <v>432</v>
      </c>
    </row>
    <row r="1352" spans="1:11">
      <c r="A1352" s="50">
        <v>43949</v>
      </c>
      <c r="B1352" s="50">
        <v>0.63541666666666663</v>
      </c>
      <c r="C1352" s="50" t="s">
        <v>75</v>
      </c>
      <c r="E1352" s="50">
        <v>78</v>
      </c>
      <c r="F1352" s="50">
        <v>1</v>
      </c>
      <c r="J1352" s="50">
        <v>0</v>
      </c>
      <c r="K1352" s="50" t="s">
        <v>77</v>
      </c>
    </row>
    <row r="1353" spans="1:11">
      <c r="A1353" s="50">
        <v>43950</v>
      </c>
      <c r="C1353" s="50" t="s">
        <v>47</v>
      </c>
      <c r="E1353" s="50">
        <v>822</v>
      </c>
      <c r="F1353" s="50">
        <v>12</v>
      </c>
      <c r="G1353" s="50">
        <v>1</v>
      </c>
      <c r="H1353" s="50">
        <v>1</v>
      </c>
      <c r="I1353" s="50">
        <v>752</v>
      </c>
      <c r="J1353" s="50">
        <v>30</v>
      </c>
      <c r="K1353" s="50" t="s">
        <v>49</v>
      </c>
    </row>
    <row r="1354" spans="1:11">
      <c r="A1354" s="50">
        <v>43950</v>
      </c>
      <c r="C1354" s="50" t="s">
        <v>53</v>
      </c>
      <c r="E1354" s="50">
        <v>82</v>
      </c>
      <c r="K1354" s="50" t="s">
        <v>433</v>
      </c>
    </row>
    <row r="1355" spans="1:11">
      <c r="A1355" s="50">
        <v>43950</v>
      </c>
      <c r="C1355" s="50" t="s">
        <v>68</v>
      </c>
      <c r="E1355" s="50">
        <v>687</v>
      </c>
      <c r="F1355" s="50">
        <v>31</v>
      </c>
      <c r="G1355" s="50">
        <v>8</v>
      </c>
      <c r="J1355" s="50">
        <v>17</v>
      </c>
      <c r="K1355" s="50" t="s">
        <v>70</v>
      </c>
    </row>
    <row r="1356" spans="1:11">
      <c r="A1356" s="50">
        <v>43950</v>
      </c>
      <c r="C1356" s="50" t="s">
        <v>78</v>
      </c>
      <c r="E1356" s="50">
        <v>776</v>
      </c>
      <c r="F1356" s="50">
        <v>44</v>
      </c>
      <c r="G1356" s="50">
        <v>10</v>
      </c>
      <c r="I1356" s="50">
        <v>176</v>
      </c>
      <c r="J1356" s="50">
        <v>33</v>
      </c>
      <c r="K1356" s="50" t="s">
        <v>80</v>
      </c>
    </row>
    <row r="1357" spans="1:11">
      <c r="A1357" s="50">
        <v>43950</v>
      </c>
      <c r="C1357" s="50" t="s">
        <v>88</v>
      </c>
      <c r="E1357" s="50">
        <v>363</v>
      </c>
      <c r="F1357" s="50">
        <v>15</v>
      </c>
      <c r="G1357" s="50">
        <v>7</v>
      </c>
      <c r="J1357" s="50">
        <v>17</v>
      </c>
      <c r="K1357" s="50" t="s">
        <v>90</v>
      </c>
    </row>
    <row r="1358" spans="1:11">
      <c r="A1358" s="50">
        <v>43950</v>
      </c>
      <c r="C1358" s="50" t="s">
        <v>100</v>
      </c>
      <c r="E1358" s="50">
        <v>1853</v>
      </c>
      <c r="F1358" s="50">
        <v>56</v>
      </c>
      <c r="G1358" s="50">
        <v>11</v>
      </c>
      <c r="H1358" s="50">
        <v>9</v>
      </c>
      <c r="I1358" s="50">
        <v>237</v>
      </c>
      <c r="J1358" s="50">
        <v>136</v>
      </c>
      <c r="K1358" s="50" t="s">
        <v>430</v>
      </c>
    </row>
    <row r="1359" spans="1:11">
      <c r="A1359" s="50">
        <v>43950</v>
      </c>
      <c r="B1359" s="50">
        <v>0</v>
      </c>
      <c r="C1359" s="50" t="s">
        <v>83</v>
      </c>
      <c r="E1359" s="50">
        <v>384</v>
      </c>
      <c r="F1359" s="50">
        <v>12</v>
      </c>
      <c r="J1359" s="50">
        <v>15</v>
      </c>
      <c r="K1359" s="50" t="s">
        <v>388</v>
      </c>
    </row>
    <row r="1360" spans="1:11">
      <c r="A1360" s="50">
        <v>43950</v>
      </c>
      <c r="B1360" s="50">
        <v>0.33333333333333331</v>
      </c>
      <c r="C1360" s="50" t="s">
        <v>44</v>
      </c>
      <c r="E1360" s="50">
        <v>1741</v>
      </c>
      <c r="F1360" s="50">
        <v>44</v>
      </c>
      <c r="G1360" s="50">
        <v>10</v>
      </c>
      <c r="H1360" s="50">
        <v>10</v>
      </c>
      <c r="J1360" s="50">
        <v>83</v>
      </c>
      <c r="K1360" s="50" t="s">
        <v>46</v>
      </c>
    </row>
    <row r="1361" spans="1:11">
      <c r="A1361" s="50">
        <v>43950</v>
      </c>
      <c r="B1361" s="50">
        <v>0.33333333333333331</v>
      </c>
      <c r="C1361" s="50" t="s">
        <v>91</v>
      </c>
      <c r="E1361" s="50">
        <v>3191</v>
      </c>
      <c r="F1361" s="50">
        <v>186</v>
      </c>
      <c r="G1361" s="50">
        <v>30</v>
      </c>
      <c r="H1361" s="50">
        <v>22</v>
      </c>
      <c r="I1361" s="50">
        <v>712</v>
      </c>
      <c r="J1361" s="50">
        <v>318</v>
      </c>
      <c r="K1361" s="50" t="s">
        <v>429</v>
      </c>
    </row>
    <row r="1362" spans="1:11">
      <c r="A1362" s="50">
        <v>43950</v>
      </c>
      <c r="B1362" s="50">
        <v>0.33333333333333331</v>
      </c>
      <c r="C1362" s="50" t="s">
        <v>102</v>
      </c>
      <c r="E1362" s="50">
        <v>185</v>
      </c>
      <c r="F1362" s="50">
        <v>6</v>
      </c>
      <c r="G1362" s="50">
        <v>3</v>
      </c>
      <c r="I1362" s="50">
        <v>135</v>
      </c>
      <c r="J1362" s="50">
        <v>8</v>
      </c>
      <c r="K1362" s="50" t="s">
        <v>381</v>
      </c>
    </row>
    <row r="1363" spans="1:11">
      <c r="A1363" s="50">
        <v>43950</v>
      </c>
      <c r="B1363" s="50">
        <v>0.39583333333333331</v>
      </c>
      <c r="C1363" s="50" t="s">
        <v>81</v>
      </c>
      <c r="E1363" s="50">
        <v>74</v>
      </c>
      <c r="F1363" s="50">
        <v>12</v>
      </c>
      <c r="G1363" s="50">
        <v>2</v>
      </c>
      <c r="J1363" s="50">
        <v>6</v>
      </c>
      <c r="K1363" s="50" t="s">
        <v>428</v>
      </c>
    </row>
    <row r="1364" spans="1:11">
      <c r="A1364" s="50">
        <v>43950</v>
      </c>
      <c r="B1364" s="50">
        <v>0.41666666666666669</v>
      </c>
      <c r="C1364" s="50" t="s">
        <v>86</v>
      </c>
      <c r="E1364" s="50">
        <v>295</v>
      </c>
      <c r="I1364" s="50">
        <v>224</v>
      </c>
      <c r="J1364" s="50">
        <v>20</v>
      </c>
      <c r="K1364" s="50" t="s">
        <v>398</v>
      </c>
    </row>
    <row r="1365" spans="1:11">
      <c r="A1365" s="50">
        <v>43950</v>
      </c>
      <c r="B1365" s="50">
        <v>0.43055555555555558</v>
      </c>
      <c r="C1365" s="50" t="s">
        <v>41</v>
      </c>
      <c r="E1365" s="50">
        <v>94</v>
      </c>
      <c r="F1365" s="50">
        <v>2</v>
      </c>
      <c r="G1365" s="50">
        <v>2</v>
      </c>
      <c r="J1365" s="50">
        <v>3</v>
      </c>
      <c r="K1365" s="50" t="s">
        <v>43</v>
      </c>
    </row>
    <row r="1366" spans="1:11">
      <c r="A1366" s="50">
        <v>43950</v>
      </c>
      <c r="B1366" s="50">
        <v>0.4375</v>
      </c>
      <c r="C1366" s="50" t="s">
        <v>50</v>
      </c>
      <c r="E1366" s="50">
        <v>946</v>
      </c>
      <c r="F1366" s="50">
        <v>26</v>
      </c>
      <c r="G1366" s="50">
        <v>7</v>
      </c>
      <c r="I1366" s="50">
        <v>810</v>
      </c>
      <c r="J1366" s="50">
        <v>49</v>
      </c>
      <c r="K1366" s="50" t="s">
        <v>425</v>
      </c>
    </row>
    <row r="1367" spans="1:11">
      <c r="A1367" s="50">
        <v>43950</v>
      </c>
      <c r="B1367" s="50">
        <v>0.45833333333333331</v>
      </c>
      <c r="C1367" s="50" t="s">
        <v>38</v>
      </c>
      <c r="E1367" s="50">
        <v>25</v>
      </c>
      <c r="K1367" s="50" t="s">
        <v>40</v>
      </c>
    </row>
    <row r="1368" spans="1:11">
      <c r="A1368" s="50">
        <v>43950</v>
      </c>
      <c r="B1368" s="50">
        <v>0.5625</v>
      </c>
      <c r="C1368" s="50" t="s">
        <v>61</v>
      </c>
      <c r="E1368" s="50">
        <v>122</v>
      </c>
      <c r="F1368" s="50">
        <v>3</v>
      </c>
      <c r="J1368" s="50">
        <v>9</v>
      </c>
      <c r="K1368" s="50" t="s">
        <v>387</v>
      </c>
    </row>
    <row r="1369" spans="1:11">
      <c r="A1369" s="50">
        <v>43950</v>
      </c>
      <c r="B1369" s="50">
        <v>0.58333333333333337</v>
      </c>
      <c r="C1369" s="50" t="s">
        <v>94</v>
      </c>
      <c r="E1369" s="50">
        <v>85</v>
      </c>
      <c r="F1369" s="50">
        <v>5</v>
      </c>
      <c r="I1369" s="50">
        <v>71</v>
      </c>
      <c r="J1369" s="50">
        <v>5</v>
      </c>
      <c r="K1369" s="50" t="s">
        <v>96</v>
      </c>
    </row>
    <row r="1370" spans="1:11">
      <c r="A1370" s="50">
        <v>43950</v>
      </c>
      <c r="B1370" s="50">
        <v>0.60416666666666663</v>
      </c>
      <c r="C1370" s="50" t="s">
        <v>104</v>
      </c>
      <c r="E1370" s="50">
        <v>3462</v>
      </c>
      <c r="F1370" s="50">
        <v>82</v>
      </c>
      <c r="H1370" s="50">
        <v>19</v>
      </c>
      <c r="J1370" s="50">
        <v>119</v>
      </c>
      <c r="K1370" s="50" t="s">
        <v>106</v>
      </c>
    </row>
    <row r="1371" spans="1:11">
      <c r="A1371" s="50">
        <v>43950</v>
      </c>
      <c r="B1371" s="50">
        <v>0.61458333333333337</v>
      </c>
      <c r="C1371" s="50" t="s">
        <v>34</v>
      </c>
      <c r="E1371" s="50">
        <v>1099</v>
      </c>
      <c r="F1371" s="50">
        <v>38</v>
      </c>
      <c r="G1371" s="50">
        <v>10</v>
      </c>
      <c r="H1371" s="50">
        <v>9</v>
      </c>
      <c r="I1371" s="50">
        <v>850</v>
      </c>
      <c r="J1371" s="50">
        <v>33</v>
      </c>
      <c r="K1371" s="50" t="s">
        <v>423</v>
      </c>
    </row>
    <row r="1372" spans="1:11">
      <c r="A1372" s="50">
        <v>43950</v>
      </c>
      <c r="B1372" s="50">
        <v>0.63541666666666663</v>
      </c>
      <c r="C1372" s="50" t="s">
        <v>75</v>
      </c>
      <c r="E1372" s="50">
        <v>78</v>
      </c>
      <c r="F1372" s="50">
        <v>2</v>
      </c>
      <c r="J1372" s="50">
        <v>0</v>
      </c>
      <c r="K1372" s="50" t="s">
        <v>77</v>
      </c>
    </row>
  </sheetData>
  <pageMargins left="0.7" right="0.7" top="0.78740157499999996" bottom="0.78740157499999996"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53260-071C-42BC-9DC0-774571999768}">
  <sheetPr codeName="Tabelle6"/>
  <dimension ref="A1:Y32"/>
  <sheetViews>
    <sheetView workbookViewId="0">
      <selection activeCell="C39" sqref="C39"/>
    </sheetView>
  </sheetViews>
  <sheetFormatPr baseColWidth="10" defaultRowHeight="14.5"/>
  <cols>
    <col min="1" max="1" width="14.6328125" customWidth="1"/>
  </cols>
  <sheetData>
    <row r="1" spans="1:25">
      <c r="A1" s="7" t="s">
        <v>315</v>
      </c>
      <c r="B1" s="7" t="s">
        <v>316</v>
      </c>
      <c r="C1" s="8" t="s">
        <v>380</v>
      </c>
      <c r="D1" s="8" t="s">
        <v>379</v>
      </c>
      <c r="E1" s="7" t="s">
        <v>317</v>
      </c>
      <c r="F1" s="8"/>
      <c r="H1" s="8"/>
      <c r="I1" s="8"/>
      <c r="J1" s="8"/>
      <c r="K1" s="8"/>
      <c r="L1" s="8"/>
      <c r="M1" s="8"/>
      <c r="N1" s="8"/>
      <c r="O1" s="8"/>
      <c r="P1" s="8"/>
      <c r="Q1" s="8"/>
      <c r="R1" s="8"/>
      <c r="S1" s="8"/>
      <c r="T1" s="8"/>
      <c r="U1" s="8"/>
      <c r="V1" s="8"/>
      <c r="W1" s="8"/>
      <c r="X1" s="8"/>
      <c r="Y1" s="8"/>
    </row>
    <row r="2" spans="1:25">
      <c r="A2" t="s">
        <v>318</v>
      </c>
      <c r="B2" t="s">
        <v>34</v>
      </c>
      <c r="C2" s="9" t="str">
        <f>kt_latest!E2</f>
        <v>Aargau</v>
      </c>
      <c r="D2" s="9">
        <f>kt_latest!R2</f>
        <v>33</v>
      </c>
      <c r="E2" s="5">
        <v>878</v>
      </c>
      <c r="F2" s="9"/>
      <c r="H2" s="9"/>
      <c r="I2" s="9"/>
      <c r="J2" s="9"/>
      <c r="K2" s="9"/>
      <c r="L2" s="9"/>
      <c r="M2" s="9"/>
      <c r="N2" s="9"/>
      <c r="O2" s="9"/>
      <c r="P2" s="11"/>
      <c r="Q2" s="11"/>
      <c r="R2" s="9"/>
      <c r="S2" s="9"/>
      <c r="T2" s="11"/>
      <c r="U2" s="9"/>
      <c r="V2" s="11"/>
      <c r="W2" s="9"/>
      <c r="X2" s="9"/>
      <c r="Y2" s="9"/>
    </row>
    <row r="3" spans="1:25">
      <c r="A3" t="s">
        <v>318</v>
      </c>
      <c r="B3" t="s">
        <v>38</v>
      </c>
      <c r="C3" s="10" t="str">
        <f>kt_latest!E3</f>
        <v>Appenzell Innerrhoden</v>
      </c>
      <c r="D3" s="10">
        <f>kt_latest!R3</f>
        <v>0</v>
      </c>
      <c r="E3" s="6">
        <v>24</v>
      </c>
      <c r="F3" s="10"/>
      <c r="H3" s="10"/>
      <c r="I3" s="10"/>
      <c r="J3" s="10"/>
      <c r="K3" s="10"/>
      <c r="L3" s="10"/>
      <c r="M3" s="10"/>
      <c r="N3" s="10"/>
      <c r="O3" s="10"/>
      <c r="P3" s="12"/>
      <c r="Q3" s="12"/>
      <c r="R3" s="10"/>
      <c r="S3" s="10"/>
      <c r="T3" s="12"/>
      <c r="U3" s="10"/>
      <c r="V3" s="12"/>
      <c r="W3" s="10"/>
      <c r="X3" s="10"/>
      <c r="Y3" s="10"/>
    </row>
    <row r="4" spans="1:25">
      <c r="A4" t="s">
        <v>318</v>
      </c>
      <c r="B4" t="s">
        <v>41</v>
      </c>
      <c r="C4" s="9" t="str">
        <f>kt_latest!E4</f>
        <v>Appenzell Ausserrhoden</v>
      </c>
      <c r="D4" s="9">
        <f>kt_latest!R4</f>
        <v>3</v>
      </c>
      <c r="E4" s="5">
        <v>77</v>
      </c>
      <c r="F4" s="9"/>
      <c r="H4" s="9"/>
      <c r="I4" s="9"/>
      <c r="J4" s="9"/>
      <c r="K4" s="9"/>
      <c r="L4" s="9"/>
      <c r="M4" s="9"/>
      <c r="N4" s="9"/>
      <c r="O4" s="9"/>
      <c r="P4" s="11"/>
      <c r="Q4" s="11"/>
      <c r="R4" s="9"/>
      <c r="S4" s="9"/>
      <c r="T4" s="11"/>
      <c r="U4" s="9"/>
      <c r="V4" s="11"/>
      <c r="W4" s="9"/>
      <c r="X4" s="9"/>
      <c r="Y4" s="9"/>
    </row>
    <row r="5" spans="1:25">
      <c r="A5" t="s">
        <v>318</v>
      </c>
      <c r="B5" t="s">
        <v>44</v>
      </c>
      <c r="C5" s="10" t="str">
        <f>kt_latest!E5</f>
        <v>Bern/Berne</v>
      </c>
      <c r="D5" s="10">
        <f>kt_latest!R5</f>
        <v>83</v>
      </c>
      <c r="E5" s="6">
        <v>1419</v>
      </c>
      <c r="F5" s="10"/>
      <c r="H5" s="10"/>
      <c r="I5" s="10"/>
      <c r="J5" s="10"/>
      <c r="K5" s="10"/>
      <c r="L5" s="10"/>
      <c r="M5" s="10"/>
      <c r="N5" s="10"/>
      <c r="O5" s="10"/>
      <c r="P5" s="12"/>
      <c r="Q5" s="12"/>
      <c r="R5" s="10"/>
      <c r="S5" s="10"/>
      <c r="T5" s="12"/>
      <c r="U5" s="10"/>
      <c r="V5" s="12"/>
      <c r="W5" s="10"/>
      <c r="X5" s="10"/>
      <c r="Y5" s="10"/>
    </row>
    <row r="6" spans="1:25">
      <c r="A6" t="s">
        <v>318</v>
      </c>
      <c r="B6" t="s">
        <v>47</v>
      </c>
      <c r="C6" s="9" t="str">
        <f>kt_latest!E6</f>
        <v>Basel-Landschaft</v>
      </c>
      <c r="D6" s="9">
        <f>kt_latest!R6</f>
        <v>30</v>
      </c>
      <c r="E6" s="5">
        <v>736</v>
      </c>
      <c r="F6" s="9"/>
      <c r="H6" s="9"/>
      <c r="I6" s="9"/>
      <c r="J6" s="9"/>
      <c r="K6" s="9"/>
      <c r="L6" s="9"/>
      <c r="M6" s="9"/>
      <c r="N6" s="9"/>
      <c r="O6" s="9"/>
      <c r="P6" s="11"/>
      <c r="Q6" s="11"/>
      <c r="R6" s="9"/>
      <c r="S6" s="9"/>
      <c r="T6" s="11"/>
      <c r="U6" s="9"/>
      <c r="V6" s="11"/>
      <c r="W6" s="9"/>
      <c r="X6" s="9"/>
      <c r="Y6" s="9"/>
    </row>
    <row r="7" spans="1:25">
      <c r="A7" t="s">
        <v>318</v>
      </c>
      <c r="B7" t="s">
        <v>50</v>
      </c>
      <c r="C7" s="10" t="str">
        <f>kt_latest!E7</f>
        <v>Basel-Stadt</v>
      </c>
      <c r="D7" s="10">
        <f>kt_latest!R7</f>
        <v>49</v>
      </c>
      <c r="E7" s="6">
        <v>882</v>
      </c>
      <c r="F7" s="10"/>
      <c r="H7" s="10"/>
      <c r="I7" s="10"/>
      <c r="J7" s="10"/>
      <c r="K7" s="10"/>
      <c r="L7" s="10"/>
      <c r="M7" s="10"/>
      <c r="N7" s="10"/>
      <c r="O7" s="10"/>
      <c r="P7" s="12"/>
      <c r="Q7" s="12"/>
      <c r="R7" s="10"/>
      <c r="S7" s="10"/>
      <c r="T7" s="12"/>
      <c r="U7" s="10"/>
      <c r="V7" s="12"/>
      <c r="W7" s="10"/>
      <c r="X7" s="10"/>
      <c r="Y7" s="10"/>
    </row>
    <row r="8" spans="1:25">
      <c r="A8" t="s">
        <v>318</v>
      </c>
      <c r="B8" t="s">
        <v>56</v>
      </c>
      <c r="C8" s="10" t="str">
        <f>kt_latest!E9</f>
        <v>Fribourg</v>
      </c>
      <c r="D8" s="10">
        <f>kt_latest!R9</f>
        <v>78</v>
      </c>
      <c r="E8" s="6">
        <v>846</v>
      </c>
      <c r="F8" s="10"/>
      <c r="H8" s="10"/>
      <c r="I8" s="10"/>
      <c r="J8" s="10"/>
      <c r="K8" s="10"/>
      <c r="L8" s="10"/>
      <c r="M8" s="10"/>
      <c r="N8" s="10"/>
      <c r="O8" s="10"/>
      <c r="P8" s="12"/>
      <c r="Q8" s="12"/>
      <c r="R8" s="10"/>
      <c r="S8" s="10"/>
      <c r="T8" s="12"/>
      <c r="U8" s="10"/>
      <c r="V8" s="12"/>
      <c r="W8" s="10"/>
      <c r="X8" s="10"/>
      <c r="Y8" s="10"/>
    </row>
    <row r="9" spans="1:25">
      <c r="A9" t="s">
        <v>318</v>
      </c>
      <c r="B9" t="s">
        <v>58</v>
      </c>
      <c r="C9" s="9" t="str">
        <f>kt_latest!E10</f>
        <v>Genève</v>
      </c>
      <c r="D9" s="9">
        <f>kt_latest!R10</f>
        <v>239</v>
      </c>
      <c r="E9" s="5">
        <v>4310</v>
      </c>
      <c r="F9" s="9"/>
      <c r="H9" s="9"/>
      <c r="I9" s="9"/>
      <c r="J9" s="9"/>
      <c r="K9" s="9"/>
      <c r="L9" s="9"/>
      <c r="M9" s="9"/>
      <c r="N9" s="9"/>
      <c r="O9" s="9"/>
      <c r="P9" s="11"/>
      <c r="Q9" s="11"/>
      <c r="R9" s="9"/>
      <c r="S9" s="9"/>
      <c r="T9" s="11"/>
      <c r="U9" s="9"/>
      <c r="V9" s="11"/>
      <c r="W9" s="9"/>
      <c r="X9" s="9"/>
      <c r="Y9" s="9"/>
    </row>
    <row r="10" spans="1:25">
      <c r="A10" t="s">
        <v>318</v>
      </c>
      <c r="B10" t="s">
        <v>61</v>
      </c>
      <c r="C10" s="10" t="str">
        <f>kt_latest!E11</f>
        <v>Glarus</v>
      </c>
      <c r="D10" s="10">
        <f>kt_latest!R11</f>
        <v>9</v>
      </c>
      <c r="E10" s="6">
        <v>91</v>
      </c>
      <c r="F10" s="10"/>
      <c r="H10" s="10"/>
      <c r="I10" s="10"/>
      <c r="J10" s="10"/>
      <c r="K10" s="10"/>
      <c r="L10" s="10"/>
      <c r="M10" s="10"/>
      <c r="N10" s="10"/>
      <c r="O10" s="10"/>
      <c r="P10" s="12"/>
      <c r="Q10" s="12"/>
      <c r="R10" s="10"/>
      <c r="S10" s="10"/>
      <c r="T10" s="12"/>
      <c r="U10" s="10"/>
      <c r="V10" s="12"/>
      <c r="W10" s="10"/>
      <c r="X10" s="10"/>
      <c r="Y10" s="10"/>
    </row>
    <row r="11" spans="1:25">
      <c r="A11" t="s">
        <v>318</v>
      </c>
      <c r="B11" t="s">
        <v>63</v>
      </c>
      <c r="C11" s="9" t="str">
        <f>kt_latest!E12</f>
        <v>Graubünden/Grigioni</v>
      </c>
      <c r="D11" s="9">
        <f>kt_latest!R12</f>
        <v>45</v>
      </c>
      <c r="E11" s="5">
        <v>715</v>
      </c>
      <c r="F11" s="9"/>
      <c r="H11" s="9"/>
      <c r="I11" s="9"/>
      <c r="J11" s="9"/>
      <c r="K11" s="9"/>
      <c r="L11" s="9"/>
      <c r="M11" s="9"/>
      <c r="N11" s="9"/>
      <c r="O11" s="9"/>
      <c r="P11" s="11"/>
      <c r="Q11" s="11"/>
      <c r="R11" s="9"/>
      <c r="S11" s="9"/>
      <c r="T11" s="11"/>
      <c r="U11" s="9"/>
      <c r="V11" s="11"/>
      <c r="W11" s="9"/>
      <c r="X11" s="9"/>
      <c r="Y11" s="9"/>
    </row>
    <row r="12" spans="1:25">
      <c r="A12" t="s">
        <v>318</v>
      </c>
      <c r="B12" t="s">
        <v>66</v>
      </c>
      <c r="C12" s="10" t="str">
        <f>kt_latest!E13</f>
        <v>Jura</v>
      </c>
      <c r="D12" s="10">
        <f>kt_latest!R13</f>
        <v>7</v>
      </c>
      <c r="E12" s="6">
        <v>183</v>
      </c>
      <c r="F12" s="10"/>
      <c r="H12" s="10"/>
      <c r="I12" s="10"/>
      <c r="J12" s="10"/>
      <c r="K12" s="10"/>
      <c r="L12" s="10"/>
      <c r="M12" s="10"/>
      <c r="N12" s="10"/>
      <c r="O12" s="10"/>
      <c r="P12" s="12"/>
      <c r="Q12" s="12"/>
      <c r="R12" s="10"/>
      <c r="S12" s="10"/>
      <c r="T12" s="12"/>
      <c r="U12" s="10"/>
      <c r="V12" s="12"/>
      <c r="W12" s="10"/>
      <c r="X12" s="10"/>
      <c r="Y12" s="10"/>
    </row>
    <row r="13" spans="1:25">
      <c r="A13" t="s">
        <v>318</v>
      </c>
      <c r="B13" t="s">
        <v>68</v>
      </c>
      <c r="C13" s="9" t="str">
        <f>kt_latest!E14</f>
        <v>Luzern</v>
      </c>
      <c r="D13" s="9">
        <f>kt_latest!R14</f>
        <v>17</v>
      </c>
      <c r="E13" s="5">
        <v>568</v>
      </c>
      <c r="F13" s="9"/>
      <c r="H13" s="9"/>
      <c r="I13" s="9"/>
      <c r="J13" s="9"/>
      <c r="K13" s="9"/>
      <c r="L13" s="9"/>
      <c r="M13" s="9"/>
      <c r="N13" s="9"/>
      <c r="O13" s="9"/>
      <c r="P13" s="11"/>
      <c r="Q13" s="11"/>
      <c r="R13" s="9"/>
      <c r="S13" s="9"/>
      <c r="T13" s="11"/>
      <c r="U13" s="9"/>
      <c r="V13" s="11"/>
      <c r="W13" s="9"/>
      <c r="X13" s="9"/>
      <c r="Y13" s="9"/>
    </row>
    <row r="14" spans="1:25">
      <c r="A14" t="s">
        <v>318</v>
      </c>
      <c r="B14" t="s">
        <v>71</v>
      </c>
      <c r="C14" s="10" t="str">
        <f>kt_latest!E15</f>
        <v>Neuchâtel</v>
      </c>
      <c r="D14" s="10">
        <f>kt_latest!R15</f>
        <v>70</v>
      </c>
      <c r="E14" s="6">
        <v>552</v>
      </c>
      <c r="F14" s="10"/>
      <c r="H14" s="10"/>
      <c r="I14" s="10"/>
      <c r="J14" s="10"/>
      <c r="K14" s="10"/>
      <c r="L14" s="10"/>
      <c r="M14" s="10"/>
      <c r="N14" s="10"/>
      <c r="O14" s="10"/>
      <c r="P14" s="12"/>
      <c r="Q14" s="12"/>
      <c r="R14" s="10"/>
      <c r="S14" s="10"/>
      <c r="T14" s="12"/>
      <c r="U14" s="10"/>
      <c r="V14" s="12"/>
      <c r="W14" s="10"/>
      <c r="X14" s="10"/>
      <c r="Y14" s="10"/>
    </row>
    <row r="15" spans="1:25">
      <c r="A15" t="s">
        <v>318</v>
      </c>
      <c r="B15" t="s">
        <v>73</v>
      </c>
      <c r="C15" s="9" t="str">
        <f>kt_latest!E16</f>
        <v>Nidwalden</v>
      </c>
      <c r="D15" s="9">
        <f>kt_latest!R16</f>
        <v>3</v>
      </c>
      <c r="E15" s="5">
        <v>103</v>
      </c>
      <c r="F15" s="9"/>
      <c r="H15" s="9"/>
      <c r="I15" s="9"/>
      <c r="J15" s="9"/>
      <c r="K15" s="9"/>
      <c r="L15" s="9"/>
      <c r="M15" s="9"/>
      <c r="N15" s="9"/>
      <c r="O15" s="9"/>
      <c r="P15" s="11"/>
      <c r="Q15" s="11"/>
      <c r="R15" s="9"/>
      <c r="S15" s="9"/>
      <c r="T15" s="11"/>
      <c r="U15" s="9"/>
      <c r="V15" s="11"/>
      <c r="W15" s="9"/>
      <c r="X15" s="9"/>
      <c r="Y15" s="9"/>
    </row>
    <row r="16" spans="1:25">
      <c r="A16" t="s">
        <v>318</v>
      </c>
      <c r="B16" t="s">
        <v>75</v>
      </c>
      <c r="C16" s="10" t="str">
        <f>kt_latest!E17</f>
        <v>Obwalden</v>
      </c>
      <c r="D16" s="10">
        <f>kt_latest!R17</f>
        <v>0</v>
      </c>
      <c r="E16" s="6">
        <v>62</v>
      </c>
      <c r="F16" s="10"/>
      <c r="H16" s="10"/>
      <c r="I16" s="10"/>
      <c r="J16" s="10"/>
      <c r="K16" s="10"/>
      <c r="L16" s="10"/>
      <c r="M16" s="10"/>
      <c r="N16" s="10"/>
      <c r="O16" s="10"/>
      <c r="P16" s="12"/>
      <c r="Q16" s="12"/>
      <c r="R16" s="10"/>
      <c r="S16" s="10"/>
      <c r="T16" s="12"/>
      <c r="U16" s="10"/>
      <c r="V16" s="12"/>
      <c r="W16" s="10"/>
      <c r="X16" s="10"/>
      <c r="Y16" s="10"/>
    </row>
    <row r="17" spans="1:25">
      <c r="A17" t="s">
        <v>318</v>
      </c>
      <c r="B17" t="s">
        <v>78</v>
      </c>
      <c r="C17" s="9" t="str">
        <f>kt_latest!E18</f>
        <v>St. Gallen</v>
      </c>
      <c r="D17" s="9">
        <f>kt_latest!R18</f>
        <v>33</v>
      </c>
      <c r="E17" s="5">
        <v>649</v>
      </c>
      <c r="F17" s="9"/>
      <c r="H17" s="9"/>
      <c r="I17" s="9"/>
      <c r="J17" s="9"/>
      <c r="K17" s="9"/>
      <c r="L17" s="9"/>
      <c r="M17" s="9"/>
      <c r="N17" s="9"/>
      <c r="O17" s="9"/>
      <c r="P17" s="11"/>
      <c r="Q17" s="11"/>
      <c r="R17" s="9"/>
      <c r="S17" s="9"/>
      <c r="T17" s="11"/>
      <c r="U17" s="9"/>
      <c r="V17" s="11"/>
      <c r="W17" s="9"/>
      <c r="X17" s="9"/>
      <c r="Y17" s="9"/>
    </row>
    <row r="18" spans="1:25">
      <c r="A18" t="s">
        <v>318</v>
      </c>
      <c r="B18" t="s">
        <v>81</v>
      </c>
      <c r="C18" s="10" t="str">
        <f>kt_latest!E19</f>
        <v>Schaffhausen</v>
      </c>
      <c r="D18" s="10">
        <f>kt_latest!R19</f>
        <v>6</v>
      </c>
      <c r="E18" s="6">
        <v>57</v>
      </c>
      <c r="F18" s="10"/>
      <c r="H18" s="10"/>
      <c r="I18" s="10"/>
      <c r="J18" s="10"/>
      <c r="K18" s="10"/>
      <c r="L18" s="10"/>
      <c r="M18" s="10"/>
      <c r="N18" s="10"/>
      <c r="O18" s="10"/>
      <c r="P18" s="12"/>
      <c r="Q18" s="12"/>
      <c r="R18" s="10"/>
      <c r="S18" s="10"/>
      <c r="T18" s="12"/>
      <c r="U18" s="10"/>
      <c r="V18" s="12"/>
      <c r="W18" s="10"/>
      <c r="X18" s="10"/>
      <c r="Y18" s="10"/>
    </row>
    <row r="19" spans="1:25">
      <c r="A19" t="s">
        <v>318</v>
      </c>
      <c r="B19" t="s">
        <v>83</v>
      </c>
      <c r="C19" s="9" t="str">
        <f>kt_latest!E20</f>
        <v>Solothurn</v>
      </c>
      <c r="D19" s="9">
        <f>kt_latest!R20</f>
        <v>15</v>
      </c>
      <c r="E19" s="5">
        <v>306</v>
      </c>
      <c r="F19" s="9"/>
      <c r="H19" s="9"/>
      <c r="I19" s="9"/>
      <c r="J19" s="9"/>
      <c r="K19" s="9"/>
      <c r="L19" s="9"/>
      <c r="M19" s="9"/>
      <c r="N19" s="9"/>
      <c r="O19" s="9"/>
      <c r="P19" s="11"/>
      <c r="Q19" s="11"/>
      <c r="R19" s="9"/>
      <c r="S19" s="9"/>
      <c r="T19" s="11"/>
      <c r="U19" s="9"/>
      <c r="V19" s="11"/>
      <c r="W19" s="9"/>
      <c r="X19" s="9"/>
      <c r="Y19" s="9"/>
    </row>
    <row r="20" spans="1:25">
      <c r="A20" t="s">
        <v>318</v>
      </c>
      <c r="B20" t="s">
        <v>86</v>
      </c>
      <c r="C20" s="10" t="str">
        <f>kt_latest!E21</f>
        <v>Schwyz</v>
      </c>
      <c r="D20" s="10">
        <f>kt_latest!R21</f>
        <v>20</v>
      </c>
      <c r="E20" s="6">
        <v>251</v>
      </c>
      <c r="F20" s="10"/>
      <c r="H20" s="10"/>
      <c r="I20" s="10"/>
      <c r="J20" s="10"/>
      <c r="K20" s="10"/>
      <c r="L20" s="10"/>
      <c r="M20" s="10"/>
      <c r="N20" s="10"/>
      <c r="O20" s="10"/>
      <c r="P20" s="12"/>
      <c r="Q20" s="12"/>
      <c r="R20" s="10"/>
      <c r="S20" s="10"/>
      <c r="T20" s="12"/>
      <c r="U20" s="10"/>
      <c r="V20" s="12"/>
      <c r="W20" s="10"/>
      <c r="X20" s="10"/>
      <c r="Y20" s="10"/>
    </row>
    <row r="21" spans="1:25">
      <c r="A21" t="s">
        <v>318</v>
      </c>
      <c r="B21" t="s">
        <v>88</v>
      </c>
      <c r="C21" s="9" t="str">
        <f>kt_latest!E22</f>
        <v>Thurgau</v>
      </c>
      <c r="D21" s="9">
        <f>kt_latest!R22</f>
        <v>17</v>
      </c>
      <c r="E21" s="5">
        <v>274</v>
      </c>
      <c r="F21" s="9"/>
      <c r="H21" s="9"/>
      <c r="I21" s="9"/>
      <c r="J21" s="9"/>
      <c r="K21" s="9"/>
      <c r="L21" s="9"/>
      <c r="M21" s="9"/>
      <c r="N21" s="9"/>
      <c r="O21" s="9"/>
      <c r="P21" s="11"/>
      <c r="Q21" s="11"/>
      <c r="R21" s="9"/>
      <c r="S21" s="9"/>
      <c r="T21" s="11"/>
      <c r="U21" s="9"/>
      <c r="V21" s="11"/>
      <c r="W21" s="9"/>
      <c r="X21" s="9"/>
      <c r="Y21" s="9"/>
    </row>
    <row r="22" spans="1:25">
      <c r="A22" t="s">
        <v>318</v>
      </c>
      <c r="B22" t="s">
        <v>91</v>
      </c>
      <c r="C22" s="10" t="str">
        <f>kt_latest!E23</f>
        <v>Ticino</v>
      </c>
      <c r="D22" s="10">
        <f>kt_latest!R23</f>
        <v>318</v>
      </c>
      <c r="E22" s="6">
        <v>2869</v>
      </c>
      <c r="F22" s="10"/>
      <c r="H22" s="10"/>
      <c r="I22" s="10"/>
      <c r="J22" s="10"/>
      <c r="K22" s="10"/>
      <c r="L22" s="10"/>
      <c r="M22" s="10"/>
      <c r="N22" s="10"/>
      <c r="O22" s="10"/>
      <c r="P22" s="12"/>
      <c r="Q22" s="12"/>
      <c r="R22" s="10"/>
      <c r="S22" s="10"/>
      <c r="T22" s="12"/>
      <c r="U22" s="10"/>
      <c r="V22" s="12"/>
      <c r="W22" s="10"/>
      <c r="X22" s="10"/>
      <c r="Y22" s="10"/>
    </row>
    <row r="23" spans="1:25">
      <c r="A23" t="s">
        <v>318</v>
      </c>
      <c r="B23" t="s">
        <v>94</v>
      </c>
      <c r="C23" s="9" t="str">
        <f>kt_latest!E24</f>
        <v>Uri</v>
      </c>
      <c r="D23" s="9">
        <f>kt_latest!R24</f>
        <v>5</v>
      </c>
      <c r="E23" s="5">
        <v>75</v>
      </c>
      <c r="F23" s="9"/>
      <c r="H23" s="9"/>
      <c r="I23" s="9"/>
      <c r="J23" s="9"/>
      <c r="K23" s="9"/>
      <c r="L23" s="9"/>
      <c r="M23" s="9"/>
      <c r="N23" s="9"/>
      <c r="O23" s="9"/>
      <c r="P23" s="11"/>
      <c r="Q23" s="11"/>
      <c r="R23" s="9"/>
      <c r="S23" s="9"/>
      <c r="T23" s="11"/>
      <c r="U23" s="9"/>
      <c r="V23" s="11"/>
      <c r="W23" s="9"/>
      <c r="X23" s="9"/>
      <c r="Y23" s="9"/>
    </row>
    <row r="24" spans="1:25">
      <c r="A24" t="s">
        <v>318</v>
      </c>
      <c r="B24" t="s">
        <v>97</v>
      </c>
      <c r="C24" s="10" t="str">
        <f>kt_latest!E25</f>
        <v>Vaud</v>
      </c>
      <c r="D24" s="10">
        <f>kt_latest!R25</f>
        <v>364</v>
      </c>
      <c r="E24" s="6">
        <v>4524</v>
      </c>
      <c r="F24" s="10"/>
      <c r="H24" s="10"/>
      <c r="I24" s="10"/>
      <c r="J24" s="10"/>
      <c r="K24" s="10"/>
      <c r="L24" s="10"/>
      <c r="M24" s="10"/>
      <c r="N24" s="10"/>
      <c r="O24" s="10"/>
      <c r="P24" s="12"/>
      <c r="Q24" s="12"/>
      <c r="R24" s="10"/>
      <c r="S24" s="10"/>
      <c r="T24" s="12"/>
      <c r="U24" s="10"/>
      <c r="V24" s="12"/>
      <c r="W24" s="10"/>
      <c r="X24" s="10"/>
      <c r="Y24" s="10"/>
    </row>
    <row r="25" spans="1:25">
      <c r="A25" t="s">
        <v>318</v>
      </c>
      <c r="B25" t="s">
        <v>100</v>
      </c>
      <c r="C25" s="9" t="str">
        <f>kt_latest!E26</f>
        <v>Valais/Wallis</v>
      </c>
      <c r="D25" s="9">
        <f>kt_latest!R26</f>
        <v>136</v>
      </c>
      <c r="E25" s="5">
        <v>1592</v>
      </c>
      <c r="F25" s="9"/>
      <c r="H25" s="9"/>
      <c r="I25" s="9"/>
      <c r="J25" s="9"/>
      <c r="K25" s="9"/>
      <c r="L25" s="9"/>
      <c r="M25" s="9"/>
      <c r="N25" s="9"/>
      <c r="O25" s="9"/>
      <c r="P25" s="11"/>
      <c r="Q25" s="11"/>
      <c r="R25" s="9"/>
      <c r="S25" s="9"/>
      <c r="T25" s="11"/>
      <c r="U25" s="9"/>
      <c r="V25" s="11"/>
      <c r="W25" s="9"/>
      <c r="X25" s="9"/>
      <c r="Y25" s="9"/>
    </row>
    <row r="26" spans="1:25">
      <c r="A26" t="s">
        <v>318</v>
      </c>
      <c r="B26" t="s">
        <v>102</v>
      </c>
      <c r="C26" t="str">
        <f>kt_latest!E27</f>
        <v>Zug</v>
      </c>
      <c r="D26">
        <f>kt_latest!R27</f>
        <v>8</v>
      </c>
      <c r="E26" s="6">
        <v>168</v>
      </c>
      <c r="F26" s="10"/>
      <c r="H26" s="10"/>
      <c r="I26" s="10"/>
      <c r="J26" s="10"/>
      <c r="K26" s="10"/>
      <c r="L26" s="10"/>
      <c r="M26" s="10"/>
      <c r="N26" s="10"/>
      <c r="O26" s="10"/>
      <c r="P26" s="12"/>
      <c r="Q26" s="12"/>
      <c r="R26" s="10"/>
      <c r="S26" s="10"/>
      <c r="T26" s="12"/>
      <c r="U26" s="10"/>
      <c r="V26" s="12"/>
      <c r="W26" s="10"/>
      <c r="X26" s="10"/>
      <c r="Y26" s="10"/>
    </row>
    <row r="27" spans="1:25">
      <c r="A27" t="s">
        <v>318</v>
      </c>
      <c r="B27" t="s">
        <v>104</v>
      </c>
      <c r="C27" t="str">
        <f>kt_latest!E28</f>
        <v>Zürich</v>
      </c>
      <c r="D27">
        <f>kt_latest!R28</f>
        <v>119</v>
      </c>
      <c r="E27" s="5">
        <v>2987</v>
      </c>
      <c r="F27" s="9"/>
      <c r="H27" s="9"/>
      <c r="I27" s="9"/>
      <c r="J27" s="9"/>
      <c r="K27" s="9"/>
      <c r="L27" s="9"/>
      <c r="M27" s="9"/>
      <c r="N27" s="9"/>
      <c r="O27" s="9"/>
      <c r="P27" s="11"/>
      <c r="Q27" s="11"/>
      <c r="R27" s="9"/>
      <c r="S27" s="9"/>
      <c r="T27" s="11"/>
      <c r="U27" s="9"/>
      <c r="V27" s="11"/>
      <c r="W27" s="9"/>
      <c r="X27" s="9"/>
      <c r="Y27" s="9"/>
    </row>
    <row r="32" spans="1:25">
      <c r="A32" s="11"/>
    </row>
  </sheetData>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A4171-DC14-4B7E-911B-4838C591F696}">
  <sheetPr codeName="Tabelle9"/>
  <dimension ref="A1:A27"/>
  <sheetViews>
    <sheetView workbookViewId="0">
      <selection activeCell="A2" sqref="A2"/>
    </sheetView>
  </sheetViews>
  <sheetFormatPr baseColWidth="10" defaultRowHeight="14.5"/>
  <cols>
    <col min="1" max="1" width="141.26953125" style="41" customWidth="1"/>
    <col min="2" max="16384" width="10.90625" style="41"/>
  </cols>
  <sheetData>
    <row r="1" spans="1:1" ht="409" customHeight="1">
      <c r="A1" s="45" t="s">
        <v>350</v>
      </c>
    </row>
    <row r="2" spans="1:1" ht="409" customHeight="1">
      <c r="A2" s="40" t="s">
        <v>351</v>
      </c>
    </row>
    <row r="3" spans="1:1">
      <c r="A3" s="40"/>
    </row>
    <row r="4" spans="1:1" ht="15.5">
      <c r="A4" s="44"/>
    </row>
    <row r="5" spans="1:1">
      <c r="A5" s="40"/>
    </row>
    <row r="6" spans="1:1" ht="15.5">
      <c r="A6" s="44"/>
    </row>
    <row r="7" spans="1:1">
      <c r="A7" s="40"/>
    </row>
    <row r="8" spans="1:1">
      <c r="A8" s="40"/>
    </row>
    <row r="9" spans="1:1">
      <c r="A9" s="40"/>
    </row>
    <row r="10" spans="1:1">
      <c r="A10" s="40"/>
    </row>
    <row r="11" spans="1:1">
      <c r="A11" s="42"/>
    </row>
    <row r="12" spans="1:1">
      <c r="A12" s="40"/>
    </row>
    <row r="13" spans="1:1" ht="15.5">
      <c r="A13" s="44"/>
    </row>
    <row r="14" spans="1:1">
      <c r="A14" s="40"/>
    </row>
    <row r="15" spans="1:1" ht="15.5">
      <c r="A15" s="44"/>
    </row>
    <row r="16" spans="1:1">
      <c r="A16" s="40"/>
    </row>
    <row r="17" spans="1:1" ht="15.5">
      <c r="A17" s="44"/>
    </row>
    <row r="18" spans="1:1">
      <c r="A18" s="40"/>
    </row>
    <row r="19" spans="1:1">
      <c r="A19" s="40"/>
    </row>
    <row r="20" spans="1:1">
      <c r="A20" s="40"/>
    </row>
    <row r="21" spans="1:1" ht="15.5">
      <c r="A21" s="44"/>
    </row>
    <row r="22" spans="1:1">
      <c r="A22" s="42"/>
    </row>
    <row r="23" spans="1:1">
      <c r="A23" s="40"/>
    </row>
    <row r="24" spans="1:1">
      <c r="A24" s="40"/>
    </row>
    <row r="25" spans="1:1">
      <c r="A25" s="40"/>
    </row>
    <row r="26" spans="1:1">
      <c r="A26" s="40"/>
    </row>
    <row r="27" spans="1:1">
      <c r="A27" s="43"/>
    </row>
  </sheetData>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02D8EF25-BBF0-467A-95E0-77469F65D118}">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127E88CF-0494-47BA-BDEB-04927C2BB250}">
  <ds:schemaRefs>
    <ds:schemaRef ds:uri="http://www.w3.org/2001/XMLSchema"/>
    <ds:schemaRef ds:uri="http://microsoft.data.visualization.Client.Excel/1.0"/>
  </ds:schemaRefs>
</ds:datastoreItem>
</file>

<file path=customXml/itemProps3.xml><?xml version="1.0" encoding="utf-8"?>
<ds:datastoreItem xmlns:ds="http://schemas.openxmlformats.org/officeDocument/2006/customXml" ds:itemID="{2D07BDB7-FD87-4315-93A1-B8F768B62FC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9</vt:i4>
      </vt:variant>
      <vt:variant>
        <vt:lpstr>Benannte Bereiche</vt:lpstr>
      </vt:variant>
      <vt:variant>
        <vt:i4>1</vt:i4>
      </vt:variant>
    </vt:vector>
  </HeadingPairs>
  <TitlesOfParts>
    <vt:vector size="10" baseType="lpstr">
      <vt:lpstr>Graphs</vt:lpstr>
      <vt:lpstr>ch_latest</vt:lpstr>
      <vt:lpstr>analyse</vt:lpstr>
      <vt:lpstr>pivot_1</vt:lpstr>
      <vt:lpstr>pivot2</vt:lpstr>
      <vt:lpstr>kt_latest</vt:lpstr>
      <vt:lpstr>Fallzahlen_CH</vt:lpstr>
      <vt:lpstr>Map death</vt:lpstr>
      <vt:lpstr>Readme</vt:lpstr>
      <vt:lpstr>Graphs!Druckbereich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tgdbepe4</dc:creator>
  <cp:lastModifiedBy>tgdbepe4</cp:lastModifiedBy>
  <cp:lastPrinted>2020-04-13T12:33:32Z</cp:lastPrinted>
  <dcterms:created xsi:type="dcterms:W3CDTF">2020-04-08T15:29:54Z</dcterms:created>
  <dcterms:modified xsi:type="dcterms:W3CDTF">2020-04-29T16:26:20Z</dcterms:modified>
</cp:coreProperties>
</file>